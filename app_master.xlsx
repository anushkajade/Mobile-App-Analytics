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Desktop\ANU - DATA ANALYST\App analytics\"/>
    </mc:Choice>
  </mc:AlternateContent>
  <xr:revisionPtr revIDLastSave="0" documentId="13_ncr:1_{A4D01F3F-F1F4-4001-B6A9-2FA7D207E1D7}" xr6:coauthVersionLast="47" xr6:coauthVersionMax="47" xr10:uidLastSave="{00000000-0000-0000-0000-000000000000}"/>
  <bookViews>
    <workbookView xWindow="-120" yWindow="-120" windowWidth="29040" windowHeight="15720" activeTab="1" xr2:uid="{00000000-000D-0000-FFFF-FFFF00000000}"/>
  </bookViews>
  <sheets>
    <sheet name="Revenue Dashboard" sheetId="8" r:id="rId1"/>
    <sheet name="Pivot_Revenue" sheetId="7" r:id="rId2"/>
    <sheet name="Pivot_Users" sheetId="9" r:id="rId3"/>
    <sheet name="metadata" sheetId="6" r:id="rId4"/>
    <sheet name="Pivot_competitors" sheetId="10" r:id="rId5"/>
    <sheet name="competitior_analysis" sheetId="3" r:id="rId6"/>
    <sheet name="app_feature" sheetId="2" r:id="rId7"/>
    <sheet name="app_feature (2)" sheetId="11" r:id="rId8"/>
    <sheet name="app_master" sheetId="1" r:id="rId9"/>
    <sheet name="user_behaviour" sheetId="4" r:id="rId10"/>
    <sheet name="user_reviews" sheetId="5" r:id="rId11"/>
  </sheets>
  <definedNames>
    <definedName name="_xlchart.v1.0" hidden="1">app_feature!$B$2:$M$101</definedName>
    <definedName name="_xlchart.v1.1" hidden="1">app_feature!$N$2:$N$101</definedName>
    <definedName name="_xlchart.v1.2" hidden="1">'app_feature (2)'!$C$101</definedName>
    <definedName name="_xlchart.v1.3" hidden="1">'app_feature (2)'!$D$101</definedName>
    <definedName name="_xlchart.v1.4" hidden="1">'app_feature (2)'!$D$1:$D$100</definedName>
    <definedName name="_xlchart.v1.5" hidden="1">'app_feature (2)'!$C$101</definedName>
    <definedName name="_xlchart.v1.6" hidden="1">'app_feature (2)'!$D$101</definedName>
    <definedName name="_xlchart.v1.7" hidden="1">'app_feature (2)'!$D$1:$D$100</definedName>
    <definedName name="Slicer_category">#N/A</definedName>
    <definedName name="Slicer_Category1">#N/A</definedName>
    <definedName name="Slicer_category2">#N/A</definedName>
    <definedName name="Slicer_country_available">#N/A</definedName>
    <definedName name="Slicer_developer_company">#N/A</definedName>
    <definedName name="Slicer_monetization_strategy">#N/A</definedName>
    <definedName name="Slicer_platform">#N/A</definedName>
    <definedName name="Slicer_pricing_model">#N/A</definedName>
    <definedName name="Slicer_target_audience">#N/A</definedName>
  </definedNames>
  <calcPr calcId="191029"/>
  <pivotCaches>
    <pivotCache cacheId="51" r:id="rId12"/>
    <pivotCache cacheId="55" r:id="rId13"/>
    <pivotCache cacheId="6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6" i="11" l="1"/>
  <c r="E115" i="11"/>
  <c r="E114" i="11"/>
  <c r="E113" i="11"/>
  <c r="E112" i="11"/>
  <c r="E111" i="11"/>
  <c r="E110" i="11"/>
  <c r="E109" i="11"/>
  <c r="E108" i="11"/>
  <c r="O10" i="1" a="1"/>
  <c r="O10" i="1" s="1"/>
  <c r="L3" i="11" a="1"/>
  <c r="L3" i="11" s="1"/>
  <c r="L4" i="11" a="1"/>
  <c r="L4" i="11" s="1"/>
  <c r="L5" i="11" a="1"/>
  <c r="L5" i="11" s="1"/>
  <c r="L6" i="11" a="1"/>
  <c r="L6" i="11" s="1"/>
  <c r="L7" i="11" a="1"/>
  <c r="L7" i="11" s="1"/>
  <c r="L8" i="11" a="1"/>
  <c r="L8" i="11" s="1"/>
  <c r="L9" i="11" a="1"/>
  <c r="L9" i="11" s="1"/>
  <c r="L10" i="11" a="1"/>
  <c r="L10" i="11" s="1"/>
  <c r="L11" i="11" a="1"/>
  <c r="L11" i="11" s="1"/>
  <c r="L12" i="11" a="1"/>
  <c r="L12" i="11" s="1"/>
  <c r="L13" i="11" a="1"/>
  <c r="L13" i="11" s="1"/>
  <c r="L14" i="11" a="1"/>
  <c r="L14" i="11" s="1"/>
  <c r="L15" i="11" a="1"/>
  <c r="L15" i="11" s="1"/>
  <c r="L16" i="11" a="1"/>
  <c r="L16" i="11" s="1"/>
  <c r="L17" i="11" a="1"/>
  <c r="L17" i="11" s="1"/>
  <c r="L18" i="11" a="1"/>
  <c r="L18" i="11" s="1"/>
  <c r="L19" i="11" a="1"/>
  <c r="L19" i="11" s="1"/>
  <c r="L20" i="11" a="1"/>
  <c r="L20" i="11" s="1"/>
  <c r="L21" i="11" a="1"/>
  <c r="L21" i="11" s="1"/>
  <c r="L22" i="11" a="1"/>
  <c r="L22" i="11" s="1"/>
  <c r="L23" i="11" a="1"/>
  <c r="L23" i="11" s="1"/>
  <c r="L24" i="11" a="1"/>
  <c r="L24" i="11" s="1"/>
  <c r="L25" i="11" a="1"/>
  <c r="L25" i="11" s="1"/>
  <c r="L26" i="11" a="1"/>
  <c r="L26" i="11" s="1"/>
  <c r="L27" i="11" a="1"/>
  <c r="L27" i="11" s="1"/>
  <c r="L28" i="11" a="1"/>
  <c r="L28" i="11" s="1"/>
  <c r="L29" i="11" a="1"/>
  <c r="L29" i="11" s="1"/>
  <c r="L30" i="11" a="1"/>
  <c r="L30" i="11" s="1"/>
  <c r="L31" i="11" a="1"/>
  <c r="L31" i="11" s="1"/>
  <c r="L32" i="11" a="1"/>
  <c r="L32" i="11" s="1"/>
  <c r="L33" i="11" a="1"/>
  <c r="L33" i="11" s="1"/>
  <c r="L34" i="11" a="1"/>
  <c r="L34" i="11" s="1"/>
  <c r="L35" i="11" a="1"/>
  <c r="L35" i="11" s="1"/>
  <c r="L36" i="11" a="1"/>
  <c r="L36" i="11" s="1"/>
  <c r="L37" i="11" a="1"/>
  <c r="L37" i="11" s="1"/>
  <c r="L38" i="11" a="1"/>
  <c r="L38" i="11" s="1"/>
  <c r="L39" i="11" a="1"/>
  <c r="L39" i="11" s="1"/>
  <c r="L40" i="11" a="1"/>
  <c r="L40" i="11" s="1"/>
  <c r="L41" i="11" a="1"/>
  <c r="L41" i="11" s="1"/>
  <c r="L42" i="11" a="1"/>
  <c r="L42" i="11" s="1"/>
  <c r="L43" i="11" a="1"/>
  <c r="L43" i="11" s="1"/>
  <c r="L44" i="11" a="1"/>
  <c r="L44" i="11" s="1"/>
  <c r="L45" i="11" a="1"/>
  <c r="L45" i="11" s="1"/>
  <c r="L46" i="11" a="1"/>
  <c r="L46" i="11" s="1"/>
  <c r="L47" i="11" a="1"/>
  <c r="L47" i="11" s="1"/>
  <c r="L48" i="11" a="1"/>
  <c r="L48" i="11" s="1"/>
  <c r="L49" i="11" a="1"/>
  <c r="L49" i="11" s="1"/>
  <c r="L50" i="11" a="1"/>
  <c r="L50" i="11" s="1"/>
  <c r="L51" i="11" a="1"/>
  <c r="L51" i="11" s="1"/>
  <c r="L52" i="11" a="1"/>
  <c r="L52" i="11" s="1"/>
  <c r="L53" i="11" a="1"/>
  <c r="L53" i="11" s="1"/>
  <c r="L54" i="11" a="1"/>
  <c r="L54" i="11" s="1"/>
  <c r="L55" i="11" a="1"/>
  <c r="L55" i="11" s="1"/>
  <c r="L56" i="11" a="1"/>
  <c r="L56" i="11" s="1"/>
  <c r="L57" i="11" a="1"/>
  <c r="L57" i="11" s="1"/>
  <c r="L58" i="11" a="1"/>
  <c r="L58" i="11" s="1"/>
  <c r="L59" i="11" a="1"/>
  <c r="L59" i="11" s="1"/>
  <c r="L60" i="11" a="1"/>
  <c r="L60" i="11" s="1"/>
  <c r="L61" i="11" a="1"/>
  <c r="L61" i="11" s="1"/>
  <c r="L62" i="11" a="1"/>
  <c r="L62" i="11" s="1"/>
  <c r="L63" i="11" a="1"/>
  <c r="L63" i="11" s="1"/>
  <c r="L64" i="11" a="1"/>
  <c r="L64" i="11" s="1"/>
  <c r="L65" i="11" a="1"/>
  <c r="L65" i="11" s="1"/>
  <c r="L66" i="11" a="1"/>
  <c r="L66" i="11" s="1"/>
  <c r="L67" i="11" a="1"/>
  <c r="L67" i="11" s="1"/>
  <c r="L68" i="11" a="1"/>
  <c r="L68" i="11" s="1"/>
  <c r="L69" i="11" a="1"/>
  <c r="L69" i="11" s="1"/>
  <c r="L70" i="11" a="1"/>
  <c r="L70" i="11" s="1"/>
  <c r="L71" i="11" a="1"/>
  <c r="L71" i="11" s="1"/>
  <c r="L72" i="11" a="1"/>
  <c r="L72" i="11" s="1"/>
  <c r="L73" i="11" a="1"/>
  <c r="L73" i="11" s="1"/>
  <c r="L74" i="11" a="1"/>
  <c r="L74" i="11" s="1"/>
  <c r="L75" i="11" a="1"/>
  <c r="L75" i="11" s="1"/>
  <c r="L76" i="11" a="1"/>
  <c r="L76" i="11" s="1"/>
  <c r="L77" i="11" a="1"/>
  <c r="L77" i="11" s="1"/>
  <c r="L78" i="11" a="1"/>
  <c r="L78" i="11" s="1"/>
  <c r="L79" i="11" a="1"/>
  <c r="L79" i="11" s="1"/>
  <c r="L80" i="11" a="1"/>
  <c r="L80" i="11" s="1"/>
  <c r="L81" i="11" a="1"/>
  <c r="L81" i="11" s="1"/>
  <c r="L82" i="11" a="1"/>
  <c r="L82" i="11" s="1"/>
  <c r="L83" i="11" a="1"/>
  <c r="L83" i="11" s="1"/>
  <c r="L84" i="11" a="1"/>
  <c r="L84" i="11" s="1"/>
  <c r="L85" i="11" a="1"/>
  <c r="L85" i="11" s="1"/>
  <c r="L86" i="11" a="1"/>
  <c r="L86" i="11" s="1"/>
  <c r="L87" i="11" a="1"/>
  <c r="L87" i="11" s="1"/>
  <c r="L88" i="11" a="1"/>
  <c r="L88" i="11" s="1"/>
  <c r="L89" i="11" a="1"/>
  <c r="L89" i="11" s="1"/>
  <c r="L90" i="11" a="1"/>
  <c r="L90" i="11"/>
  <c r="L91" i="11" a="1"/>
  <c r="L91" i="11" s="1"/>
  <c r="L92" i="11" a="1"/>
  <c r="L92" i="11" s="1"/>
  <c r="L93" i="11" a="1"/>
  <c r="L93" i="11" s="1"/>
  <c r="L94" i="11" a="1"/>
  <c r="L94" i="11" s="1"/>
  <c r="L95" i="11" a="1"/>
  <c r="L95" i="11" s="1"/>
  <c r="L96" i="11" a="1"/>
  <c r="L96" i="11" s="1"/>
  <c r="L97" i="11" a="1"/>
  <c r="L97" i="11" s="1"/>
  <c r="L98" i="11" a="1"/>
  <c r="L98" i="11" s="1"/>
  <c r="L99" i="11" a="1"/>
  <c r="L99" i="11" s="1"/>
  <c r="L100" i="11" a="1"/>
  <c r="L100" i="11" s="1"/>
  <c r="L101" i="11" a="1"/>
  <c r="L101" i="11" s="1"/>
  <c r="L2" i="11" a="1"/>
  <c r="L2" i="11" s="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2" i="1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M101" i="11"/>
  <c r="C101" i="11"/>
  <c r="M100" i="11"/>
  <c r="C100" i="11"/>
  <c r="M99" i="11"/>
  <c r="C99" i="11"/>
  <c r="M98" i="11"/>
  <c r="C98" i="11"/>
  <c r="M97" i="11"/>
  <c r="C97" i="11"/>
  <c r="M96" i="11"/>
  <c r="C96" i="11"/>
  <c r="M95" i="11"/>
  <c r="C95" i="11"/>
  <c r="M94" i="11"/>
  <c r="C94" i="11"/>
  <c r="M93" i="11"/>
  <c r="C93" i="11"/>
  <c r="M92" i="11"/>
  <c r="C92" i="11"/>
  <c r="M91" i="11"/>
  <c r="C91" i="11"/>
  <c r="M90" i="11"/>
  <c r="C90" i="11"/>
  <c r="M89" i="11"/>
  <c r="C89" i="11"/>
  <c r="M88" i="11"/>
  <c r="C88" i="11"/>
  <c r="M87" i="11"/>
  <c r="C87" i="11"/>
  <c r="M86" i="11"/>
  <c r="C86" i="11"/>
  <c r="M85" i="11"/>
  <c r="C85" i="11"/>
  <c r="M84" i="11"/>
  <c r="C84" i="11"/>
  <c r="M83" i="11"/>
  <c r="C83" i="11"/>
  <c r="M82" i="11"/>
  <c r="C82" i="11"/>
  <c r="M81" i="11"/>
  <c r="C81" i="11"/>
  <c r="M80" i="11"/>
  <c r="C80" i="11"/>
  <c r="M79" i="11"/>
  <c r="C79" i="11"/>
  <c r="M78" i="11"/>
  <c r="C78" i="11"/>
  <c r="M77" i="11"/>
  <c r="C77" i="11"/>
  <c r="M76" i="11"/>
  <c r="C76" i="11"/>
  <c r="M75" i="11"/>
  <c r="C75" i="11"/>
  <c r="M74" i="11"/>
  <c r="C74" i="11"/>
  <c r="M73" i="11"/>
  <c r="C73" i="11"/>
  <c r="M72" i="11"/>
  <c r="C72" i="11"/>
  <c r="M71" i="11"/>
  <c r="C71" i="11"/>
  <c r="M70" i="11"/>
  <c r="C70" i="11"/>
  <c r="M69" i="11"/>
  <c r="C69" i="11"/>
  <c r="M68" i="11"/>
  <c r="C68" i="11"/>
  <c r="M67" i="11"/>
  <c r="C67" i="11"/>
  <c r="M66" i="11"/>
  <c r="C66" i="11"/>
  <c r="M65" i="11"/>
  <c r="C65" i="11"/>
  <c r="M64" i="11"/>
  <c r="C64" i="11"/>
  <c r="M63" i="11"/>
  <c r="C63" i="11"/>
  <c r="M62" i="11"/>
  <c r="C62" i="11"/>
  <c r="M61" i="11"/>
  <c r="C61" i="11"/>
  <c r="M60" i="11"/>
  <c r="C60" i="11"/>
  <c r="M59" i="11"/>
  <c r="C59" i="11"/>
  <c r="M58" i="11"/>
  <c r="C58" i="11"/>
  <c r="M57" i="11"/>
  <c r="C57" i="11"/>
  <c r="M56" i="11"/>
  <c r="C56" i="11"/>
  <c r="M55" i="11"/>
  <c r="C55" i="11"/>
  <c r="M54" i="11"/>
  <c r="C54" i="11"/>
  <c r="M53" i="11"/>
  <c r="C53" i="11"/>
  <c r="M52" i="11"/>
  <c r="C52" i="11"/>
  <c r="M51" i="11"/>
  <c r="C51" i="11"/>
  <c r="M50" i="11"/>
  <c r="C50" i="11"/>
  <c r="M49" i="11"/>
  <c r="C49" i="11"/>
  <c r="M48" i="11"/>
  <c r="C48" i="11"/>
  <c r="M47" i="11"/>
  <c r="C47" i="11"/>
  <c r="M46" i="11"/>
  <c r="C46" i="11"/>
  <c r="M45" i="11"/>
  <c r="C45" i="11"/>
  <c r="M44" i="11"/>
  <c r="C44" i="11"/>
  <c r="M43" i="11"/>
  <c r="C43" i="11"/>
  <c r="M42" i="11"/>
  <c r="C42" i="11"/>
  <c r="M41" i="11"/>
  <c r="C41" i="11"/>
  <c r="M40" i="11"/>
  <c r="C40" i="11"/>
  <c r="M39" i="11"/>
  <c r="C39" i="11"/>
  <c r="M38" i="11"/>
  <c r="C38" i="11"/>
  <c r="M37" i="11"/>
  <c r="C37" i="11"/>
  <c r="M36" i="11"/>
  <c r="C36" i="11"/>
  <c r="M35" i="11"/>
  <c r="C35" i="11"/>
  <c r="M34" i="11"/>
  <c r="C34" i="11"/>
  <c r="M33" i="11"/>
  <c r="C33" i="11"/>
  <c r="M32" i="11"/>
  <c r="C32" i="11"/>
  <c r="M31" i="11"/>
  <c r="C31" i="11"/>
  <c r="M30" i="11"/>
  <c r="C30" i="11"/>
  <c r="M29" i="11"/>
  <c r="C29" i="11"/>
  <c r="M28" i="11"/>
  <c r="C28" i="11"/>
  <c r="M27" i="11"/>
  <c r="C27" i="11"/>
  <c r="M26" i="11"/>
  <c r="C26" i="11"/>
  <c r="M25" i="11"/>
  <c r="C25" i="11"/>
  <c r="M24" i="11"/>
  <c r="C24" i="11"/>
  <c r="M23" i="11"/>
  <c r="C23" i="11"/>
  <c r="M22" i="11"/>
  <c r="C22" i="11"/>
  <c r="M21" i="11"/>
  <c r="C21" i="11"/>
  <c r="M20" i="11"/>
  <c r="C20" i="11"/>
  <c r="M19" i="11"/>
  <c r="C19" i="11"/>
  <c r="M18" i="11"/>
  <c r="C18" i="11"/>
  <c r="M17" i="11"/>
  <c r="C17" i="11"/>
  <c r="M16" i="11"/>
  <c r="C16" i="11"/>
  <c r="M15" i="11"/>
  <c r="C15" i="11"/>
  <c r="M14" i="11"/>
  <c r="C14" i="11"/>
  <c r="M13" i="11"/>
  <c r="C13" i="11"/>
  <c r="M12" i="11"/>
  <c r="C12" i="11"/>
  <c r="M11" i="11"/>
  <c r="C11" i="11"/>
  <c r="M10" i="11"/>
  <c r="C10" i="11"/>
  <c r="M9" i="11"/>
  <c r="C9" i="11"/>
  <c r="M8" i="11"/>
  <c r="C8" i="11"/>
  <c r="M7" i="11"/>
  <c r="C7" i="11"/>
  <c r="M6" i="11"/>
  <c r="C6" i="11"/>
  <c r="M5" i="11"/>
  <c r="C5" i="11"/>
  <c r="M4" i="11"/>
  <c r="C4" i="11"/>
  <c r="M3" i="11"/>
  <c r="C3" i="11"/>
  <c r="M2" i="11"/>
  <c r="C2" i="1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<sst xmlns="http://schemas.openxmlformats.org/spreadsheetml/2006/main" count="42054" uniqueCount="5193">
  <si>
    <t>app_id</t>
  </si>
  <si>
    <t>app_name</t>
  </si>
  <si>
    <t>category</t>
  </si>
  <si>
    <t>platform</t>
  </si>
  <si>
    <t>developer_company</t>
  </si>
  <si>
    <t>launch_year</t>
  </si>
  <si>
    <t>pricing_model</t>
  </si>
  <si>
    <t>current_rating</t>
  </si>
  <si>
    <t>total_downloads</t>
  </si>
  <si>
    <t>app_size_mb</t>
  </si>
  <si>
    <t>country_available</t>
  </si>
  <si>
    <t>last_updated_date</t>
  </si>
  <si>
    <t>APP001</t>
  </si>
  <si>
    <t>InvestPro</t>
  </si>
  <si>
    <t>Finance</t>
  </si>
  <si>
    <t>Android</t>
  </si>
  <si>
    <t>BrightWorks</t>
  </si>
  <si>
    <t>Free</t>
  </si>
  <si>
    <t>Australia</t>
  </si>
  <si>
    <t>APP002</t>
  </si>
  <si>
    <t>BankPro</t>
  </si>
  <si>
    <t>Both</t>
  </si>
  <si>
    <t>UrbanByte</t>
  </si>
  <si>
    <t>India</t>
  </si>
  <si>
    <t>APP003</t>
  </si>
  <si>
    <t>BankX</t>
  </si>
  <si>
    <t>Singapore</t>
  </si>
  <si>
    <t>APP004</t>
  </si>
  <si>
    <t>BankNow</t>
  </si>
  <si>
    <t>PixelCraft</t>
  </si>
  <si>
    <t>United States</t>
  </si>
  <si>
    <t>APP005</t>
  </si>
  <si>
    <t>CreditHub</t>
  </si>
  <si>
    <t>BluePeak Digital</t>
  </si>
  <si>
    <t>Subscription</t>
  </si>
  <si>
    <t>Canada</t>
  </si>
  <si>
    <t>APP006</t>
  </si>
  <si>
    <t>PayPlus</t>
  </si>
  <si>
    <t>OrbitSoft</t>
  </si>
  <si>
    <t>APP007</t>
  </si>
  <si>
    <t>BankPlus</t>
  </si>
  <si>
    <t>Nova Labs</t>
  </si>
  <si>
    <t>APP008</t>
  </si>
  <si>
    <t>CoinPlus</t>
  </si>
  <si>
    <t>iOS</t>
  </si>
  <si>
    <t>AppNest Studio</t>
  </si>
  <si>
    <t>Germany</t>
  </si>
  <si>
    <t>APP009</t>
  </si>
  <si>
    <t>CreditOne</t>
  </si>
  <si>
    <t>APP010</t>
  </si>
  <si>
    <t>PayPro</t>
  </si>
  <si>
    <t>APP011</t>
  </si>
  <si>
    <t>Creditly</t>
  </si>
  <si>
    <t>APP012</t>
  </si>
  <si>
    <t>PayX</t>
  </si>
  <si>
    <t>GreenSpark</t>
  </si>
  <si>
    <t>APP013</t>
  </si>
  <si>
    <t>DealGo</t>
  </si>
  <si>
    <t>Shopping</t>
  </si>
  <si>
    <t>NextLoop</t>
  </si>
  <si>
    <t>Paid</t>
  </si>
  <si>
    <t>United Kingdom</t>
  </si>
  <si>
    <t>APP014</t>
  </si>
  <si>
    <t>MallNow</t>
  </si>
  <si>
    <t>Freemium</t>
  </si>
  <si>
    <t>APP015</t>
  </si>
  <si>
    <t>DealPro</t>
  </si>
  <si>
    <t>APP016</t>
  </si>
  <si>
    <t>StyleNow</t>
  </si>
  <si>
    <t>UAE</t>
  </si>
  <si>
    <t>APP017</t>
  </si>
  <si>
    <t>DealCloud</t>
  </si>
  <si>
    <t>APP018</t>
  </si>
  <si>
    <t>CartCloud</t>
  </si>
  <si>
    <t>APP019</t>
  </si>
  <si>
    <t>CartMate</t>
  </si>
  <si>
    <t>APP020</t>
  </si>
  <si>
    <t>BazaarOne</t>
  </si>
  <si>
    <t>APP021</t>
  </si>
  <si>
    <t>StyleOne</t>
  </si>
  <si>
    <t>APP022</t>
  </si>
  <si>
    <t>Cartly</t>
  </si>
  <si>
    <t>CloudFrame</t>
  </si>
  <si>
    <t>APP023</t>
  </si>
  <si>
    <t>BazaarCloud</t>
  </si>
  <si>
    <t>APP024</t>
  </si>
  <si>
    <t>CartPro</t>
  </si>
  <si>
    <t>APP025</t>
  </si>
  <si>
    <t>RunPlus</t>
  </si>
  <si>
    <t>Fitness</t>
  </si>
  <si>
    <t>APP026</t>
  </si>
  <si>
    <t>TrainCloud</t>
  </si>
  <si>
    <t>APP027</t>
  </si>
  <si>
    <t>Trainly</t>
  </si>
  <si>
    <t>APP028</t>
  </si>
  <si>
    <t>LiftCloud</t>
  </si>
  <si>
    <t>APP029</t>
  </si>
  <si>
    <t>MoveNow</t>
  </si>
  <si>
    <t>APP030</t>
  </si>
  <si>
    <t>ActiveMate</t>
  </si>
  <si>
    <t>APP031</t>
  </si>
  <si>
    <t>RunGo</t>
  </si>
  <si>
    <t>APP032</t>
  </si>
  <si>
    <t>LiftPro</t>
  </si>
  <si>
    <t>APP033</t>
  </si>
  <si>
    <t>APP034</t>
  </si>
  <si>
    <t>Liftly</t>
  </si>
  <si>
    <t>APP035</t>
  </si>
  <si>
    <t>YogaHub</t>
  </si>
  <si>
    <t>APP036</t>
  </si>
  <si>
    <t>MoveGo</t>
  </si>
  <si>
    <t>APP037</t>
  </si>
  <si>
    <t>BrightNow</t>
  </si>
  <si>
    <t>Education</t>
  </si>
  <si>
    <t>APP038</t>
  </si>
  <si>
    <t>StudyCloud</t>
  </si>
  <si>
    <t>APP039</t>
  </si>
  <si>
    <t>SkillNow</t>
  </si>
  <si>
    <t>APP040</t>
  </si>
  <si>
    <t>LearnMate</t>
  </si>
  <si>
    <t>APP041</t>
  </si>
  <si>
    <t>QuestNow</t>
  </si>
  <si>
    <t>APP042</t>
  </si>
  <si>
    <t>SkillHub</t>
  </si>
  <si>
    <t>APP043</t>
  </si>
  <si>
    <t>TutorCloud</t>
  </si>
  <si>
    <t>APP044</t>
  </si>
  <si>
    <t>SkillOne</t>
  </si>
  <si>
    <t>APP045</t>
  </si>
  <si>
    <t>LearnOne</t>
  </si>
  <si>
    <t>APP046</t>
  </si>
  <si>
    <t>LearnPlus</t>
  </si>
  <si>
    <t>APP047</t>
  </si>
  <si>
    <t>StudyPlus</t>
  </si>
  <si>
    <t>APP048</t>
  </si>
  <si>
    <t>StudyX</t>
  </si>
  <si>
    <t>APP049</t>
  </si>
  <si>
    <t>PlayPlus</t>
  </si>
  <si>
    <t>Entertainment</t>
  </si>
  <si>
    <t>APP050</t>
  </si>
  <si>
    <t>ShowMate</t>
  </si>
  <si>
    <t>APP051</t>
  </si>
  <si>
    <t>VibeX</t>
  </si>
  <si>
    <t>APP052</t>
  </si>
  <si>
    <t>BuzzNow</t>
  </si>
  <si>
    <t>APP053</t>
  </si>
  <si>
    <t>StreamPlus</t>
  </si>
  <si>
    <t>APP054</t>
  </si>
  <si>
    <t>Showly</t>
  </si>
  <si>
    <t>APP055</t>
  </si>
  <si>
    <t>BuzzOne</t>
  </si>
  <si>
    <t>APP056</t>
  </si>
  <si>
    <t>PlayHub</t>
  </si>
  <si>
    <t>APP057</t>
  </si>
  <si>
    <t>CinemaGo</t>
  </si>
  <si>
    <t>APP058</t>
  </si>
  <si>
    <t>LaughX</t>
  </si>
  <si>
    <t>APP059</t>
  </si>
  <si>
    <t>CinemaHub</t>
  </si>
  <si>
    <t>APP060</t>
  </si>
  <si>
    <t>ShowPro</t>
  </si>
  <si>
    <t>APP061</t>
  </si>
  <si>
    <t>FoodPlus</t>
  </si>
  <si>
    <t>Food Delivery</t>
  </si>
  <si>
    <t>APP062</t>
  </si>
  <si>
    <t>BiteGo</t>
  </si>
  <si>
    <t>APP063</t>
  </si>
  <si>
    <t>OrderCloud</t>
  </si>
  <si>
    <t>APP064</t>
  </si>
  <si>
    <t>DinePlus</t>
  </si>
  <si>
    <t>APP065</t>
  </si>
  <si>
    <t>SnackX</t>
  </si>
  <si>
    <t>APP066</t>
  </si>
  <si>
    <t>FoodOne</t>
  </si>
  <si>
    <t>APP067</t>
  </si>
  <si>
    <t>MealMate</t>
  </si>
  <si>
    <t>APP068</t>
  </si>
  <si>
    <t>SnackHub</t>
  </si>
  <si>
    <t>APP069</t>
  </si>
  <si>
    <t>BiteCloud</t>
  </si>
  <si>
    <t>APP070</t>
  </si>
  <si>
    <t>PlatePlus</t>
  </si>
  <si>
    <t>APP071</t>
  </si>
  <si>
    <t>VoyageGo</t>
  </si>
  <si>
    <t>Travel</t>
  </si>
  <si>
    <t>APP072</t>
  </si>
  <si>
    <t>TripOne</t>
  </si>
  <si>
    <t>APP073</t>
  </si>
  <si>
    <t>FlyGo</t>
  </si>
  <si>
    <t>APP074</t>
  </si>
  <si>
    <t>MapX</t>
  </si>
  <si>
    <t>APP075</t>
  </si>
  <si>
    <t>StayX</t>
  </si>
  <si>
    <t>APP076</t>
  </si>
  <si>
    <t>GoNow</t>
  </si>
  <si>
    <t>APP077</t>
  </si>
  <si>
    <t>RouteGo</t>
  </si>
  <si>
    <t>APP078</t>
  </si>
  <si>
    <t>TripGo</t>
  </si>
  <si>
    <t>APP079</t>
  </si>
  <si>
    <t>Flyly</t>
  </si>
  <si>
    <t>APP080</t>
  </si>
  <si>
    <t>TripPro</t>
  </si>
  <si>
    <t>APP081</t>
  </si>
  <si>
    <t>Focusly</t>
  </si>
  <si>
    <t>Productivity</t>
  </si>
  <si>
    <t>APP082</t>
  </si>
  <si>
    <t>DeskX</t>
  </si>
  <si>
    <t>APP083</t>
  </si>
  <si>
    <t>DonePro</t>
  </si>
  <si>
    <t>APP084</t>
  </si>
  <si>
    <t>NotePlus</t>
  </si>
  <si>
    <t>APP085</t>
  </si>
  <si>
    <t>SyncPlus</t>
  </si>
  <si>
    <t>APP086</t>
  </si>
  <si>
    <t>NoteOne</t>
  </si>
  <si>
    <t>APP087</t>
  </si>
  <si>
    <t>NoteMate</t>
  </si>
  <si>
    <t>APP088</t>
  </si>
  <si>
    <t>PlanPlus</t>
  </si>
  <si>
    <t>APP089</t>
  </si>
  <si>
    <t>PlanMate</t>
  </si>
  <si>
    <t>APP090</t>
  </si>
  <si>
    <t>APP091</t>
  </si>
  <si>
    <t>ClinicPro</t>
  </si>
  <si>
    <t>Health</t>
  </si>
  <si>
    <t>APP092</t>
  </si>
  <si>
    <t>MindMate</t>
  </si>
  <si>
    <t>APP093</t>
  </si>
  <si>
    <t>ClinicOne</t>
  </si>
  <si>
    <t>APP094</t>
  </si>
  <si>
    <t>WellMate</t>
  </si>
  <si>
    <t>APP095</t>
  </si>
  <si>
    <t>MediMate</t>
  </si>
  <si>
    <t>APP096</t>
  </si>
  <si>
    <t>WellNow</t>
  </si>
  <si>
    <t>APP097</t>
  </si>
  <si>
    <t>CareCloud</t>
  </si>
  <si>
    <t>APP098</t>
  </si>
  <si>
    <t>MediNow</t>
  </si>
  <si>
    <t>APP099</t>
  </si>
  <si>
    <t>MindPlus</t>
  </si>
  <si>
    <t>APP100</t>
  </si>
  <si>
    <t>MediCloud</t>
  </si>
  <si>
    <t>feature_id</t>
  </si>
  <si>
    <t>login_options</t>
  </si>
  <si>
    <t>push_notifications</t>
  </si>
  <si>
    <t>offline_access</t>
  </si>
  <si>
    <t>ai_features</t>
  </si>
  <si>
    <t>payment_integration</t>
  </si>
  <si>
    <t>chatbot_support</t>
  </si>
  <si>
    <t>personalization</t>
  </si>
  <si>
    <t>dark_mode</t>
  </si>
  <si>
    <t>multi_language_support</t>
  </si>
  <si>
    <t>security_features</t>
  </si>
  <si>
    <t>FEA001</t>
  </si>
  <si>
    <t>Social Login</t>
  </si>
  <si>
    <t>Yes</t>
  </si>
  <si>
    <t>No</t>
  </si>
  <si>
    <t>Basic</t>
  </si>
  <si>
    <t>FEA002</t>
  </si>
  <si>
    <t>Google</t>
  </si>
  <si>
    <t>FEA003</t>
  </si>
  <si>
    <t>Advanced</t>
  </si>
  <si>
    <t>FEA004</t>
  </si>
  <si>
    <t>FEA005</t>
  </si>
  <si>
    <t>Email</t>
  </si>
  <si>
    <t>FEA006</t>
  </si>
  <si>
    <t>FEA007</t>
  </si>
  <si>
    <t>Email + Google + Apple</t>
  </si>
  <si>
    <t>FEA008</t>
  </si>
  <si>
    <t>Email + Google</t>
  </si>
  <si>
    <t>FEA009</t>
  </si>
  <si>
    <t>FEA010</t>
  </si>
  <si>
    <t>FEA011</t>
  </si>
  <si>
    <t>FEA012</t>
  </si>
  <si>
    <t>Biometric</t>
  </si>
  <si>
    <t>FEA013</t>
  </si>
  <si>
    <t>FEA014</t>
  </si>
  <si>
    <t>FEA015</t>
  </si>
  <si>
    <t>FEA016</t>
  </si>
  <si>
    <t>FEA017</t>
  </si>
  <si>
    <t>FEA018</t>
  </si>
  <si>
    <t>FEA019</t>
  </si>
  <si>
    <t>FEA020</t>
  </si>
  <si>
    <t>FEA021</t>
  </si>
  <si>
    <t>FEA022</t>
  </si>
  <si>
    <t>FEA023</t>
  </si>
  <si>
    <t>Apple</t>
  </si>
  <si>
    <t>FEA024</t>
  </si>
  <si>
    <t>FEA025</t>
  </si>
  <si>
    <t>FEA026</t>
  </si>
  <si>
    <t>FEA027</t>
  </si>
  <si>
    <t>FEA028</t>
  </si>
  <si>
    <t>FEA029</t>
  </si>
  <si>
    <t>FEA030</t>
  </si>
  <si>
    <t>FEA031</t>
  </si>
  <si>
    <t>FEA032</t>
  </si>
  <si>
    <t>FEA033</t>
  </si>
  <si>
    <t>FEA034</t>
  </si>
  <si>
    <t>FEA035</t>
  </si>
  <si>
    <t>FEA036</t>
  </si>
  <si>
    <t>FEA037</t>
  </si>
  <si>
    <t>FEA038</t>
  </si>
  <si>
    <t>FEA039</t>
  </si>
  <si>
    <t>FEA040</t>
  </si>
  <si>
    <t>FEA041</t>
  </si>
  <si>
    <t>FEA042</t>
  </si>
  <si>
    <t>FEA043</t>
  </si>
  <si>
    <t>FEA044</t>
  </si>
  <si>
    <t>FEA045</t>
  </si>
  <si>
    <t>FEA046</t>
  </si>
  <si>
    <t>FEA047</t>
  </si>
  <si>
    <t>FEA048</t>
  </si>
  <si>
    <t>FEA049</t>
  </si>
  <si>
    <t>FEA050</t>
  </si>
  <si>
    <t>FEA051</t>
  </si>
  <si>
    <t>FEA052</t>
  </si>
  <si>
    <t>FEA053</t>
  </si>
  <si>
    <t>FEA054</t>
  </si>
  <si>
    <t>FEA055</t>
  </si>
  <si>
    <t>FEA056</t>
  </si>
  <si>
    <t>FEA057</t>
  </si>
  <si>
    <t>FEA058</t>
  </si>
  <si>
    <t>FEA059</t>
  </si>
  <si>
    <t>FEA060</t>
  </si>
  <si>
    <t>FEA061</t>
  </si>
  <si>
    <t>FEA062</t>
  </si>
  <si>
    <t>FEA063</t>
  </si>
  <si>
    <t>FEA064</t>
  </si>
  <si>
    <t>FEA065</t>
  </si>
  <si>
    <t>FEA066</t>
  </si>
  <si>
    <t>FEA067</t>
  </si>
  <si>
    <t>FEA068</t>
  </si>
  <si>
    <t>FEA069</t>
  </si>
  <si>
    <t>FEA070</t>
  </si>
  <si>
    <t>FEA071</t>
  </si>
  <si>
    <t>FEA072</t>
  </si>
  <si>
    <t>FEA073</t>
  </si>
  <si>
    <t>FEA074</t>
  </si>
  <si>
    <t>FEA075</t>
  </si>
  <si>
    <t>FEA076</t>
  </si>
  <si>
    <t>FEA077</t>
  </si>
  <si>
    <t>FEA078</t>
  </si>
  <si>
    <t>FEA079</t>
  </si>
  <si>
    <t>FEA080</t>
  </si>
  <si>
    <t>FEA081</t>
  </si>
  <si>
    <t>FEA082</t>
  </si>
  <si>
    <t>FEA083</t>
  </si>
  <si>
    <t>FEA084</t>
  </si>
  <si>
    <t>FEA085</t>
  </si>
  <si>
    <t>FEA086</t>
  </si>
  <si>
    <t>FEA087</t>
  </si>
  <si>
    <t>FEA088</t>
  </si>
  <si>
    <t>FEA089</t>
  </si>
  <si>
    <t>FEA090</t>
  </si>
  <si>
    <t>FEA091</t>
  </si>
  <si>
    <t>FEA092</t>
  </si>
  <si>
    <t>FEA093</t>
  </si>
  <si>
    <t>FEA094</t>
  </si>
  <si>
    <t>FEA095</t>
  </si>
  <si>
    <t>FEA096</t>
  </si>
  <si>
    <t>FEA097</t>
  </si>
  <si>
    <t>FEA098</t>
  </si>
  <si>
    <t>FEA099</t>
  </si>
  <si>
    <t>FEA100</t>
  </si>
  <si>
    <t>competitor_id</t>
  </si>
  <si>
    <t>market_rank</t>
  </si>
  <si>
    <t>target_audience</t>
  </si>
  <si>
    <t>main_strength</t>
  </si>
  <si>
    <t>main_weakness</t>
  </si>
  <si>
    <t>marketing_channel</t>
  </si>
  <si>
    <t>monetization_strategy</t>
  </si>
  <si>
    <t>unique_selling_point</t>
  </si>
  <si>
    <t>competitor_rating</t>
  </si>
  <si>
    <t>estimated_revenue_usd</t>
  </si>
  <si>
    <t>CMP001</t>
  </si>
  <si>
    <t>Families</t>
  </si>
  <si>
    <t>Simple onboarding</t>
  </si>
  <si>
    <t>Slow customer support</t>
  </si>
  <si>
    <t>Social media</t>
  </si>
  <si>
    <t>Commissions</t>
  </si>
  <si>
    <t>Lower cost than alternatives</t>
  </si>
  <si>
    <t>CMP002</t>
  </si>
  <si>
    <t>Urban consumers</t>
  </si>
  <si>
    <t>Personalized experience</t>
  </si>
  <si>
    <t>Paid search ads</t>
  </si>
  <si>
    <t>Easy integration with payments</t>
  </si>
  <si>
    <t>CMP003</t>
  </si>
  <si>
    <t>Strong brand trust</t>
  </si>
  <si>
    <t>Complex navigation</t>
  </si>
  <si>
    <t>Secure and private workflow</t>
  </si>
  <si>
    <t>CMP004</t>
  </si>
  <si>
    <t>Students</t>
  </si>
  <si>
    <t>Fast performance</t>
  </si>
  <si>
    <t>Too many ads</t>
  </si>
  <si>
    <t>Organic search</t>
  </si>
  <si>
    <t>Ads</t>
  </si>
  <si>
    <t>CMP005</t>
  </si>
  <si>
    <t>Young professionals</t>
  </si>
  <si>
    <t>Low pricing</t>
  </si>
  <si>
    <t>Occasional bugs</t>
  </si>
  <si>
    <t>Influencer marketing</t>
  </si>
  <si>
    <t>Subscriptions</t>
  </si>
  <si>
    <t>Faster task completion</t>
  </si>
  <si>
    <t>CMP006</t>
  </si>
  <si>
    <t>Wide feature set</t>
  </si>
  <si>
    <t>AI-assisted recommendations</t>
  </si>
  <si>
    <t>CMP007</t>
  </si>
  <si>
    <t>High security</t>
  </si>
  <si>
    <t>High subscription cost</t>
  </si>
  <si>
    <t>CMP008</t>
  </si>
  <si>
    <t>Curated premium content</t>
  </si>
  <si>
    <t>CMP009</t>
  </si>
  <si>
    <t>Large content library</t>
  </si>
  <si>
    <t>Email campaigns</t>
  </si>
  <si>
    <t>CMP010</t>
  </si>
  <si>
    <t>Frequent travelers</t>
  </si>
  <si>
    <t>CMP011</t>
  </si>
  <si>
    <t>Limited offline access</t>
  </si>
  <si>
    <t>In-app purchases</t>
  </si>
  <si>
    <t>CMP012</t>
  </si>
  <si>
    <t>Large app size</t>
  </si>
  <si>
    <t>CMP013</t>
  </si>
  <si>
    <t>Small businesses</t>
  </si>
  <si>
    <t>Paid downloads</t>
  </si>
  <si>
    <t>CMP014</t>
  </si>
  <si>
    <t>Better local language support</t>
  </si>
  <si>
    <t>CMP015</t>
  </si>
  <si>
    <t>CMP016</t>
  </si>
  <si>
    <t>CMP017</t>
  </si>
  <si>
    <t>Fitness enthusiasts</t>
  </si>
  <si>
    <t>CMP018</t>
  </si>
  <si>
    <t>Working professionals</t>
  </si>
  <si>
    <t>Limited languages</t>
  </si>
  <si>
    <t>CMP019</t>
  </si>
  <si>
    <t>Freemium upsell</t>
  </si>
  <si>
    <t>CMP020</t>
  </si>
  <si>
    <t>CMP021</t>
  </si>
  <si>
    <t>CMP022</t>
  </si>
  <si>
    <t>App store optimization</t>
  </si>
  <si>
    <t>CMP023</t>
  </si>
  <si>
    <t>Rewards-based engagement</t>
  </si>
  <si>
    <t>CMP024</t>
  </si>
  <si>
    <t>Referral program</t>
  </si>
  <si>
    <t>CMP025</t>
  </si>
  <si>
    <t>CMP026</t>
  </si>
  <si>
    <t>CMP027</t>
  </si>
  <si>
    <t>CMP028</t>
  </si>
  <si>
    <t>CMP029</t>
  </si>
  <si>
    <t>CMP030</t>
  </si>
  <si>
    <t>CMP031</t>
  </si>
  <si>
    <t>CMP032</t>
  </si>
  <si>
    <t>CMP033</t>
  </si>
  <si>
    <t>CMP034</t>
  </si>
  <si>
    <t>CMP035</t>
  </si>
  <si>
    <t>CMP036</t>
  </si>
  <si>
    <t>CMP037</t>
  </si>
  <si>
    <t>CMP038</t>
  </si>
  <si>
    <t>CMP039</t>
  </si>
  <si>
    <t>CMP040</t>
  </si>
  <si>
    <t>CMP041</t>
  </si>
  <si>
    <t>CMP042</t>
  </si>
  <si>
    <t>CMP043</t>
  </si>
  <si>
    <t>CMP044</t>
  </si>
  <si>
    <t>CMP045</t>
  </si>
  <si>
    <t>CMP046</t>
  </si>
  <si>
    <t>CMP047</t>
  </si>
  <si>
    <t>CMP048</t>
  </si>
  <si>
    <t>CMP049</t>
  </si>
  <si>
    <t>CMP050</t>
  </si>
  <si>
    <t>CMP051</t>
  </si>
  <si>
    <t>CMP052</t>
  </si>
  <si>
    <t>CMP053</t>
  </si>
  <si>
    <t>CMP054</t>
  </si>
  <si>
    <t>CMP055</t>
  </si>
  <si>
    <t>CMP056</t>
  </si>
  <si>
    <t>CMP057</t>
  </si>
  <si>
    <t>CMP058</t>
  </si>
  <si>
    <t>CMP059</t>
  </si>
  <si>
    <t>CMP060</t>
  </si>
  <si>
    <t>CMP061</t>
  </si>
  <si>
    <t>CMP062</t>
  </si>
  <si>
    <t>CMP063</t>
  </si>
  <si>
    <t>CMP064</t>
  </si>
  <si>
    <t>CMP065</t>
  </si>
  <si>
    <t>CMP066</t>
  </si>
  <si>
    <t>CMP067</t>
  </si>
  <si>
    <t>CMP068</t>
  </si>
  <si>
    <t>CMP069</t>
  </si>
  <si>
    <t>CMP070</t>
  </si>
  <si>
    <t>CMP071</t>
  </si>
  <si>
    <t>CMP072</t>
  </si>
  <si>
    <t>CMP073</t>
  </si>
  <si>
    <t>CMP074</t>
  </si>
  <si>
    <t>CMP075</t>
  </si>
  <si>
    <t>CMP076</t>
  </si>
  <si>
    <t>CMP077</t>
  </si>
  <si>
    <t>CMP078</t>
  </si>
  <si>
    <t>CMP079</t>
  </si>
  <si>
    <t>CMP080</t>
  </si>
  <si>
    <t>CMP081</t>
  </si>
  <si>
    <t>CMP082</t>
  </si>
  <si>
    <t>CMP083</t>
  </si>
  <si>
    <t>CMP084</t>
  </si>
  <si>
    <t>CMP085</t>
  </si>
  <si>
    <t>CMP086</t>
  </si>
  <si>
    <t>CMP087</t>
  </si>
  <si>
    <t>CMP088</t>
  </si>
  <si>
    <t>CMP089</t>
  </si>
  <si>
    <t>CMP090</t>
  </si>
  <si>
    <t>CMP091</t>
  </si>
  <si>
    <t>CMP092</t>
  </si>
  <si>
    <t>CMP093</t>
  </si>
  <si>
    <t>CMP094</t>
  </si>
  <si>
    <t>CMP095</t>
  </si>
  <si>
    <t>CMP096</t>
  </si>
  <si>
    <t>CMP097</t>
  </si>
  <si>
    <t>CMP098</t>
  </si>
  <si>
    <t>CMP099</t>
  </si>
  <si>
    <t>CMP100</t>
  </si>
  <si>
    <t>user_id</t>
  </si>
  <si>
    <t>age_group</t>
  </si>
  <si>
    <t>gender</t>
  </si>
  <si>
    <t>country</t>
  </si>
  <si>
    <t>device_type</t>
  </si>
  <si>
    <t>session_count</t>
  </si>
  <si>
    <t>avg_session_duration_min</t>
  </si>
  <si>
    <t>daily_active_usage</t>
  </si>
  <si>
    <t>retention_30_days</t>
  </si>
  <si>
    <t>uninstall_status</t>
  </si>
  <si>
    <t>in_app_purchase_amount</t>
  </si>
  <si>
    <t>USR00001</t>
  </si>
  <si>
    <t>25-34</t>
  </si>
  <si>
    <t>Female</t>
  </si>
  <si>
    <t>Smartphone</t>
  </si>
  <si>
    <t>USR00002</t>
  </si>
  <si>
    <t>35-44</t>
  </si>
  <si>
    <t>Male</t>
  </si>
  <si>
    <t>USR00003</t>
  </si>
  <si>
    <t>Tablet</t>
  </si>
  <si>
    <t>USR00004</t>
  </si>
  <si>
    <t>USR00005</t>
  </si>
  <si>
    <t>USR00006</t>
  </si>
  <si>
    <t>USR00007</t>
  </si>
  <si>
    <t>USR00008</t>
  </si>
  <si>
    <t>18-24</t>
  </si>
  <si>
    <t>USR00009</t>
  </si>
  <si>
    <t>Prefer not to say</t>
  </si>
  <si>
    <t>USR00010</t>
  </si>
  <si>
    <t>USR00011</t>
  </si>
  <si>
    <t>USR00012</t>
  </si>
  <si>
    <t>55+</t>
  </si>
  <si>
    <t>USR00013</t>
  </si>
  <si>
    <t>USR00014</t>
  </si>
  <si>
    <t>USR00015</t>
  </si>
  <si>
    <t>USR00016</t>
  </si>
  <si>
    <t>45-54</t>
  </si>
  <si>
    <t>USR00017</t>
  </si>
  <si>
    <t>USR00018</t>
  </si>
  <si>
    <t>USR00019</t>
  </si>
  <si>
    <t>USR00020</t>
  </si>
  <si>
    <t>USR00021</t>
  </si>
  <si>
    <t>USR00022</t>
  </si>
  <si>
    <t>USR00023</t>
  </si>
  <si>
    <t>USR00024</t>
  </si>
  <si>
    <t>USR00025</t>
  </si>
  <si>
    <t>USR00026</t>
  </si>
  <si>
    <t>USR00027</t>
  </si>
  <si>
    <t>USR00028</t>
  </si>
  <si>
    <t>USR00029</t>
  </si>
  <si>
    <t>USR00030</t>
  </si>
  <si>
    <t>USR00031</t>
  </si>
  <si>
    <t>USR00032</t>
  </si>
  <si>
    <t>USR00033</t>
  </si>
  <si>
    <t>USR00034</t>
  </si>
  <si>
    <t>USR00035</t>
  </si>
  <si>
    <t>USR00036</t>
  </si>
  <si>
    <t>USR00037</t>
  </si>
  <si>
    <t>USR00038</t>
  </si>
  <si>
    <t>USR00039</t>
  </si>
  <si>
    <t>USR00040</t>
  </si>
  <si>
    <t>USR00041</t>
  </si>
  <si>
    <t>USR00042</t>
  </si>
  <si>
    <t>USR00043</t>
  </si>
  <si>
    <t>USR00044</t>
  </si>
  <si>
    <t>USR00045</t>
  </si>
  <si>
    <t>USR00046</t>
  </si>
  <si>
    <t>USR00047</t>
  </si>
  <si>
    <t>USR00048</t>
  </si>
  <si>
    <t>USR00049</t>
  </si>
  <si>
    <t>USR00050</t>
  </si>
  <si>
    <t>USR00051</t>
  </si>
  <si>
    <t>USR00052</t>
  </si>
  <si>
    <t>USR00053</t>
  </si>
  <si>
    <t>USR00054</t>
  </si>
  <si>
    <t>USR00055</t>
  </si>
  <si>
    <t>USR00056</t>
  </si>
  <si>
    <t>USR00057</t>
  </si>
  <si>
    <t>USR00058</t>
  </si>
  <si>
    <t>USR00059</t>
  </si>
  <si>
    <t>USR00060</t>
  </si>
  <si>
    <t>USR00061</t>
  </si>
  <si>
    <t>USR00062</t>
  </si>
  <si>
    <t>USR00063</t>
  </si>
  <si>
    <t>USR00064</t>
  </si>
  <si>
    <t>USR00065</t>
  </si>
  <si>
    <t>USR00066</t>
  </si>
  <si>
    <t>USR00067</t>
  </si>
  <si>
    <t>USR00068</t>
  </si>
  <si>
    <t>USR00069</t>
  </si>
  <si>
    <t>USR00070</t>
  </si>
  <si>
    <t>USR00071</t>
  </si>
  <si>
    <t>USR00072</t>
  </si>
  <si>
    <t>USR00073</t>
  </si>
  <si>
    <t>USR00074</t>
  </si>
  <si>
    <t>USR00075</t>
  </si>
  <si>
    <t>USR00076</t>
  </si>
  <si>
    <t>USR00077</t>
  </si>
  <si>
    <t>USR00078</t>
  </si>
  <si>
    <t>USR00079</t>
  </si>
  <si>
    <t>USR00080</t>
  </si>
  <si>
    <t>USR00081</t>
  </si>
  <si>
    <t>USR00082</t>
  </si>
  <si>
    <t>USR00083</t>
  </si>
  <si>
    <t>USR00084</t>
  </si>
  <si>
    <t>USR00085</t>
  </si>
  <si>
    <t>USR00086</t>
  </si>
  <si>
    <t>Other</t>
  </si>
  <si>
    <t>USR00087</t>
  </si>
  <si>
    <t>USR00088</t>
  </si>
  <si>
    <t>USR00089</t>
  </si>
  <si>
    <t>USR00090</t>
  </si>
  <si>
    <t>USR00091</t>
  </si>
  <si>
    <t>USR00092</t>
  </si>
  <si>
    <t>USR00093</t>
  </si>
  <si>
    <t>USR00094</t>
  </si>
  <si>
    <t>USR00095</t>
  </si>
  <si>
    <t>USR00096</t>
  </si>
  <si>
    <t>USR00097</t>
  </si>
  <si>
    <t>USR00098</t>
  </si>
  <si>
    <t>USR00099</t>
  </si>
  <si>
    <t>USR00100</t>
  </si>
  <si>
    <t>USR00101</t>
  </si>
  <si>
    <t>USR00102</t>
  </si>
  <si>
    <t>USR00103</t>
  </si>
  <si>
    <t>USR00104</t>
  </si>
  <si>
    <t>USR00105</t>
  </si>
  <si>
    <t>USR00106</t>
  </si>
  <si>
    <t>USR00107</t>
  </si>
  <si>
    <t>USR00108</t>
  </si>
  <si>
    <t>USR00109</t>
  </si>
  <si>
    <t>USR00110</t>
  </si>
  <si>
    <t>USR00111</t>
  </si>
  <si>
    <t>USR00112</t>
  </si>
  <si>
    <t>USR00113</t>
  </si>
  <si>
    <t>USR00114</t>
  </si>
  <si>
    <t>USR00115</t>
  </si>
  <si>
    <t>USR00116</t>
  </si>
  <si>
    <t>USR00117</t>
  </si>
  <si>
    <t>USR00118</t>
  </si>
  <si>
    <t>USR00119</t>
  </si>
  <si>
    <t>USR00120</t>
  </si>
  <si>
    <t>USR00121</t>
  </si>
  <si>
    <t>USR00122</t>
  </si>
  <si>
    <t>USR00123</t>
  </si>
  <si>
    <t>USR00124</t>
  </si>
  <si>
    <t>USR00125</t>
  </si>
  <si>
    <t>USR00126</t>
  </si>
  <si>
    <t>USR00127</t>
  </si>
  <si>
    <t>USR00128</t>
  </si>
  <si>
    <t>USR00129</t>
  </si>
  <si>
    <t>USR00130</t>
  </si>
  <si>
    <t>USR00131</t>
  </si>
  <si>
    <t>USR00132</t>
  </si>
  <si>
    <t>USR00133</t>
  </si>
  <si>
    <t>USR00134</t>
  </si>
  <si>
    <t>USR00135</t>
  </si>
  <si>
    <t>USR00136</t>
  </si>
  <si>
    <t>USR00137</t>
  </si>
  <si>
    <t>USR00138</t>
  </si>
  <si>
    <t>USR00139</t>
  </si>
  <si>
    <t>USR00140</t>
  </si>
  <si>
    <t>USR00141</t>
  </si>
  <si>
    <t>USR00142</t>
  </si>
  <si>
    <t>USR00143</t>
  </si>
  <si>
    <t>USR00144</t>
  </si>
  <si>
    <t>USR00145</t>
  </si>
  <si>
    <t>USR00146</t>
  </si>
  <si>
    <t>USR00147</t>
  </si>
  <si>
    <t>USR00148</t>
  </si>
  <si>
    <t>USR00149</t>
  </si>
  <si>
    <t>USR00150</t>
  </si>
  <si>
    <t>USR00151</t>
  </si>
  <si>
    <t>USR00152</t>
  </si>
  <si>
    <t>USR00153</t>
  </si>
  <si>
    <t>USR00154</t>
  </si>
  <si>
    <t>USR00155</t>
  </si>
  <si>
    <t>USR00156</t>
  </si>
  <si>
    <t>USR00157</t>
  </si>
  <si>
    <t>USR00158</t>
  </si>
  <si>
    <t>USR00159</t>
  </si>
  <si>
    <t>USR00160</t>
  </si>
  <si>
    <t>USR00161</t>
  </si>
  <si>
    <t>USR00162</t>
  </si>
  <si>
    <t>USR00163</t>
  </si>
  <si>
    <t>USR00164</t>
  </si>
  <si>
    <t>USR00165</t>
  </si>
  <si>
    <t>USR00166</t>
  </si>
  <si>
    <t>USR00167</t>
  </si>
  <si>
    <t>USR00168</t>
  </si>
  <si>
    <t>USR00169</t>
  </si>
  <si>
    <t>USR00170</t>
  </si>
  <si>
    <t>USR00171</t>
  </si>
  <si>
    <t>USR00172</t>
  </si>
  <si>
    <t>USR00173</t>
  </si>
  <si>
    <t>USR00174</t>
  </si>
  <si>
    <t>USR00175</t>
  </si>
  <si>
    <t>USR00176</t>
  </si>
  <si>
    <t>USR00177</t>
  </si>
  <si>
    <t>USR00178</t>
  </si>
  <si>
    <t>USR00179</t>
  </si>
  <si>
    <t>USR00180</t>
  </si>
  <si>
    <t>USR00181</t>
  </si>
  <si>
    <t>USR00182</t>
  </si>
  <si>
    <t>USR00183</t>
  </si>
  <si>
    <t>USR00184</t>
  </si>
  <si>
    <t>USR00185</t>
  </si>
  <si>
    <t>USR00186</t>
  </si>
  <si>
    <t>USR00187</t>
  </si>
  <si>
    <t>USR00188</t>
  </si>
  <si>
    <t>USR00189</t>
  </si>
  <si>
    <t>USR00190</t>
  </si>
  <si>
    <t>USR00191</t>
  </si>
  <si>
    <t>USR00192</t>
  </si>
  <si>
    <t>USR00193</t>
  </si>
  <si>
    <t>USR00194</t>
  </si>
  <si>
    <t>USR00195</t>
  </si>
  <si>
    <t>USR00196</t>
  </si>
  <si>
    <t>USR00197</t>
  </si>
  <si>
    <t>USR00198</t>
  </si>
  <si>
    <t>USR00199</t>
  </si>
  <si>
    <t>USR00200</t>
  </si>
  <si>
    <t>USR00201</t>
  </si>
  <si>
    <t>USR00202</t>
  </si>
  <si>
    <t>USR00203</t>
  </si>
  <si>
    <t>USR00204</t>
  </si>
  <si>
    <t>USR00205</t>
  </si>
  <si>
    <t>USR00206</t>
  </si>
  <si>
    <t>USR00207</t>
  </si>
  <si>
    <t>USR00208</t>
  </si>
  <si>
    <t>USR00209</t>
  </si>
  <si>
    <t>USR00210</t>
  </si>
  <si>
    <t>USR00211</t>
  </si>
  <si>
    <t>USR00212</t>
  </si>
  <si>
    <t>USR00213</t>
  </si>
  <si>
    <t>USR00214</t>
  </si>
  <si>
    <t>USR00215</t>
  </si>
  <si>
    <t>USR00216</t>
  </si>
  <si>
    <t>USR00217</t>
  </si>
  <si>
    <t>USR00218</t>
  </si>
  <si>
    <t>USR00219</t>
  </si>
  <si>
    <t>USR00220</t>
  </si>
  <si>
    <t>USR00221</t>
  </si>
  <si>
    <t>USR00222</t>
  </si>
  <si>
    <t>USR00223</t>
  </si>
  <si>
    <t>USR00224</t>
  </si>
  <si>
    <t>USR00225</t>
  </si>
  <si>
    <t>USR00226</t>
  </si>
  <si>
    <t>USR00227</t>
  </si>
  <si>
    <t>USR00228</t>
  </si>
  <si>
    <t>USR00229</t>
  </si>
  <si>
    <t>USR00230</t>
  </si>
  <si>
    <t>USR00231</t>
  </si>
  <si>
    <t>USR00232</t>
  </si>
  <si>
    <t>USR00233</t>
  </si>
  <si>
    <t>USR00234</t>
  </si>
  <si>
    <t>USR00235</t>
  </si>
  <si>
    <t>USR00236</t>
  </si>
  <si>
    <t>USR00237</t>
  </si>
  <si>
    <t>USR00238</t>
  </si>
  <si>
    <t>USR00239</t>
  </si>
  <si>
    <t>USR00240</t>
  </si>
  <si>
    <t>USR00241</t>
  </si>
  <si>
    <t>USR00242</t>
  </si>
  <si>
    <t>USR00243</t>
  </si>
  <si>
    <t>USR00244</t>
  </si>
  <si>
    <t>USR00245</t>
  </si>
  <si>
    <t>USR00246</t>
  </si>
  <si>
    <t>USR00247</t>
  </si>
  <si>
    <t>USR00248</t>
  </si>
  <si>
    <t>USR00249</t>
  </si>
  <si>
    <t>USR00250</t>
  </si>
  <si>
    <t>USR00251</t>
  </si>
  <si>
    <t>USR00252</t>
  </si>
  <si>
    <t>USR00253</t>
  </si>
  <si>
    <t>USR00254</t>
  </si>
  <si>
    <t>USR00255</t>
  </si>
  <si>
    <t>USR00256</t>
  </si>
  <si>
    <t>USR00257</t>
  </si>
  <si>
    <t>USR00258</t>
  </si>
  <si>
    <t>USR00259</t>
  </si>
  <si>
    <t>USR00260</t>
  </si>
  <si>
    <t>USR00261</t>
  </si>
  <si>
    <t>USR00262</t>
  </si>
  <si>
    <t>USR00263</t>
  </si>
  <si>
    <t>USR00264</t>
  </si>
  <si>
    <t>USR00265</t>
  </si>
  <si>
    <t>USR00266</t>
  </si>
  <si>
    <t>USR00267</t>
  </si>
  <si>
    <t>USR00268</t>
  </si>
  <si>
    <t>USR00269</t>
  </si>
  <si>
    <t>USR00270</t>
  </si>
  <si>
    <t>USR00271</t>
  </si>
  <si>
    <t>USR00272</t>
  </si>
  <si>
    <t>USR00273</t>
  </si>
  <si>
    <t>USR00274</t>
  </si>
  <si>
    <t>USR00275</t>
  </si>
  <si>
    <t>USR00276</t>
  </si>
  <si>
    <t>USR00277</t>
  </si>
  <si>
    <t>USR00278</t>
  </si>
  <si>
    <t>USR00279</t>
  </si>
  <si>
    <t>USR00280</t>
  </si>
  <si>
    <t>USR00281</t>
  </si>
  <si>
    <t>USR00282</t>
  </si>
  <si>
    <t>USR00283</t>
  </si>
  <si>
    <t>USR00284</t>
  </si>
  <si>
    <t>USR00285</t>
  </si>
  <si>
    <t>USR00286</t>
  </si>
  <si>
    <t>USR00287</t>
  </si>
  <si>
    <t>USR00288</t>
  </si>
  <si>
    <t>USR00289</t>
  </si>
  <si>
    <t>USR00290</t>
  </si>
  <si>
    <t>USR00291</t>
  </si>
  <si>
    <t>USR00292</t>
  </si>
  <si>
    <t>USR00293</t>
  </si>
  <si>
    <t>USR00294</t>
  </si>
  <si>
    <t>USR00295</t>
  </si>
  <si>
    <t>USR00296</t>
  </si>
  <si>
    <t>USR00297</t>
  </si>
  <si>
    <t>USR00298</t>
  </si>
  <si>
    <t>USR00299</t>
  </si>
  <si>
    <t>USR00300</t>
  </si>
  <si>
    <t>USR00301</t>
  </si>
  <si>
    <t>USR00302</t>
  </si>
  <si>
    <t>USR00303</t>
  </si>
  <si>
    <t>USR00304</t>
  </si>
  <si>
    <t>USR00305</t>
  </si>
  <si>
    <t>USR00306</t>
  </si>
  <si>
    <t>USR00307</t>
  </si>
  <si>
    <t>USR00308</t>
  </si>
  <si>
    <t>USR00309</t>
  </si>
  <si>
    <t>USR00310</t>
  </si>
  <si>
    <t>USR00311</t>
  </si>
  <si>
    <t>USR00312</t>
  </si>
  <si>
    <t>USR00313</t>
  </si>
  <si>
    <t>USR00314</t>
  </si>
  <si>
    <t>USR00315</t>
  </si>
  <si>
    <t>USR00316</t>
  </si>
  <si>
    <t>USR00317</t>
  </si>
  <si>
    <t>USR00318</t>
  </si>
  <si>
    <t>USR00319</t>
  </si>
  <si>
    <t>USR00320</t>
  </si>
  <si>
    <t>USR00321</t>
  </si>
  <si>
    <t>USR00322</t>
  </si>
  <si>
    <t>USR00323</t>
  </si>
  <si>
    <t>USR00324</t>
  </si>
  <si>
    <t>USR00325</t>
  </si>
  <si>
    <t>USR00326</t>
  </si>
  <si>
    <t>USR00327</t>
  </si>
  <si>
    <t>USR00328</t>
  </si>
  <si>
    <t>USR00329</t>
  </si>
  <si>
    <t>USR00330</t>
  </si>
  <si>
    <t>USR00331</t>
  </si>
  <si>
    <t>USR00332</t>
  </si>
  <si>
    <t>USR00333</t>
  </si>
  <si>
    <t>USR00334</t>
  </si>
  <si>
    <t>USR00335</t>
  </si>
  <si>
    <t>USR00336</t>
  </si>
  <si>
    <t>USR00337</t>
  </si>
  <si>
    <t>USR00338</t>
  </si>
  <si>
    <t>USR00339</t>
  </si>
  <si>
    <t>USR00340</t>
  </si>
  <si>
    <t>USR00341</t>
  </si>
  <si>
    <t>USR00342</t>
  </si>
  <si>
    <t>USR00343</t>
  </si>
  <si>
    <t>USR00344</t>
  </si>
  <si>
    <t>USR00345</t>
  </si>
  <si>
    <t>USR00346</t>
  </si>
  <si>
    <t>USR00347</t>
  </si>
  <si>
    <t>USR00348</t>
  </si>
  <si>
    <t>USR00349</t>
  </si>
  <si>
    <t>USR00350</t>
  </si>
  <si>
    <t>USR00351</t>
  </si>
  <si>
    <t>USR00352</t>
  </si>
  <si>
    <t>USR00353</t>
  </si>
  <si>
    <t>USR00354</t>
  </si>
  <si>
    <t>USR00355</t>
  </si>
  <si>
    <t>USR00356</t>
  </si>
  <si>
    <t>USR00357</t>
  </si>
  <si>
    <t>USR00358</t>
  </si>
  <si>
    <t>USR00359</t>
  </si>
  <si>
    <t>USR00360</t>
  </si>
  <si>
    <t>USR00361</t>
  </si>
  <si>
    <t>USR00362</t>
  </si>
  <si>
    <t>USR00363</t>
  </si>
  <si>
    <t>USR00364</t>
  </si>
  <si>
    <t>USR00365</t>
  </si>
  <si>
    <t>USR00366</t>
  </si>
  <si>
    <t>USR00367</t>
  </si>
  <si>
    <t>USR00368</t>
  </si>
  <si>
    <t>USR00369</t>
  </si>
  <si>
    <t>USR00370</t>
  </si>
  <si>
    <t>USR00371</t>
  </si>
  <si>
    <t>USR00372</t>
  </si>
  <si>
    <t>USR00373</t>
  </si>
  <si>
    <t>USR00374</t>
  </si>
  <si>
    <t>USR00375</t>
  </si>
  <si>
    <t>USR00376</t>
  </si>
  <si>
    <t>USR00377</t>
  </si>
  <si>
    <t>USR00378</t>
  </si>
  <si>
    <t>USR00379</t>
  </si>
  <si>
    <t>USR00380</t>
  </si>
  <si>
    <t>USR00381</t>
  </si>
  <si>
    <t>USR00382</t>
  </si>
  <si>
    <t>USR00383</t>
  </si>
  <si>
    <t>USR00384</t>
  </si>
  <si>
    <t>USR00385</t>
  </si>
  <si>
    <t>USR00386</t>
  </si>
  <si>
    <t>USR00387</t>
  </si>
  <si>
    <t>USR00388</t>
  </si>
  <si>
    <t>USR00389</t>
  </si>
  <si>
    <t>USR00390</t>
  </si>
  <si>
    <t>USR00391</t>
  </si>
  <si>
    <t>USR00392</t>
  </si>
  <si>
    <t>USR00393</t>
  </si>
  <si>
    <t>USR00394</t>
  </si>
  <si>
    <t>USR00395</t>
  </si>
  <si>
    <t>USR00396</t>
  </si>
  <si>
    <t>USR00397</t>
  </si>
  <si>
    <t>USR00398</t>
  </si>
  <si>
    <t>USR00399</t>
  </si>
  <si>
    <t>USR00400</t>
  </si>
  <si>
    <t>USR00401</t>
  </si>
  <si>
    <t>USR00402</t>
  </si>
  <si>
    <t>USR00403</t>
  </si>
  <si>
    <t>USR00404</t>
  </si>
  <si>
    <t>USR00405</t>
  </si>
  <si>
    <t>USR00406</t>
  </si>
  <si>
    <t>USR00407</t>
  </si>
  <si>
    <t>USR00408</t>
  </si>
  <si>
    <t>USR00409</t>
  </si>
  <si>
    <t>USR00410</t>
  </si>
  <si>
    <t>USR00411</t>
  </si>
  <si>
    <t>USR00412</t>
  </si>
  <si>
    <t>USR00413</t>
  </si>
  <si>
    <t>USR00414</t>
  </si>
  <si>
    <t>USR00415</t>
  </si>
  <si>
    <t>USR00416</t>
  </si>
  <si>
    <t>USR00417</t>
  </si>
  <si>
    <t>USR00418</t>
  </si>
  <si>
    <t>USR00419</t>
  </si>
  <si>
    <t>USR00420</t>
  </si>
  <si>
    <t>USR00421</t>
  </si>
  <si>
    <t>USR00422</t>
  </si>
  <si>
    <t>USR00423</t>
  </si>
  <si>
    <t>USR00424</t>
  </si>
  <si>
    <t>USR00425</t>
  </si>
  <si>
    <t>USR00426</t>
  </si>
  <si>
    <t>USR00427</t>
  </si>
  <si>
    <t>USR00428</t>
  </si>
  <si>
    <t>USR00429</t>
  </si>
  <si>
    <t>USR00430</t>
  </si>
  <si>
    <t>USR00431</t>
  </si>
  <si>
    <t>USR00432</t>
  </si>
  <si>
    <t>USR00433</t>
  </si>
  <si>
    <t>USR00434</t>
  </si>
  <si>
    <t>USR00435</t>
  </si>
  <si>
    <t>USR00436</t>
  </si>
  <si>
    <t>USR00437</t>
  </si>
  <si>
    <t>USR00438</t>
  </si>
  <si>
    <t>USR00439</t>
  </si>
  <si>
    <t>USR00440</t>
  </si>
  <si>
    <t>USR00441</t>
  </si>
  <si>
    <t>USR00442</t>
  </si>
  <si>
    <t>USR00443</t>
  </si>
  <si>
    <t>USR00444</t>
  </si>
  <si>
    <t>USR00445</t>
  </si>
  <si>
    <t>USR00446</t>
  </si>
  <si>
    <t>USR00447</t>
  </si>
  <si>
    <t>USR00448</t>
  </si>
  <si>
    <t>USR00449</t>
  </si>
  <si>
    <t>USR00450</t>
  </si>
  <si>
    <t>USR00451</t>
  </si>
  <si>
    <t>USR00452</t>
  </si>
  <si>
    <t>USR00453</t>
  </si>
  <si>
    <t>USR00454</t>
  </si>
  <si>
    <t>USR00455</t>
  </si>
  <si>
    <t>USR00456</t>
  </si>
  <si>
    <t>USR00457</t>
  </si>
  <si>
    <t>USR00458</t>
  </si>
  <si>
    <t>USR00459</t>
  </si>
  <si>
    <t>USR00460</t>
  </si>
  <si>
    <t>USR00461</t>
  </si>
  <si>
    <t>USR00462</t>
  </si>
  <si>
    <t>USR00463</t>
  </si>
  <si>
    <t>USR00464</t>
  </si>
  <si>
    <t>USR00465</t>
  </si>
  <si>
    <t>USR00466</t>
  </si>
  <si>
    <t>USR00467</t>
  </si>
  <si>
    <t>USR00468</t>
  </si>
  <si>
    <t>USR00469</t>
  </si>
  <si>
    <t>USR00470</t>
  </si>
  <si>
    <t>USR00471</t>
  </si>
  <si>
    <t>USR00472</t>
  </si>
  <si>
    <t>USR00473</t>
  </si>
  <si>
    <t>USR00474</t>
  </si>
  <si>
    <t>USR00475</t>
  </si>
  <si>
    <t>USR00476</t>
  </si>
  <si>
    <t>USR00477</t>
  </si>
  <si>
    <t>USR00478</t>
  </si>
  <si>
    <t>USR00479</t>
  </si>
  <si>
    <t>USR00480</t>
  </si>
  <si>
    <t>USR00481</t>
  </si>
  <si>
    <t>USR00482</t>
  </si>
  <si>
    <t>USR00483</t>
  </si>
  <si>
    <t>USR00484</t>
  </si>
  <si>
    <t>USR00485</t>
  </si>
  <si>
    <t>USR00486</t>
  </si>
  <si>
    <t>USR00487</t>
  </si>
  <si>
    <t>USR00488</t>
  </si>
  <si>
    <t>USR00489</t>
  </si>
  <si>
    <t>USR00490</t>
  </si>
  <si>
    <t>USR00491</t>
  </si>
  <si>
    <t>USR00492</t>
  </si>
  <si>
    <t>USR00493</t>
  </si>
  <si>
    <t>USR00494</t>
  </si>
  <si>
    <t>USR00495</t>
  </si>
  <si>
    <t>USR00496</t>
  </si>
  <si>
    <t>USR00497</t>
  </si>
  <si>
    <t>USR00498</t>
  </si>
  <si>
    <t>USR00499</t>
  </si>
  <si>
    <t>USR00500</t>
  </si>
  <si>
    <t>USR00501</t>
  </si>
  <si>
    <t>USR00502</t>
  </si>
  <si>
    <t>USR00503</t>
  </si>
  <si>
    <t>USR00504</t>
  </si>
  <si>
    <t>USR00505</t>
  </si>
  <si>
    <t>USR00506</t>
  </si>
  <si>
    <t>USR00507</t>
  </si>
  <si>
    <t>USR00508</t>
  </si>
  <si>
    <t>USR00509</t>
  </si>
  <si>
    <t>USR00510</t>
  </si>
  <si>
    <t>USR00511</t>
  </si>
  <si>
    <t>USR00512</t>
  </si>
  <si>
    <t>USR00513</t>
  </si>
  <si>
    <t>USR00514</t>
  </si>
  <si>
    <t>USR00515</t>
  </si>
  <si>
    <t>USR00516</t>
  </si>
  <si>
    <t>USR00517</t>
  </si>
  <si>
    <t>USR00518</t>
  </si>
  <si>
    <t>USR00519</t>
  </si>
  <si>
    <t>USR00520</t>
  </si>
  <si>
    <t>USR00521</t>
  </si>
  <si>
    <t>USR00522</t>
  </si>
  <si>
    <t>USR00523</t>
  </si>
  <si>
    <t>USR00524</t>
  </si>
  <si>
    <t>USR00525</t>
  </si>
  <si>
    <t>USR00526</t>
  </si>
  <si>
    <t>USR00527</t>
  </si>
  <si>
    <t>USR00528</t>
  </si>
  <si>
    <t>USR00529</t>
  </si>
  <si>
    <t>USR00530</t>
  </si>
  <si>
    <t>USR00531</t>
  </si>
  <si>
    <t>USR00532</t>
  </si>
  <si>
    <t>USR00533</t>
  </si>
  <si>
    <t>USR00534</t>
  </si>
  <si>
    <t>USR00535</t>
  </si>
  <si>
    <t>USR00536</t>
  </si>
  <si>
    <t>USR00537</t>
  </si>
  <si>
    <t>USR00538</t>
  </si>
  <si>
    <t>USR00539</t>
  </si>
  <si>
    <t>USR00540</t>
  </si>
  <si>
    <t>USR00541</t>
  </si>
  <si>
    <t>USR00542</t>
  </si>
  <si>
    <t>USR00543</t>
  </si>
  <si>
    <t>USR00544</t>
  </si>
  <si>
    <t>USR00545</t>
  </si>
  <si>
    <t>USR00546</t>
  </si>
  <si>
    <t>USR00547</t>
  </si>
  <si>
    <t>USR00548</t>
  </si>
  <si>
    <t>USR00549</t>
  </si>
  <si>
    <t>USR00550</t>
  </si>
  <si>
    <t>USR00551</t>
  </si>
  <si>
    <t>USR00552</t>
  </si>
  <si>
    <t>USR00553</t>
  </si>
  <si>
    <t>USR00554</t>
  </si>
  <si>
    <t>USR00555</t>
  </si>
  <si>
    <t>USR00556</t>
  </si>
  <si>
    <t>USR00557</t>
  </si>
  <si>
    <t>USR00558</t>
  </si>
  <si>
    <t>USR00559</t>
  </si>
  <si>
    <t>USR00560</t>
  </si>
  <si>
    <t>USR00561</t>
  </si>
  <si>
    <t>USR00562</t>
  </si>
  <si>
    <t>USR00563</t>
  </si>
  <si>
    <t>USR00564</t>
  </si>
  <si>
    <t>USR00565</t>
  </si>
  <si>
    <t>USR00566</t>
  </si>
  <si>
    <t>USR00567</t>
  </si>
  <si>
    <t>USR00568</t>
  </si>
  <si>
    <t>USR00569</t>
  </si>
  <si>
    <t>USR00570</t>
  </si>
  <si>
    <t>USR00571</t>
  </si>
  <si>
    <t>USR00572</t>
  </si>
  <si>
    <t>USR00573</t>
  </si>
  <si>
    <t>USR00574</t>
  </si>
  <si>
    <t>USR00575</t>
  </si>
  <si>
    <t>USR00576</t>
  </si>
  <si>
    <t>USR00577</t>
  </si>
  <si>
    <t>USR00578</t>
  </si>
  <si>
    <t>USR00579</t>
  </si>
  <si>
    <t>USR00580</t>
  </si>
  <si>
    <t>USR00581</t>
  </si>
  <si>
    <t>USR00582</t>
  </si>
  <si>
    <t>USR00583</t>
  </si>
  <si>
    <t>USR00584</t>
  </si>
  <si>
    <t>USR00585</t>
  </si>
  <si>
    <t>USR00586</t>
  </si>
  <si>
    <t>USR00587</t>
  </si>
  <si>
    <t>USR00588</t>
  </si>
  <si>
    <t>USR00589</t>
  </si>
  <si>
    <t>USR00590</t>
  </si>
  <si>
    <t>USR00591</t>
  </si>
  <si>
    <t>USR00592</t>
  </si>
  <si>
    <t>USR00593</t>
  </si>
  <si>
    <t>USR00594</t>
  </si>
  <si>
    <t>USR00595</t>
  </si>
  <si>
    <t>USR00596</t>
  </si>
  <si>
    <t>USR00597</t>
  </si>
  <si>
    <t>USR00598</t>
  </si>
  <si>
    <t>USR00599</t>
  </si>
  <si>
    <t>USR00600</t>
  </si>
  <si>
    <t>USR00601</t>
  </si>
  <si>
    <t>USR00602</t>
  </si>
  <si>
    <t>USR00603</t>
  </si>
  <si>
    <t>USR00604</t>
  </si>
  <si>
    <t>USR00605</t>
  </si>
  <si>
    <t>USR00606</t>
  </si>
  <si>
    <t>USR00607</t>
  </si>
  <si>
    <t>USR00608</t>
  </si>
  <si>
    <t>USR00609</t>
  </si>
  <si>
    <t>USR00610</t>
  </si>
  <si>
    <t>USR00611</t>
  </si>
  <si>
    <t>USR00612</t>
  </si>
  <si>
    <t>USR00613</t>
  </si>
  <si>
    <t>USR00614</t>
  </si>
  <si>
    <t>USR00615</t>
  </si>
  <si>
    <t>USR00616</t>
  </si>
  <si>
    <t>USR00617</t>
  </si>
  <si>
    <t>USR00618</t>
  </si>
  <si>
    <t>USR00619</t>
  </si>
  <si>
    <t>USR00620</t>
  </si>
  <si>
    <t>USR00621</t>
  </si>
  <si>
    <t>USR00622</t>
  </si>
  <si>
    <t>USR00623</t>
  </si>
  <si>
    <t>USR00624</t>
  </si>
  <si>
    <t>USR00625</t>
  </si>
  <si>
    <t>USR00626</t>
  </si>
  <si>
    <t>USR00627</t>
  </si>
  <si>
    <t>USR00628</t>
  </si>
  <si>
    <t>USR00629</t>
  </si>
  <si>
    <t>USR00630</t>
  </si>
  <si>
    <t>USR00631</t>
  </si>
  <si>
    <t>USR00632</t>
  </si>
  <si>
    <t>USR00633</t>
  </si>
  <si>
    <t>USR00634</t>
  </si>
  <si>
    <t>USR00635</t>
  </si>
  <si>
    <t>USR00636</t>
  </si>
  <si>
    <t>USR00637</t>
  </si>
  <si>
    <t>USR00638</t>
  </si>
  <si>
    <t>USR00639</t>
  </si>
  <si>
    <t>USR00640</t>
  </si>
  <si>
    <t>USR00641</t>
  </si>
  <si>
    <t>USR00642</t>
  </si>
  <si>
    <t>USR00643</t>
  </si>
  <si>
    <t>USR00644</t>
  </si>
  <si>
    <t>USR00645</t>
  </si>
  <si>
    <t>USR00646</t>
  </si>
  <si>
    <t>USR00647</t>
  </si>
  <si>
    <t>USR00648</t>
  </si>
  <si>
    <t>USR00649</t>
  </si>
  <si>
    <t>USR00650</t>
  </si>
  <si>
    <t>USR00651</t>
  </si>
  <si>
    <t>USR00652</t>
  </si>
  <si>
    <t>USR00653</t>
  </si>
  <si>
    <t>USR00654</t>
  </si>
  <si>
    <t>USR00655</t>
  </si>
  <si>
    <t>USR00656</t>
  </si>
  <si>
    <t>USR00657</t>
  </si>
  <si>
    <t>USR00658</t>
  </si>
  <si>
    <t>USR00659</t>
  </si>
  <si>
    <t>USR00660</t>
  </si>
  <si>
    <t>USR00661</t>
  </si>
  <si>
    <t>USR00662</t>
  </si>
  <si>
    <t>USR00663</t>
  </si>
  <si>
    <t>USR00664</t>
  </si>
  <si>
    <t>USR00665</t>
  </si>
  <si>
    <t>USR00666</t>
  </si>
  <si>
    <t>USR00667</t>
  </si>
  <si>
    <t>USR00668</t>
  </si>
  <si>
    <t>USR00669</t>
  </si>
  <si>
    <t>USR00670</t>
  </si>
  <si>
    <t>USR00671</t>
  </si>
  <si>
    <t>USR00672</t>
  </si>
  <si>
    <t>USR00673</t>
  </si>
  <si>
    <t>USR00674</t>
  </si>
  <si>
    <t>USR00675</t>
  </si>
  <si>
    <t>USR00676</t>
  </si>
  <si>
    <t>USR00677</t>
  </si>
  <si>
    <t>USR00678</t>
  </si>
  <si>
    <t>USR00679</t>
  </si>
  <si>
    <t>USR00680</t>
  </si>
  <si>
    <t>USR00681</t>
  </si>
  <si>
    <t>USR00682</t>
  </si>
  <si>
    <t>USR00683</t>
  </si>
  <si>
    <t>USR00684</t>
  </si>
  <si>
    <t>USR00685</t>
  </si>
  <si>
    <t>USR00686</t>
  </si>
  <si>
    <t>USR00687</t>
  </si>
  <si>
    <t>USR00688</t>
  </si>
  <si>
    <t>USR00689</t>
  </si>
  <si>
    <t>USR00690</t>
  </si>
  <si>
    <t>USR00691</t>
  </si>
  <si>
    <t>USR00692</t>
  </si>
  <si>
    <t>USR00693</t>
  </si>
  <si>
    <t>USR00694</t>
  </si>
  <si>
    <t>USR00695</t>
  </si>
  <si>
    <t>USR00696</t>
  </si>
  <si>
    <t>USR00697</t>
  </si>
  <si>
    <t>USR00698</t>
  </si>
  <si>
    <t>USR00699</t>
  </si>
  <si>
    <t>USR00700</t>
  </si>
  <si>
    <t>USR00701</t>
  </si>
  <si>
    <t>USR00702</t>
  </si>
  <si>
    <t>USR00703</t>
  </si>
  <si>
    <t>USR00704</t>
  </si>
  <si>
    <t>USR00705</t>
  </si>
  <si>
    <t>USR00706</t>
  </si>
  <si>
    <t>USR00707</t>
  </si>
  <si>
    <t>USR00708</t>
  </si>
  <si>
    <t>USR00709</t>
  </si>
  <si>
    <t>USR00710</t>
  </si>
  <si>
    <t>USR00711</t>
  </si>
  <si>
    <t>USR00712</t>
  </si>
  <si>
    <t>USR00713</t>
  </si>
  <si>
    <t>USR00714</t>
  </si>
  <si>
    <t>USR00715</t>
  </si>
  <si>
    <t>USR00716</t>
  </si>
  <si>
    <t>USR00717</t>
  </si>
  <si>
    <t>USR00718</t>
  </si>
  <si>
    <t>USR00719</t>
  </si>
  <si>
    <t>USR00720</t>
  </si>
  <si>
    <t>USR00721</t>
  </si>
  <si>
    <t>USR00722</t>
  </si>
  <si>
    <t>USR00723</t>
  </si>
  <si>
    <t>USR00724</t>
  </si>
  <si>
    <t>USR00725</t>
  </si>
  <si>
    <t>USR00726</t>
  </si>
  <si>
    <t>USR00727</t>
  </si>
  <si>
    <t>USR00728</t>
  </si>
  <si>
    <t>USR00729</t>
  </si>
  <si>
    <t>USR00730</t>
  </si>
  <si>
    <t>USR00731</t>
  </si>
  <si>
    <t>USR00732</t>
  </si>
  <si>
    <t>USR00733</t>
  </si>
  <si>
    <t>USR00734</t>
  </si>
  <si>
    <t>USR00735</t>
  </si>
  <si>
    <t>USR00736</t>
  </si>
  <si>
    <t>USR00737</t>
  </si>
  <si>
    <t>USR00738</t>
  </si>
  <si>
    <t>USR00739</t>
  </si>
  <si>
    <t>USR00740</t>
  </si>
  <si>
    <t>USR00741</t>
  </si>
  <si>
    <t>USR00742</t>
  </si>
  <si>
    <t>USR00743</t>
  </si>
  <si>
    <t>USR00744</t>
  </si>
  <si>
    <t>USR00745</t>
  </si>
  <si>
    <t>USR00746</t>
  </si>
  <si>
    <t>USR00747</t>
  </si>
  <si>
    <t>USR00748</t>
  </si>
  <si>
    <t>USR00749</t>
  </si>
  <si>
    <t>USR00750</t>
  </si>
  <si>
    <t>USR00751</t>
  </si>
  <si>
    <t>USR00752</t>
  </si>
  <si>
    <t>USR00753</t>
  </si>
  <si>
    <t>USR00754</t>
  </si>
  <si>
    <t>USR00755</t>
  </si>
  <si>
    <t>USR00756</t>
  </si>
  <si>
    <t>USR00757</t>
  </si>
  <si>
    <t>USR00758</t>
  </si>
  <si>
    <t>USR00759</t>
  </si>
  <si>
    <t>USR00760</t>
  </si>
  <si>
    <t>USR00761</t>
  </si>
  <si>
    <t>USR00762</t>
  </si>
  <si>
    <t>USR00763</t>
  </si>
  <si>
    <t>USR00764</t>
  </si>
  <si>
    <t>USR00765</t>
  </si>
  <si>
    <t>USR00766</t>
  </si>
  <si>
    <t>USR00767</t>
  </si>
  <si>
    <t>USR00768</t>
  </si>
  <si>
    <t>USR00769</t>
  </si>
  <si>
    <t>USR00770</t>
  </si>
  <si>
    <t>USR00771</t>
  </si>
  <si>
    <t>USR00772</t>
  </si>
  <si>
    <t>USR00773</t>
  </si>
  <si>
    <t>USR00774</t>
  </si>
  <si>
    <t>USR00775</t>
  </si>
  <si>
    <t>USR00776</t>
  </si>
  <si>
    <t>USR00777</t>
  </si>
  <si>
    <t>USR00778</t>
  </si>
  <si>
    <t>USR00779</t>
  </si>
  <si>
    <t>USR00780</t>
  </si>
  <si>
    <t>USR00781</t>
  </si>
  <si>
    <t>USR00782</t>
  </si>
  <si>
    <t>USR00783</t>
  </si>
  <si>
    <t>USR00784</t>
  </si>
  <si>
    <t>USR00785</t>
  </si>
  <si>
    <t>USR00786</t>
  </si>
  <si>
    <t>USR00787</t>
  </si>
  <si>
    <t>USR00788</t>
  </si>
  <si>
    <t>USR00789</t>
  </si>
  <si>
    <t>USR00790</t>
  </si>
  <si>
    <t>USR00791</t>
  </si>
  <si>
    <t>USR00792</t>
  </si>
  <si>
    <t>USR00793</t>
  </si>
  <si>
    <t>USR00794</t>
  </si>
  <si>
    <t>USR00795</t>
  </si>
  <si>
    <t>USR00796</t>
  </si>
  <si>
    <t>USR00797</t>
  </si>
  <si>
    <t>USR00798</t>
  </si>
  <si>
    <t>USR00799</t>
  </si>
  <si>
    <t>USR00800</t>
  </si>
  <si>
    <t>USR00801</t>
  </si>
  <si>
    <t>USR00802</t>
  </si>
  <si>
    <t>USR00803</t>
  </si>
  <si>
    <t>USR00804</t>
  </si>
  <si>
    <t>USR00805</t>
  </si>
  <si>
    <t>USR00806</t>
  </si>
  <si>
    <t>USR00807</t>
  </si>
  <si>
    <t>USR00808</t>
  </si>
  <si>
    <t>USR00809</t>
  </si>
  <si>
    <t>USR00810</t>
  </si>
  <si>
    <t>USR00811</t>
  </si>
  <si>
    <t>USR00812</t>
  </si>
  <si>
    <t>USR00813</t>
  </si>
  <si>
    <t>USR00814</t>
  </si>
  <si>
    <t>USR00815</t>
  </si>
  <si>
    <t>USR00816</t>
  </si>
  <si>
    <t>USR00817</t>
  </si>
  <si>
    <t>USR00818</t>
  </si>
  <si>
    <t>USR00819</t>
  </si>
  <si>
    <t>USR00820</t>
  </si>
  <si>
    <t>USR00821</t>
  </si>
  <si>
    <t>USR00822</t>
  </si>
  <si>
    <t>USR00823</t>
  </si>
  <si>
    <t>USR00824</t>
  </si>
  <si>
    <t>USR00825</t>
  </si>
  <si>
    <t>USR00826</t>
  </si>
  <si>
    <t>USR00827</t>
  </si>
  <si>
    <t>USR00828</t>
  </si>
  <si>
    <t>USR00829</t>
  </si>
  <si>
    <t>USR00830</t>
  </si>
  <si>
    <t>USR00831</t>
  </si>
  <si>
    <t>USR00832</t>
  </si>
  <si>
    <t>USR00833</t>
  </si>
  <si>
    <t>USR00834</t>
  </si>
  <si>
    <t>USR00835</t>
  </si>
  <si>
    <t>USR00836</t>
  </si>
  <si>
    <t>USR00837</t>
  </si>
  <si>
    <t>USR00838</t>
  </si>
  <si>
    <t>USR00839</t>
  </si>
  <si>
    <t>USR00840</t>
  </si>
  <si>
    <t>USR00841</t>
  </si>
  <si>
    <t>USR00842</t>
  </si>
  <si>
    <t>USR00843</t>
  </si>
  <si>
    <t>USR00844</t>
  </si>
  <si>
    <t>USR00845</t>
  </si>
  <si>
    <t>USR00846</t>
  </si>
  <si>
    <t>USR00847</t>
  </si>
  <si>
    <t>USR00848</t>
  </si>
  <si>
    <t>USR00849</t>
  </si>
  <si>
    <t>USR00850</t>
  </si>
  <si>
    <t>USR00851</t>
  </si>
  <si>
    <t>USR00852</t>
  </si>
  <si>
    <t>USR00853</t>
  </si>
  <si>
    <t>USR00854</t>
  </si>
  <si>
    <t>USR00855</t>
  </si>
  <si>
    <t>USR00856</t>
  </si>
  <si>
    <t>USR00857</t>
  </si>
  <si>
    <t>USR00858</t>
  </si>
  <si>
    <t>USR00859</t>
  </si>
  <si>
    <t>USR00860</t>
  </si>
  <si>
    <t>USR00861</t>
  </si>
  <si>
    <t>USR00862</t>
  </si>
  <si>
    <t>USR00863</t>
  </si>
  <si>
    <t>USR00864</t>
  </si>
  <si>
    <t>USR00865</t>
  </si>
  <si>
    <t>USR00866</t>
  </si>
  <si>
    <t>USR00867</t>
  </si>
  <si>
    <t>USR00868</t>
  </si>
  <si>
    <t>USR00869</t>
  </si>
  <si>
    <t>USR00870</t>
  </si>
  <si>
    <t>USR00871</t>
  </si>
  <si>
    <t>USR00872</t>
  </si>
  <si>
    <t>USR00873</t>
  </si>
  <si>
    <t>USR00874</t>
  </si>
  <si>
    <t>USR00875</t>
  </si>
  <si>
    <t>USR00876</t>
  </si>
  <si>
    <t>USR00877</t>
  </si>
  <si>
    <t>USR00878</t>
  </si>
  <si>
    <t>USR00879</t>
  </si>
  <si>
    <t>USR00880</t>
  </si>
  <si>
    <t>USR00881</t>
  </si>
  <si>
    <t>USR00882</t>
  </si>
  <si>
    <t>USR00883</t>
  </si>
  <si>
    <t>USR00884</t>
  </si>
  <si>
    <t>USR00885</t>
  </si>
  <si>
    <t>USR00886</t>
  </si>
  <si>
    <t>USR00887</t>
  </si>
  <si>
    <t>USR00888</t>
  </si>
  <si>
    <t>USR00889</t>
  </si>
  <si>
    <t>USR00890</t>
  </si>
  <si>
    <t>USR00891</t>
  </si>
  <si>
    <t>USR00892</t>
  </si>
  <si>
    <t>USR00893</t>
  </si>
  <si>
    <t>USR00894</t>
  </si>
  <si>
    <t>USR00895</t>
  </si>
  <si>
    <t>USR00896</t>
  </si>
  <si>
    <t>USR00897</t>
  </si>
  <si>
    <t>USR00898</t>
  </si>
  <si>
    <t>USR00899</t>
  </si>
  <si>
    <t>USR00900</t>
  </si>
  <si>
    <t>USR00901</t>
  </si>
  <si>
    <t>USR00902</t>
  </si>
  <si>
    <t>USR00903</t>
  </si>
  <si>
    <t>USR00904</t>
  </si>
  <si>
    <t>USR00905</t>
  </si>
  <si>
    <t>USR00906</t>
  </si>
  <si>
    <t>USR00907</t>
  </si>
  <si>
    <t>USR00908</t>
  </si>
  <si>
    <t>USR00909</t>
  </si>
  <si>
    <t>USR00910</t>
  </si>
  <si>
    <t>USR00911</t>
  </si>
  <si>
    <t>USR00912</t>
  </si>
  <si>
    <t>USR00913</t>
  </si>
  <si>
    <t>USR00914</t>
  </si>
  <si>
    <t>USR00915</t>
  </si>
  <si>
    <t>USR00916</t>
  </si>
  <si>
    <t>USR00917</t>
  </si>
  <si>
    <t>USR00918</t>
  </si>
  <si>
    <t>USR00919</t>
  </si>
  <si>
    <t>USR00920</t>
  </si>
  <si>
    <t>USR00921</t>
  </si>
  <si>
    <t>USR00922</t>
  </si>
  <si>
    <t>USR00923</t>
  </si>
  <si>
    <t>USR00924</t>
  </si>
  <si>
    <t>USR00925</t>
  </si>
  <si>
    <t>USR00926</t>
  </si>
  <si>
    <t>USR00927</t>
  </si>
  <si>
    <t>USR00928</t>
  </si>
  <si>
    <t>USR00929</t>
  </si>
  <si>
    <t>USR00930</t>
  </si>
  <si>
    <t>USR00931</t>
  </si>
  <si>
    <t>USR00932</t>
  </si>
  <si>
    <t>USR00933</t>
  </si>
  <si>
    <t>USR00934</t>
  </si>
  <si>
    <t>USR00935</t>
  </si>
  <si>
    <t>USR00936</t>
  </si>
  <si>
    <t>USR00937</t>
  </si>
  <si>
    <t>USR00938</t>
  </si>
  <si>
    <t>USR00939</t>
  </si>
  <si>
    <t>USR00940</t>
  </si>
  <si>
    <t>USR00941</t>
  </si>
  <si>
    <t>USR00942</t>
  </si>
  <si>
    <t>USR00943</t>
  </si>
  <si>
    <t>USR00944</t>
  </si>
  <si>
    <t>USR00945</t>
  </si>
  <si>
    <t>USR00946</t>
  </si>
  <si>
    <t>USR00947</t>
  </si>
  <si>
    <t>USR00948</t>
  </si>
  <si>
    <t>USR00949</t>
  </si>
  <si>
    <t>USR00950</t>
  </si>
  <si>
    <t>USR00951</t>
  </si>
  <si>
    <t>USR00952</t>
  </si>
  <si>
    <t>USR00953</t>
  </si>
  <si>
    <t>USR00954</t>
  </si>
  <si>
    <t>USR00955</t>
  </si>
  <si>
    <t>USR00956</t>
  </si>
  <si>
    <t>USR00957</t>
  </si>
  <si>
    <t>USR00958</t>
  </si>
  <si>
    <t>USR00959</t>
  </si>
  <si>
    <t>USR00960</t>
  </si>
  <si>
    <t>USR00961</t>
  </si>
  <si>
    <t>USR00962</t>
  </si>
  <si>
    <t>USR00963</t>
  </si>
  <si>
    <t>USR00964</t>
  </si>
  <si>
    <t>USR00965</t>
  </si>
  <si>
    <t>USR00966</t>
  </si>
  <si>
    <t>USR00967</t>
  </si>
  <si>
    <t>USR00968</t>
  </si>
  <si>
    <t>USR00969</t>
  </si>
  <si>
    <t>USR00970</t>
  </si>
  <si>
    <t>USR00971</t>
  </si>
  <si>
    <t>USR00972</t>
  </si>
  <si>
    <t>USR00973</t>
  </si>
  <si>
    <t>USR00974</t>
  </si>
  <si>
    <t>USR00975</t>
  </si>
  <si>
    <t>USR00976</t>
  </si>
  <si>
    <t>USR00977</t>
  </si>
  <si>
    <t>USR00978</t>
  </si>
  <si>
    <t>USR00979</t>
  </si>
  <si>
    <t>USR00980</t>
  </si>
  <si>
    <t>USR00981</t>
  </si>
  <si>
    <t>USR00982</t>
  </si>
  <si>
    <t>USR00983</t>
  </si>
  <si>
    <t>USR00984</t>
  </si>
  <si>
    <t>USR00985</t>
  </si>
  <si>
    <t>USR00986</t>
  </si>
  <si>
    <t>USR00987</t>
  </si>
  <si>
    <t>USR00988</t>
  </si>
  <si>
    <t>USR00989</t>
  </si>
  <si>
    <t>USR00990</t>
  </si>
  <si>
    <t>USR00991</t>
  </si>
  <si>
    <t>USR00992</t>
  </si>
  <si>
    <t>USR00993</t>
  </si>
  <si>
    <t>USR00994</t>
  </si>
  <si>
    <t>USR00995</t>
  </si>
  <si>
    <t>USR00996</t>
  </si>
  <si>
    <t>USR00997</t>
  </si>
  <si>
    <t>USR00998</t>
  </si>
  <si>
    <t>USR00999</t>
  </si>
  <si>
    <t>USR01000</t>
  </si>
  <si>
    <t>USR01001</t>
  </si>
  <si>
    <t>USR01002</t>
  </si>
  <si>
    <t>USR01003</t>
  </si>
  <si>
    <t>USR01004</t>
  </si>
  <si>
    <t>USR01005</t>
  </si>
  <si>
    <t>USR01006</t>
  </si>
  <si>
    <t>USR01007</t>
  </si>
  <si>
    <t>USR01008</t>
  </si>
  <si>
    <t>USR01009</t>
  </si>
  <si>
    <t>USR01010</t>
  </si>
  <si>
    <t>USR01011</t>
  </si>
  <si>
    <t>USR01012</t>
  </si>
  <si>
    <t>USR01013</t>
  </si>
  <si>
    <t>USR01014</t>
  </si>
  <si>
    <t>USR01015</t>
  </si>
  <si>
    <t>USR01016</t>
  </si>
  <si>
    <t>USR01017</t>
  </si>
  <si>
    <t>USR01018</t>
  </si>
  <si>
    <t>USR01019</t>
  </si>
  <si>
    <t>USR01020</t>
  </si>
  <si>
    <t>USR01021</t>
  </si>
  <si>
    <t>USR01022</t>
  </si>
  <si>
    <t>USR01023</t>
  </si>
  <si>
    <t>USR01024</t>
  </si>
  <si>
    <t>USR01025</t>
  </si>
  <si>
    <t>USR01026</t>
  </si>
  <si>
    <t>USR01027</t>
  </si>
  <si>
    <t>USR01028</t>
  </si>
  <si>
    <t>USR01029</t>
  </si>
  <si>
    <t>USR01030</t>
  </si>
  <si>
    <t>USR01031</t>
  </si>
  <si>
    <t>USR01032</t>
  </si>
  <si>
    <t>USR01033</t>
  </si>
  <si>
    <t>USR01034</t>
  </si>
  <si>
    <t>USR01035</t>
  </si>
  <si>
    <t>USR01036</t>
  </si>
  <si>
    <t>USR01037</t>
  </si>
  <si>
    <t>USR01038</t>
  </si>
  <si>
    <t>USR01039</t>
  </si>
  <si>
    <t>USR01040</t>
  </si>
  <si>
    <t>USR01041</t>
  </si>
  <si>
    <t>USR01042</t>
  </si>
  <si>
    <t>USR01043</t>
  </si>
  <si>
    <t>USR01044</t>
  </si>
  <si>
    <t>USR01045</t>
  </si>
  <si>
    <t>USR01046</t>
  </si>
  <si>
    <t>USR01047</t>
  </si>
  <si>
    <t>USR01048</t>
  </si>
  <si>
    <t>USR01049</t>
  </si>
  <si>
    <t>USR01050</t>
  </si>
  <si>
    <t>USR01051</t>
  </si>
  <si>
    <t>USR01052</t>
  </si>
  <si>
    <t>USR01053</t>
  </si>
  <si>
    <t>USR01054</t>
  </si>
  <si>
    <t>USR01055</t>
  </si>
  <si>
    <t>USR01056</t>
  </si>
  <si>
    <t>USR01057</t>
  </si>
  <si>
    <t>USR01058</t>
  </si>
  <si>
    <t>USR01059</t>
  </si>
  <si>
    <t>USR01060</t>
  </si>
  <si>
    <t>USR01061</t>
  </si>
  <si>
    <t>USR01062</t>
  </si>
  <si>
    <t>USR01063</t>
  </si>
  <si>
    <t>USR01064</t>
  </si>
  <si>
    <t>USR01065</t>
  </si>
  <si>
    <t>USR01066</t>
  </si>
  <si>
    <t>USR01067</t>
  </si>
  <si>
    <t>USR01068</t>
  </si>
  <si>
    <t>USR01069</t>
  </si>
  <si>
    <t>USR01070</t>
  </si>
  <si>
    <t>USR01071</t>
  </si>
  <si>
    <t>USR01072</t>
  </si>
  <si>
    <t>USR01073</t>
  </si>
  <si>
    <t>USR01074</t>
  </si>
  <si>
    <t>USR01075</t>
  </si>
  <si>
    <t>USR01076</t>
  </si>
  <si>
    <t>USR01077</t>
  </si>
  <si>
    <t>USR01078</t>
  </si>
  <si>
    <t>USR01079</t>
  </si>
  <si>
    <t>USR01080</t>
  </si>
  <si>
    <t>USR01081</t>
  </si>
  <si>
    <t>USR01082</t>
  </si>
  <si>
    <t>USR01083</t>
  </si>
  <si>
    <t>USR01084</t>
  </si>
  <si>
    <t>USR01085</t>
  </si>
  <si>
    <t>USR01086</t>
  </si>
  <si>
    <t>USR01087</t>
  </si>
  <si>
    <t>USR01088</t>
  </si>
  <si>
    <t>USR01089</t>
  </si>
  <si>
    <t>USR01090</t>
  </si>
  <si>
    <t>USR01091</t>
  </si>
  <si>
    <t>USR01092</t>
  </si>
  <si>
    <t>USR01093</t>
  </si>
  <si>
    <t>USR01094</t>
  </si>
  <si>
    <t>USR01095</t>
  </si>
  <si>
    <t>USR01096</t>
  </si>
  <si>
    <t>USR01097</t>
  </si>
  <si>
    <t>USR01098</t>
  </si>
  <si>
    <t>USR01099</t>
  </si>
  <si>
    <t>USR01100</t>
  </si>
  <si>
    <t>USR01101</t>
  </si>
  <si>
    <t>USR01102</t>
  </si>
  <si>
    <t>USR01103</t>
  </si>
  <si>
    <t>USR01104</t>
  </si>
  <si>
    <t>USR01105</t>
  </si>
  <si>
    <t>USR01106</t>
  </si>
  <si>
    <t>USR01107</t>
  </si>
  <si>
    <t>USR01108</t>
  </si>
  <si>
    <t>USR01109</t>
  </si>
  <si>
    <t>USR01110</t>
  </si>
  <si>
    <t>USR01111</t>
  </si>
  <si>
    <t>USR01112</t>
  </si>
  <si>
    <t>USR01113</t>
  </si>
  <si>
    <t>USR01114</t>
  </si>
  <si>
    <t>USR01115</t>
  </si>
  <si>
    <t>USR01116</t>
  </si>
  <si>
    <t>USR01117</t>
  </si>
  <si>
    <t>USR01118</t>
  </si>
  <si>
    <t>USR01119</t>
  </si>
  <si>
    <t>USR01120</t>
  </si>
  <si>
    <t>USR01121</t>
  </si>
  <si>
    <t>USR01122</t>
  </si>
  <si>
    <t>USR01123</t>
  </si>
  <si>
    <t>USR01124</t>
  </si>
  <si>
    <t>USR01125</t>
  </si>
  <si>
    <t>USR01126</t>
  </si>
  <si>
    <t>USR01127</t>
  </si>
  <si>
    <t>USR01128</t>
  </si>
  <si>
    <t>USR01129</t>
  </si>
  <si>
    <t>USR01130</t>
  </si>
  <si>
    <t>USR01131</t>
  </si>
  <si>
    <t>USR01132</t>
  </si>
  <si>
    <t>USR01133</t>
  </si>
  <si>
    <t>USR01134</t>
  </si>
  <si>
    <t>USR01135</t>
  </si>
  <si>
    <t>USR01136</t>
  </si>
  <si>
    <t>USR01137</t>
  </si>
  <si>
    <t>USR01138</t>
  </si>
  <si>
    <t>USR01139</t>
  </si>
  <si>
    <t>USR01140</t>
  </si>
  <si>
    <t>USR01141</t>
  </si>
  <si>
    <t>USR01142</t>
  </si>
  <si>
    <t>USR01143</t>
  </si>
  <si>
    <t>USR01144</t>
  </si>
  <si>
    <t>USR01145</t>
  </si>
  <si>
    <t>USR01146</t>
  </si>
  <si>
    <t>USR01147</t>
  </si>
  <si>
    <t>USR01148</t>
  </si>
  <si>
    <t>USR01149</t>
  </si>
  <si>
    <t>USR01150</t>
  </si>
  <si>
    <t>USR01151</t>
  </si>
  <si>
    <t>USR01152</t>
  </si>
  <si>
    <t>USR01153</t>
  </si>
  <si>
    <t>USR01154</t>
  </si>
  <si>
    <t>USR01155</t>
  </si>
  <si>
    <t>USR01156</t>
  </si>
  <si>
    <t>USR01157</t>
  </si>
  <si>
    <t>USR01158</t>
  </si>
  <si>
    <t>USR01159</t>
  </si>
  <si>
    <t>USR01160</t>
  </si>
  <si>
    <t>USR01161</t>
  </si>
  <si>
    <t>USR01162</t>
  </si>
  <si>
    <t>USR01163</t>
  </si>
  <si>
    <t>USR01164</t>
  </si>
  <si>
    <t>USR01165</t>
  </si>
  <si>
    <t>USR01166</t>
  </si>
  <si>
    <t>USR01167</t>
  </si>
  <si>
    <t>USR01168</t>
  </si>
  <si>
    <t>USR01169</t>
  </si>
  <si>
    <t>USR01170</t>
  </si>
  <si>
    <t>USR01171</t>
  </si>
  <si>
    <t>USR01172</t>
  </si>
  <si>
    <t>USR01173</t>
  </si>
  <si>
    <t>USR01174</t>
  </si>
  <si>
    <t>USR01175</t>
  </si>
  <si>
    <t>USR01176</t>
  </si>
  <si>
    <t>USR01177</t>
  </si>
  <si>
    <t>USR01178</t>
  </si>
  <si>
    <t>USR01179</t>
  </si>
  <si>
    <t>USR01180</t>
  </si>
  <si>
    <t>USR01181</t>
  </si>
  <si>
    <t>USR01182</t>
  </si>
  <si>
    <t>USR01183</t>
  </si>
  <si>
    <t>USR01184</t>
  </si>
  <si>
    <t>USR01185</t>
  </si>
  <si>
    <t>USR01186</t>
  </si>
  <si>
    <t>USR01187</t>
  </si>
  <si>
    <t>USR01188</t>
  </si>
  <si>
    <t>USR01189</t>
  </si>
  <si>
    <t>USR01190</t>
  </si>
  <si>
    <t>USR01191</t>
  </si>
  <si>
    <t>USR01192</t>
  </si>
  <si>
    <t>USR01193</t>
  </si>
  <si>
    <t>USR01194</t>
  </si>
  <si>
    <t>USR01195</t>
  </si>
  <si>
    <t>USR01196</t>
  </si>
  <si>
    <t>USR01197</t>
  </si>
  <si>
    <t>USR01198</t>
  </si>
  <si>
    <t>USR01199</t>
  </si>
  <si>
    <t>USR01200</t>
  </si>
  <si>
    <t>USR01201</t>
  </si>
  <si>
    <t>USR01202</t>
  </si>
  <si>
    <t>USR01203</t>
  </si>
  <si>
    <t>USR01204</t>
  </si>
  <si>
    <t>USR01205</t>
  </si>
  <si>
    <t>USR01206</t>
  </si>
  <si>
    <t>USR01207</t>
  </si>
  <si>
    <t>USR01208</t>
  </si>
  <si>
    <t>USR01209</t>
  </si>
  <si>
    <t>USR01210</t>
  </si>
  <si>
    <t>USR01211</t>
  </si>
  <si>
    <t>USR01212</t>
  </si>
  <si>
    <t>USR01213</t>
  </si>
  <si>
    <t>USR01214</t>
  </si>
  <si>
    <t>USR01215</t>
  </si>
  <si>
    <t>USR01216</t>
  </si>
  <si>
    <t>USR01217</t>
  </si>
  <si>
    <t>USR01218</t>
  </si>
  <si>
    <t>USR01219</t>
  </si>
  <si>
    <t>USR01220</t>
  </si>
  <si>
    <t>USR01221</t>
  </si>
  <si>
    <t>USR01222</t>
  </si>
  <si>
    <t>USR01223</t>
  </si>
  <si>
    <t>USR01224</t>
  </si>
  <si>
    <t>USR01225</t>
  </si>
  <si>
    <t>USR01226</t>
  </si>
  <si>
    <t>USR01227</t>
  </si>
  <si>
    <t>USR01228</t>
  </si>
  <si>
    <t>USR01229</t>
  </si>
  <si>
    <t>USR01230</t>
  </si>
  <si>
    <t>USR01231</t>
  </si>
  <si>
    <t>USR01232</t>
  </si>
  <si>
    <t>USR01233</t>
  </si>
  <si>
    <t>USR01234</t>
  </si>
  <si>
    <t>USR01235</t>
  </si>
  <si>
    <t>USR01236</t>
  </si>
  <si>
    <t>USR01237</t>
  </si>
  <si>
    <t>USR01238</t>
  </si>
  <si>
    <t>USR01239</t>
  </si>
  <si>
    <t>USR01240</t>
  </si>
  <si>
    <t>USR01241</t>
  </si>
  <si>
    <t>USR01242</t>
  </si>
  <si>
    <t>USR01243</t>
  </si>
  <si>
    <t>USR01244</t>
  </si>
  <si>
    <t>USR01245</t>
  </si>
  <si>
    <t>USR01246</t>
  </si>
  <si>
    <t>USR01247</t>
  </si>
  <si>
    <t>USR01248</t>
  </si>
  <si>
    <t>USR01249</t>
  </si>
  <si>
    <t>USR01250</t>
  </si>
  <si>
    <t>USR01251</t>
  </si>
  <si>
    <t>USR01252</t>
  </si>
  <si>
    <t>USR01253</t>
  </si>
  <si>
    <t>USR01254</t>
  </si>
  <si>
    <t>USR01255</t>
  </si>
  <si>
    <t>USR01256</t>
  </si>
  <si>
    <t>USR01257</t>
  </si>
  <si>
    <t>USR01258</t>
  </si>
  <si>
    <t>USR01259</t>
  </si>
  <si>
    <t>USR01260</t>
  </si>
  <si>
    <t>USR01261</t>
  </si>
  <si>
    <t>USR01262</t>
  </si>
  <si>
    <t>USR01263</t>
  </si>
  <si>
    <t>USR01264</t>
  </si>
  <si>
    <t>USR01265</t>
  </si>
  <si>
    <t>USR01266</t>
  </si>
  <si>
    <t>USR01267</t>
  </si>
  <si>
    <t>USR01268</t>
  </si>
  <si>
    <t>USR01269</t>
  </si>
  <si>
    <t>USR01270</t>
  </si>
  <si>
    <t>USR01271</t>
  </si>
  <si>
    <t>USR01272</t>
  </si>
  <si>
    <t>USR01273</t>
  </si>
  <si>
    <t>USR01274</t>
  </si>
  <si>
    <t>USR01275</t>
  </si>
  <si>
    <t>USR01276</t>
  </si>
  <si>
    <t>USR01277</t>
  </si>
  <si>
    <t>USR01278</t>
  </si>
  <si>
    <t>USR01279</t>
  </si>
  <si>
    <t>USR01280</t>
  </si>
  <si>
    <t>USR01281</t>
  </si>
  <si>
    <t>USR01282</t>
  </si>
  <si>
    <t>USR01283</t>
  </si>
  <si>
    <t>USR01284</t>
  </si>
  <si>
    <t>USR01285</t>
  </si>
  <si>
    <t>USR01286</t>
  </si>
  <si>
    <t>USR01287</t>
  </si>
  <si>
    <t>USR01288</t>
  </si>
  <si>
    <t>USR01289</t>
  </si>
  <si>
    <t>USR01290</t>
  </si>
  <si>
    <t>USR01291</t>
  </si>
  <si>
    <t>USR01292</t>
  </si>
  <si>
    <t>USR01293</t>
  </si>
  <si>
    <t>USR01294</t>
  </si>
  <si>
    <t>USR01295</t>
  </si>
  <si>
    <t>USR01296</t>
  </si>
  <si>
    <t>USR01297</t>
  </si>
  <si>
    <t>USR01298</t>
  </si>
  <si>
    <t>USR01299</t>
  </si>
  <si>
    <t>USR01300</t>
  </si>
  <si>
    <t>USR01301</t>
  </si>
  <si>
    <t>USR01302</t>
  </si>
  <si>
    <t>USR01303</t>
  </si>
  <si>
    <t>USR01304</t>
  </si>
  <si>
    <t>USR01305</t>
  </si>
  <si>
    <t>USR01306</t>
  </si>
  <si>
    <t>USR01307</t>
  </si>
  <si>
    <t>USR01308</t>
  </si>
  <si>
    <t>USR01309</t>
  </si>
  <si>
    <t>USR01310</t>
  </si>
  <si>
    <t>USR01311</t>
  </si>
  <si>
    <t>USR01312</t>
  </si>
  <si>
    <t>USR01313</t>
  </si>
  <si>
    <t>USR01314</t>
  </si>
  <si>
    <t>USR01315</t>
  </si>
  <si>
    <t>USR01316</t>
  </si>
  <si>
    <t>USR01317</t>
  </si>
  <si>
    <t>USR01318</t>
  </si>
  <si>
    <t>USR01319</t>
  </si>
  <si>
    <t>USR01320</t>
  </si>
  <si>
    <t>USR01321</t>
  </si>
  <si>
    <t>USR01322</t>
  </si>
  <si>
    <t>USR01323</t>
  </si>
  <si>
    <t>USR01324</t>
  </si>
  <si>
    <t>USR01325</t>
  </si>
  <si>
    <t>USR01326</t>
  </si>
  <si>
    <t>USR01327</t>
  </si>
  <si>
    <t>USR01328</t>
  </si>
  <si>
    <t>USR01329</t>
  </si>
  <si>
    <t>USR01330</t>
  </si>
  <si>
    <t>USR01331</t>
  </si>
  <si>
    <t>USR01332</t>
  </si>
  <si>
    <t>USR01333</t>
  </si>
  <si>
    <t>USR01334</t>
  </si>
  <si>
    <t>USR01335</t>
  </si>
  <si>
    <t>USR01336</t>
  </si>
  <si>
    <t>USR01337</t>
  </si>
  <si>
    <t>USR01338</t>
  </si>
  <si>
    <t>USR01339</t>
  </si>
  <si>
    <t>USR01340</t>
  </si>
  <si>
    <t>USR01341</t>
  </si>
  <si>
    <t>USR01342</t>
  </si>
  <si>
    <t>USR01343</t>
  </si>
  <si>
    <t>USR01344</t>
  </si>
  <si>
    <t>USR01345</t>
  </si>
  <si>
    <t>USR01346</t>
  </si>
  <si>
    <t>USR01347</t>
  </si>
  <si>
    <t>USR01348</t>
  </si>
  <si>
    <t>USR01349</t>
  </si>
  <si>
    <t>USR01350</t>
  </si>
  <si>
    <t>USR01351</t>
  </si>
  <si>
    <t>USR01352</t>
  </si>
  <si>
    <t>USR01353</t>
  </si>
  <si>
    <t>USR01354</t>
  </si>
  <si>
    <t>USR01355</t>
  </si>
  <si>
    <t>USR01356</t>
  </si>
  <si>
    <t>USR01357</t>
  </si>
  <si>
    <t>USR01358</t>
  </si>
  <si>
    <t>USR01359</t>
  </si>
  <si>
    <t>USR01360</t>
  </si>
  <si>
    <t>USR01361</t>
  </si>
  <si>
    <t>USR01362</t>
  </si>
  <si>
    <t>USR01363</t>
  </si>
  <si>
    <t>USR01364</t>
  </si>
  <si>
    <t>USR01365</t>
  </si>
  <si>
    <t>USR01366</t>
  </si>
  <si>
    <t>USR01367</t>
  </si>
  <si>
    <t>USR01368</t>
  </si>
  <si>
    <t>USR01369</t>
  </si>
  <si>
    <t>USR01370</t>
  </si>
  <si>
    <t>USR01371</t>
  </si>
  <si>
    <t>USR01372</t>
  </si>
  <si>
    <t>USR01373</t>
  </si>
  <si>
    <t>USR01374</t>
  </si>
  <si>
    <t>USR01375</t>
  </si>
  <si>
    <t>USR01376</t>
  </si>
  <si>
    <t>USR01377</t>
  </si>
  <si>
    <t>USR01378</t>
  </si>
  <si>
    <t>USR01379</t>
  </si>
  <si>
    <t>USR01380</t>
  </si>
  <si>
    <t>USR01381</t>
  </si>
  <si>
    <t>USR01382</t>
  </si>
  <si>
    <t>USR01383</t>
  </si>
  <si>
    <t>USR01384</t>
  </si>
  <si>
    <t>USR01385</t>
  </si>
  <si>
    <t>USR01386</t>
  </si>
  <si>
    <t>USR01387</t>
  </si>
  <si>
    <t>USR01388</t>
  </si>
  <si>
    <t>USR01389</t>
  </si>
  <si>
    <t>USR01390</t>
  </si>
  <si>
    <t>USR01391</t>
  </si>
  <si>
    <t>USR01392</t>
  </si>
  <si>
    <t>USR01393</t>
  </si>
  <si>
    <t>USR01394</t>
  </si>
  <si>
    <t>USR01395</t>
  </si>
  <si>
    <t>USR01396</t>
  </si>
  <si>
    <t>USR01397</t>
  </si>
  <si>
    <t>USR01398</t>
  </si>
  <si>
    <t>USR01399</t>
  </si>
  <si>
    <t>USR01400</t>
  </si>
  <si>
    <t>USR01401</t>
  </si>
  <si>
    <t>USR01402</t>
  </si>
  <si>
    <t>USR01403</t>
  </si>
  <si>
    <t>USR01404</t>
  </si>
  <si>
    <t>USR01405</t>
  </si>
  <si>
    <t>USR01406</t>
  </si>
  <si>
    <t>USR01407</t>
  </si>
  <si>
    <t>USR01408</t>
  </si>
  <si>
    <t>USR01409</t>
  </si>
  <si>
    <t>USR01410</t>
  </si>
  <si>
    <t>USR01411</t>
  </si>
  <si>
    <t>USR01412</t>
  </si>
  <si>
    <t>USR01413</t>
  </si>
  <si>
    <t>USR01414</t>
  </si>
  <si>
    <t>USR01415</t>
  </si>
  <si>
    <t>USR01416</t>
  </si>
  <si>
    <t>USR01417</t>
  </si>
  <si>
    <t>USR01418</t>
  </si>
  <si>
    <t>USR01419</t>
  </si>
  <si>
    <t>USR01420</t>
  </si>
  <si>
    <t>USR01421</t>
  </si>
  <si>
    <t>USR01422</t>
  </si>
  <si>
    <t>USR01423</t>
  </si>
  <si>
    <t>USR01424</t>
  </si>
  <si>
    <t>USR01425</t>
  </si>
  <si>
    <t>USR01426</t>
  </si>
  <si>
    <t>USR01427</t>
  </si>
  <si>
    <t>USR01428</t>
  </si>
  <si>
    <t>USR01429</t>
  </si>
  <si>
    <t>USR01430</t>
  </si>
  <si>
    <t>USR01431</t>
  </si>
  <si>
    <t>USR01432</t>
  </si>
  <si>
    <t>USR01433</t>
  </si>
  <si>
    <t>USR01434</t>
  </si>
  <si>
    <t>USR01435</t>
  </si>
  <si>
    <t>USR01436</t>
  </si>
  <si>
    <t>USR01437</t>
  </si>
  <si>
    <t>USR01438</t>
  </si>
  <si>
    <t>USR01439</t>
  </si>
  <si>
    <t>USR01440</t>
  </si>
  <si>
    <t>USR01441</t>
  </si>
  <si>
    <t>USR01442</t>
  </si>
  <si>
    <t>USR01443</t>
  </si>
  <si>
    <t>USR01444</t>
  </si>
  <si>
    <t>USR01445</t>
  </si>
  <si>
    <t>USR01446</t>
  </si>
  <si>
    <t>USR01447</t>
  </si>
  <si>
    <t>USR01448</t>
  </si>
  <si>
    <t>USR01449</t>
  </si>
  <si>
    <t>USR01450</t>
  </si>
  <si>
    <t>USR01451</t>
  </si>
  <si>
    <t>USR01452</t>
  </si>
  <si>
    <t>USR01453</t>
  </si>
  <si>
    <t>USR01454</t>
  </si>
  <si>
    <t>USR01455</t>
  </si>
  <si>
    <t>USR01456</t>
  </si>
  <si>
    <t>USR01457</t>
  </si>
  <si>
    <t>USR01458</t>
  </si>
  <si>
    <t>USR01459</t>
  </si>
  <si>
    <t>USR01460</t>
  </si>
  <si>
    <t>USR01461</t>
  </si>
  <si>
    <t>USR01462</t>
  </si>
  <si>
    <t>USR01463</t>
  </si>
  <si>
    <t>USR01464</t>
  </si>
  <si>
    <t>USR01465</t>
  </si>
  <si>
    <t>USR01466</t>
  </si>
  <si>
    <t>USR01467</t>
  </si>
  <si>
    <t>USR01468</t>
  </si>
  <si>
    <t>USR01469</t>
  </si>
  <si>
    <t>USR01470</t>
  </si>
  <si>
    <t>USR01471</t>
  </si>
  <si>
    <t>USR01472</t>
  </si>
  <si>
    <t>USR01473</t>
  </si>
  <si>
    <t>USR01474</t>
  </si>
  <si>
    <t>USR01475</t>
  </si>
  <si>
    <t>USR01476</t>
  </si>
  <si>
    <t>USR01477</t>
  </si>
  <si>
    <t>USR01478</t>
  </si>
  <si>
    <t>USR01479</t>
  </si>
  <si>
    <t>USR01480</t>
  </si>
  <si>
    <t>USR01481</t>
  </si>
  <si>
    <t>USR01482</t>
  </si>
  <si>
    <t>USR01483</t>
  </si>
  <si>
    <t>USR01484</t>
  </si>
  <si>
    <t>USR01485</t>
  </si>
  <si>
    <t>USR01486</t>
  </si>
  <si>
    <t>USR01487</t>
  </si>
  <si>
    <t>USR01488</t>
  </si>
  <si>
    <t>USR01489</t>
  </si>
  <si>
    <t>USR01490</t>
  </si>
  <si>
    <t>USR01491</t>
  </si>
  <si>
    <t>USR01492</t>
  </si>
  <si>
    <t>USR01493</t>
  </si>
  <si>
    <t>USR01494</t>
  </si>
  <si>
    <t>USR01495</t>
  </si>
  <si>
    <t>USR01496</t>
  </si>
  <si>
    <t>USR01497</t>
  </si>
  <si>
    <t>USR01498</t>
  </si>
  <si>
    <t>USR01499</t>
  </si>
  <si>
    <t>USR01500</t>
  </si>
  <si>
    <t>USR01501</t>
  </si>
  <si>
    <t>USR01502</t>
  </si>
  <si>
    <t>USR01503</t>
  </si>
  <si>
    <t>USR01504</t>
  </si>
  <si>
    <t>USR01505</t>
  </si>
  <si>
    <t>USR01506</t>
  </si>
  <si>
    <t>USR01507</t>
  </si>
  <si>
    <t>USR01508</t>
  </si>
  <si>
    <t>USR01509</t>
  </si>
  <si>
    <t>USR01510</t>
  </si>
  <si>
    <t>USR01511</t>
  </si>
  <si>
    <t>USR01512</t>
  </si>
  <si>
    <t>USR01513</t>
  </si>
  <si>
    <t>USR01514</t>
  </si>
  <si>
    <t>USR01515</t>
  </si>
  <si>
    <t>USR01516</t>
  </si>
  <si>
    <t>USR01517</t>
  </si>
  <si>
    <t>USR01518</t>
  </si>
  <si>
    <t>USR01519</t>
  </si>
  <si>
    <t>USR01520</t>
  </si>
  <si>
    <t>USR01521</t>
  </si>
  <si>
    <t>USR01522</t>
  </si>
  <si>
    <t>USR01523</t>
  </si>
  <si>
    <t>USR01524</t>
  </si>
  <si>
    <t>USR01525</t>
  </si>
  <si>
    <t>USR01526</t>
  </si>
  <si>
    <t>USR01527</t>
  </si>
  <si>
    <t>USR01528</t>
  </si>
  <si>
    <t>USR01529</t>
  </si>
  <si>
    <t>USR01530</t>
  </si>
  <si>
    <t>USR01531</t>
  </si>
  <si>
    <t>USR01532</t>
  </si>
  <si>
    <t>USR01533</t>
  </si>
  <si>
    <t>USR01534</t>
  </si>
  <si>
    <t>USR01535</t>
  </si>
  <si>
    <t>USR01536</t>
  </si>
  <si>
    <t>USR01537</t>
  </si>
  <si>
    <t>USR01538</t>
  </si>
  <si>
    <t>USR01539</t>
  </si>
  <si>
    <t>USR01540</t>
  </si>
  <si>
    <t>USR01541</t>
  </si>
  <si>
    <t>USR01542</t>
  </si>
  <si>
    <t>USR01543</t>
  </si>
  <si>
    <t>USR01544</t>
  </si>
  <si>
    <t>USR01545</t>
  </si>
  <si>
    <t>USR01546</t>
  </si>
  <si>
    <t>USR01547</t>
  </si>
  <si>
    <t>USR01548</t>
  </si>
  <si>
    <t>USR01549</t>
  </si>
  <si>
    <t>USR01550</t>
  </si>
  <si>
    <t>USR01551</t>
  </si>
  <si>
    <t>USR01552</t>
  </si>
  <si>
    <t>USR01553</t>
  </si>
  <si>
    <t>USR01554</t>
  </si>
  <si>
    <t>USR01555</t>
  </si>
  <si>
    <t>USR01556</t>
  </si>
  <si>
    <t>USR01557</t>
  </si>
  <si>
    <t>USR01558</t>
  </si>
  <si>
    <t>USR01559</t>
  </si>
  <si>
    <t>USR01560</t>
  </si>
  <si>
    <t>USR01561</t>
  </si>
  <si>
    <t>USR01562</t>
  </si>
  <si>
    <t>USR01563</t>
  </si>
  <si>
    <t>USR01564</t>
  </si>
  <si>
    <t>USR01565</t>
  </si>
  <si>
    <t>USR01566</t>
  </si>
  <si>
    <t>USR01567</t>
  </si>
  <si>
    <t>USR01568</t>
  </si>
  <si>
    <t>USR01569</t>
  </si>
  <si>
    <t>USR01570</t>
  </si>
  <si>
    <t>USR01571</t>
  </si>
  <si>
    <t>USR01572</t>
  </si>
  <si>
    <t>USR01573</t>
  </si>
  <si>
    <t>USR01574</t>
  </si>
  <si>
    <t>USR01575</t>
  </si>
  <si>
    <t>USR01576</t>
  </si>
  <si>
    <t>USR01577</t>
  </si>
  <si>
    <t>USR01578</t>
  </si>
  <si>
    <t>USR01579</t>
  </si>
  <si>
    <t>USR01580</t>
  </si>
  <si>
    <t>USR01581</t>
  </si>
  <si>
    <t>USR01582</t>
  </si>
  <si>
    <t>USR01583</t>
  </si>
  <si>
    <t>USR01584</t>
  </si>
  <si>
    <t>USR01585</t>
  </si>
  <si>
    <t>USR01586</t>
  </si>
  <si>
    <t>USR01587</t>
  </si>
  <si>
    <t>USR01588</t>
  </si>
  <si>
    <t>USR01589</t>
  </si>
  <si>
    <t>USR01590</t>
  </si>
  <si>
    <t>USR01591</t>
  </si>
  <si>
    <t>USR01592</t>
  </si>
  <si>
    <t>USR01593</t>
  </si>
  <si>
    <t>USR01594</t>
  </si>
  <si>
    <t>USR01595</t>
  </si>
  <si>
    <t>USR01596</t>
  </si>
  <si>
    <t>USR01597</t>
  </si>
  <si>
    <t>USR01598</t>
  </si>
  <si>
    <t>USR01599</t>
  </si>
  <si>
    <t>USR01600</t>
  </si>
  <si>
    <t>USR01601</t>
  </si>
  <si>
    <t>USR01602</t>
  </si>
  <si>
    <t>USR01603</t>
  </si>
  <si>
    <t>USR01604</t>
  </si>
  <si>
    <t>USR01605</t>
  </si>
  <si>
    <t>USR01606</t>
  </si>
  <si>
    <t>USR01607</t>
  </si>
  <si>
    <t>USR01608</t>
  </si>
  <si>
    <t>USR01609</t>
  </si>
  <si>
    <t>USR01610</t>
  </si>
  <si>
    <t>USR01611</t>
  </si>
  <si>
    <t>USR01612</t>
  </si>
  <si>
    <t>USR01613</t>
  </si>
  <si>
    <t>USR01614</t>
  </si>
  <si>
    <t>USR01615</t>
  </si>
  <si>
    <t>USR01616</t>
  </si>
  <si>
    <t>USR01617</t>
  </si>
  <si>
    <t>USR01618</t>
  </si>
  <si>
    <t>USR01619</t>
  </si>
  <si>
    <t>USR01620</t>
  </si>
  <si>
    <t>USR01621</t>
  </si>
  <si>
    <t>USR01622</t>
  </si>
  <si>
    <t>USR01623</t>
  </si>
  <si>
    <t>USR01624</t>
  </si>
  <si>
    <t>USR01625</t>
  </si>
  <si>
    <t>USR01626</t>
  </si>
  <si>
    <t>USR01627</t>
  </si>
  <si>
    <t>USR01628</t>
  </si>
  <si>
    <t>USR01629</t>
  </si>
  <si>
    <t>USR01630</t>
  </si>
  <si>
    <t>USR01631</t>
  </si>
  <si>
    <t>USR01632</t>
  </si>
  <si>
    <t>USR01633</t>
  </si>
  <si>
    <t>USR01634</t>
  </si>
  <si>
    <t>USR01635</t>
  </si>
  <si>
    <t>USR01636</t>
  </si>
  <si>
    <t>USR01637</t>
  </si>
  <si>
    <t>USR01638</t>
  </si>
  <si>
    <t>USR01639</t>
  </si>
  <si>
    <t>USR01640</t>
  </si>
  <si>
    <t>USR01641</t>
  </si>
  <si>
    <t>USR01642</t>
  </si>
  <si>
    <t>USR01643</t>
  </si>
  <si>
    <t>USR01644</t>
  </si>
  <si>
    <t>USR01645</t>
  </si>
  <si>
    <t>USR01646</t>
  </si>
  <si>
    <t>USR01647</t>
  </si>
  <si>
    <t>USR01648</t>
  </si>
  <si>
    <t>USR01649</t>
  </si>
  <si>
    <t>USR01650</t>
  </si>
  <si>
    <t>USR01651</t>
  </si>
  <si>
    <t>USR01652</t>
  </si>
  <si>
    <t>USR01653</t>
  </si>
  <si>
    <t>USR01654</t>
  </si>
  <si>
    <t>USR01655</t>
  </si>
  <si>
    <t>USR01656</t>
  </si>
  <si>
    <t>USR01657</t>
  </si>
  <si>
    <t>USR01658</t>
  </si>
  <si>
    <t>USR01659</t>
  </si>
  <si>
    <t>USR01660</t>
  </si>
  <si>
    <t>USR01661</t>
  </si>
  <si>
    <t>USR01662</t>
  </si>
  <si>
    <t>USR01663</t>
  </si>
  <si>
    <t>USR01664</t>
  </si>
  <si>
    <t>USR01665</t>
  </si>
  <si>
    <t>USR01666</t>
  </si>
  <si>
    <t>USR01667</t>
  </si>
  <si>
    <t>USR01668</t>
  </si>
  <si>
    <t>USR01669</t>
  </si>
  <si>
    <t>USR01670</t>
  </si>
  <si>
    <t>USR01671</t>
  </si>
  <si>
    <t>USR01672</t>
  </si>
  <si>
    <t>USR01673</t>
  </si>
  <si>
    <t>USR01674</t>
  </si>
  <si>
    <t>USR01675</t>
  </si>
  <si>
    <t>USR01676</t>
  </si>
  <si>
    <t>USR01677</t>
  </si>
  <si>
    <t>USR01678</t>
  </si>
  <si>
    <t>USR01679</t>
  </si>
  <si>
    <t>USR01680</t>
  </si>
  <si>
    <t>USR01681</t>
  </si>
  <si>
    <t>USR01682</t>
  </si>
  <si>
    <t>USR01683</t>
  </si>
  <si>
    <t>USR01684</t>
  </si>
  <si>
    <t>USR01685</t>
  </si>
  <si>
    <t>USR01686</t>
  </si>
  <si>
    <t>USR01687</t>
  </si>
  <si>
    <t>USR01688</t>
  </si>
  <si>
    <t>USR01689</t>
  </si>
  <si>
    <t>USR01690</t>
  </si>
  <si>
    <t>USR01691</t>
  </si>
  <si>
    <t>USR01692</t>
  </si>
  <si>
    <t>USR01693</t>
  </si>
  <si>
    <t>USR01694</t>
  </si>
  <si>
    <t>USR01695</t>
  </si>
  <si>
    <t>USR01696</t>
  </si>
  <si>
    <t>USR01697</t>
  </si>
  <si>
    <t>USR01698</t>
  </si>
  <si>
    <t>USR01699</t>
  </si>
  <si>
    <t>USR01700</t>
  </si>
  <si>
    <t>USR01701</t>
  </si>
  <si>
    <t>USR01702</t>
  </si>
  <si>
    <t>USR01703</t>
  </si>
  <si>
    <t>USR01704</t>
  </si>
  <si>
    <t>USR01705</t>
  </si>
  <si>
    <t>USR01706</t>
  </si>
  <si>
    <t>USR01707</t>
  </si>
  <si>
    <t>USR01708</t>
  </si>
  <si>
    <t>USR01709</t>
  </si>
  <si>
    <t>USR01710</t>
  </si>
  <si>
    <t>USR01711</t>
  </si>
  <si>
    <t>USR01712</t>
  </si>
  <si>
    <t>USR01713</t>
  </si>
  <si>
    <t>USR01714</t>
  </si>
  <si>
    <t>USR01715</t>
  </si>
  <si>
    <t>USR01716</t>
  </si>
  <si>
    <t>USR01717</t>
  </si>
  <si>
    <t>USR01718</t>
  </si>
  <si>
    <t>USR01719</t>
  </si>
  <si>
    <t>USR01720</t>
  </si>
  <si>
    <t>USR01721</t>
  </si>
  <si>
    <t>USR01722</t>
  </si>
  <si>
    <t>USR01723</t>
  </si>
  <si>
    <t>USR01724</t>
  </si>
  <si>
    <t>USR01725</t>
  </si>
  <si>
    <t>USR01726</t>
  </si>
  <si>
    <t>USR01727</t>
  </si>
  <si>
    <t>USR01728</t>
  </si>
  <si>
    <t>USR01729</t>
  </si>
  <si>
    <t>USR01730</t>
  </si>
  <si>
    <t>USR01731</t>
  </si>
  <si>
    <t>USR01732</t>
  </si>
  <si>
    <t>USR01733</t>
  </si>
  <si>
    <t>USR01734</t>
  </si>
  <si>
    <t>USR01735</t>
  </si>
  <si>
    <t>USR01736</t>
  </si>
  <si>
    <t>USR01737</t>
  </si>
  <si>
    <t>USR01738</t>
  </si>
  <si>
    <t>USR01739</t>
  </si>
  <si>
    <t>USR01740</t>
  </si>
  <si>
    <t>USR01741</t>
  </si>
  <si>
    <t>USR01742</t>
  </si>
  <si>
    <t>USR01743</t>
  </si>
  <si>
    <t>USR01744</t>
  </si>
  <si>
    <t>USR01745</t>
  </si>
  <si>
    <t>USR01746</t>
  </si>
  <si>
    <t>USR01747</t>
  </si>
  <si>
    <t>USR01748</t>
  </si>
  <si>
    <t>USR01749</t>
  </si>
  <si>
    <t>USR01750</t>
  </si>
  <si>
    <t>USR01751</t>
  </si>
  <si>
    <t>USR01752</t>
  </si>
  <si>
    <t>USR01753</t>
  </si>
  <si>
    <t>USR01754</t>
  </si>
  <si>
    <t>USR01755</t>
  </si>
  <si>
    <t>USR01756</t>
  </si>
  <si>
    <t>USR01757</t>
  </si>
  <si>
    <t>USR01758</t>
  </si>
  <si>
    <t>USR01759</t>
  </si>
  <si>
    <t>USR01760</t>
  </si>
  <si>
    <t>USR01761</t>
  </si>
  <si>
    <t>USR01762</t>
  </si>
  <si>
    <t>USR01763</t>
  </si>
  <si>
    <t>USR01764</t>
  </si>
  <si>
    <t>USR01765</t>
  </si>
  <si>
    <t>USR01766</t>
  </si>
  <si>
    <t>USR01767</t>
  </si>
  <si>
    <t>USR01768</t>
  </si>
  <si>
    <t>USR01769</t>
  </si>
  <si>
    <t>USR01770</t>
  </si>
  <si>
    <t>USR01771</t>
  </si>
  <si>
    <t>USR01772</t>
  </si>
  <si>
    <t>USR01773</t>
  </si>
  <si>
    <t>USR01774</t>
  </si>
  <si>
    <t>USR01775</t>
  </si>
  <si>
    <t>USR01776</t>
  </si>
  <si>
    <t>USR01777</t>
  </si>
  <si>
    <t>USR01778</t>
  </si>
  <si>
    <t>USR01779</t>
  </si>
  <si>
    <t>USR01780</t>
  </si>
  <si>
    <t>USR01781</t>
  </si>
  <si>
    <t>USR01782</t>
  </si>
  <si>
    <t>USR01783</t>
  </si>
  <si>
    <t>USR01784</t>
  </si>
  <si>
    <t>USR01785</t>
  </si>
  <si>
    <t>USR01786</t>
  </si>
  <si>
    <t>USR01787</t>
  </si>
  <si>
    <t>USR01788</t>
  </si>
  <si>
    <t>USR01789</t>
  </si>
  <si>
    <t>USR01790</t>
  </si>
  <si>
    <t>USR01791</t>
  </si>
  <si>
    <t>USR01792</t>
  </si>
  <si>
    <t>USR01793</t>
  </si>
  <si>
    <t>USR01794</t>
  </si>
  <si>
    <t>USR01795</t>
  </si>
  <si>
    <t>USR01796</t>
  </si>
  <si>
    <t>USR01797</t>
  </si>
  <si>
    <t>USR01798</t>
  </si>
  <si>
    <t>USR01799</t>
  </si>
  <si>
    <t>USR01800</t>
  </si>
  <si>
    <t>USR01801</t>
  </si>
  <si>
    <t>USR01802</t>
  </si>
  <si>
    <t>USR01803</t>
  </si>
  <si>
    <t>USR01804</t>
  </si>
  <si>
    <t>USR01805</t>
  </si>
  <si>
    <t>USR01806</t>
  </si>
  <si>
    <t>USR01807</t>
  </si>
  <si>
    <t>USR01808</t>
  </si>
  <si>
    <t>USR01809</t>
  </si>
  <si>
    <t>USR01810</t>
  </si>
  <si>
    <t>USR01811</t>
  </si>
  <si>
    <t>USR01812</t>
  </si>
  <si>
    <t>USR01813</t>
  </si>
  <si>
    <t>USR01814</t>
  </si>
  <si>
    <t>USR01815</t>
  </si>
  <si>
    <t>USR01816</t>
  </si>
  <si>
    <t>USR01817</t>
  </si>
  <si>
    <t>USR01818</t>
  </si>
  <si>
    <t>USR01819</t>
  </si>
  <si>
    <t>USR01820</t>
  </si>
  <si>
    <t>USR01821</t>
  </si>
  <si>
    <t>USR01822</t>
  </si>
  <si>
    <t>USR01823</t>
  </si>
  <si>
    <t>USR01824</t>
  </si>
  <si>
    <t>USR01825</t>
  </si>
  <si>
    <t>USR01826</t>
  </si>
  <si>
    <t>USR01827</t>
  </si>
  <si>
    <t>USR01828</t>
  </si>
  <si>
    <t>USR01829</t>
  </si>
  <si>
    <t>USR01830</t>
  </si>
  <si>
    <t>USR01831</t>
  </si>
  <si>
    <t>USR01832</t>
  </si>
  <si>
    <t>USR01833</t>
  </si>
  <si>
    <t>USR01834</t>
  </si>
  <si>
    <t>USR01835</t>
  </si>
  <si>
    <t>USR01836</t>
  </si>
  <si>
    <t>USR01837</t>
  </si>
  <si>
    <t>USR01838</t>
  </si>
  <si>
    <t>USR01839</t>
  </si>
  <si>
    <t>USR01840</t>
  </si>
  <si>
    <t>USR01841</t>
  </si>
  <si>
    <t>USR01842</t>
  </si>
  <si>
    <t>USR01843</t>
  </si>
  <si>
    <t>USR01844</t>
  </si>
  <si>
    <t>USR01845</t>
  </si>
  <si>
    <t>USR01846</t>
  </si>
  <si>
    <t>USR01847</t>
  </si>
  <si>
    <t>USR01848</t>
  </si>
  <si>
    <t>USR01849</t>
  </si>
  <si>
    <t>USR01850</t>
  </si>
  <si>
    <t>USR01851</t>
  </si>
  <si>
    <t>USR01852</t>
  </si>
  <si>
    <t>USR01853</t>
  </si>
  <si>
    <t>USR01854</t>
  </si>
  <si>
    <t>USR01855</t>
  </si>
  <si>
    <t>USR01856</t>
  </si>
  <si>
    <t>USR01857</t>
  </si>
  <si>
    <t>USR01858</t>
  </si>
  <si>
    <t>USR01859</t>
  </si>
  <si>
    <t>USR01860</t>
  </si>
  <si>
    <t>USR01861</t>
  </si>
  <si>
    <t>USR01862</t>
  </si>
  <si>
    <t>USR01863</t>
  </si>
  <si>
    <t>USR01864</t>
  </si>
  <si>
    <t>USR01865</t>
  </si>
  <si>
    <t>USR01866</t>
  </si>
  <si>
    <t>USR01867</t>
  </si>
  <si>
    <t>USR01868</t>
  </si>
  <si>
    <t>USR01869</t>
  </si>
  <si>
    <t>USR01870</t>
  </si>
  <si>
    <t>USR01871</t>
  </si>
  <si>
    <t>USR01872</t>
  </si>
  <si>
    <t>USR01873</t>
  </si>
  <si>
    <t>USR01874</t>
  </si>
  <si>
    <t>USR01875</t>
  </si>
  <si>
    <t>USR01876</t>
  </si>
  <si>
    <t>USR01877</t>
  </si>
  <si>
    <t>USR01878</t>
  </si>
  <si>
    <t>USR01879</t>
  </si>
  <si>
    <t>USR01880</t>
  </si>
  <si>
    <t>USR01881</t>
  </si>
  <si>
    <t>USR01882</t>
  </si>
  <si>
    <t>USR01883</t>
  </si>
  <si>
    <t>USR01884</t>
  </si>
  <si>
    <t>USR01885</t>
  </si>
  <si>
    <t>USR01886</t>
  </si>
  <si>
    <t>USR01887</t>
  </si>
  <si>
    <t>USR01888</t>
  </si>
  <si>
    <t>USR01889</t>
  </si>
  <si>
    <t>USR01890</t>
  </si>
  <si>
    <t>USR01891</t>
  </si>
  <si>
    <t>USR01892</t>
  </si>
  <si>
    <t>USR01893</t>
  </si>
  <si>
    <t>USR01894</t>
  </si>
  <si>
    <t>USR01895</t>
  </si>
  <si>
    <t>USR01896</t>
  </si>
  <si>
    <t>USR01897</t>
  </si>
  <si>
    <t>USR01898</t>
  </si>
  <si>
    <t>USR01899</t>
  </si>
  <si>
    <t>USR01900</t>
  </si>
  <si>
    <t>USR01901</t>
  </si>
  <si>
    <t>USR01902</t>
  </si>
  <si>
    <t>USR01903</t>
  </si>
  <si>
    <t>USR01904</t>
  </si>
  <si>
    <t>USR01905</t>
  </si>
  <si>
    <t>USR01906</t>
  </si>
  <si>
    <t>USR01907</t>
  </si>
  <si>
    <t>USR01908</t>
  </si>
  <si>
    <t>USR01909</t>
  </si>
  <si>
    <t>USR01910</t>
  </si>
  <si>
    <t>USR01911</t>
  </si>
  <si>
    <t>USR01912</t>
  </si>
  <si>
    <t>USR01913</t>
  </si>
  <si>
    <t>USR01914</t>
  </si>
  <si>
    <t>USR01915</t>
  </si>
  <si>
    <t>USR01916</t>
  </si>
  <si>
    <t>USR01917</t>
  </si>
  <si>
    <t>USR01918</t>
  </si>
  <si>
    <t>USR01919</t>
  </si>
  <si>
    <t>USR01920</t>
  </si>
  <si>
    <t>USR01921</t>
  </si>
  <si>
    <t>USR01922</t>
  </si>
  <si>
    <t>USR01923</t>
  </si>
  <si>
    <t>USR01924</t>
  </si>
  <si>
    <t>USR01925</t>
  </si>
  <si>
    <t>USR01926</t>
  </si>
  <si>
    <t>USR01927</t>
  </si>
  <si>
    <t>USR01928</t>
  </si>
  <si>
    <t>USR01929</t>
  </si>
  <si>
    <t>USR01930</t>
  </si>
  <si>
    <t>USR01931</t>
  </si>
  <si>
    <t>USR01932</t>
  </si>
  <si>
    <t>USR01933</t>
  </si>
  <si>
    <t>USR01934</t>
  </si>
  <si>
    <t>USR01935</t>
  </si>
  <si>
    <t>USR01936</t>
  </si>
  <si>
    <t>USR01937</t>
  </si>
  <si>
    <t>USR01938</t>
  </si>
  <si>
    <t>USR01939</t>
  </si>
  <si>
    <t>USR01940</t>
  </si>
  <si>
    <t>USR01941</t>
  </si>
  <si>
    <t>USR01942</t>
  </si>
  <si>
    <t>USR01943</t>
  </si>
  <si>
    <t>USR01944</t>
  </si>
  <si>
    <t>USR01945</t>
  </si>
  <si>
    <t>USR01946</t>
  </si>
  <si>
    <t>USR01947</t>
  </si>
  <si>
    <t>USR01948</t>
  </si>
  <si>
    <t>USR01949</t>
  </si>
  <si>
    <t>USR01950</t>
  </si>
  <si>
    <t>USR01951</t>
  </si>
  <si>
    <t>USR01952</t>
  </si>
  <si>
    <t>USR01953</t>
  </si>
  <si>
    <t>USR01954</t>
  </si>
  <si>
    <t>USR01955</t>
  </si>
  <si>
    <t>USR01956</t>
  </si>
  <si>
    <t>USR01957</t>
  </si>
  <si>
    <t>USR01958</t>
  </si>
  <si>
    <t>USR01959</t>
  </si>
  <si>
    <t>USR01960</t>
  </si>
  <si>
    <t>USR01961</t>
  </si>
  <si>
    <t>USR01962</t>
  </si>
  <si>
    <t>USR01963</t>
  </si>
  <si>
    <t>USR01964</t>
  </si>
  <si>
    <t>USR01965</t>
  </si>
  <si>
    <t>USR01966</t>
  </si>
  <si>
    <t>USR01967</t>
  </si>
  <si>
    <t>USR01968</t>
  </si>
  <si>
    <t>USR01969</t>
  </si>
  <si>
    <t>USR01970</t>
  </si>
  <si>
    <t>USR01971</t>
  </si>
  <si>
    <t>USR01972</t>
  </si>
  <si>
    <t>USR01973</t>
  </si>
  <si>
    <t>USR01974</t>
  </si>
  <si>
    <t>USR01975</t>
  </si>
  <si>
    <t>USR01976</t>
  </si>
  <si>
    <t>USR01977</t>
  </si>
  <si>
    <t>USR01978</t>
  </si>
  <si>
    <t>USR01979</t>
  </si>
  <si>
    <t>USR01980</t>
  </si>
  <si>
    <t>USR01981</t>
  </si>
  <si>
    <t>USR01982</t>
  </si>
  <si>
    <t>USR01983</t>
  </si>
  <si>
    <t>USR01984</t>
  </si>
  <si>
    <t>USR01985</t>
  </si>
  <si>
    <t>USR01986</t>
  </si>
  <si>
    <t>USR01987</t>
  </si>
  <si>
    <t>USR01988</t>
  </si>
  <si>
    <t>USR01989</t>
  </si>
  <si>
    <t>USR01990</t>
  </si>
  <si>
    <t>USR01991</t>
  </si>
  <si>
    <t>USR01992</t>
  </si>
  <si>
    <t>USR01993</t>
  </si>
  <si>
    <t>USR01994</t>
  </si>
  <si>
    <t>USR01995</t>
  </si>
  <si>
    <t>USR01996</t>
  </si>
  <si>
    <t>USR01997</t>
  </si>
  <si>
    <t>USR01998</t>
  </si>
  <si>
    <t>USR01999</t>
  </si>
  <si>
    <t>USR02000</t>
  </si>
  <si>
    <t>review_id</t>
  </si>
  <si>
    <t>review_date</t>
  </si>
  <si>
    <t>rating_given</t>
  </si>
  <si>
    <t>review_text</t>
  </si>
  <si>
    <t>sentiment</t>
  </si>
  <si>
    <t>issue_category</t>
  </si>
  <si>
    <t>feature_requested</t>
  </si>
  <si>
    <t>support_response_time_hrs</t>
  </si>
  <si>
    <t>resolved_status</t>
  </si>
  <si>
    <t>REV00001</t>
  </si>
  <si>
    <t>Good concept with room to improve. Category: Finance.</t>
  </si>
  <si>
    <t>Neutral</t>
  </si>
  <si>
    <t>Performance</t>
  </si>
  <si>
    <t>Better reports</t>
  </si>
  <si>
    <t>REV00002</t>
  </si>
  <si>
    <t>Support</t>
  </si>
  <si>
    <t>Dark mode</t>
  </si>
  <si>
    <t>REV00003</t>
  </si>
  <si>
    <t>Custom notifications</t>
  </si>
  <si>
    <t>REV00004</t>
  </si>
  <si>
    <t>Smooth experience with helpful features. Category: Finance.</t>
  </si>
  <si>
    <t>Positive</t>
  </si>
  <si>
    <t>Features</t>
  </si>
  <si>
    <t>AI recommendations</t>
  </si>
  <si>
    <t>REV00005</t>
  </si>
  <si>
    <t>Great value and reliable performance. Category: Finance.</t>
  </si>
  <si>
    <t>More languages</t>
  </si>
  <si>
    <t>REV00006</t>
  </si>
  <si>
    <t>Pricing</t>
  </si>
  <si>
    <t>REV00007</t>
  </si>
  <si>
    <t>Very useful and easy to use. Category: Finance.</t>
  </si>
  <si>
    <t>REV00008</t>
  </si>
  <si>
    <t>UI</t>
  </si>
  <si>
    <t>REV00009</t>
  </si>
  <si>
    <t>REV00010</t>
  </si>
  <si>
    <t>Payment</t>
  </si>
  <si>
    <t>REV00011</t>
  </si>
  <si>
    <t>Clean design and fast navigation. Category: Finance.</t>
  </si>
  <si>
    <t>Faster checkout</t>
  </si>
  <si>
    <t>REV00012</t>
  </si>
  <si>
    <t>Useful app, but a few features are missing. Category: Finance.</t>
  </si>
  <si>
    <t>Bugs</t>
  </si>
  <si>
    <t>REV00013</t>
  </si>
  <si>
    <t>Customer support response was poor. Category: Shopping.</t>
  </si>
  <si>
    <t>Negative</t>
  </si>
  <si>
    <t>Login</t>
  </si>
  <si>
    <t>REV00014</t>
  </si>
  <si>
    <t>Smooth experience with helpful features. Category: Shopping.</t>
  </si>
  <si>
    <t>REV00015</t>
  </si>
  <si>
    <t>Great value and reliable performance. Category: Shopping.</t>
  </si>
  <si>
    <t>REV00016</t>
  </si>
  <si>
    <t>Useful app, but a few features are missing. Category: Shopping.</t>
  </si>
  <si>
    <t>REV00017</t>
  </si>
  <si>
    <t>Offline access</t>
  </si>
  <si>
    <t>REV00018</t>
  </si>
  <si>
    <t>Very useful and easy to use. Category: Shopping.</t>
  </si>
  <si>
    <t>REV00019</t>
  </si>
  <si>
    <t>Biometric login</t>
  </si>
  <si>
    <t>REV00020</t>
  </si>
  <si>
    <t>Works fine but needs some improvement. Category: Shopping.</t>
  </si>
  <si>
    <t>No new feature requested</t>
  </si>
  <si>
    <t>REV00021</t>
  </si>
  <si>
    <t>Too expensive for the features offered. Category: Shopping.</t>
  </si>
  <si>
    <t>REV00022</t>
  </si>
  <si>
    <t>REV00023</t>
  </si>
  <si>
    <t>REV00024</t>
  </si>
  <si>
    <t>Good concept with room to improve. Category: Shopping.</t>
  </si>
  <si>
    <t>REV00025</t>
  </si>
  <si>
    <t>Good concept with room to improve. Category: Fitness.</t>
  </si>
  <si>
    <t>REV00026</t>
  </si>
  <si>
    <t>Clean design and fast navigation. Category: Fitness.</t>
  </si>
  <si>
    <t>REV00027</t>
  </si>
  <si>
    <t>Works fine but needs some improvement. Category: Fitness.</t>
  </si>
  <si>
    <t>REV00028</t>
  </si>
  <si>
    <t>Smooth experience with helpful features. Category: Fitness.</t>
  </si>
  <si>
    <t>REV00029</t>
  </si>
  <si>
    <t>REV00030</t>
  </si>
  <si>
    <t>Average experience for my needs. Category: Fitness.</t>
  </si>
  <si>
    <t>REV00031</t>
  </si>
  <si>
    <t>Very useful and easy to use. Category: Fitness.</t>
  </si>
  <si>
    <t>REV00032</t>
  </si>
  <si>
    <t>REV00033</t>
  </si>
  <si>
    <t>Great value and reliable performance. Category: Fitness.</t>
  </si>
  <si>
    <t>REV00034</t>
  </si>
  <si>
    <t>REV00035</t>
  </si>
  <si>
    <t>REV00036</t>
  </si>
  <si>
    <t>REV00037</t>
  </si>
  <si>
    <t>App crashes and feels slow. Category: Education.</t>
  </si>
  <si>
    <t>REV00038</t>
  </si>
  <si>
    <t>Customer support response was poor. Category: Education.</t>
  </si>
  <si>
    <t>Chat support</t>
  </si>
  <si>
    <t>REV00039</t>
  </si>
  <si>
    <t>Very useful and easy to use. Category: Education.</t>
  </si>
  <si>
    <t>REV00040</t>
  </si>
  <si>
    <t>REV00041</t>
  </si>
  <si>
    <t>Great value and reliable performance. Category: Education.</t>
  </si>
  <si>
    <t>REV00042</t>
  </si>
  <si>
    <t>Clean design and fast navigation. Category: Education.</t>
  </si>
  <si>
    <t>REV00043</t>
  </si>
  <si>
    <t>REV00044</t>
  </si>
  <si>
    <t>REV00045</t>
  </si>
  <si>
    <t>Navigation is confusing and frustrating. Category: Education.</t>
  </si>
  <si>
    <t>REV00046</t>
  </si>
  <si>
    <t>Average experience for my needs. Category: Education.</t>
  </si>
  <si>
    <t>REV00047</t>
  </si>
  <si>
    <t>REV00048</t>
  </si>
  <si>
    <t>REV00049</t>
  </si>
  <si>
    <t>Very useful and easy to use. Category: Entertainment.</t>
  </si>
  <si>
    <t>REV00050</t>
  </si>
  <si>
    <t>Clean design and fast navigation. Category: Entertainment.</t>
  </si>
  <si>
    <t>REV00051</t>
  </si>
  <si>
    <t>REV00052</t>
  </si>
  <si>
    <t>Good concept with room to improve. Category: Entertainment.</t>
  </si>
  <si>
    <t>REV00053</t>
  </si>
  <si>
    <t>REV00054</t>
  </si>
  <si>
    <t>REV00055</t>
  </si>
  <si>
    <t>REV00056</t>
  </si>
  <si>
    <t>REV00057</t>
  </si>
  <si>
    <t>REV00058</t>
  </si>
  <si>
    <t>REV00059</t>
  </si>
  <si>
    <t>Works fine but needs some improvement. Category: Entertainment.</t>
  </si>
  <si>
    <t>REV00060</t>
  </si>
  <si>
    <t>REV00061</t>
  </si>
  <si>
    <t>Good concept with room to improve. Category: Food Delivery.</t>
  </si>
  <si>
    <t>REV00062</t>
  </si>
  <si>
    <t>Useful app, but a few features are missing. Category: Food Delivery.</t>
  </si>
  <si>
    <t>REV00063</t>
  </si>
  <si>
    <t>Average experience for my needs. Category: Food Delivery.</t>
  </si>
  <si>
    <t>REV00064</t>
  </si>
  <si>
    <t>Works fine but needs some improvement. Category: Food Delivery.</t>
  </si>
  <si>
    <t>REV00065</t>
  </si>
  <si>
    <t>Smooth experience with helpful features. Category: Food Delivery.</t>
  </si>
  <si>
    <t>REV00066</t>
  </si>
  <si>
    <t>Great value and reliable performance. Category: Food Delivery.</t>
  </si>
  <si>
    <t>REV00067</t>
  </si>
  <si>
    <t>REV00068</t>
  </si>
  <si>
    <t>Very useful and easy to use. Category: Food Delivery.</t>
  </si>
  <si>
    <t>REV00069</t>
  </si>
  <si>
    <t>REV00070</t>
  </si>
  <si>
    <t>REV00071</t>
  </si>
  <si>
    <t>Clean design and fast navigation. Category: Travel.</t>
  </si>
  <si>
    <t>REV00072</t>
  </si>
  <si>
    <t>Customer support response was poor. Category: Travel.</t>
  </si>
  <si>
    <t>REV00073</t>
  </si>
  <si>
    <t>Very useful and easy to use. Category: Travel.</t>
  </si>
  <si>
    <t>REV00074</t>
  </si>
  <si>
    <t>REV00075</t>
  </si>
  <si>
    <t>Good concept with room to improve. Category: Travel.</t>
  </si>
  <si>
    <t>REV00076</t>
  </si>
  <si>
    <t>REV00077</t>
  </si>
  <si>
    <t>App crashes and feels slow. Category: Travel.</t>
  </si>
  <si>
    <t>REV00078</t>
  </si>
  <si>
    <t>Works fine but needs some improvement. Category: Travel.</t>
  </si>
  <si>
    <t>REV00079</t>
  </si>
  <si>
    <t>Useful app, but a few features are missing. Category: Travel.</t>
  </si>
  <si>
    <t>REV00080</t>
  </si>
  <si>
    <t>REV00081</t>
  </si>
  <si>
    <t>Clean design and fast navigation. Category: Productivity.</t>
  </si>
  <si>
    <t>REV00082</t>
  </si>
  <si>
    <t>REV00083</t>
  </si>
  <si>
    <t>Very useful and easy to use. Category: Productivity.</t>
  </si>
  <si>
    <t>REV00084</t>
  </si>
  <si>
    <t>REV00085</t>
  </si>
  <si>
    <t>Works fine but needs some improvement. Category: Productivity.</t>
  </si>
  <si>
    <t>REV00086</t>
  </si>
  <si>
    <t>Smooth experience with helpful features. Category: Productivity.</t>
  </si>
  <si>
    <t>REV00087</t>
  </si>
  <si>
    <t>Good concept with room to improve. Category: Productivity.</t>
  </si>
  <si>
    <t>REV00088</t>
  </si>
  <si>
    <t>REV00089</t>
  </si>
  <si>
    <t>Average experience for my needs. Category: Productivity.</t>
  </si>
  <si>
    <t>REV00090</t>
  </si>
  <si>
    <t>REV00091</t>
  </si>
  <si>
    <t>Smooth experience with helpful features. Category: Health.</t>
  </si>
  <si>
    <t>REV00092</t>
  </si>
  <si>
    <t>Good concept with room to improve. Category: Health.</t>
  </si>
  <si>
    <t>REV00093</t>
  </si>
  <si>
    <t>Useful app, but a few features are missing. Category: Health.</t>
  </si>
  <si>
    <t>REV00094</t>
  </si>
  <si>
    <t>Great value and reliable performance. Category: Health.</t>
  </si>
  <si>
    <t>REV00095</t>
  </si>
  <si>
    <t>REV00096</t>
  </si>
  <si>
    <t>REV00097</t>
  </si>
  <si>
    <t>Average experience for my needs. Category: Health.</t>
  </si>
  <si>
    <t>REV00098</t>
  </si>
  <si>
    <t>Clean design and fast navigation. Category: Health.</t>
  </si>
  <si>
    <t>REV00099</t>
  </si>
  <si>
    <t>REV00100</t>
  </si>
  <si>
    <t>REV00101</t>
  </si>
  <si>
    <t>REV00102</t>
  </si>
  <si>
    <t>REV00103</t>
  </si>
  <si>
    <t>REV00104</t>
  </si>
  <si>
    <t>Works fine but needs some improvement. Category: Finance.</t>
  </si>
  <si>
    <t>REV00105</t>
  </si>
  <si>
    <t>REV00106</t>
  </si>
  <si>
    <t>REV00107</t>
  </si>
  <si>
    <t>REV00108</t>
  </si>
  <si>
    <t>Too expensive for the features offered. Category: Finance.</t>
  </si>
  <si>
    <t>REV00109</t>
  </si>
  <si>
    <t>REV00110</t>
  </si>
  <si>
    <t>REV00111</t>
  </si>
  <si>
    <t>REV00112</t>
  </si>
  <si>
    <t>REV00113</t>
  </si>
  <si>
    <t>REV00114</t>
  </si>
  <si>
    <t>REV00115</t>
  </si>
  <si>
    <t>Average experience for my needs. Category: Shopping.</t>
  </si>
  <si>
    <t>REV00116</t>
  </si>
  <si>
    <t>REV00117</t>
  </si>
  <si>
    <t>REV00118</t>
  </si>
  <si>
    <t>REV00119</t>
  </si>
  <si>
    <t>REV00120</t>
  </si>
  <si>
    <t>REV00121</t>
  </si>
  <si>
    <t>REV00122</t>
  </si>
  <si>
    <t>REV00123</t>
  </si>
  <si>
    <t>REV00124</t>
  </si>
  <si>
    <t>REV00125</t>
  </si>
  <si>
    <t>Too expensive for the features offered. Category: Fitness.</t>
  </si>
  <si>
    <t>REV00126</t>
  </si>
  <si>
    <t>REV00127</t>
  </si>
  <si>
    <t>REV00128</t>
  </si>
  <si>
    <t>REV00129</t>
  </si>
  <si>
    <t>REV00130</t>
  </si>
  <si>
    <t>REV00131</t>
  </si>
  <si>
    <t>REV00132</t>
  </si>
  <si>
    <t>REV00133</t>
  </si>
  <si>
    <t>REV00134</t>
  </si>
  <si>
    <t>REV00135</t>
  </si>
  <si>
    <t>Useful app, but a few features are missing. Category: Fitness.</t>
  </si>
  <si>
    <t>REV00136</t>
  </si>
  <si>
    <t>REV00137</t>
  </si>
  <si>
    <t>Good concept with room to improve. Category: Education.</t>
  </si>
  <si>
    <t>REV00138</t>
  </si>
  <si>
    <t>REV00139</t>
  </si>
  <si>
    <t>REV00140</t>
  </si>
  <si>
    <t>REV00141</t>
  </si>
  <si>
    <t>Useful app, but a few features are missing. Category: Education.</t>
  </si>
  <si>
    <t>REV00142</t>
  </si>
  <si>
    <t>Smooth experience with helpful features. Category: Education.</t>
  </si>
  <si>
    <t>REV00143</t>
  </si>
  <si>
    <t>REV00144</t>
  </si>
  <si>
    <t>REV00145</t>
  </si>
  <si>
    <t>REV00146</t>
  </si>
  <si>
    <t>REV00147</t>
  </si>
  <si>
    <t>REV00148</t>
  </si>
  <si>
    <t>REV00149</t>
  </si>
  <si>
    <t>REV00150</t>
  </si>
  <si>
    <t>Great value and reliable performance. Category: Entertainment.</t>
  </si>
  <si>
    <t>REV00151</t>
  </si>
  <si>
    <t>Average experience for my needs. Category: Entertainment.</t>
  </si>
  <si>
    <t>REV00152</t>
  </si>
  <si>
    <t>Useful app, but a few features are missing. Category: Entertainment.</t>
  </si>
  <si>
    <t>REV00153</t>
  </si>
  <si>
    <t>REV00154</t>
  </si>
  <si>
    <t>REV00155</t>
  </si>
  <si>
    <t>REV00156</t>
  </si>
  <si>
    <t>REV00157</t>
  </si>
  <si>
    <t>REV00158</t>
  </si>
  <si>
    <t>REV00159</t>
  </si>
  <si>
    <t>REV00160</t>
  </si>
  <si>
    <t>REV00161</t>
  </si>
  <si>
    <t>REV00162</t>
  </si>
  <si>
    <t>REV00163</t>
  </si>
  <si>
    <t>REV00164</t>
  </si>
  <si>
    <t>Clean design and fast navigation. Category: Food Delivery.</t>
  </si>
  <si>
    <t>REV00165</t>
  </si>
  <si>
    <t>REV00166</t>
  </si>
  <si>
    <t>REV00167</t>
  </si>
  <si>
    <t>REV00168</t>
  </si>
  <si>
    <t>REV00169</t>
  </si>
  <si>
    <t>REV00170</t>
  </si>
  <si>
    <t>REV00171</t>
  </si>
  <si>
    <t>REV00172</t>
  </si>
  <si>
    <t>Average experience for my needs. Category: Travel.</t>
  </si>
  <si>
    <t>REV00173</t>
  </si>
  <si>
    <t>REV00174</t>
  </si>
  <si>
    <t>REV00175</t>
  </si>
  <si>
    <t>REV00176</t>
  </si>
  <si>
    <t>REV00177</t>
  </si>
  <si>
    <t>REV00178</t>
  </si>
  <si>
    <t>REV00179</t>
  </si>
  <si>
    <t>Navigation is confusing and frustrating. Category: Travel.</t>
  </si>
  <si>
    <t>REV00180</t>
  </si>
  <si>
    <t>REV00181</t>
  </si>
  <si>
    <t>REV00182</t>
  </si>
  <si>
    <t>Too expensive for the features offered. Category: Productivity.</t>
  </si>
  <si>
    <t>REV00183</t>
  </si>
  <si>
    <t>REV00184</t>
  </si>
  <si>
    <t>REV00185</t>
  </si>
  <si>
    <t>REV00186</t>
  </si>
  <si>
    <t>REV00187</t>
  </si>
  <si>
    <t>REV00188</t>
  </si>
  <si>
    <t>REV00189</t>
  </si>
  <si>
    <t>REV00190</t>
  </si>
  <si>
    <t>Great value and reliable performance. Category: Productivity.</t>
  </si>
  <si>
    <t>REV00191</t>
  </si>
  <si>
    <t>REV00192</t>
  </si>
  <si>
    <t>REV00193</t>
  </si>
  <si>
    <t>REV00194</t>
  </si>
  <si>
    <t>REV00195</t>
  </si>
  <si>
    <t>REV00196</t>
  </si>
  <si>
    <t>REV00197</t>
  </si>
  <si>
    <t>Customer support response was poor. Category: Health.</t>
  </si>
  <si>
    <t>REV00198</t>
  </si>
  <si>
    <t>Works fine but needs some improvement. Category: Health.</t>
  </si>
  <si>
    <t>REV00199</t>
  </si>
  <si>
    <t>REV00200</t>
  </si>
  <si>
    <t>REV00201</t>
  </si>
  <si>
    <t>REV00202</t>
  </si>
  <si>
    <t>REV00203</t>
  </si>
  <si>
    <t>REV00204</t>
  </si>
  <si>
    <t>REV00205</t>
  </si>
  <si>
    <t>REV00206</t>
  </si>
  <si>
    <t>REV00207</t>
  </si>
  <si>
    <t>REV00208</t>
  </si>
  <si>
    <t>REV00209</t>
  </si>
  <si>
    <t>REV00210</t>
  </si>
  <si>
    <t>REV00211</t>
  </si>
  <si>
    <t>REV00212</t>
  </si>
  <si>
    <t>REV00213</t>
  </si>
  <si>
    <t>REV00214</t>
  </si>
  <si>
    <t>REV00215</t>
  </si>
  <si>
    <t>REV00216</t>
  </si>
  <si>
    <t>REV00217</t>
  </si>
  <si>
    <t>REV00218</t>
  </si>
  <si>
    <t>Clean design and fast navigation. Category: Shopping.</t>
  </si>
  <si>
    <t>REV00219</t>
  </si>
  <si>
    <t>REV00220</t>
  </si>
  <si>
    <t>REV00221</t>
  </si>
  <si>
    <t>Navigation is confusing and frustrating. Category: Shopping.</t>
  </si>
  <si>
    <t>REV00222</t>
  </si>
  <si>
    <t>REV00223</t>
  </si>
  <si>
    <t>REV00224</t>
  </si>
  <si>
    <t>REV00225</t>
  </si>
  <si>
    <t>REV00226</t>
  </si>
  <si>
    <t>REV00227</t>
  </si>
  <si>
    <t>REV00228</t>
  </si>
  <si>
    <t>REV00229</t>
  </si>
  <si>
    <t>REV00230</t>
  </si>
  <si>
    <t>REV00231</t>
  </si>
  <si>
    <t>REV00232</t>
  </si>
  <si>
    <t>REV00233</t>
  </si>
  <si>
    <t>REV00234</t>
  </si>
  <si>
    <t>REV00235</t>
  </si>
  <si>
    <t>REV00236</t>
  </si>
  <si>
    <t>REV00237</t>
  </si>
  <si>
    <t>REV00238</t>
  </si>
  <si>
    <t>Works fine but needs some improvement. Category: Education.</t>
  </si>
  <si>
    <t>REV00239</t>
  </si>
  <si>
    <t>REV00240</t>
  </si>
  <si>
    <t>REV00241</t>
  </si>
  <si>
    <t>REV00242</t>
  </si>
  <si>
    <t>REV00243</t>
  </si>
  <si>
    <t>REV00244</t>
  </si>
  <si>
    <t>REV00245</t>
  </si>
  <si>
    <t>REV00246</t>
  </si>
  <si>
    <t>REV00247</t>
  </si>
  <si>
    <t>REV00248</t>
  </si>
  <si>
    <t>REV00249</t>
  </si>
  <si>
    <t>REV00250</t>
  </si>
  <si>
    <t>REV00251</t>
  </si>
  <si>
    <t>REV00252</t>
  </si>
  <si>
    <t>REV00253</t>
  </si>
  <si>
    <t>Smooth experience with helpful features. Category: Entertainment.</t>
  </si>
  <si>
    <t>REV00254</t>
  </si>
  <si>
    <t>Navigation is confusing and frustrating. Category: Entertainment.</t>
  </si>
  <si>
    <t>REV00255</t>
  </si>
  <si>
    <t>Customer support response was poor. Category: Entertainment.</t>
  </si>
  <si>
    <t>REV00256</t>
  </si>
  <si>
    <t>REV00257</t>
  </si>
  <si>
    <t>REV00258</t>
  </si>
  <si>
    <t>REV00259</t>
  </si>
  <si>
    <t>REV00260</t>
  </si>
  <si>
    <t>REV00261</t>
  </si>
  <si>
    <t>REV00262</t>
  </si>
  <si>
    <t>Navigation is confusing and frustrating. Category: Food Delivery.</t>
  </si>
  <si>
    <t>REV00263</t>
  </si>
  <si>
    <t>REV00264</t>
  </si>
  <si>
    <t>REV00265</t>
  </si>
  <si>
    <t>REV00266</t>
  </si>
  <si>
    <t>REV00267</t>
  </si>
  <si>
    <t>REV00268</t>
  </si>
  <si>
    <t>REV00269</t>
  </si>
  <si>
    <t>REV00270</t>
  </si>
  <si>
    <t>REV00271</t>
  </si>
  <si>
    <t>REV00272</t>
  </si>
  <si>
    <t>REV00273</t>
  </si>
  <si>
    <t>Smooth experience with helpful features. Category: Travel.</t>
  </si>
  <si>
    <t>REV00274</t>
  </si>
  <si>
    <t>Great value and reliable performance. Category: Travel.</t>
  </si>
  <si>
    <t>REV00275</t>
  </si>
  <si>
    <t>REV00276</t>
  </si>
  <si>
    <t>REV00277</t>
  </si>
  <si>
    <t>REV00278</t>
  </si>
  <si>
    <t>REV00279</t>
  </si>
  <si>
    <t>REV00280</t>
  </si>
  <si>
    <t>REV00281</t>
  </si>
  <si>
    <t>REV00282</t>
  </si>
  <si>
    <t>REV00283</t>
  </si>
  <si>
    <t>REV00284</t>
  </si>
  <si>
    <t>REV00285</t>
  </si>
  <si>
    <t>App crashes and feels slow. Category: Productivity.</t>
  </si>
  <si>
    <t>REV00286</t>
  </si>
  <si>
    <t>REV00287</t>
  </si>
  <si>
    <t>REV00288</t>
  </si>
  <si>
    <t>REV00289</t>
  </si>
  <si>
    <t>REV00290</t>
  </si>
  <si>
    <t>REV00291</t>
  </si>
  <si>
    <t>REV00292</t>
  </si>
  <si>
    <t>REV00293</t>
  </si>
  <si>
    <t>REV00294</t>
  </si>
  <si>
    <t>REV00295</t>
  </si>
  <si>
    <t>Very useful and easy to use. Category: Health.</t>
  </si>
  <si>
    <t>REV00296</t>
  </si>
  <si>
    <t>REV00297</t>
  </si>
  <si>
    <t>REV00298</t>
  </si>
  <si>
    <t>REV00299</t>
  </si>
  <si>
    <t>REV00300</t>
  </si>
  <si>
    <t>REV00301</t>
  </si>
  <si>
    <t>REV00302</t>
  </si>
  <si>
    <t>REV00303</t>
  </si>
  <si>
    <t>REV00304</t>
  </si>
  <si>
    <t>REV00305</t>
  </si>
  <si>
    <t>REV00306</t>
  </si>
  <si>
    <t>REV00307</t>
  </si>
  <si>
    <t>REV00308</t>
  </si>
  <si>
    <t>Average experience for my needs. Category: Finance.</t>
  </si>
  <si>
    <t>REV00309</t>
  </si>
  <si>
    <t>REV00310</t>
  </si>
  <si>
    <t>REV00311</t>
  </si>
  <si>
    <t>REV00312</t>
  </si>
  <si>
    <t>REV00313</t>
  </si>
  <si>
    <t>REV00314</t>
  </si>
  <si>
    <t>REV00315</t>
  </si>
  <si>
    <t>REV00316</t>
  </si>
  <si>
    <t>REV00317</t>
  </si>
  <si>
    <t>REV00318</t>
  </si>
  <si>
    <t>REV00319</t>
  </si>
  <si>
    <t>REV00320</t>
  </si>
  <si>
    <t>REV00321</t>
  </si>
  <si>
    <t>REV00322</t>
  </si>
  <si>
    <t>REV00323</t>
  </si>
  <si>
    <t>REV00324</t>
  </si>
  <si>
    <t>REV00325</t>
  </si>
  <si>
    <t>REV00326</t>
  </si>
  <si>
    <t>REV00327</t>
  </si>
  <si>
    <t>REV00328</t>
  </si>
  <si>
    <t>REV00329</t>
  </si>
  <si>
    <t>REV00330</t>
  </si>
  <si>
    <t>REV00331</t>
  </si>
  <si>
    <t>App crashes and feels slow. Category: Fitness.</t>
  </si>
  <si>
    <t>REV00332</t>
  </si>
  <si>
    <t>REV00333</t>
  </si>
  <si>
    <t>REV00334</t>
  </si>
  <si>
    <t>REV00335</t>
  </si>
  <si>
    <t>REV00336</t>
  </si>
  <si>
    <t>REV00337</t>
  </si>
  <si>
    <t>REV00338</t>
  </si>
  <si>
    <t>REV00339</t>
  </si>
  <si>
    <t>REV00340</t>
  </si>
  <si>
    <t>REV00341</t>
  </si>
  <si>
    <t>REV00342</t>
  </si>
  <si>
    <t>REV00343</t>
  </si>
  <si>
    <t>REV00344</t>
  </si>
  <si>
    <t>REV00345</t>
  </si>
  <si>
    <t>REV00346</t>
  </si>
  <si>
    <t>REV00347</t>
  </si>
  <si>
    <t>REV00348</t>
  </si>
  <si>
    <t>REV00349</t>
  </si>
  <si>
    <t>REV00350</t>
  </si>
  <si>
    <t>REV00351</t>
  </si>
  <si>
    <t>REV00352</t>
  </si>
  <si>
    <t>REV00353</t>
  </si>
  <si>
    <t>REV00354</t>
  </si>
  <si>
    <t>REV00355</t>
  </si>
  <si>
    <t>REV00356</t>
  </si>
  <si>
    <t>REV00357</t>
  </si>
  <si>
    <t>REV00358</t>
  </si>
  <si>
    <t>REV00359</t>
  </si>
  <si>
    <t>REV00360</t>
  </si>
  <si>
    <t>REV00361</t>
  </si>
  <si>
    <t>REV00362</t>
  </si>
  <si>
    <t>REV00363</t>
  </si>
  <si>
    <t>REV00364</t>
  </si>
  <si>
    <t>REV00365</t>
  </si>
  <si>
    <t>REV00366</t>
  </si>
  <si>
    <t>REV00367</t>
  </si>
  <si>
    <t>REV00368</t>
  </si>
  <si>
    <t>REV00369</t>
  </si>
  <si>
    <t>REV00370</t>
  </si>
  <si>
    <t>REV00371</t>
  </si>
  <si>
    <t>REV00372</t>
  </si>
  <si>
    <t>REV00373</t>
  </si>
  <si>
    <t>REV00374</t>
  </si>
  <si>
    <t>REV00375</t>
  </si>
  <si>
    <t>REV00376</t>
  </si>
  <si>
    <t>REV00377</t>
  </si>
  <si>
    <t>REV00378</t>
  </si>
  <si>
    <t>REV00379</t>
  </si>
  <si>
    <t>REV00380</t>
  </si>
  <si>
    <t>REV00381</t>
  </si>
  <si>
    <t>REV00382</t>
  </si>
  <si>
    <t>REV00383</t>
  </si>
  <si>
    <t>REV00384</t>
  </si>
  <si>
    <t>REV00385</t>
  </si>
  <si>
    <t>REV00386</t>
  </si>
  <si>
    <t>REV00387</t>
  </si>
  <si>
    <t>REV00388</t>
  </si>
  <si>
    <t>REV00389</t>
  </si>
  <si>
    <t>Customer support response was poor. Category: Productivity.</t>
  </si>
  <si>
    <t>REV00390</t>
  </si>
  <si>
    <t>REV00391</t>
  </si>
  <si>
    <t>REV00392</t>
  </si>
  <si>
    <t>REV00393</t>
  </si>
  <si>
    <t>REV00394</t>
  </si>
  <si>
    <t>Navigation is confusing and frustrating. Category: Health.</t>
  </si>
  <si>
    <t>REV00395</t>
  </si>
  <si>
    <t>REV00396</t>
  </si>
  <si>
    <t>REV00397</t>
  </si>
  <si>
    <t>Too expensive for the features offered. Category: Health.</t>
  </si>
  <si>
    <t>REV00398</t>
  </si>
  <si>
    <t>REV00399</t>
  </si>
  <si>
    <t>REV00400</t>
  </si>
  <si>
    <t>REV00401</t>
  </si>
  <si>
    <t>REV00402</t>
  </si>
  <si>
    <t>REV00403</t>
  </si>
  <si>
    <t>REV00404</t>
  </si>
  <si>
    <t>REV00405</t>
  </si>
  <si>
    <t>REV00406</t>
  </si>
  <si>
    <t>REV00407</t>
  </si>
  <si>
    <t>REV00408</t>
  </si>
  <si>
    <t>REV00409</t>
  </si>
  <si>
    <t>REV00410</t>
  </si>
  <si>
    <t>REV00411</t>
  </si>
  <si>
    <t>REV00412</t>
  </si>
  <si>
    <t>REV00413</t>
  </si>
  <si>
    <t>App crashes and feels slow. Category: Shopping.</t>
  </si>
  <si>
    <t>REV00414</t>
  </si>
  <si>
    <t>REV00415</t>
  </si>
  <si>
    <t>REV00416</t>
  </si>
  <si>
    <t>REV00417</t>
  </si>
  <si>
    <t>REV00418</t>
  </si>
  <si>
    <t>REV00419</t>
  </si>
  <si>
    <t>REV00420</t>
  </si>
  <si>
    <t>REV00421</t>
  </si>
  <si>
    <t>REV00422</t>
  </si>
  <si>
    <t>REV00423</t>
  </si>
  <si>
    <t>REV00424</t>
  </si>
  <si>
    <t>REV00425</t>
  </si>
  <si>
    <t>REV00426</t>
  </si>
  <si>
    <t>REV00427</t>
  </si>
  <si>
    <t>REV00428</t>
  </si>
  <si>
    <t>REV00429</t>
  </si>
  <si>
    <t>REV00430</t>
  </si>
  <si>
    <t>REV00431</t>
  </si>
  <si>
    <t>REV00432</t>
  </si>
  <si>
    <t>REV00433</t>
  </si>
  <si>
    <t>REV00434</t>
  </si>
  <si>
    <t>REV00435</t>
  </si>
  <si>
    <t>REV00436</t>
  </si>
  <si>
    <t>REV00437</t>
  </si>
  <si>
    <t>REV00438</t>
  </si>
  <si>
    <t>REV00439</t>
  </si>
  <si>
    <t>REV00440</t>
  </si>
  <si>
    <t>REV00441</t>
  </si>
  <si>
    <t>Too expensive for the features offered. Category: Education.</t>
  </si>
  <si>
    <t>REV00442</t>
  </si>
  <si>
    <t>REV00443</t>
  </si>
  <si>
    <t>REV00444</t>
  </si>
  <si>
    <t>REV00445</t>
  </si>
  <si>
    <t>REV00446</t>
  </si>
  <si>
    <t>REV00447</t>
  </si>
  <si>
    <t>REV00448</t>
  </si>
  <si>
    <t>REV00449</t>
  </si>
  <si>
    <t>REV00450</t>
  </si>
  <si>
    <t>Too expensive for the features offered. Category: Entertainment.</t>
  </si>
  <si>
    <t>REV00451</t>
  </si>
  <si>
    <t>REV00452</t>
  </si>
  <si>
    <t>REV00453</t>
  </si>
  <si>
    <t>REV00454</t>
  </si>
  <si>
    <t>REV00455</t>
  </si>
  <si>
    <t>REV00456</t>
  </si>
  <si>
    <t>REV00457</t>
  </si>
  <si>
    <t>REV00458</t>
  </si>
  <si>
    <t>REV00459</t>
  </si>
  <si>
    <t>REV00460</t>
  </si>
  <si>
    <t>REV00461</t>
  </si>
  <si>
    <t>REV00462</t>
  </si>
  <si>
    <t>REV00463</t>
  </si>
  <si>
    <t>Too expensive for the features offered. Category: Food Delivery.</t>
  </si>
  <si>
    <t>REV00464</t>
  </si>
  <si>
    <t>REV00465</t>
  </si>
  <si>
    <t>REV00466</t>
  </si>
  <si>
    <t>REV00467</t>
  </si>
  <si>
    <t>REV00468</t>
  </si>
  <si>
    <t>REV00469</t>
  </si>
  <si>
    <t>REV00470</t>
  </si>
  <si>
    <t>REV00471</t>
  </si>
  <si>
    <t>REV00472</t>
  </si>
  <si>
    <t>REV00473</t>
  </si>
  <si>
    <t>REV00474</t>
  </si>
  <si>
    <t>REV00475</t>
  </si>
  <si>
    <t>REV00476</t>
  </si>
  <si>
    <t>REV00477</t>
  </si>
  <si>
    <t>REV00478</t>
  </si>
  <si>
    <t>REV00479</t>
  </si>
  <si>
    <t>Too expensive for the features offered. Category: Travel.</t>
  </si>
  <si>
    <t>REV00480</t>
  </si>
  <si>
    <t>REV00481</t>
  </si>
  <si>
    <t>REV00482</t>
  </si>
  <si>
    <t>REV00483</t>
  </si>
  <si>
    <t>REV00484</t>
  </si>
  <si>
    <t>REV00485</t>
  </si>
  <si>
    <t>REV00486</t>
  </si>
  <si>
    <t>REV00487</t>
  </si>
  <si>
    <t>REV00488</t>
  </si>
  <si>
    <t>REV00489</t>
  </si>
  <si>
    <t>REV00490</t>
  </si>
  <si>
    <t>REV00491</t>
  </si>
  <si>
    <t>REV00492</t>
  </si>
  <si>
    <t>REV00493</t>
  </si>
  <si>
    <t>REV00494</t>
  </si>
  <si>
    <t>REV00495</t>
  </si>
  <si>
    <t>REV00496</t>
  </si>
  <si>
    <t>REV00497</t>
  </si>
  <si>
    <t>REV00498</t>
  </si>
  <si>
    <t>REV00499</t>
  </si>
  <si>
    <t>REV00500</t>
  </si>
  <si>
    <t>REV00501</t>
  </si>
  <si>
    <t>REV00502</t>
  </si>
  <si>
    <t>REV00503</t>
  </si>
  <si>
    <t>REV00504</t>
  </si>
  <si>
    <t>REV00505</t>
  </si>
  <si>
    <t>REV00506</t>
  </si>
  <si>
    <t>REV00507</t>
  </si>
  <si>
    <t>REV00508</t>
  </si>
  <si>
    <t>REV00509</t>
  </si>
  <si>
    <t>REV00510</t>
  </si>
  <si>
    <t>REV00511</t>
  </si>
  <si>
    <t>REV00512</t>
  </si>
  <si>
    <t>REV00513</t>
  </si>
  <si>
    <t>REV00514</t>
  </si>
  <si>
    <t>REV00515</t>
  </si>
  <si>
    <t>REV00516</t>
  </si>
  <si>
    <t>REV00517</t>
  </si>
  <si>
    <t>REV00518</t>
  </si>
  <si>
    <t>REV00519</t>
  </si>
  <si>
    <t>REV00520</t>
  </si>
  <si>
    <t>REV00521</t>
  </si>
  <si>
    <t>REV00522</t>
  </si>
  <si>
    <t>REV00523</t>
  </si>
  <si>
    <t>REV00524</t>
  </si>
  <si>
    <t>REV00525</t>
  </si>
  <si>
    <t>Customer support response was poor. Category: Fitness.</t>
  </si>
  <si>
    <t>REV00526</t>
  </si>
  <si>
    <t>REV00527</t>
  </si>
  <si>
    <t>REV00528</t>
  </si>
  <si>
    <t>REV00529</t>
  </si>
  <si>
    <t>REV00530</t>
  </si>
  <si>
    <t>REV00531</t>
  </si>
  <si>
    <t>REV00532</t>
  </si>
  <si>
    <t>REV00533</t>
  </si>
  <si>
    <t>REV00534</t>
  </si>
  <si>
    <t>REV00535</t>
  </si>
  <si>
    <t>REV00536</t>
  </si>
  <si>
    <t>REV00537</t>
  </si>
  <si>
    <t>REV00538</t>
  </si>
  <si>
    <t>REV00539</t>
  </si>
  <si>
    <t>REV00540</t>
  </si>
  <si>
    <t>REV00541</t>
  </si>
  <si>
    <t>REV00542</t>
  </si>
  <si>
    <t>REV00543</t>
  </si>
  <si>
    <t>REV00544</t>
  </si>
  <si>
    <t>REV00545</t>
  </si>
  <si>
    <t>REV00546</t>
  </si>
  <si>
    <t>REV00547</t>
  </si>
  <si>
    <t>REV00548</t>
  </si>
  <si>
    <t>REV00549</t>
  </si>
  <si>
    <t>REV00550</t>
  </si>
  <si>
    <t>REV00551</t>
  </si>
  <si>
    <t>REV00552</t>
  </si>
  <si>
    <t>REV00553</t>
  </si>
  <si>
    <t>REV00554</t>
  </si>
  <si>
    <t>REV00555</t>
  </si>
  <si>
    <t>REV00556</t>
  </si>
  <si>
    <t>REV00557</t>
  </si>
  <si>
    <t>REV00558</t>
  </si>
  <si>
    <t>REV00559</t>
  </si>
  <si>
    <t>REV00560</t>
  </si>
  <si>
    <t>REV00561</t>
  </si>
  <si>
    <t>REV00562</t>
  </si>
  <si>
    <t>REV00563</t>
  </si>
  <si>
    <t>REV00564</t>
  </si>
  <si>
    <t>REV00565</t>
  </si>
  <si>
    <t>REV00566</t>
  </si>
  <si>
    <t>REV00567</t>
  </si>
  <si>
    <t>REV00568</t>
  </si>
  <si>
    <t>REV00569</t>
  </si>
  <si>
    <t>REV00570</t>
  </si>
  <si>
    <t>REV00571</t>
  </si>
  <si>
    <t>REV00572</t>
  </si>
  <si>
    <t>REV00573</t>
  </si>
  <si>
    <t>REV00574</t>
  </si>
  <si>
    <t>REV00575</t>
  </si>
  <si>
    <t>REV00576</t>
  </si>
  <si>
    <t>REV00577</t>
  </si>
  <si>
    <t>REV00578</t>
  </si>
  <si>
    <t>REV00579</t>
  </si>
  <si>
    <t>REV00580</t>
  </si>
  <si>
    <t>REV00581</t>
  </si>
  <si>
    <t>REV00582</t>
  </si>
  <si>
    <t>REV00583</t>
  </si>
  <si>
    <t>Useful app, but a few features are missing. Category: Productivity.</t>
  </si>
  <si>
    <t>REV00584</t>
  </si>
  <si>
    <t>REV00585</t>
  </si>
  <si>
    <t>REV00586</t>
  </si>
  <si>
    <t>REV00587</t>
  </si>
  <si>
    <t>REV00588</t>
  </si>
  <si>
    <t>REV00589</t>
  </si>
  <si>
    <t>REV00590</t>
  </si>
  <si>
    <t>REV00591</t>
  </si>
  <si>
    <t>REV00592</t>
  </si>
  <si>
    <t>REV00593</t>
  </si>
  <si>
    <t>REV00594</t>
  </si>
  <si>
    <t>REV00595</t>
  </si>
  <si>
    <t>REV00596</t>
  </si>
  <si>
    <t>REV00597</t>
  </si>
  <si>
    <t>REV00598</t>
  </si>
  <si>
    <t>REV00599</t>
  </si>
  <si>
    <t>REV00600</t>
  </si>
  <si>
    <t>REV00601</t>
  </si>
  <si>
    <t>REV00602</t>
  </si>
  <si>
    <t>REV00603</t>
  </si>
  <si>
    <t>REV00604</t>
  </si>
  <si>
    <t>Navigation is confusing and frustrating. Category: Finance.</t>
  </si>
  <si>
    <t>REV00605</t>
  </si>
  <si>
    <t>REV00606</t>
  </si>
  <si>
    <t>REV00607</t>
  </si>
  <si>
    <t>REV00608</t>
  </si>
  <si>
    <t>REV00609</t>
  </si>
  <si>
    <t>REV00610</t>
  </si>
  <si>
    <t>REV00611</t>
  </si>
  <si>
    <t>REV00612</t>
  </si>
  <si>
    <t>REV00613</t>
  </si>
  <si>
    <t>REV00614</t>
  </si>
  <si>
    <t>REV00615</t>
  </si>
  <si>
    <t>REV00616</t>
  </si>
  <si>
    <t>REV00617</t>
  </si>
  <si>
    <t>REV00618</t>
  </si>
  <si>
    <t>REV00619</t>
  </si>
  <si>
    <t>REV00620</t>
  </si>
  <si>
    <t>REV00621</t>
  </si>
  <si>
    <t>REV00622</t>
  </si>
  <si>
    <t>REV00623</t>
  </si>
  <si>
    <t>REV00624</t>
  </si>
  <si>
    <t>REV00625</t>
  </si>
  <si>
    <t>REV00626</t>
  </si>
  <si>
    <t>REV00627</t>
  </si>
  <si>
    <t>REV00628</t>
  </si>
  <si>
    <t>REV00629</t>
  </si>
  <si>
    <t>REV00630</t>
  </si>
  <si>
    <t>REV00631</t>
  </si>
  <si>
    <t>REV00632</t>
  </si>
  <si>
    <t>REV00633</t>
  </si>
  <si>
    <t>REV00634</t>
  </si>
  <si>
    <t>REV00635</t>
  </si>
  <si>
    <t>REV00636</t>
  </si>
  <si>
    <t>REV00637</t>
  </si>
  <si>
    <t>REV00638</t>
  </si>
  <si>
    <t>REV00639</t>
  </si>
  <si>
    <t>REV00640</t>
  </si>
  <si>
    <t>REV00641</t>
  </si>
  <si>
    <t>REV00642</t>
  </si>
  <si>
    <t>REV00643</t>
  </si>
  <si>
    <t>REV00644</t>
  </si>
  <si>
    <t>REV00645</t>
  </si>
  <si>
    <t>REV00646</t>
  </si>
  <si>
    <t>REV00647</t>
  </si>
  <si>
    <t>REV00648</t>
  </si>
  <si>
    <t>REV00649</t>
  </si>
  <si>
    <t>REV00650</t>
  </si>
  <si>
    <t>REV00651</t>
  </si>
  <si>
    <t>REV00652</t>
  </si>
  <si>
    <t>REV00653</t>
  </si>
  <si>
    <t>REV00654</t>
  </si>
  <si>
    <t>REV00655</t>
  </si>
  <si>
    <t>REV00656</t>
  </si>
  <si>
    <t>REV00657</t>
  </si>
  <si>
    <t>REV00658</t>
  </si>
  <si>
    <t>REV00659</t>
  </si>
  <si>
    <t>REV00660</t>
  </si>
  <si>
    <t>REV00661</t>
  </si>
  <si>
    <t>REV00662</t>
  </si>
  <si>
    <t>REV00663</t>
  </si>
  <si>
    <t>REV00664</t>
  </si>
  <si>
    <t>REV00665</t>
  </si>
  <si>
    <t>REV00666</t>
  </si>
  <si>
    <t>REV00667</t>
  </si>
  <si>
    <t>REV00668</t>
  </si>
  <si>
    <t>REV00669</t>
  </si>
  <si>
    <t>REV00670</t>
  </si>
  <si>
    <t>REV00671</t>
  </si>
  <si>
    <t>REV00672</t>
  </si>
  <si>
    <t>REV00673</t>
  </si>
  <si>
    <t>REV00674</t>
  </si>
  <si>
    <t>REV00675</t>
  </si>
  <si>
    <t>REV00676</t>
  </si>
  <si>
    <t>REV00677</t>
  </si>
  <si>
    <t>REV00678</t>
  </si>
  <si>
    <t>REV00679</t>
  </si>
  <si>
    <t>REV00680</t>
  </si>
  <si>
    <t>REV00681</t>
  </si>
  <si>
    <t>REV00682</t>
  </si>
  <si>
    <t>REV00683</t>
  </si>
  <si>
    <t>REV00684</t>
  </si>
  <si>
    <t>REV00685</t>
  </si>
  <si>
    <t>REV00686</t>
  </si>
  <si>
    <t>REV00687</t>
  </si>
  <si>
    <t>REV00688</t>
  </si>
  <si>
    <t>REV00689</t>
  </si>
  <si>
    <t>REV00690</t>
  </si>
  <si>
    <t>REV00691</t>
  </si>
  <si>
    <t>REV00692</t>
  </si>
  <si>
    <t>REV00693</t>
  </si>
  <si>
    <t>REV00694</t>
  </si>
  <si>
    <t>REV00695</t>
  </si>
  <si>
    <t>REV00696</t>
  </si>
  <si>
    <t>REV00697</t>
  </si>
  <si>
    <t>REV00698</t>
  </si>
  <si>
    <t>REV00699</t>
  </si>
  <si>
    <t>REV00700</t>
  </si>
  <si>
    <t>REV00701</t>
  </si>
  <si>
    <t>REV00702</t>
  </si>
  <si>
    <t>REV00703</t>
  </si>
  <si>
    <t>REV00704</t>
  </si>
  <si>
    <t>REV00705</t>
  </si>
  <si>
    <t>REV00706</t>
  </si>
  <si>
    <t>REV00707</t>
  </si>
  <si>
    <t>REV00708</t>
  </si>
  <si>
    <t>REV00709</t>
  </si>
  <si>
    <t>REV00710</t>
  </si>
  <si>
    <t>REV00711</t>
  </si>
  <si>
    <t>REV00712</t>
  </si>
  <si>
    <t>App crashes and feels slow. Category: Finance.</t>
  </si>
  <si>
    <t>REV00713</t>
  </si>
  <si>
    <t>REV00714</t>
  </si>
  <si>
    <t>REV00715</t>
  </si>
  <si>
    <t>REV00716</t>
  </si>
  <si>
    <t>REV00717</t>
  </si>
  <si>
    <t>REV00718</t>
  </si>
  <si>
    <t>REV00719</t>
  </si>
  <si>
    <t>REV00720</t>
  </si>
  <si>
    <t>REV00721</t>
  </si>
  <si>
    <t>REV00722</t>
  </si>
  <si>
    <t>REV00723</t>
  </si>
  <si>
    <t>REV00724</t>
  </si>
  <si>
    <t>REV00725</t>
  </si>
  <si>
    <t>REV00726</t>
  </si>
  <si>
    <t>REV00727</t>
  </si>
  <si>
    <t>REV00728</t>
  </si>
  <si>
    <t>REV00729</t>
  </si>
  <si>
    <t>REV00730</t>
  </si>
  <si>
    <t>REV00731</t>
  </si>
  <si>
    <t>REV00732</t>
  </si>
  <si>
    <t>REV00733</t>
  </si>
  <si>
    <t>REV00734</t>
  </si>
  <si>
    <t>REV00735</t>
  </si>
  <si>
    <t>REV00736</t>
  </si>
  <si>
    <t>REV00737</t>
  </si>
  <si>
    <t>REV00738</t>
  </si>
  <si>
    <t>REV00739</t>
  </si>
  <si>
    <t>REV00740</t>
  </si>
  <si>
    <t>REV00741</t>
  </si>
  <si>
    <t>REV00742</t>
  </si>
  <si>
    <t>REV00743</t>
  </si>
  <si>
    <t>REV00744</t>
  </si>
  <si>
    <t>REV00745</t>
  </si>
  <si>
    <t>REV00746</t>
  </si>
  <si>
    <t>REV00747</t>
  </si>
  <si>
    <t>REV00748</t>
  </si>
  <si>
    <t>REV00749</t>
  </si>
  <si>
    <t>REV00750</t>
  </si>
  <si>
    <t>REV00751</t>
  </si>
  <si>
    <t>REV00752</t>
  </si>
  <si>
    <t>REV00753</t>
  </si>
  <si>
    <t>REV00754</t>
  </si>
  <si>
    <t>REV00755</t>
  </si>
  <si>
    <t>REV00756</t>
  </si>
  <si>
    <t>REV00757</t>
  </si>
  <si>
    <t>REV00758</t>
  </si>
  <si>
    <t>REV00759</t>
  </si>
  <si>
    <t>REV00760</t>
  </si>
  <si>
    <t>REV00761</t>
  </si>
  <si>
    <t>REV00762</t>
  </si>
  <si>
    <t>REV00763</t>
  </si>
  <si>
    <t>REV00764</t>
  </si>
  <si>
    <t>REV00765</t>
  </si>
  <si>
    <t>REV00766</t>
  </si>
  <si>
    <t>REV00767</t>
  </si>
  <si>
    <t>REV00768</t>
  </si>
  <si>
    <t>REV00769</t>
  </si>
  <si>
    <t>REV00770</t>
  </si>
  <si>
    <t>REV00771</t>
  </si>
  <si>
    <t>REV00772</t>
  </si>
  <si>
    <t>REV00773</t>
  </si>
  <si>
    <t>REV00774</t>
  </si>
  <si>
    <t>REV00775</t>
  </si>
  <si>
    <t>REV00776</t>
  </si>
  <si>
    <t>REV00777</t>
  </si>
  <si>
    <t>REV00778</t>
  </si>
  <si>
    <t>REV00779</t>
  </si>
  <si>
    <t>REV00780</t>
  </si>
  <si>
    <t>REV00781</t>
  </si>
  <si>
    <t>REV00782</t>
  </si>
  <si>
    <t>REV00783</t>
  </si>
  <si>
    <t>REV00784</t>
  </si>
  <si>
    <t>REV00785</t>
  </si>
  <si>
    <t>REV00786</t>
  </si>
  <si>
    <t>REV00787</t>
  </si>
  <si>
    <t>REV00788</t>
  </si>
  <si>
    <t>REV00789</t>
  </si>
  <si>
    <t>REV00790</t>
  </si>
  <si>
    <t>REV00791</t>
  </si>
  <si>
    <t>REV00792</t>
  </si>
  <si>
    <t>REV00793</t>
  </si>
  <si>
    <t>REV00794</t>
  </si>
  <si>
    <t>REV00795</t>
  </si>
  <si>
    <t>REV00796</t>
  </si>
  <si>
    <t>REV00797</t>
  </si>
  <si>
    <t>REV00798</t>
  </si>
  <si>
    <t>REV00799</t>
  </si>
  <si>
    <t>REV00800</t>
  </si>
  <si>
    <t>REV00801</t>
  </si>
  <si>
    <t>REV00802</t>
  </si>
  <si>
    <t>REV00803</t>
  </si>
  <si>
    <t>REV00804</t>
  </si>
  <si>
    <t>REV00805</t>
  </si>
  <si>
    <t>REV00806</t>
  </si>
  <si>
    <t>REV00807</t>
  </si>
  <si>
    <t>REV00808</t>
  </si>
  <si>
    <t>REV00809</t>
  </si>
  <si>
    <t>REV00810</t>
  </si>
  <si>
    <t>REV00811</t>
  </si>
  <si>
    <t>REV00812</t>
  </si>
  <si>
    <t>Customer support response was poor. Category: Finance.</t>
  </si>
  <si>
    <t>REV00813</t>
  </si>
  <si>
    <t>REV00814</t>
  </si>
  <si>
    <t>REV00815</t>
  </si>
  <si>
    <t>REV00816</t>
  </si>
  <si>
    <t>REV00817</t>
  </si>
  <si>
    <t>REV00818</t>
  </si>
  <si>
    <t>REV00819</t>
  </si>
  <si>
    <t>REV00820</t>
  </si>
  <si>
    <t>REV00821</t>
  </si>
  <si>
    <t>REV00822</t>
  </si>
  <si>
    <t>REV00823</t>
  </si>
  <si>
    <t>REV00824</t>
  </si>
  <si>
    <t>REV00825</t>
  </si>
  <si>
    <t>REV00826</t>
  </si>
  <si>
    <t>REV00827</t>
  </si>
  <si>
    <t>REV00828</t>
  </si>
  <si>
    <t>REV00829</t>
  </si>
  <si>
    <t>REV00830</t>
  </si>
  <si>
    <t>REV00831</t>
  </si>
  <si>
    <t>REV00832</t>
  </si>
  <si>
    <t>REV00833</t>
  </si>
  <si>
    <t>REV00834</t>
  </si>
  <si>
    <t>REV00835</t>
  </si>
  <si>
    <t>REV00836</t>
  </si>
  <si>
    <t>REV00837</t>
  </si>
  <si>
    <t>REV00838</t>
  </si>
  <si>
    <t>REV00839</t>
  </si>
  <si>
    <t>REV00840</t>
  </si>
  <si>
    <t>REV00841</t>
  </si>
  <si>
    <t>REV00842</t>
  </si>
  <si>
    <t>REV00843</t>
  </si>
  <si>
    <t>REV00844</t>
  </si>
  <si>
    <t>REV00845</t>
  </si>
  <si>
    <t>REV00846</t>
  </si>
  <si>
    <t>REV00847</t>
  </si>
  <si>
    <t>REV00848</t>
  </si>
  <si>
    <t>REV00849</t>
  </si>
  <si>
    <t>REV00850</t>
  </si>
  <si>
    <t>REV00851</t>
  </si>
  <si>
    <t>REV00852</t>
  </si>
  <si>
    <t>REV00853</t>
  </si>
  <si>
    <t>REV00854</t>
  </si>
  <si>
    <t>REV00855</t>
  </si>
  <si>
    <t>REV00856</t>
  </si>
  <si>
    <t>REV00857</t>
  </si>
  <si>
    <t>REV00858</t>
  </si>
  <si>
    <t>REV00859</t>
  </si>
  <si>
    <t>REV00860</t>
  </si>
  <si>
    <t>REV00861</t>
  </si>
  <si>
    <t>REV00862</t>
  </si>
  <si>
    <t>REV00863</t>
  </si>
  <si>
    <t>REV00864</t>
  </si>
  <si>
    <t>REV00865</t>
  </si>
  <si>
    <t>REV00866</t>
  </si>
  <si>
    <t>REV00867</t>
  </si>
  <si>
    <t>REV00868</t>
  </si>
  <si>
    <t>Customer support response was poor. Category: Food Delivery.</t>
  </si>
  <si>
    <t>REV00869</t>
  </si>
  <si>
    <t>REV00870</t>
  </si>
  <si>
    <t>REV00871</t>
  </si>
  <si>
    <t>REV00872</t>
  </si>
  <si>
    <t>REV00873</t>
  </si>
  <si>
    <t>REV00874</t>
  </si>
  <si>
    <t>REV00875</t>
  </si>
  <si>
    <t>REV00876</t>
  </si>
  <si>
    <t>REV00877</t>
  </si>
  <si>
    <t>REV00878</t>
  </si>
  <si>
    <t>REV00879</t>
  </si>
  <si>
    <t>REV00880</t>
  </si>
  <si>
    <t>REV00881</t>
  </si>
  <si>
    <t>REV00882</t>
  </si>
  <si>
    <t>REV00883</t>
  </si>
  <si>
    <t>REV00884</t>
  </si>
  <si>
    <t>REV00885</t>
  </si>
  <si>
    <t>REV00886</t>
  </si>
  <si>
    <t>REV00887</t>
  </si>
  <si>
    <t>REV00888</t>
  </si>
  <si>
    <t>REV00889</t>
  </si>
  <si>
    <t>REV00890</t>
  </si>
  <si>
    <t>REV00891</t>
  </si>
  <si>
    <t>REV00892</t>
  </si>
  <si>
    <t>REV00893</t>
  </si>
  <si>
    <t>REV00894</t>
  </si>
  <si>
    <t>REV00895</t>
  </si>
  <si>
    <t>REV00896</t>
  </si>
  <si>
    <t>REV00897</t>
  </si>
  <si>
    <t>REV00898</t>
  </si>
  <si>
    <t>REV00899</t>
  </si>
  <si>
    <t>REV00900</t>
  </si>
  <si>
    <t>REV00901</t>
  </si>
  <si>
    <t>REV00902</t>
  </si>
  <si>
    <t>REV00903</t>
  </si>
  <si>
    <t>REV00904</t>
  </si>
  <si>
    <t>REV00905</t>
  </si>
  <si>
    <t>REV00906</t>
  </si>
  <si>
    <t>REV00907</t>
  </si>
  <si>
    <t>REV00908</t>
  </si>
  <si>
    <t>REV00909</t>
  </si>
  <si>
    <t>REV00910</t>
  </si>
  <si>
    <t>REV00911</t>
  </si>
  <si>
    <t>REV00912</t>
  </si>
  <si>
    <t>REV00913</t>
  </si>
  <si>
    <t>REV00914</t>
  </si>
  <si>
    <t>REV00915</t>
  </si>
  <si>
    <t>REV00916</t>
  </si>
  <si>
    <t>REV00917</t>
  </si>
  <si>
    <t>REV00918</t>
  </si>
  <si>
    <t>REV00919</t>
  </si>
  <si>
    <t>REV00920</t>
  </si>
  <si>
    <t>REV00921</t>
  </si>
  <si>
    <t>REV00922</t>
  </si>
  <si>
    <t>REV00923</t>
  </si>
  <si>
    <t>REV00924</t>
  </si>
  <si>
    <t>REV00925</t>
  </si>
  <si>
    <t>REV00926</t>
  </si>
  <si>
    <t>REV00927</t>
  </si>
  <si>
    <t>REV00928</t>
  </si>
  <si>
    <t>REV00929</t>
  </si>
  <si>
    <t>REV00930</t>
  </si>
  <si>
    <t>REV00931</t>
  </si>
  <si>
    <t>REV00932</t>
  </si>
  <si>
    <t>REV00933</t>
  </si>
  <si>
    <t>REV00934</t>
  </si>
  <si>
    <t>REV00935</t>
  </si>
  <si>
    <t>REV00936</t>
  </si>
  <si>
    <t>REV00937</t>
  </si>
  <si>
    <t>REV00938</t>
  </si>
  <si>
    <t>REV00939</t>
  </si>
  <si>
    <t>REV00940</t>
  </si>
  <si>
    <t>REV00941</t>
  </si>
  <si>
    <t>REV00942</t>
  </si>
  <si>
    <t>REV00943</t>
  </si>
  <si>
    <t>REV00944</t>
  </si>
  <si>
    <t>REV00945</t>
  </si>
  <si>
    <t>REV00946</t>
  </si>
  <si>
    <t>REV00947</t>
  </si>
  <si>
    <t>REV00948</t>
  </si>
  <si>
    <t>REV00949</t>
  </si>
  <si>
    <t>REV00950</t>
  </si>
  <si>
    <t>REV00951</t>
  </si>
  <si>
    <t>REV00952</t>
  </si>
  <si>
    <t>REV00953</t>
  </si>
  <si>
    <t>REV00954</t>
  </si>
  <si>
    <t>REV00955</t>
  </si>
  <si>
    <t>REV00956</t>
  </si>
  <si>
    <t>REV00957</t>
  </si>
  <si>
    <t>REV00958</t>
  </si>
  <si>
    <t>REV00959</t>
  </si>
  <si>
    <t>REV00960</t>
  </si>
  <si>
    <t>REV00961</t>
  </si>
  <si>
    <t>REV00962</t>
  </si>
  <si>
    <t>REV00963</t>
  </si>
  <si>
    <t>REV00964</t>
  </si>
  <si>
    <t>REV00965</t>
  </si>
  <si>
    <t>REV00966</t>
  </si>
  <si>
    <t>REV00967</t>
  </si>
  <si>
    <t>REV00968</t>
  </si>
  <si>
    <t>REV00969</t>
  </si>
  <si>
    <t>REV00970</t>
  </si>
  <si>
    <t>REV00971</t>
  </si>
  <si>
    <t>REV00972</t>
  </si>
  <si>
    <t>REV00973</t>
  </si>
  <si>
    <t>REV00974</t>
  </si>
  <si>
    <t>REV00975</t>
  </si>
  <si>
    <t>REV00976</t>
  </si>
  <si>
    <t>REV00977</t>
  </si>
  <si>
    <t>REV00978</t>
  </si>
  <si>
    <t>REV00979</t>
  </si>
  <si>
    <t>REV00980</t>
  </si>
  <si>
    <t>REV00981</t>
  </si>
  <si>
    <t>REV00982</t>
  </si>
  <si>
    <t>REV00983</t>
  </si>
  <si>
    <t>REV00984</t>
  </si>
  <si>
    <t>REV00985</t>
  </si>
  <si>
    <t>REV00986</t>
  </si>
  <si>
    <t>REV00987</t>
  </si>
  <si>
    <t>REV00988</t>
  </si>
  <si>
    <t>REV00989</t>
  </si>
  <si>
    <t>REV00990</t>
  </si>
  <si>
    <t>REV00991</t>
  </si>
  <si>
    <t>REV00992</t>
  </si>
  <si>
    <t>REV00993</t>
  </si>
  <si>
    <t>REV00994</t>
  </si>
  <si>
    <t>REV00995</t>
  </si>
  <si>
    <t>REV00996</t>
  </si>
  <si>
    <t>REV00997</t>
  </si>
  <si>
    <t>REV00998</t>
  </si>
  <si>
    <t>REV00999</t>
  </si>
  <si>
    <t>REV01000</t>
  </si>
  <si>
    <t>REV01001</t>
  </si>
  <si>
    <t>REV01002</t>
  </si>
  <si>
    <t>REV01003</t>
  </si>
  <si>
    <t>REV01004</t>
  </si>
  <si>
    <t>REV01005</t>
  </si>
  <si>
    <t>REV01006</t>
  </si>
  <si>
    <t>REV01007</t>
  </si>
  <si>
    <t>REV01008</t>
  </si>
  <si>
    <t>REV01009</t>
  </si>
  <si>
    <t>REV01010</t>
  </si>
  <si>
    <t>REV01011</t>
  </si>
  <si>
    <t>REV01012</t>
  </si>
  <si>
    <t>REV01013</t>
  </si>
  <si>
    <t>REV01014</t>
  </si>
  <si>
    <t>REV01015</t>
  </si>
  <si>
    <t>REV01016</t>
  </si>
  <si>
    <t>REV01017</t>
  </si>
  <si>
    <t>REV01018</t>
  </si>
  <si>
    <t>REV01019</t>
  </si>
  <si>
    <t>REV01020</t>
  </si>
  <si>
    <t>REV01021</t>
  </si>
  <si>
    <t>REV01022</t>
  </si>
  <si>
    <t>REV01023</t>
  </si>
  <si>
    <t>REV01024</t>
  </si>
  <si>
    <t>REV01025</t>
  </si>
  <si>
    <t>REV01026</t>
  </si>
  <si>
    <t>REV01027</t>
  </si>
  <si>
    <t>REV01028</t>
  </si>
  <si>
    <t>REV01029</t>
  </si>
  <si>
    <t>REV01030</t>
  </si>
  <si>
    <t>REV01031</t>
  </si>
  <si>
    <t>REV01032</t>
  </si>
  <si>
    <t>REV01033</t>
  </si>
  <si>
    <t>REV01034</t>
  </si>
  <si>
    <t>REV01035</t>
  </si>
  <si>
    <t>REV01036</t>
  </si>
  <si>
    <t>REV01037</t>
  </si>
  <si>
    <t>REV01038</t>
  </si>
  <si>
    <t>REV01039</t>
  </si>
  <si>
    <t>REV01040</t>
  </si>
  <si>
    <t>REV01041</t>
  </si>
  <si>
    <t>REV01042</t>
  </si>
  <si>
    <t>REV01043</t>
  </si>
  <si>
    <t>REV01044</t>
  </si>
  <si>
    <t>REV01045</t>
  </si>
  <si>
    <t>REV01046</t>
  </si>
  <si>
    <t>REV01047</t>
  </si>
  <si>
    <t>REV01048</t>
  </si>
  <si>
    <t>REV01049</t>
  </si>
  <si>
    <t>REV01050</t>
  </si>
  <si>
    <t>App crashes and feels slow. Category: Entertainment.</t>
  </si>
  <si>
    <t>REV01051</t>
  </si>
  <si>
    <t>REV01052</t>
  </si>
  <si>
    <t>REV01053</t>
  </si>
  <si>
    <t>REV01054</t>
  </si>
  <si>
    <t>REV01055</t>
  </si>
  <si>
    <t>REV01056</t>
  </si>
  <si>
    <t>REV01057</t>
  </si>
  <si>
    <t>REV01058</t>
  </si>
  <si>
    <t>REV01059</t>
  </si>
  <si>
    <t>REV01060</t>
  </si>
  <si>
    <t>REV01061</t>
  </si>
  <si>
    <t>REV01062</t>
  </si>
  <si>
    <t>REV01063</t>
  </si>
  <si>
    <t>REV01064</t>
  </si>
  <si>
    <t>REV01065</t>
  </si>
  <si>
    <t>REV01066</t>
  </si>
  <si>
    <t>REV01067</t>
  </si>
  <si>
    <t>REV01068</t>
  </si>
  <si>
    <t>REV01069</t>
  </si>
  <si>
    <t>REV01070</t>
  </si>
  <si>
    <t>REV01071</t>
  </si>
  <si>
    <t>REV01072</t>
  </si>
  <si>
    <t>REV01073</t>
  </si>
  <si>
    <t>REV01074</t>
  </si>
  <si>
    <t>REV01075</t>
  </si>
  <si>
    <t>REV01076</t>
  </si>
  <si>
    <t>REV01077</t>
  </si>
  <si>
    <t>REV01078</t>
  </si>
  <si>
    <t>REV01079</t>
  </si>
  <si>
    <t>REV01080</t>
  </si>
  <si>
    <t>REV01081</t>
  </si>
  <si>
    <t>REV01082</t>
  </si>
  <si>
    <t>REV01083</t>
  </si>
  <si>
    <t>REV01084</t>
  </si>
  <si>
    <t>REV01085</t>
  </si>
  <si>
    <t>REV01086</t>
  </si>
  <si>
    <t>REV01087</t>
  </si>
  <si>
    <t>REV01088</t>
  </si>
  <si>
    <t>REV01089</t>
  </si>
  <si>
    <t>REV01090</t>
  </si>
  <si>
    <t>REV01091</t>
  </si>
  <si>
    <t>REV01092</t>
  </si>
  <si>
    <t>REV01093</t>
  </si>
  <si>
    <t>REV01094</t>
  </si>
  <si>
    <t>REV01095</t>
  </si>
  <si>
    <t>REV01096</t>
  </si>
  <si>
    <t>REV01097</t>
  </si>
  <si>
    <t>REV01098</t>
  </si>
  <si>
    <t>REV01099</t>
  </si>
  <si>
    <t>REV01100</t>
  </si>
  <si>
    <t>REV01101</t>
  </si>
  <si>
    <t>REV01102</t>
  </si>
  <si>
    <t>REV01103</t>
  </si>
  <si>
    <t>REV01104</t>
  </si>
  <si>
    <t>REV01105</t>
  </si>
  <si>
    <t>REV01106</t>
  </si>
  <si>
    <t>REV01107</t>
  </si>
  <si>
    <t>REV01108</t>
  </si>
  <si>
    <t>REV01109</t>
  </si>
  <si>
    <t>REV01110</t>
  </si>
  <si>
    <t>REV01111</t>
  </si>
  <si>
    <t>REV01112</t>
  </si>
  <si>
    <t>REV01113</t>
  </si>
  <si>
    <t>REV01114</t>
  </si>
  <si>
    <t>REV01115</t>
  </si>
  <si>
    <t>REV01116</t>
  </si>
  <si>
    <t>REV01117</t>
  </si>
  <si>
    <t>REV01118</t>
  </si>
  <si>
    <t>REV01119</t>
  </si>
  <si>
    <t>REV01120</t>
  </si>
  <si>
    <t>REV01121</t>
  </si>
  <si>
    <t>REV01122</t>
  </si>
  <si>
    <t>REV01123</t>
  </si>
  <si>
    <t>REV01124</t>
  </si>
  <si>
    <t>REV01125</t>
  </si>
  <si>
    <t>REV01126</t>
  </si>
  <si>
    <t>REV01127</t>
  </si>
  <si>
    <t>REV01128</t>
  </si>
  <si>
    <t>REV01129</t>
  </si>
  <si>
    <t>REV01130</t>
  </si>
  <si>
    <t>REV01131</t>
  </si>
  <si>
    <t>REV01132</t>
  </si>
  <si>
    <t>REV01133</t>
  </si>
  <si>
    <t>REV01134</t>
  </si>
  <si>
    <t>REV01135</t>
  </si>
  <si>
    <t>REV01136</t>
  </si>
  <si>
    <t>REV01137</t>
  </si>
  <si>
    <t>REV01138</t>
  </si>
  <si>
    <t>REV01139</t>
  </si>
  <si>
    <t>REV01140</t>
  </si>
  <si>
    <t>REV01141</t>
  </si>
  <si>
    <t>REV01142</t>
  </si>
  <si>
    <t>REV01143</t>
  </si>
  <si>
    <t>REV01144</t>
  </si>
  <si>
    <t>REV01145</t>
  </si>
  <si>
    <t>REV01146</t>
  </si>
  <si>
    <t>REV01147</t>
  </si>
  <si>
    <t>REV01148</t>
  </si>
  <si>
    <t>REV01149</t>
  </si>
  <si>
    <t>REV01150</t>
  </si>
  <si>
    <t>REV01151</t>
  </si>
  <si>
    <t>REV01152</t>
  </si>
  <si>
    <t>REV01153</t>
  </si>
  <si>
    <t>REV01154</t>
  </si>
  <si>
    <t>REV01155</t>
  </si>
  <si>
    <t>REV01156</t>
  </si>
  <si>
    <t>REV01157</t>
  </si>
  <si>
    <t>REV01158</t>
  </si>
  <si>
    <t>REV01159</t>
  </si>
  <si>
    <t>REV01160</t>
  </si>
  <si>
    <t>REV01161</t>
  </si>
  <si>
    <t>REV01162</t>
  </si>
  <si>
    <t>REV01163</t>
  </si>
  <si>
    <t>REV01164</t>
  </si>
  <si>
    <t>REV01165</t>
  </si>
  <si>
    <t>REV01166</t>
  </si>
  <si>
    <t>REV01167</t>
  </si>
  <si>
    <t>REV01168</t>
  </si>
  <si>
    <t>REV01169</t>
  </si>
  <si>
    <t>REV01170</t>
  </si>
  <si>
    <t>REV01171</t>
  </si>
  <si>
    <t>REV01172</t>
  </si>
  <si>
    <t>REV01173</t>
  </si>
  <si>
    <t>REV01174</t>
  </si>
  <si>
    <t>REV01175</t>
  </si>
  <si>
    <t>REV01176</t>
  </si>
  <si>
    <t>REV01177</t>
  </si>
  <si>
    <t>REV01178</t>
  </si>
  <si>
    <t>REV01179</t>
  </si>
  <si>
    <t>REV01180</t>
  </si>
  <si>
    <t>REV01181</t>
  </si>
  <si>
    <t>REV01182</t>
  </si>
  <si>
    <t>Navigation is confusing and frustrating. Category: Productivity.</t>
  </si>
  <si>
    <t>REV01183</t>
  </si>
  <si>
    <t>REV01184</t>
  </si>
  <si>
    <t>REV01185</t>
  </si>
  <si>
    <t>REV01186</t>
  </si>
  <si>
    <t>REV01187</t>
  </si>
  <si>
    <t>REV01188</t>
  </si>
  <si>
    <t>REV01189</t>
  </si>
  <si>
    <t>REV01190</t>
  </si>
  <si>
    <t>REV01191</t>
  </si>
  <si>
    <t>REV01192</t>
  </si>
  <si>
    <t>REV01193</t>
  </si>
  <si>
    <t>REV01194</t>
  </si>
  <si>
    <t>REV01195</t>
  </si>
  <si>
    <t>REV01196</t>
  </si>
  <si>
    <t>REV01197</t>
  </si>
  <si>
    <t>App crashes and feels slow. Category: Health.</t>
  </si>
  <si>
    <t>REV01198</t>
  </si>
  <si>
    <t>REV01199</t>
  </si>
  <si>
    <t>REV01200</t>
  </si>
  <si>
    <t>REV01201</t>
  </si>
  <si>
    <t>REV01202</t>
  </si>
  <si>
    <t>REV01203</t>
  </si>
  <si>
    <t>REV01204</t>
  </si>
  <si>
    <t>REV01205</t>
  </si>
  <si>
    <t>REV01206</t>
  </si>
  <si>
    <t>REV01207</t>
  </si>
  <si>
    <t>REV01208</t>
  </si>
  <si>
    <t>REV01209</t>
  </si>
  <si>
    <t>REV01210</t>
  </si>
  <si>
    <t>REV01211</t>
  </si>
  <si>
    <t>REV01212</t>
  </si>
  <si>
    <t>REV01213</t>
  </si>
  <si>
    <t>REV01214</t>
  </si>
  <si>
    <t>REV01215</t>
  </si>
  <si>
    <t>REV01216</t>
  </si>
  <si>
    <t>REV01217</t>
  </si>
  <si>
    <t>REV01218</t>
  </si>
  <si>
    <t>REV01219</t>
  </si>
  <si>
    <t>REV01220</t>
  </si>
  <si>
    <t>REV01221</t>
  </si>
  <si>
    <t>REV01222</t>
  </si>
  <si>
    <t>REV01223</t>
  </si>
  <si>
    <t>REV01224</t>
  </si>
  <si>
    <t>REV01225</t>
  </si>
  <si>
    <t>REV01226</t>
  </si>
  <si>
    <t>REV01227</t>
  </si>
  <si>
    <t>REV01228</t>
  </si>
  <si>
    <t>REV01229</t>
  </si>
  <si>
    <t>REV01230</t>
  </si>
  <si>
    <t>REV01231</t>
  </si>
  <si>
    <t>REV01232</t>
  </si>
  <si>
    <t>REV01233</t>
  </si>
  <si>
    <t>REV01234</t>
  </si>
  <si>
    <t>REV01235</t>
  </si>
  <si>
    <t>REV01236</t>
  </si>
  <si>
    <t>REV01237</t>
  </si>
  <si>
    <t>REV01238</t>
  </si>
  <si>
    <t>REV01239</t>
  </si>
  <si>
    <t>REV01240</t>
  </si>
  <si>
    <t>REV01241</t>
  </si>
  <si>
    <t>REV01242</t>
  </si>
  <si>
    <t>REV01243</t>
  </si>
  <si>
    <t>REV01244</t>
  </si>
  <si>
    <t>REV01245</t>
  </si>
  <si>
    <t>REV01246</t>
  </si>
  <si>
    <t>REV01247</t>
  </si>
  <si>
    <t>REV01248</t>
  </si>
  <si>
    <t>REV01249</t>
  </si>
  <si>
    <t>REV01250</t>
  </si>
  <si>
    <t>REV01251</t>
  </si>
  <si>
    <t>REV01252</t>
  </si>
  <si>
    <t>REV01253</t>
  </si>
  <si>
    <t>REV01254</t>
  </si>
  <si>
    <t>REV01255</t>
  </si>
  <si>
    <t>REV01256</t>
  </si>
  <si>
    <t>REV01257</t>
  </si>
  <si>
    <t>REV01258</t>
  </si>
  <si>
    <t>REV01259</t>
  </si>
  <si>
    <t>REV01260</t>
  </si>
  <si>
    <t>REV01261</t>
  </si>
  <si>
    <t>REV01262</t>
  </si>
  <si>
    <t>REV01263</t>
  </si>
  <si>
    <t>REV01264</t>
  </si>
  <si>
    <t>REV01265</t>
  </si>
  <si>
    <t>REV01266</t>
  </si>
  <si>
    <t>REV01267</t>
  </si>
  <si>
    <t>REV01268</t>
  </si>
  <si>
    <t>REV01269</t>
  </si>
  <si>
    <t>REV01270</t>
  </si>
  <si>
    <t>REV01271</t>
  </si>
  <si>
    <t>REV01272</t>
  </si>
  <si>
    <t>REV01273</t>
  </si>
  <si>
    <t>REV01274</t>
  </si>
  <si>
    <t>REV01275</t>
  </si>
  <si>
    <t>REV01276</t>
  </si>
  <si>
    <t>REV01277</t>
  </si>
  <si>
    <t>REV01278</t>
  </si>
  <si>
    <t>REV01279</t>
  </si>
  <si>
    <t>REV01280</t>
  </si>
  <si>
    <t>REV01281</t>
  </si>
  <si>
    <t>REV01282</t>
  </si>
  <si>
    <t>REV01283</t>
  </si>
  <si>
    <t>REV01284</t>
  </si>
  <si>
    <t>REV01285</t>
  </si>
  <si>
    <t>REV01286</t>
  </si>
  <si>
    <t>REV01287</t>
  </si>
  <si>
    <t>REV01288</t>
  </si>
  <si>
    <t>REV01289</t>
  </si>
  <si>
    <t>REV01290</t>
  </si>
  <si>
    <t>REV01291</t>
  </si>
  <si>
    <t>REV01292</t>
  </si>
  <si>
    <t>REV01293</t>
  </si>
  <si>
    <t>REV01294</t>
  </si>
  <si>
    <t>REV01295</t>
  </si>
  <si>
    <t>REV01296</t>
  </si>
  <si>
    <t>REV01297</t>
  </si>
  <si>
    <t>REV01298</t>
  </si>
  <si>
    <t>REV01299</t>
  </si>
  <si>
    <t>REV01300</t>
  </si>
  <si>
    <t>REV01301</t>
  </si>
  <si>
    <t>REV01302</t>
  </si>
  <si>
    <t>REV01303</t>
  </si>
  <si>
    <t>REV01304</t>
  </si>
  <si>
    <t>REV01305</t>
  </si>
  <si>
    <t>REV01306</t>
  </si>
  <si>
    <t>REV01307</t>
  </si>
  <si>
    <t>REV01308</t>
  </si>
  <si>
    <t>REV01309</t>
  </si>
  <si>
    <t>REV01310</t>
  </si>
  <si>
    <t>REV01311</t>
  </si>
  <si>
    <t>REV01312</t>
  </si>
  <si>
    <t>REV01313</t>
  </si>
  <si>
    <t>REV01314</t>
  </si>
  <si>
    <t>REV01315</t>
  </si>
  <si>
    <t>REV01316</t>
  </si>
  <si>
    <t>REV01317</t>
  </si>
  <si>
    <t>REV01318</t>
  </si>
  <si>
    <t>REV01319</t>
  </si>
  <si>
    <t>REV01320</t>
  </si>
  <si>
    <t>REV01321</t>
  </si>
  <si>
    <t>REV01322</t>
  </si>
  <si>
    <t>REV01323</t>
  </si>
  <si>
    <t>REV01324</t>
  </si>
  <si>
    <t>REV01325</t>
  </si>
  <si>
    <t>REV01326</t>
  </si>
  <si>
    <t>REV01327</t>
  </si>
  <si>
    <t>REV01328</t>
  </si>
  <si>
    <t>REV01329</t>
  </si>
  <si>
    <t>REV01330</t>
  </si>
  <si>
    <t>REV01331</t>
  </si>
  <si>
    <t>REV01332</t>
  </si>
  <si>
    <t>REV01333</t>
  </si>
  <si>
    <t>REV01334</t>
  </si>
  <si>
    <t>REV01335</t>
  </si>
  <si>
    <t>REV01336</t>
  </si>
  <si>
    <t>REV01337</t>
  </si>
  <si>
    <t>REV01338</t>
  </si>
  <si>
    <t>REV01339</t>
  </si>
  <si>
    <t>REV01340</t>
  </si>
  <si>
    <t>REV01341</t>
  </si>
  <si>
    <t>REV01342</t>
  </si>
  <si>
    <t>REV01343</t>
  </si>
  <si>
    <t>REV01344</t>
  </si>
  <si>
    <t>REV01345</t>
  </si>
  <si>
    <t>REV01346</t>
  </si>
  <si>
    <t>REV01347</t>
  </si>
  <si>
    <t>REV01348</t>
  </si>
  <si>
    <t>REV01349</t>
  </si>
  <si>
    <t>REV01350</t>
  </si>
  <si>
    <t>REV01351</t>
  </si>
  <si>
    <t>REV01352</t>
  </si>
  <si>
    <t>REV01353</t>
  </si>
  <si>
    <t>REV01354</t>
  </si>
  <si>
    <t>REV01355</t>
  </si>
  <si>
    <t>REV01356</t>
  </si>
  <si>
    <t>REV01357</t>
  </si>
  <si>
    <t>REV01358</t>
  </si>
  <si>
    <t>REV01359</t>
  </si>
  <si>
    <t>REV01360</t>
  </si>
  <si>
    <t>REV01361</t>
  </si>
  <si>
    <t>REV01362</t>
  </si>
  <si>
    <t>REV01363</t>
  </si>
  <si>
    <t>REV01364</t>
  </si>
  <si>
    <t>REV01365</t>
  </si>
  <si>
    <t>REV01366</t>
  </si>
  <si>
    <t>REV01367</t>
  </si>
  <si>
    <t>REV01368</t>
  </si>
  <si>
    <t>REV01369</t>
  </si>
  <si>
    <t>REV01370</t>
  </si>
  <si>
    <t>REV01371</t>
  </si>
  <si>
    <t>REV01372</t>
  </si>
  <si>
    <t>REV01373</t>
  </si>
  <si>
    <t>REV01374</t>
  </si>
  <si>
    <t>REV01375</t>
  </si>
  <si>
    <t>REV01376</t>
  </si>
  <si>
    <t>REV01377</t>
  </si>
  <si>
    <t>REV01378</t>
  </si>
  <si>
    <t>REV01379</t>
  </si>
  <si>
    <t>REV01380</t>
  </si>
  <si>
    <t>REV01381</t>
  </si>
  <si>
    <t>REV01382</t>
  </si>
  <si>
    <t>REV01383</t>
  </si>
  <si>
    <t>REV01384</t>
  </si>
  <si>
    <t>REV01385</t>
  </si>
  <si>
    <t>REV01386</t>
  </si>
  <si>
    <t>REV01387</t>
  </si>
  <si>
    <t>REV01388</t>
  </si>
  <si>
    <t>REV01389</t>
  </si>
  <si>
    <t>REV01390</t>
  </si>
  <si>
    <t>REV01391</t>
  </si>
  <si>
    <t>REV01392</t>
  </si>
  <si>
    <t>REV01393</t>
  </si>
  <si>
    <t>REV01394</t>
  </si>
  <si>
    <t>REV01395</t>
  </si>
  <si>
    <t>REV01396</t>
  </si>
  <si>
    <t>REV01397</t>
  </si>
  <si>
    <t>REV01398</t>
  </si>
  <si>
    <t>REV01399</t>
  </si>
  <si>
    <t>REV01400</t>
  </si>
  <si>
    <t>REV01401</t>
  </si>
  <si>
    <t>REV01402</t>
  </si>
  <si>
    <t>REV01403</t>
  </si>
  <si>
    <t>REV01404</t>
  </si>
  <si>
    <t>REV01405</t>
  </si>
  <si>
    <t>REV01406</t>
  </si>
  <si>
    <t>REV01407</t>
  </si>
  <si>
    <t>REV01408</t>
  </si>
  <si>
    <t>REV01409</t>
  </si>
  <si>
    <t>REV01410</t>
  </si>
  <si>
    <t>REV01411</t>
  </si>
  <si>
    <t>REV01412</t>
  </si>
  <si>
    <t>REV01413</t>
  </si>
  <si>
    <t>REV01414</t>
  </si>
  <si>
    <t>REV01415</t>
  </si>
  <si>
    <t>REV01416</t>
  </si>
  <si>
    <t>REV01417</t>
  </si>
  <si>
    <t>REV01418</t>
  </si>
  <si>
    <t>REV01419</t>
  </si>
  <si>
    <t>REV01420</t>
  </si>
  <si>
    <t>REV01421</t>
  </si>
  <si>
    <t>REV01422</t>
  </si>
  <si>
    <t>REV01423</t>
  </si>
  <si>
    <t>REV01424</t>
  </si>
  <si>
    <t>REV01425</t>
  </si>
  <si>
    <t>REV01426</t>
  </si>
  <si>
    <t>REV01427</t>
  </si>
  <si>
    <t>REV01428</t>
  </si>
  <si>
    <t>REV01429</t>
  </si>
  <si>
    <t>REV01430</t>
  </si>
  <si>
    <t>REV01431</t>
  </si>
  <si>
    <t>REV01432</t>
  </si>
  <si>
    <t>REV01433</t>
  </si>
  <si>
    <t>REV01434</t>
  </si>
  <si>
    <t>REV01435</t>
  </si>
  <si>
    <t>REV01436</t>
  </si>
  <si>
    <t>REV01437</t>
  </si>
  <si>
    <t>REV01438</t>
  </si>
  <si>
    <t>REV01439</t>
  </si>
  <si>
    <t>REV01440</t>
  </si>
  <si>
    <t>REV01441</t>
  </si>
  <si>
    <t>REV01442</t>
  </si>
  <si>
    <t>REV01443</t>
  </si>
  <si>
    <t>REV01444</t>
  </si>
  <si>
    <t>REV01445</t>
  </si>
  <si>
    <t>REV01446</t>
  </si>
  <si>
    <t>REV01447</t>
  </si>
  <si>
    <t>REV01448</t>
  </si>
  <si>
    <t>REV01449</t>
  </si>
  <si>
    <t>REV01450</t>
  </si>
  <si>
    <t>REV01451</t>
  </si>
  <si>
    <t>REV01452</t>
  </si>
  <si>
    <t>REV01453</t>
  </si>
  <si>
    <t>REV01454</t>
  </si>
  <si>
    <t>REV01455</t>
  </si>
  <si>
    <t>REV01456</t>
  </si>
  <si>
    <t>REV01457</t>
  </si>
  <si>
    <t>REV01458</t>
  </si>
  <si>
    <t>REV01459</t>
  </si>
  <si>
    <t>REV01460</t>
  </si>
  <si>
    <t>REV01461</t>
  </si>
  <si>
    <t>REV01462</t>
  </si>
  <si>
    <t>REV01463</t>
  </si>
  <si>
    <t>REV01464</t>
  </si>
  <si>
    <t>REV01465</t>
  </si>
  <si>
    <t>REV01466</t>
  </si>
  <si>
    <t>REV01467</t>
  </si>
  <si>
    <t>REV01468</t>
  </si>
  <si>
    <t>REV01469</t>
  </si>
  <si>
    <t>REV01470</t>
  </si>
  <si>
    <t>REV01471</t>
  </si>
  <si>
    <t>REV01472</t>
  </si>
  <si>
    <t>REV01473</t>
  </si>
  <si>
    <t>REV01474</t>
  </si>
  <si>
    <t>REV01475</t>
  </si>
  <si>
    <t>REV01476</t>
  </si>
  <si>
    <t>REV01477</t>
  </si>
  <si>
    <t>REV01478</t>
  </si>
  <si>
    <t>REV01479</t>
  </si>
  <si>
    <t>REV01480</t>
  </si>
  <si>
    <t>REV01481</t>
  </si>
  <si>
    <t>REV01482</t>
  </si>
  <si>
    <t>REV01483</t>
  </si>
  <si>
    <t>REV01484</t>
  </si>
  <si>
    <t>REV01485</t>
  </si>
  <si>
    <t>REV01486</t>
  </si>
  <si>
    <t>REV01487</t>
  </si>
  <si>
    <t>REV01488</t>
  </si>
  <si>
    <t>REV01489</t>
  </si>
  <si>
    <t>REV01490</t>
  </si>
  <si>
    <t>REV01491</t>
  </si>
  <si>
    <t>REV01492</t>
  </si>
  <si>
    <t>REV01493</t>
  </si>
  <si>
    <t>REV01494</t>
  </si>
  <si>
    <t>REV01495</t>
  </si>
  <si>
    <t>REV01496</t>
  </si>
  <si>
    <t>REV01497</t>
  </si>
  <si>
    <t>REV01498</t>
  </si>
  <si>
    <t>REV01499</t>
  </si>
  <si>
    <t>REV01500</t>
  </si>
  <si>
    <t>REV01501</t>
  </si>
  <si>
    <t>REV01502</t>
  </si>
  <si>
    <t>REV01503</t>
  </si>
  <si>
    <t>REV01504</t>
  </si>
  <si>
    <t>REV01505</t>
  </si>
  <si>
    <t>REV01506</t>
  </si>
  <si>
    <t>REV01507</t>
  </si>
  <si>
    <t>REV01508</t>
  </si>
  <si>
    <t>REV01509</t>
  </si>
  <si>
    <t>REV01510</t>
  </si>
  <si>
    <t>REV01511</t>
  </si>
  <si>
    <t>REV01512</t>
  </si>
  <si>
    <t>REV01513</t>
  </si>
  <si>
    <t>REV01514</t>
  </si>
  <si>
    <t>REV01515</t>
  </si>
  <si>
    <t>REV01516</t>
  </si>
  <si>
    <t>REV01517</t>
  </si>
  <si>
    <t>REV01518</t>
  </si>
  <si>
    <t>REV01519</t>
  </si>
  <si>
    <t>REV01520</t>
  </si>
  <si>
    <t>REV01521</t>
  </si>
  <si>
    <t>REV01522</t>
  </si>
  <si>
    <t>REV01523</t>
  </si>
  <si>
    <t>REV01524</t>
  </si>
  <si>
    <t>REV01525</t>
  </si>
  <si>
    <t>REV01526</t>
  </si>
  <si>
    <t>REV01527</t>
  </si>
  <si>
    <t>REV01528</t>
  </si>
  <si>
    <t>REV01529</t>
  </si>
  <si>
    <t>REV01530</t>
  </si>
  <si>
    <t>REV01531</t>
  </si>
  <si>
    <t>REV01532</t>
  </si>
  <si>
    <t>REV01533</t>
  </si>
  <si>
    <t>REV01534</t>
  </si>
  <si>
    <t>REV01535</t>
  </si>
  <si>
    <t>REV01536</t>
  </si>
  <si>
    <t>REV01537</t>
  </si>
  <si>
    <t>REV01538</t>
  </si>
  <si>
    <t>REV01539</t>
  </si>
  <si>
    <t>REV01540</t>
  </si>
  <si>
    <t>REV01541</t>
  </si>
  <si>
    <t>REV01542</t>
  </si>
  <si>
    <t>REV01543</t>
  </si>
  <si>
    <t>REV01544</t>
  </si>
  <si>
    <t>REV01545</t>
  </si>
  <si>
    <t>REV01546</t>
  </si>
  <si>
    <t>REV01547</t>
  </si>
  <si>
    <t>REV01548</t>
  </si>
  <si>
    <t>REV01549</t>
  </si>
  <si>
    <t>REV01550</t>
  </si>
  <si>
    <t>REV01551</t>
  </si>
  <si>
    <t>REV01552</t>
  </si>
  <si>
    <t>REV01553</t>
  </si>
  <si>
    <t>REV01554</t>
  </si>
  <si>
    <t>REV01555</t>
  </si>
  <si>
    <t>REV01556</t>
  </si>
  <si>
    <t>REV01557</t>
  </si>
  <si>
    <t>REV01558</t>
  </si>
  <si>
    <t>REV01559</t>
  </si>
  <si>
    <t>REV01560</t>
  </si>
  <si>
    <t>REV01561</t>
  </si>
  <si>
    <t>REV01562</t>
  </si>
  <si>
    <t>REV01563</t>
  </si>
  <si>
    <t>REV01564</t>
  </si>
  <si>
    <t>REV01565</t>
  </si>
  <si>
    <t>REV01566</t>
  </si>
  <si>
    <t>REV01567</t>
  </si>
  <si>
    <t>REV01568</t>
  </si>
  <si>
    <t>REV01569</t>
  </si>
  <si>
    <t>REV01570</t>
  </si>
  <si>
    <t>REV01571</t>
  </si>
  <si>
    <t>REV01572</t>
  </si>
  <si>
    <t>REV01573</t>
  </si>
  <si>
    <t>REV01574</t>
  </si>
  <si>
    <t>REV01575</t>
  </si>
  <si>
    <t>REV01576</t>
  </si>
  <si>
    <t>REV01577</t>
  </si>
  <si>
    <t>REV01578</t>
  </si>
  <si>
    <t>REV01579</t>
  </si>
  <si>
    <t>REV01580</t>
  </si>
  <si>
    <t>REV01581</t>
  </si>
  <si>
    <t>REV01582</t>
  </si>
  <si>
    <t>REV01583</t>
  </si>
  <si>
    <t>REV01584</t>
  </si>
  <si>
    <t>REV01585</t>
  </si>
  <si>
    <t>REV01586</t>
  </si>
  <si>
    <t>REV01587</t>
  </si>
  <si>
    <t>REV01588</t>
  </si>
  <si>
    <t>REV01589</t>
  </si>
  <si>
    <t>REV01590</t>
  </si>
  <si>
    <t>REV01591</t>
  </si>
  <si>
    <t>REV01592</t>
  </si>
  <si>
    <t>REV01593</t>
  </si>
  <si>
    <t>REV01594</t>
  </si>
  <si>
    <t>REV01595</t>
  </si>
  <si>
    <t>REV01596</t>
  </si>
  <si>
    <t>REV01597</t>
  </si>
  <si>
    <t>REV01598</t>
  </si>
  <si>
    <t>REV01599</t>
  </si>
  <si>
    <t>REV01600</t>
  </si>
  <si>
    <t>REV01601</t>
  </si>
  <si>
    <t>REV01602</t>
  </si>
  <si>
    <t>REV01603</t>
  </si>
  <si>
    <t>REV01604</t>
  </si>
  <si>
    <t>REV01605</t>
  </si>
  <si>
    <t>REV01606</t>
  </si>
  <si>
    <t>REV01607</t>
  </si>
  <si>
    <t>REV01608</t>
  </si>
  <si>
    <t>REV01609</t>
  </si>
  <si>
    <t>REV01610</t>
  </si>
  <si>
    <t>REV01611</t>
  </si>
  <si>
    <t>REV01612</t>
  </si>
  <si>
    <t>REV01613</t>
  </si>
  <si>
    <t>REV01614</t>
  </si>
  <si>
    <t>REV01615</t>
  </si>
  <si>
    <t>REV01616</t>
  </si>
  <si>
    <t>REV01617</t>
  </si>
  <si>
    <t>REV01618</t>
  </si>
  <si>
    <t>REV01619</t>
  </si>
  <si>
    <t>REV01620</t>
  </si>
  <si>
    <t>REV01621</t>
  </si>
  <si>
    <t>REV01622</t>
  </si>
  <si>
    <t>REV01623</t>
  </si>
  <si>
    <t>REV01624</t>
  </si>
  <si>
    <t>REV01625</t>
  </si>
  <si>
    <t>REV01626</t>
  </si>
  <si>
    <t>REV01627</t>
  </si>
  <si>
    <t>REV01628</t>
  </si>
  <si>
    <t>REV01629</t>
  </si>
  <si>
    <t>REV01630</t>
  </si>
  <si>
    <t>REV01631</t>
  </si>
  <si>
    <t>REV01632</t>
  </si>
  <si>
    <t>REV01633</t>
  </si>
  <si>
    <t>REV01634</t>
  </si>
  <si>
    <t>REV01635</t>
  </si>
  <si>
    <t>REV01636</t>
  </si>
  <si>
    <t>REV01637</t>
  </si>
  <si>
    <t>REV01638</t>
  </si>
  <si>
    <t>REV01639</t>
  </si>
  <si>
    <t>REV01640</t>
  </si>
  <si>
    <t>REV01641</t>
  </si>
  <si>
    <t>REV01642</t>
  </si>
  <si>
    <t>REV01643</t>
  </si>
  <si>
    <t>REV01644</t>
  </si>
  <si>
    <t>REV01645</t>
  </si>
  <si>
    <t>REV01646</t>
  </si>
  <si>
    <t>REV01647</t>
  </si>
  <si>
    <t>REV01648</t>
  </si>
  <si>
    <t>REV01649</t>
  </si>
  <si>
    <t>REV01650</t>
  </si>
  <si>
    <t>REV01651</t>
  </si>
  <si>
    <t>REV01652</t>
  </si>
  <si>
    <t>REV01653</t>
  </si>
  <si>
    <t>REV01654</t>
  </si>
  <si>
    <t>REV01655</t>
  </si>
  <si>
    <t>REV01656</t>
  </si>
  <si>
    <t>REV01657</t>
  </si>
  <si>
    <t>REV01658</t>
  </si>
  <si>
    <t>REV01659</t>
  </si>
  <si>
    <t>REV01660</t>
  </si>
  <si>
    <t>REV01661</t>
  </si>
  <si>
    <t>REV01662</t>
  </si>
  <si>
    <t>REV01663</t>
  </si>
  <si>
    <t>REV01664</t>
  </si>
  <si>
    <t>REV01665</t>
  </si>
  <si>
    <t>REV01666</t>
  </si>
  <si>
    <t>REV01667</t>
  </si>
  <si>
    <t>REV01668</t>
  </si>
  <si>
    <t>REV01669</t>
  </si>
  <si>
    <t>REV01670</t>
  </si>
  <si>
    <t>REV01671</t>
  </si>
  <si>
    <t>REV01672</t>
  </si>
  <si>
    <t>REV01673</t>
  </si>
  <si>
    <t>REV01674</t>
  </si>
  <si>
    <t>REV01675</t>
  </si>
  <si>
    <t>REV01676</t>
  </si>
  <si>
    <t>REV01677</t>
  </si>
  <si>
    <t>REV01678</t>
  </si>
  <si>
    <t>REV01679</t>
  </si>
  <si>
    <t>REV01680</t>
  </si>
  <si>
    <t>REV01681</t>
  </si>
  <si>
    <t>REV01682</t>
  </si>
  <si>
    <t>REV01683</t>
  </si>
  <si>
    <t>REV01684</t>
  </si>
  <si>
    <t>REV01685</t>
  </si>
  <si>
    <t>REV01686</t>
  </si>
  <si>
    <t>REV01687</t>
  </si>
  <si>
    <t>REV01688</t>
  </si>
  <si>
    <t>REV01689</t>
  </si>
  <si>
    <t>REV01690</t>
  </si>
  <si>
    <t>REV01691</t>
  </si>
  <si>
    <t>REV01692</t>
  </si>
  <si>
    <t>REV01693</t>
  </si>
  <si>
    <t>REV01694</t>
  </si>
  <si>
    <t>REV01695</t>
  </si>
  <si>
    <t>REV01696</t>
  </si>
  <si>
    <t>REV01697</t>
  </si>
  <si>
    <t>REV01698</t>
  </si>
  <si>
    <t>REV01699</t>
  </si>
  <si>
    <t>REV01700</t>
  </si>
  <si>
    <t>REV01701</t>
  </si>
  <si>
    <t>REV01702</t>
  </si>
  <si>
    <t>REV01703</t>
  </si>
  <si>
    <t>REV01704</t>
  </si>
  <si>
    <t>REV01705</t>
  </si>
  <si>
    <t>REV01706</t>
  </si>
  <si>
    <t>REV01707</t>
  </si>
  <si>
    <t>REV01708</t>
  </si>
  <si>
    <t>REV01709</t>
  </si>
  <si>
    <t>REV01710</t>
  </si>
  <si>
    <t>REV01711</t>
  </si>
  <si>
    <t>REV01712</t>
  </si>
  <si>
    <t>REV01713</t>
  </si>
  <si>
    <t>REV01714</t>
  </si>
  <si>
    <t>REV01715</t>
  </si>
  <si>
    <t>REV01716</t>
  </si>
  <si>
    <t>REV01717</t>
  </si>
  <si>
    <t>REV01718</t>
  </si>
  <si>
    <t>REV01719</t>
  </si>
  <si>
    <t>REV01720</t>
  </si>
  <si>
    <t>REV01721</t>
  </si>
  <si>
    <t>REV01722</t>
  </si>
  <si>
    <t>REV01723</t>
  </si>
  <si>
    <t>REV01724</t>
  </si>
  <si>
    <t>REV01725</t>
  </si>
  <si>
    <t>REV01726</t>
  </si>
  <si>
    <t>REV01727</t>
  </si>
  <si>
    <t>REV01728</t>
  </si>
  <si>
    <t>REV01729</t>
  </si>
  <si>
    <t>REV01730</t>
  </si>
  <si>
    <t>REV01731</t>
  </si>
  <si>
    <t>REV01732</t>
  </si>
  <si>
    <t>REV01733</t>
  </si>
  <si>
    <t>REV01734</t>
  </si>
  <si>
    <t>REV01735</t>
  </si>
  <si>
    <t>REV01736</t>
  </si>
  <si>
    <t>REV01737</t>
  </si>
  <si>
    <t>REV01738</t>
  </si>
  <si>
    <t>REV01739</t>
  </si>
  <si>
    <t>REV01740</t>
  </si>
  <si>
    <t>REV01741</t>
  </si>
  <si>
    <t>REV01742</t>
  </si>
  <si>
    <t>REV01743</t>
  </si>
  <si>
    <t>REV01744</t>
  </si>
  <si>
    <t>REV01745</t>
  </si>
  <si>
    <t>REV01746</t>
  </si>
  <si>
    <t>REV01747</t>
  </si>
  <si>
    <t>REV01748</t>
  </si>
  <si>
    <t>REV01749</t>
  </si>
  <si>
    <t>REV01750</t>
  </si>
  <si>
    <t>REV01751</t>
  </si>
  <si>
    <t>REV01752</t>
  </si>
  <si>
    <t>REV01753</t>
  </si>
  <si>
    <t>REV01754</t>
  </si>
  <si>
    <t>REV01755</t>
  </si>
  <si>
    <t>REV01756</t>
  </si>
  <si>
    <t>REV01757</t>
  </si>
  <si>
    <t>REV01758</t>
  </si>
  <si>
    <t>REV01759</t>
  </si>
  <si>
    <t>REV01760</t>
  </si>
  <si>
    <t>REV01761</t>
  </si>
  <si>
    <t>REV01762</t>
  </si>
  <si>
    <t>REV01763</t>
  </si>
  <si>
    <t>REV01764</t>
  </si>
  <si>
    <t>REV01765</t>
  </si>
  <si>
    <t>REV01766</t>
  </si>
  <si>
    <t>REV01767</t>
  </si>
  <si>
    <t>REV01768</t>
  </si>
  <si>
    <t>REV01769</t>
  </si>
  <si>
    <t>REV01770</t>
  </si>
  <si>
    <t>REV01771</t>
  </si>
  <si>
    <t>REV01772</t>
  </si>
  <si>
    <t>REV01773</t>
  </si>
  <si>
    <t>REV01774</t>
  </si>
  <si>
    <t>REV01775</t>
  </si>
  <si>
    <t>REV01776</t>
  </si>
  <si>
    <t>REV01777</t>
  </si>
  <si>
    <t>REV01778</t>
  </si>
  <si>
    <t>REV01779</t>
  </si>
  <si>
    <t>REV01780</t>
  </si>
  <si>
    <t>REV01781</t>
  </si>
  <si>
    <t>REV01782</t>
  </si>
  <si>
    <t>REV01783</t>
  </si>
  <si>
    <t>REV01784</t>
  </si>
  <si>
    <t>REV01785</t>
  </si>
  <si>
    <t>REV01786</t>
  </si>
  <si>
    <t>REV01787</t>
  </si>
  <si>
    <t>REV01788</t>
  </si>
  <si>
    <t>REV01789</t>
  </si>
  <si>
    <t>REV01790</t>
  </si>
  <si>
    <t>REV01791</t>
  </si>
  <si>
    <t>REV01792</t>
  </si>
  <si>
    <t>REV01793</t>
  </si>
  <si>
    <t>REV01794</t>
  </si>
  <si>
    <t>REV01795</t>
  </si>
  <si>
    <t>REV01796</t>
  </si>
  <si>
    <t>REV01797</t>
  </si>
  <si>
    <t>REV01798</t>
  </si>
  <si>
    <t>REV01799</t>
  </si>
  <si>
    <t>REV01800</t>
  </si>
  <si>
    <t>REV01801</t>
  </si>
  <si>
    <t>REV01802</t>
  </si>
  <si>
    <t>REV01803</t>
  </si>
  <si>
    <t>REV01804</t>
  </si>
  <si>
    <t>REV01805</t>
  </si>
  <si>
    <t>REV01806</t>
  </si>
  <si>
    <t>REV01807</t>
  </si>
  <si>
    <t>REV01808</t>
  </si>
  <si>
    <t>REV01809</t>
  </si>
  <si>
    <t>REV01810</t>
  </si>
  <si>
    <t>REV01811</t>
  </si>
  <si>
    <t>REV01812</t>
  </si>
  <si>
    <t>REV01813</t>
  </si>
  <si>
    <t>REV01814</t>
  </si>
  <si>
    <t>REV01815</t>
  </si>
  <si>
    <t>REV01816</t>
  </si>
  <si>
    <t>REV01817</t>
  </si>
  <si>
    <t>REV01818</t>
  </si>
  <si>
    <t>REV01819</t>
  </si>
  <si>
    <t>REV01820</t>
  </si>
  <si>
    <t>REV01821</t>
  </si>
  <si>
    <t>REV01822</t>
  </si>
  <si>
    <t>REV01823</t>
  </si>
  <si>
    <t>REV01824</t>
  </si>
  <si>
    <t>REV01825</t>
  </si>
  <si>
    <t>REV01826</t>
  </si>
  <si>
    <t>REV01827</t>
  </si>
  <si>
    <t>REV01828</t>
  </si>
  <si>
    <t>REV01829</t>
  </si>
  <si>
    <t>REV01830</t>
  </si>
  <si>
    <t>REV01831</t>
  </si>
  <si>
    <t>REV01832</t>
  </si>
  <si>
    <t>REV01833</t>
  </si>
  <si>
    <t>REV01834</t>
  </si>
  <si>
    <t>REV01835</t>
  </si>
  <si>
    <t>REV01836</t>
  </si>
  <si>
    <t>REV01837</t>
  </si>
  <si>
    <t>REV01838</t>
  </si>
  <si>
    <t>REV01839</t>
  </si>
  <si>
    <t>REV01840</t>
  </si>
  <si>
    <t>REV01841</t>
  </si>
  <si>
    <t>REV01842</t>
  </si>
  <si>
    <t>REV01843</t>
  </si>
  <si>
    <t>REV01844</t>
  </si>
  <si>
    <t>REV01845</t>
  </si>
  <si>
    <t>REV01846</t>
  </si>
  <si>
    <t>REV01847</t>
  </si>
  <si>
    <t>REV01848</t>
  </si>
  <si>
    <t>REV01849</t>
  </si>
  <si>
    <t>REV01850</t>
  </si>
  <si>
    <t>REV01851</t>
  </si>
  <si>
    <t>REV01852</t>
  </si>
  <si>
    <t>REV01853</t>
  </si>
  <si>
    <t>REV01854</t>
  </si>
  <si>
    <t>REV01855</t>
  </si>
  <si>
    <t>REV01856</t>
  </si>
  <si>
    <t>REV01857</t>
  </si>
  <si>
    <t>REV01858</t>
  </si>
  <si>
    <t>REV01859</t>
  </si>
  <si>
    <t>REV01860</t>
  </si>
  <si>
    <t>REV01861</t>
  </si>
  <si>
    <t>REV01862</t>
  </si>
  <si>
    <t>REV01863</t>
  </si>
  <si>
    <t>REV01864</t>
  </si>
  <si>
    <t>REV01865</t>
  </si>
  <si>
    <t>REV01866</t>
  </si>
  <si>
    <t>REV01867</t>
  </si>
  <si>
    <t>REV01868</t>
  </si>
  <si>
    <t>REV01869</t>
  </si>
  <si>
    <t>REV01870</t>
  </si>
  <si>
    <t>REV01871</t>
  </si>
  <si>
    <t>REV01872</t>
  </si>
  <si>
    <t>REV01873</t>
  </si>
  <si>
    <t>REV01874</t>
  </si>
  <si>
    <t>REV01875</t>
  </si>
  <si>
    <t>REV01876</t>
  </si>
  <si>
    <t>REV01877</t>
  </si>
  <si>
    <t>REV01878</t>
  </si>
  <si>
    <t>REV01879</t>
  </si>
  <si>
    <t>REV01880</t>
  </si>
  <si>
    <t>REV01881</t>
  </si>
  <si>
    <t>REV01882</t>
  </si>
  <si>
    <t>REV01883</t>
  </si>
  <si>
    <t>REV01884</t>
  </si>
  <si>
    <t>REV01885</t>
  </si>
  <si>
    <t>REV01886</t>
  </si>
  <si>
    <t>REV01887</t>
  </si>
  <si>
    <t>REV01888</t>
  </si>
  <si>
    <t>REV01889</t>
  </si>
  <si>
    <t>REV01890</t>
  </si>
  <si>
    <t>REV01891</t>
  </si>
  <si>
    <t>REV01892</t>
  </si>
  <si>
    <t>REV01893</t>
  </si>
  <si>
    <t>REV01894</t>
  </si>
  <si>
    <t>REV01895</t>
  </si>
  <si>
    <t>REV01896</t>
  </si>
  <si>
    <t>REV01897</t>
  </si>
  <si>
    <t>REV01898</t>
  </si>
  <si>
    <t>REV01899</t>
  </si>
  <si>
    <t>REV01900</t>
  </si>
  <si>
    <t>REV01901</t>
  </si>
  <si>
    <t>REV01902</t>
  </si>
  <si>
    <t>REV01903</t>
  </si>
  <si>
    <t>REV01904</t>
  </si>
  <si>
    <t>REV01905</t>
  </si>
  <si>
    <t>REV01906</t>
  </si>
  <si>
    <t>REV01907</t>
  </si>
  <si>
    <t>REV01908</t>
  </si>
  <si>
    <t>REV01909</t>
  </si>
  <si>
    <t>REV01910</t>
  </si>
  <si>
    <t>REV01911</t>
  </si>
  <si>
    <t>REV01912</t>
  </si>
  <si>
    <t>REV01913</t>
  </si>
  <si>
    <t>REV01914</t>
  </si>
  <si>
    <t>REV01915</t>
  </si>
  <si>
    <t>REV01916</t>
  </si>
  <si>
    <t>REV01917</t>
  </si>
  <si>
    <t>REV01918</t>
  </si>
  <si>
    <t>REV01919</t>
  </si>
  <si>
    <t>REV01920</t>
  </si>
  <si>
    <t>REV01921</t>
  </si>
  <si>
    <t>REV01922</t>
  </si>
  <si>
    <t>REV01923</t>
  </si>
  <si>
    <t>REV01924</t>
  </si>
  <si>
    <t>REV01925</t>
  </si>
  <si>
    <t>REV01926</t>
  </si>
  <si>
    <t>REV01927</t>
  </si>
  <si>
    <t>REV01928</t>
  </si>
  <si>
    <t>REV01929</t>
  </si>
  <si>
    <t>REV01930</t>
  </si>
  <si>
    <t>REV01931</t>
  </si>
  <si>
    <t>REV01932</t>
  </si>
  <si>
    <t>REV01933</t>
  </si>
  <si>
    <t>REV01934</t>
  </si>
  <si>
    <t>REV01935</t>
  </si>
  <si>
    <t>REV01936</t>
  </si>
  <si>
    <t>REV01937</t>
  </si>
  <si>
    <t>REV01938</t>
  </si>
  <si>
    <t>REV01939</t>
  </si>
  <si>
    <t>REV01940</t>
  </si>
  <si>
    <t>REV01941</t>
  </si>
  <si>
    <t>REV01942</t>
  </si>
  <si>
    <t>REV01943</t>
  </si>
  <si>
    <t>REV01944</t>
  </si>
  <si>
    <t>REV01945</t>
  </si>
  <si>
    <t>REV01946</t>
  </si>
  <si>
    <t>REV01947</t>
  </si>
  <si>
    <t>REV01948</t>
  </si>
  <si>
    <t>REV01949</t>
  </si>
  <si>
    <t>REV01950</t>
  </si>
  <si>
    <t>REV01951</t>
  </si>
  <si>
    <t>REV01952</t>
  </si>
  <si>
    <t>REV01953</t>
  </si>
  <si>
    <t>REV01954</t>
  </si>
  <si>
    <t>REV01955</t>
  </si>
  <si>
    <t>REV01956</t>
  </si>
  <si>
    <t>REV01957</t>
  </si>
  <si>
    <t>REV01958</t>
  </si>
  <si>
    <t>REV01959</t>
  </si>
  <si>
    <t>REV01960</t>
  </si>
  <si>
    <t>REV01961</t>
  </si>
  <si>
    <t>REV01962</t>
  </si>
  <si>
    <t>REV01963</t>
  </si>
  <si>
    <t>REV01964</t>
  </si>
  <si>
    <t>REV01965</t>
  </si>
  <si>
    <t>REV01966</t>
  </si>
  <si>
    <t>REV01967</t>
  </si>
  <si>
    <t>REV01968</t>
  </si>
  <si>
    <t>REV01969</t>
  </si>
  <si>
    <t>REV01970</t>
  </si>
  <si>
    <t>REV01971</t>
  </si>
  <si>
    <t>REV01972</t>
  </si>
  <si>
    <t>REV01973</t>
  </si>
  <si>
    <t>REV01974</t>
  </si>
  <si>
    <t>REV01975</t>
  </si>
  <si>
    <t>REV01976</t>
  </si>
  <si>
    <t>REV01977</t>
  </si>
  <si>
    <t>REV01978</t>
  </si>
  <si>
    <t>REV01979</t>
  </si>
  <si>
    <t>REV01980</t>
  </si>
  <si>
    <t>REV01981</t>
  </si>
  <si>
    <t>REV01982</t>
  </si>
  <si>
    <t>REV01983</t>
  </si>
  <si>
    <t>REV01984</t>
  </si>
  <si>
    <t>REV01985</t>
  </si>
  <si>
    <t>REV01986</t>
  </si>
  <si>
    <t>REV01987</t>
  </si>
  <si>
    <t>REV01988</t>
  </si>
  <si>
    <t>REV01989</t>
  </si>
  <si>
    <t>REV01990</t>
  </si>
  <si>
    <t>REV01991</t>
  </si>
  <si>
    <t>REV01992</t>
  </si>
  <si>
    <t>REV01993</t>
  </si>
  <si>
    <t>REV01994</t>
  </si>
  <si>
    <t>REV01995</t>
  </si>
  <si>
    <t>REV01996</t>
  </si>
  <si>
    <t>REV01997</t>
  </si>
  <si>
    <t>REV01998</t>
  </si>
  <si>
    <t>REV01999</t>
  </si>
  <si>
    <t>REV02000</t>
  </si>
  <si>
    <t>REV02001</t>
  </si>
  <si>
    <t>REV02002</t>
  </si>
  <si>
    <t>REV02003</t>
  </si>
  <si>
    <t>REV02004</t>
  </si>
  <si>
    <t>REV02005</t>
  </si>
  <si>
    <t>REV02006</t>
  </si>
  <si>
    <t>REV02007</t>
  </si>
  <si>
    <t>REV02008</t>
  </si>
  <si>
    <t>REV02009</t>
  </si>
  <si>
    <t>REV02010</t>
  </si>
  <si>
    <t>REV02011</t>
  </si>
  <si>
    <t>REV02012</t>
  </si>
  <si>
    <t>REV02013</t>
  </si>
  <si>
    <t>REV02014</t>
  </si>
  <si>
    <t>REV02015</t>
  </si>
  <si>
    <t>REV02016</t>
  </si>
  <si>
    <t>REV02017</t>
  </si>
  <si>
    <t>REV02018</t>
  </si>
  <si>
    <t>REV02019</t>
  </si>
  <si>
    <t>REV02020</t>
  </si>
  <si>
    <t>REV02021</t>
  </si>
  <si>
    <t>REV02022</t>
  </si>
  <si>
    <t>REV02023</t>
  </si>
  <si>
    <t>REV02024</t>
  </si>
  <si>
    <t>REV02025</t>
  </si>
  <si>
    <t>REV02026</t>
  </si>
  <si>
    <t>REV02027</t>
  </si>
  <si>
    <t>REV02028</t>
  </si>
  <si>
    <t>REV02029</t>
  </si>
  <si>
    <t>REV02030</t>
  </si>
  <si>
    <t>REV02031</t>
  </si>
  <si>
    <t>REV02032</t>
  </si>
  <si>
    <t>REV02033</t>
  </si>
  <si>
    <t>REV02034</t>
  </si>
  <si>
    <t>REV02035</t>
  </si>
  <si>
    <t>REV02036</t>
  </si>
  <si>
    <t>REV02037</t>
  </si>
  <si>
    <t>REV02038</t>
  </si>
  <si>
    <t>REV02039</t>
  </si>
  <si>
    <t>REV02040</t>
  </si>
  <si>
    <t>REV02041</t>
  </si>
  <si>
    <t>REV02042</t>
  </si>
  <si>
    <t>REV02043</t>
  </si>
  <si>
    <t>REV02044</t>
  </si>
  <si>
    <t>REV02045</t>
  </si>
  <si>
    <t>REV02046</t>
  </si>
  <si>
    <t>REV02047</t>
  </si>
  <si>
    <t>REV02048</t>
  </si>
  <si>
    <t>REV02049</t>
  </si>
  <si>
    <t>REV02050</t>
  </si>
  <si>
    <t>REV02051</t>
  </si>
  <si>
    <t>REV02052</t>
  </si>
  <si>
    <t>REV02053</t>
  </si>
  <si>
    <t>REV02054</t>
  </si>
  <si>
    <t>REV02055</t>
  </si>
  <si>
    <t>REV02056</t>
  </si>
  <si>
    <t>REV02057</t>
  </si>
  <si>
    <t>REV02058</t>
  </si>
  <si>
    <t>REV02059</t>
  </si>
  <si>
    <t>REV02060</t>
  </si>
  <si>
    <t>REV02061</t>
  </si>
  <si>
    <t>REV02062</t>
  </si>
  <si>
    <t>REV02063</t>
  </si>
  <si>
    <t>REV02064</t>
  </si>
  <si>
    <t>REV02065</t>
  </si>
  <si>
    <t>REV02066</t>
  </si>
  <si>
    <t>REV02067</t>
  </si>
  <si>
    <t>REV02068</t>
  </si>
  <si>
    <t>REV02069</t>
  </si>
  <si>
    <t>REV02070</t>
  </si>
  <si>
    <t>REV02071</t>
  </si>
  <si>
    <t>REV02072</t>
  </si>
  <si>
    <t>REV02073</t>
  </si>
  <si>
    <t>REV02074</t>
  </si>
  <si>
    <t>REV02075</t>
  </si>
  <si>
    <t>REV02076</t>
  </si>
  <si>
    <t>REV02077</t>
  </si>
  <si>
    <t>REV02078</t>
  </si>
  <si>
    <t>REV02079</t>
  </si>
  <si>
    <t>REV02080</t>
  </si>
  <si>
    <t>REV02081</t>
  </si>
  <si>
    <t>REV02082</t>
  </si>
  <si>
    <t>REV02083</t>
  </si>
  <si>
    <t>REV02084</t>
  </si>
  <si>
    <t>REV02085</t>
  </si>
  <si>
    <t>REV02086</t>
  </si>
  <si>
    <t>REV02087</t>
  </si>
  <si>
    <t>REV02088</t>
  </si>
  <si>
    <t>REV02089</t>
  </si>
  <si>
    <t>REV02090</t>
  </si>
  <si>
    <t>REV02091</t>
  </si>
  <si>
    <t>REV02092</t>
  </si>
  <si>
    <t>REV02093</t>
  </si>
  <si>
    <t>REV02094</t>
  </si>
  <si>
    <t>REV02095</t>
  </si>
  <si>
    <t>REV02096</t>
  </si>
  <si>
    <t>REV02097</t>
  </si>
  <si>
    <t>REV02098</t>
  </si>
  <si>
    <t>REV02099</t>
  </si>
  <si>
    <t>REV02100</t>
  </si>
  <si>
    <t>REV02101</t>
  </si>
  <si>
    <t>REV02102</t>
  </si>
  <si>
    <t>REV02103</t>
  </si>
  <si>
    <t>REV02104</t>
  </si>
  <si>
    <t>REV02105</t>
  </si>
  <si>
    <t>REV02106</t>
  </si>
  <si>
    <t>REV02107</t>
  </si>
  <si>
    <t>REV02108</t>
  </si>
  <si>
    <t>REV02109</t>
  </si>
  <si>
    <t>REV02110</t>
  </si>
  <si>
    <t>REV02111</t>
  </si>
  <si>
    <t>REV02112</t>
  </si>
  <si>
    <t>REV02113</t>
  </si>
  <si>
    <t>REV02114</t>
  </si>
  <si>
    <t>REV02115</t>
  </si>
  <si>
    <t>REV02116</t>
  </si>
  <si>
    <t>REV02117</t>
  </si>
  <si>
    <t>REV02118</t>
  </si>
  <si>
    <t>REV02119</t>
  </si>
  <si>
    <t>REV02120</t>
  </si>
  <si>
    <t>REV02121</t>
  </si>
  <si>
    <t>REV02122</t>
  </si>
  <si>
    <t>REV02123</t>
  </si>
  <si>
    <t>REV02124</t>
  </si>
  <si>
    <t>REV02125</t>
  </si>
  <si>
    <t>REV02126</t>
  </si>
  <si>
    <t>REV02127</t>
  </si>
  <si>
    <t>REV02128</t>
  </si>
  <si>
    <t>REV02129</t>
  </si>
  <si>
    <t>REV02130</t>
  </si>
  <si>
    <t>REV02131</t>
  </si>
  <si>
    <t>REV02132</t>
  </si>
  <si>
    <t>REV02133</t>
  </si>
  <si>
    <t>REV02134</t>
  </si>
  <si>
    <t>REV02135</t>
  </si>
  <si>
    <t>REV02136</t>
  </si>
  <si>
    <t>REV02137</t>
  </si>
  <si>
    <t>REV02138</t>
  </si>
  <si>
    <t>REV02139</t>
  </si>
  <si>
    <t>REV02140</t>
  </si>
  <si>
    <t>REV02141</t>
  </si>
  <si>
    <t>REV02142</t>
  </si>
  <si>
    <t>REV02143</t>
  </si>
  <si>
    <t>REV02144</t>
  </si>
  <si>
    <t>REV02145</t>
  </si>
  <si>
    <t>REV02146</t>
  </si>
  <si>
    <t>REV02147</t>
  </si>
  <si>
    <t>REV02148</t>
  </si>
  <si>
    <t>REV02149</t>
  </si>
  <si>
    <t>REV02150</t>
  </si>
  <si>
    <t>REV02151</t>
  </si>
  <si>
    <t>REV02152</t>
  </si>
  <si>
    <t>REV02153</t>
  </si>
  <si>
    <t>REV02154</t>
  </si>
  <si>
    <t>REV02155</t>
  </si>
  <si>
    <t>REV02156</t>
  </si>
  <si>
    <t>REV02157</t>
  </si>
  <si>
    <t>REV02158</t>
  </si>
  <si>
    <t>REV02159</t>
  </si>
  <si>
    <t>REV02160</t>
  </si>
  <si>
    <t>REV02161</t>
  </si>
  <si>
    <t>REV02162</t>
  </si>
  <si>
    <t>REV02163</t>
  </si>
  <si>
    <t>REV02164</t>
  </si>
  <si>
    <t>REV02165</t>
  </si>
  <si>
    <t>REV02166</t>
  </si>
  <si>
    <t>REV02167</t>
  </si>
  <si>
    <t>REV02168</t>
  </si>
  <si>
    <t>REV02169</t>
  </si>
  <si>
    <t>REV02170</t>
  </si>
  <si>
    <t>REV02171</t>
  </si>
  <si>
    <t>REV02172</t>
  </si>
  <si>
    <t>REV02173</t>
  </si>
  <si>
    <t>REV02174</t>
  </si>
  <si>
    <t>REV02175</t>
  </si>
  <si>
    <t>REV02176</t>
  </si>
  <si>
    <t>REV02177</t>
  </si>
  <si>
    <t>REV02178</t>
  </si>
  <si>
    <t>REV02179</t>
  </si>
  <si>
    <t>REV02180</t>
  </si>
  <si>
    <t>REV02181</t>
  </si>
  <si>
    <t>REV02182</t>
  </si>
  <si>
    <t>REV02183</t>
  </si>
  <si>
    <t>REV02184</t>
  </si>
  <si>
    <t>REV02185</t>
  </si>
  <si>
    <t>REV02186</t>
  </si>
  <si>
    <t>REV02187</t>
  </si>
  <si>
    <t>REV02188</t>
  </si>
  <si>
    <t>REV02189</t>
  </si>
  <si>
    <t>REV02190</t>
  </si>
  <si>
    <t>REV02191</t>
  </si>
  <si>
    <t>REV02192</t>
  </si>
  <si>
    <t>REV02193</t>
  </si>
  <si>
    <t>REV02194</t>
  </si>
  <si>
    <t>REV02195</t>
  </si>
  <si>
    <t>REV02196</t>
  </si>
  <si>
    <t>REV02197</t>
  </si>
  <si>
    <t>REV02198</t>
  </si>
  <si>
    <t>REV02199</t>
  </si>
  <si>
    <t>REV02200</t>
  </si>
  <si>
    <t>REV02201</t>
  </si>
  <si>
    <t>REV02202</t>
  </si>
  <si>
    <t>REV02203</t>
  </si>
  <si>
    <t>REV02204</t>
  </si>
  <si>
    <t>REV02205</t>
  </si>
  <si>
    <t>REV02206</t>
  </si>
  <si>
    <t>REV02207</t>
  </si>
  <si>
    <t>REV02208</t>
  </si>
  <si>
    <t>REV02209</t>
  </si>
  <si>
    <t>REV02210</t>
  </si>
  <si>
    <t>REV02211</t>
  </si>
  <si>
    <t>REV02212</t>
  </si>
  <si>
    <t>REV02213</t>
  </si>
  <si>
    <t>REV02214</t>
  </si>
  <si>
    <t>REV02215</t>
  </si>
  <si>
    <t>REV02216</t>
  </si>
  <si>
    <t>REV02217</t>
  </si>
  <si>
    <t>REV02218</t>
  </si>
  <si>
    <t>REV02219</t>
  </si>
  <si>
    <t>REV02220</t>
  </si>
  <si>
    <t>REV02221</t>
  </si>
  <si>
    <t>REV02222</t>
  </si>
  <si>
    <t>REV02223</t>
  </si>
  <si>
    <t>REV02224</t>
  </si>
  <si>
    <t>REV02225</t>
  </si>
  <si>
    <t>REV02226</t>
  </si>
  <si>
    <t>REV02227</t>
  </si>
  <si>
    <t>REV02228</t>
  </si>
  <si>
    <t>REV02229</t>
  </si>
  <si>
    <t>REV02230</t>
  </si>
  <si>
    <t>REV02231</t>
  </si>
  <si>
    <t>REV02232</t>
  </si>
  <si>
    <t>REV02233</t>
  </si>
  <si>
    <t>REV02234</t>
  </si>
  <si>
    <t>REV02235</t>
  </si>
  <si>
    <t>REV02236</t>
  </si>
  <si>
    <t>REV02237</t>
  </si>
  <si>
    <t>REV02238</t>
  </si>
  <si>
    <t>REV02239</t>
  </si>
  <si>
    <t>REV02240</t>
  </si>
  <si>
    <t>REV02241</t>
  </si>
  <si>
    <t>REV02242</t>
  </si>
  <si>
    <t>REV02243</t>
  </si>
  <si>
    <t>REV02244</t>
  </si>
  <si>
    <t>REV02245</t>
  </si>
  <si>
    <t>REV02246</t>
  </si>
  <si>
    <t>REV02247</t>
  </si>
  <si>
    <t>REV02248</t>
  </si>
  <si>
    <t>REV02249</t>
  </si>
  <si>
    <t>REV02250</t>
  </si>
  <si>
    <t>REV02251</t>
  </si>
  <si>
    <t>REV02252</t>
  </si>
  <si>
    <t>REV02253</t>
  </si>
  <si>
    <t>REV02254</t>
  </si>
  <si>
    <t>REV02255</t>
  </si>
  <si>
    <t>REV02256</t>
  </si>
  <si>
    <t>REV02257</t>
  </si>
  <si>
    <t>REV02258</t>
  </si>
  <si>
    <t>REV02259</t>
  </si>
  <si>
    <t>REV02260</t>
  </si>
  <si>
    <t>REV02261</t>
  </si>
  <si>
    <t>REV02262</t>
  </si>
  <si>
    <t>REV02263</t>
  </si>
  <si>
    <t>REV02264</t>
  </si>
  <si>
    <t>REV02265</t>
  </si>
  <si>
    <t>REV02266</t>
  </si>
  <si>
    <t>REV02267</t>
  </si>
  <si>
    <t>REV02268</t>
  </si>
  <si>
    <t>REV02269</t>
  </si>
  <si>
    <t>REV02270</t>
  </si>
  <si>
    <t>REV02271</t>
  </si>
  <si>
    <t>REV02272</t>
  </si>
  <si>
    <t>REV02273</t>
  </si>
  <si>
    <t>REV02274</t>
  </si>
  <si>
    <t>REV02275</t>
  </si>
  <si>
    <t>REV02276</t>
  </si>
  <si>
    <t>REV02277</t>
  </si>
  <si>
    <t>REV02278</t>
  </si>
  <si>
    <t>REV02279</t>
  </si>
  <si>
    <t>REV02280</t>
  </si>
  <si>
    <t>REV02281</t>
  </si>
  <si>
    <t>REV02282</t>
  </si>
  <si>
    <t>REV02283</t>
  </si>
  <si>
    <t>REV02284</t>
  </si>
  <si>
    <t>REV02285</t>
  </si>
  <si>
    <t>REV02286</t>
  </si>
  <si>
    <t>REV02287</t>
  </si>
  <si>
    <t>REV02288</t>
  </si>
  <si>
    <t>REV02289</t>
  </si>
  <si>
    <t>REV02290</t>
  </si>
  <si>
    <t>REV02291</t>
  </si>
  <si>
    <t>REV02292</t>
  </si>
  <si>
    <t>REV02293</t>
  </si>
  <si>
    <t>REV02294</t>
  </si>
  <si>
    <t>REV02295</t>
  </si>
  <si>
    <t>REV02296</t>
  </si>
  <si>
    <t>REV02297</t>
  </si>
  <si>
    <t>REV02298</t>
  </si>
  <si>
    <t>REV02299</t>
  </si>
  <si>
    <t>REV02300</t>
  </si>
  <si>
    <t>REV02301</t>
  </si>
  <si>
    <t>REV02302</t>
  </si>
  <si>
    <t>REV02303</t>
  </si>
  <si>
    <t>REV02304</t>
  </si>
  <si>
    <t>REV02305</t>
  </si>
  <si>
    <t>REV02306</t>
  </si>
  <si>
    <t>REV02307</t>
  </si>
  <si>
    <t>REV02308</t>
  </si>
  <si>
    <t>REV02309</t>
  </si>
  <si>
    <t>REV02310</t>
  </si>
  <si>
    <t>REV02311</t>
  </si>
  <si>
    <t>REV02312</t>
  </si>
  <si>
    <t>REV02313</t>
  </si>
  <si>
    <t>REV02314</t>
  </si>
  <si>
    <t>REV02315</t>
  </si>
  <si>
    <t>REV02316</t>
  </si>
  <si>
    <t>REV02317</t>
  </si>
  <si>
    <t>REV02318</t>
  </si>
  <si>
    <t>REV02319</t>
  </si>
  <si>
    <t>REV02320</t>
  </si>
  <si>
    <t>REV02321</t>
  </si>
  <si>
    <t>REV02322</t>
  </si>
  <si>
    <t>REV02323</t>
  </si>
  <si>
    <t>REV02324</t>
  </si>
  <si>
    <t>REV02325</t>
  </si>
  <si>
    <t>REV02326</t>
  </si>
  <si>
    <t>REV02327</t>
  </si>
  <si>
    <t>REV02328</t>
  </si>
  <si>
    <t>REV02329</t>
  </si>
  <si>
    <t>REV02330</t>
  </si>
  <si>
    <t>REV02331</t>
  </si>
  <si>
    <t>REV02332</t>
  </si>
  <si>
    <t>REV02333</t>
  </si>
  <si>
    <t>REV02334</t>
  </si>
  <si>
    <t>REV02335</t>
  </si>
  <si>
    <t>REV02336</t>
  </si>
  <si>
    <t>REV02337</t>
  </si>
  <si>
    <t>REV02338</t>
  </si>
  <si>
    <t>REV02339</t>
  </si>
  <si>
    <t>REV02340</t>
  </si>
  <si>
    <t>REV02341</t>
  </si>
  <si>
    <t>REV02342</t>
  </si>
  <si>
    <t>REV02343</t>
  </si>
  <si>
    <t>REV02344</t>
  </si>
  <si>
    <t>REV02345</t>
  </si>
  <si>
    <t>REV02346</t>
  </si>
  <si>
    <t>REV02347</t>
  </si>
  <si>
    <t>REV02348</t>
  </si>
  <si>
    <t>REV02349</t>
  </si>
  <si>
    <t>REV02350</t>
  </si>
  <si>
    <t>REV02351</t>
  </si>
  <si>
    <t>REV02352</t>
  </si>
  <si>
    <t>REV02353</t>
  </si>
  <si>
    <t>REV02354</t>
  </si>
  <si>
    <t>REV02355</t>
  </si>
  <si>
    <t>REV02356</t>
  </si>
  <si>
    <t>REV02357</t>
  </si>
  <si>
    <t>REV02358</t>
  </si>
  <si>
    <t>REV02359</t>
  </si>
  <si>
    <t>REV02360</t>
  </si>
  <si>
    <t>REV02361</t>
  </si>
  <si>
    <t>REV02362</t>
  </si>
  <si>
    <t>REV02363</t>
  </si>
  <si>
    <t>REV02364</t>
  </si>
  <si>
    <t>REV02365</t>
  </si>
  <si>
    <t>REV02366</t>
  </si>
  <si>
    <t>REV02367</t>
  </si>
  <si>
    <t>REV02368</t>
  </si>
  <si>
    <t>REV02369</t>
  </si>
  <si>
    <t>REV02370</t>
  </si>
  <si>
    <t>REV02371</t>
  </si>
  <si>
    <t>REV02372</t>
  </si>
  <si>
    <t>REV02373</t>
  </si>
  <si>
    <t>REV02374</t>
  </si>
  <si>
    <t>REV02375</t>
  </si>
  <si>
    <t>REV02376</t>
  </si>
  <si>
    <t>REV02377</t>
  </si>
  <si>
    <t>REV02378</t>
  </si>
  <si>
    <t>REV02379</t>
  </si>
  <si>
    <t>REV02380</t>
  </si>
  <si>
    <t>REV02381</t>
  </si>
  <si>
    <t>REV02382</t>
  </si>
  <si>
    <t>REV02383</t>
  </si>
  <si>
    <t>REV02384</t>
  </si>
  <si>
    <t>REV02385</t>
  </si>
  <si>
    <t>REV02386</t>
  </si>
  <si>
    <t>REV02387</t>
  </si>
  <si>
    <t>REV02388</t>
  </si>
  <si>
    <t>REV02389</t>
  </si>
  <si>
    <t>REV02390</t>
  </si>
  <si>
    <t>REV02391</t>
  </si>
  <si>
    <t>REV02392</t>
  </si>
  <si>
    <t>REV02393</t>
  </si>
  <si>
    <t>REV02394</t>
  </si>
  <si>
    <t>REV02395</t>
  </si>
  <si>
    <t>REV02396</t>
  </si>
  <si>
    <t>REV02397</t>
  </si>
  <si>
    <t>REV02398</t>
  </si>
  <si>
    <t>REV02399</t>
  </si>
  <si>
    <t>REV02400</t>
  </si>
  <si>
    <t>REV02401</t>
  </si>
  <si>
    <t>REV02402</t>
  </si>
  <si>
    <t>REV02403</t>
  </si>
  <si>
    <t>REV02404</t>
  </si>
  <si>
    <t>REV02405</t>
  </si>
  <si>
    <t>REV02406</t>
  </si>
  <si>
    <t>REV02407</t>
  </si>
  <si>
    <t>REV02408</t>
  </si>
  <si>
    <t>REV02409</t>
  </si>
  <si>
    <t>REV02410</t>
  </si>
  <si>
    <t>REV02411</t>
  </si>
  <si>
    <t>REV02412</t>
  </si>
  <si>
    <t>REV02413</t>
  </si>
  <si>
    <t>REV02414</t>
  </si>
  <si>
    <t>REV02415</t>
  </si>
  <si>
    <t>REV02416</t>
  </si>
  <si>
    <t>REV02417</t>
  </si>
  <si>
    <t>REV02418</t>
  </si>
  <si>
    <t>REV02419</t>
  </si>
  <si>
    <t>REV02420</t>
  </si>
  <si>
    <t>REV02421</t>
  </si>
  <si>
    <t>REV02422</t>
  </si>
  <si>
    <t>REV02423</t>
  </si>
  <si>
    <t>REV02424</t>
  </si>
  <si>
    <t>REV02425</t>
  </si>
  <si>
    <t>REV02426</t>
  </si>
  <si>
    <t>REV02427</t>
  </si>
  <si>
    <t>REV02428</t>
  </si>
  <si>
    <t>REV02429</t>
  </si>
  <si>
    <t>REV02430</t>
  </si>
  <si>
    <t>REV02431</t>
  </si>
  <si>
    <t>REV02432</t>
  </si>
  <si>
    <t>REV02433</t>
  </si>
  <si>
    <t>REV02434</t>
  </si>
  <si>
    <t>REV02435</t>
  </si>
  <si>
    <t>REV02436</t>
  </si>
  <si>
    <t>REV02437</t>
  </si>
  <si>
    <t>REV02438</t>
  </si>
  <si>
    <t>REV02439</t>
  </si>
  <si>
    <t>REV02440</t>
  </si>
  <si>
    <t>REV02441</t>
  </si>
  <si>
    <t>REV02442</t>
  </si>
  <si>
    <t>REV02443</t>
  </si>
  <si>
    <t>REV02444</t>
  </si>
  <si>
    <t>REV02445</t>
  </si>
  <si>
    <t>REV02446</t>
  </si>
  <si>
    <t>REV02447</t>
  </si>
  <si>
    <t>REV02448</t>
  </si>
  <si>
    <t>REV02449</t>
  </si>
  <si>
    <t>REV02450</t>
  </si>
  <si>
    <t>REV02451</t>
  </si>
  <si>
    <t>REV02452</t>
  </si>
  <si>
    <t>REV02453</t>
  </si>
  <si>
    <t>REV02454</t>
  </si>
  <si>
    <t>REV02455</t>
  </si>
  <si>
    <t>REV02456</t>
  </si>
  <si>
    <t>REV02457</t>
  </si>
  <si>
    <t>REV02458</t>
  </si>
  <si>
    <t>REV02459</t>
  </si>
  <si>
    <t>REV02460</t>
  </si>
  <si>
    <t>REV02461</t>
  </si>
  <si>
    <t>REV02462</t>
  </si>
  <si>
    <t>REV02463</t>
  </si>
  <si>
    <t>REV02464</t>
  </si>
  <si>
    <t>REV02465</t>
  </si>
  <si>
    <t>REV02466</t>
  </si>
  <si>
    <t>REV02467</t>
  </si>
  <si>
    <t>REV02468</t>
  </si>
  <si>
    <t>REV02469</t>
  </si>
  <si>
    <t>REV02470</t>
  </si>
  <si>
    <t>REV02471</t>
  </si>
  <si>
    <t>REV02472</t>
  </si>
  <si>
    <t>REV02473</t>
  </si>
  <si>
    <t>REV02474</t>
  </si>
  <si>
    <t>REV02475</t>
  </si>
  <si>
    <t>REV02476</t>
  </si>
  <si>
    <t>REV02477</t>
  </si>
  <si>
    <t>REV02478</t>
  </si>
  <si>
    <t>REV02479</t>
  </si>
  <si>
    <t>REV02480</t>
  </si>
  <si>
    <t>REV02481</t>
  </si>
  <si>
    <t>REV02482</t>
  </si>
  <si>
    <t>REV02483</t>
  </si>
  <si>
    <t>REV02484</t>
  </si>
  <si>
    <t>REV02485</t>
  </si>
  <si>
    <t>REV02486</t>
  </si>
  <si>
    <t>REV02487</t>
  </si>
  <si>
    <t>REV02488</t>
  </si>
  <si>
    <t>REV02489</t>
  </si>
  <si>
    <t>REV02490</t>
  </si>
  <si>
    <t>REV02491</t>
  </si>
  <si>
    <t>REV02492</t>
  </si>
  <si>
    <t>REV02493</t>
  </si>
  <si>
    <t>REV02494</t>
  </si>
  <si>
    <t>REV02495</t>
  </si>
  <si>
    <t>REV02496</t>
  </si>
  <si>
    <t>REV02497</t>
  </si>
  <si>
    <t>REV02498</t>
  </si>
  <si>
    <t>REV02499</t>
  </si>
  <si>
    <t>REV02500</t>
  </si>
  <si>
    <t>Logic: For app id, which competitor is performing the best in revenue? 
What features do they have? Monetization category
Where are they marketing
What are their target audience?
What category performs the best with which target audience
whats the main stream of income for each top rankings of each category</t>
  </si>
  <si>
    <t>What app has 1. highest age group 2. country 3. gender 4. retention</t>
  </si>
  <si>
    <t>What feature is requested the most in What sector?
- highest rating and the associated feature
- lowest rating and associated issue</t>
  </si>
  <si>
    <t>(All)</t>
  </si>
  <si>
    <t>Sum of estimated_revenue_usd</t>
  </si>
  <si>
    <t>App name</t>
  </si>
  <si>
    <t>Category</t>
  </si>
  <si>
    <t>Count of user_id</t>
  </si>
  <si>
    <t>Developer Company</t>
  </si>
  <si>
    <t>Revenue (in usd)</t>
  </si>
  <si>
    <t xml:space="preserve"> Revenue Analysis</t>
  </si>
  <si>
    <t>Competitors Analysis</t>
  </si>
  <si>
    <t>Correlation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</si>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</sst>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40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164" fontId="0" fillId="0" borderId="0" xfId="0" applyNumberFormat="1"/>
    <xf numFmtId="165" fontId="0" fillId="0" borderId="0" xfId="0" applyNumberFormat="1"/>
    <xf numFmtId="0" fontId="13" fillId="33" borderId="10" xfId="0" applyFont="1" applyFill="1"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8" fillId="0" borderId="0" xfId="0" applyFont="1" applyAlignment="1">
      <alignment horizontal="center" vertical="center"/>
    </xf>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bottom" textRotation="0" wrapText="0" indent="0" justifyLastLine="0" shrinkToFit="0" readingOrder="0"/>
    </dxf>
    <dxf>
      <numFmt numFmtId="0" formatCode="General"/>
    </dxf>
    <dxf>
      <numFmt numFmtId="19" formatCode="m/d/yyyy"/>
    </dxf>
    <dxf>
      <numFmt numFmtId="0" formatCode="General"/>
    </dxf>
    <dxf>
      <numFmt numFmtId="164" formatCode="&quot;$&quot;#,##0.00"/>
    </dxf>
    <dxf>
      <numFmt numFmtId="166" formatCode="[$$-409]#,##0"/>
    </dxf>
    <dxf>
      <numFmt numFmtId="19" formatCode="m/d/yyyy"/>
    </dxf>
    <dxf>
      <numFmt numFmtId="165" formatCode="&quot;$&quot;#,##0"/>
    </dxf>
    <dxf>
      <numFmt numFmtId="165" formatCode="&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8.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[app_master.xlsx]Pivot_Revenue!PivotTable1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Apps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Pivot_Revenue!$B$4</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Pivot_Revenue!$A$5:$A$14</c:f>
              <c:strCache>
                <c:ptCount val="10"/>
                <c:pt idx="0">
                  <c:v>MediCloud</c:v>
                </c:pt>
                <c:pt idx="1">
                  <c:v>   </c:v>
                </c:pt>
                <c:pt idx="2">
                  <c:v>LaughX</c:v>
                </c:pt>
                <c:pt idx="3">
                  <c:v>Focusly</c:v>
                </c:pt>
                <c:pt idx="4">
                  <c:v>LiftPro</c:v>
                </c:pt>
                <c:pt idx="5">
                  <c:v>DonePro</c:v>
                </c:pt>
                <c:pt idx="6">
                  <c:v>SkillNow</c:v>
                </c:pt>
                <c:pt idx="7">
                  <c:v>StyleNow</c:v>
                </c:pt>
                <c:pt idx="8">
                  <c:v>SyncPlus</c:v>
                </c:pt>
                <c:pt idx="9">
                  <c:v>Cartly</c:v>
                </c:pt>
              </c:strCache>
            </c:strRef>
          </c:cat>
          <c:val>
            <c:numRef>
              <c:f>Pivot_Revenue!$B$5:$B$14</c:f>
              <c:numCache>
                <c:formatCode>General</c:formatCode>
                <c:ptCount val="10"/>
                <c:pt idx="0">
                  <c:v>2711500</c:v>
                </c:pt>
                <c:pt idx="1">
                  <c:v>3029500</c:v>
                </c:pt>
                <c:pt idx="2">
                  <c:v>3336900</c:v>
                </c:pt>
                <c:pt idx="3">
                  <c:v>3360200</c:v>
                </c:pt>
                <c:pt idx="4">
                  <c:v>3645000</c:v>
                </c:pt>
                <c:pt idx="5">
                  <c:v>4175100</c:v>
                </c:pt>
                <c:pt idx="6">
                  <c:v>4316800</c:v>
                </c:pt>
                <c:pt idx="7">
                  <c:v>4443900</c:v>
                </c:pt>
                <c:pt idx="8">
                  <c:v>4990500</c:v>
                </c:pt>
                <c:pt idx="9">
                  <c:v>11147600</c:v>
                </c:pt>
              </c:numCache>
            </c:numRef>
          </c:val>
          <c:extLst>
            <c:ext xmlns:c16="http://schemas.microsoft.com/office/drawing/2014/chart" uri="{C3380CC4-5D6E-409C-BE32-E72D297353CC}">
              <c16:uniqueId val="{00000000-A0FB-4111-A284-1EE435B153EE}"/>
            </c:ext>
          </c:extLst>
        </c:ser>
        <c:dLbls>
          <c:showLegendKey val="0"/>
          <c:showVal val="0"/>
          <c:showCatName val="0"/>
          <c:showSerName val="0"/>
          <c:showPercent val="0"/>
          <c:showBubbleSize val="0"/>
        </c:dLbls>
        <c:gapWidth val="182"/>
        <c:axId val="499191448"/>
        <c:axId val="499193744"/>
      </c:barChart>
      <c:catAx>
        <c:axId val="499191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93744"/>
        <c:crosses val="autoZero"/>
        <c:auto val="1"/>
        <c:lblAlgn val="ctr"/>
        <c:lblOffset val="100"/>
        <c:noMultiLvlLbl val="0"/>
      </c:catAx>
      <c:valAx>
        <c:axId val="49919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91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[app_master.xlsx]Pivot_competitors!PivotTable3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competitors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Pivot_competitors!$B$3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Pivot_competitors!$A$4:$A$13</c:f>
              <c:strCache>
                <c:ptCount val="10"/>
                <c:pt idx="0">
                  <c:v>AppNest Studio</c:v>
                </c:pt>
                <c:pt idx="1">
                  <c:v>BluePeak Digital</c:v>
                </c:pt>
                <c:pt idx="2">
                  <c:v>BrightWorks</c:v>
                </c:pt>
                <c:pt idx="3">
                  <c:v>CloudFrame</c:v>
                </c:pt>
                <c:pt idx="4">
                  <c:v>GreenSpark</c:v>
                </c:pt>
                <c:pt idx="5">
                  <c:v>NextLoop</c:v>
                </c:pt>
                <c:pt idx="6">
                  <c:v>Nova Labs</c:v>
                </c:pt>
                <c:pt idx="7">
                  <c:v>OrbitSoft</c:v>
                </c:pt>
                <c:pt idx="8">
                  <c:v>PixelCraft</c:v>
                </c:pt>
                <c:pt idx="9">
                  <c:v>UrbanByte</c:v>
                </c:pt>
              </c:strCache>
            </c:strRef>
          </c:cat>
          <c:val>
            <c:numRef>
              <c:f>Pivot_competitors!$B$4:$B$13</c:f>
              <c:numCache>
                <c:formatCode>"$"#,##0.00</c:formatCode>
                <c:ptCount val="10"/>
                <c:pt idx="0">
                  <c:v>5462100</c:v>
                </c:pt>
                <c:pt idx="1">
                  <c:v>4208100</c:v>
                </c:pt>
                <c:pt idx="2">
                  <c:v>1521400</c:v>
                </c:pt>
                <c:pt idx="3">
                  <c:v>17708000</c:v>
                </c:pt>
                <c:pt idx="4">
                  <c:v>1065400</c:v>
                </c:pt>
                <c:pt idx="5">
                  <c:v>5157100</c:v>
                </c:pt>
                <c:pt idx="6">
                  <c:v>6259800</c:v>
                </c:pt>
                <c:pt idx="7">
                  <c:v>13930500</c:v>
                </c:pt>
                <c:pt idx="8">
                  <c:v>13110500</c:v>
                </c:pt>
                <c:pt idx="9">
                  <c:v>5545300</c:v>
                </c:pt>
              </c:numCache>
            </c:numRef>
          </c:val>
          <c:extLst>
            <c:ext xmlns:c16="http://schemas.microsoft.com/office/drawing/2014/chart" uri="{C3380CC4-5D6E-409C-BE32-E72D297353CC}">
              <c16:uniqueId val="{00000000-027B-484E-8045-AA810F59E467}"/>
            </c:ext>
          </c:extLst>
        </c:ser>
        <c:dLbls>
          <c:dLblPos val="outEnd"/>
          <c:showLegendKey val="0"/>
          <c:showVal val="1"/>
          <c:showCatName val="0"/>
          <c:showSerName val="0"/>
          <c:showPercent val="0"/>
          <c:showBubbleSize val="0"/>
        </c:dLbls>
        <c:gapWidth val="182"/>
        <c:axId val="715552832"/>
        <c:axId val="718042240"/>
      </c:barChart>
      <c:catAx>
        <c:axId val="71555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42240"/>
        <c:crosses val="autoZero"/>
        <c:auto val="1"/>
        <c:lblAlgn val="ctr"/>
        <c:lblOffset val="100"/>
        <c:noMultiLvlLbl val="0"/>
      </c:catAx>
      <c:valAx>
        <c:axId val="7180422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1555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[app_master.xlsx]Pivot_Revenue!PivotTable1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Pivot_Revenue!$B$4</c:f>
              <c:strCache>
                <c:ptCount val="1"/>
                <c:pt idx="0">
                  <c:v>Total</c:v>
                </c:pt>
              </c:strCache>
            </c:strRef>
          </c:tx>
          <c:spPr>
            <a:solidFill>
              <a:schemeClr val="accent1"/>
            </a:solidFill>
            <a:ln>
              <a:noFill/>
            </a:ln>
            <a:effectLst/>
          </c:spPr>
          <c:invertIfNegative val="0"/>
          <c:cat>
            <c:strRef>
              <c:f>Pivot_Revenue!$A$5:$A$14</c:f>
              <c:strCache>
                <c:ptCount val="10"/>
                <c:pt idx="0">
                  <c:v>MediCloud</c:v>
                </c:pt>
                <c:pt idx="1">
                  <c:v>   </c:v>
                </c:pt>
                <c:pt idx="2">
                  <c:v>LaughX</c:v>
                </c:pt>
                <c:pt idx="3">
                  <c:v>Focusly</c:v>
                </c:pt>
                <c:pt idx="4">
                  <c:v>LiftPro</c:v>
                </c:pt>
                <c:pt idx="5">
                  <c:v>DonePro</c:v>
                </c:pt>
                <c:pt idx="6">
                  <c:v>SkillNow</c:v>
                </c:pt>
                <c:pt idx="7">
                  <c:v>StyleNow</c:v>
                </c:pt>
                <c:pt idx="8">
                  <c:v>SyncPlus</c:v>
                </c:pt>
                <c:pt idx="9">
                  <c:v>Cartly</c:v>
                </c:pt>
              </c:strCache>
            </c:strRef>
          </c:cat>
          <c:val>
            <c:numRef>
              <c:f>Pivot_Revenue!$B$5:$B$14</c:f>
              <c:numCache>
                <c:formatCode>General</c:formatCode>
                <c:ptCount val="10"/>
                <c:pt idx="0">
                  <c:v>2711500</c:v>
                </c:pt>
                <c:pt idx="1">
                  <c:v>3029500</c:v>
                </c:pt>
                <c:pt idx="2">
                  <c:v>3336900</c:v>
                </c:pt>
                <c:pt idx="3">
                  <c:v>3360200</c:v>
                </c:pt>
                <c:pt idx="4">
                  <c:v>3645000</c:v>
                </c:pt>
                <c:pt idx="5">
                  <c:v>4175100</c:v>
                </c:pt>
                <c:pt idx="6">
                  <c:v>4316800</c:v>
                </c:pt>
                <c:pt idx="7">
                  <c:v>4443900</c:v>
                </c:pt>
                <c:pt idx="8">
                  <c:v>4990500</c:v>
                </c:pt>
                <c:pt idx="9">
                  <c:v>11147600</c:v>
                </c:pt>
              </c:numCache>
            </c:numRef>
          </c:val>
          <c:extLst>
            <c:ext xmlns:c16="http://schemas.microsoft.com/office/drawing/2014/chart" uri="{C3380CC4-5D6E-409C-BE32-E72D297353CC}">
              <c16:uniqueId val="{00000000-8106-4874-988A-23EE41643C7C}"/>
            </c:ext>
          </c:extLst>
        </c:ser>
        <c:dLbls>
          <c:showLegendKey val="0"/>
          <c:showVal val="0"/>
          <c:showCatName val="0"/>
          <c:showSerName val="0"/>
          <c:showPercent val="0"/>
          <c:showBubbleSize val="0"/>
        </c:dLbls>
        <c:gapWidth val="182"/>
        <c:axId val="14282152"/>
        <c:axId val="14284120"/>
      </c:barChart>
      <c:catAx>
        <c:axId val="14282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120"/>
        <c:crosses val="autoZero"/>
        <c:auto val="1"/>
        <c:lblAlgn val="ctr"/>
        <c:lblOffset val="100"/>
        <c:noMultiLvlLbl val="0"/>
      </c:catAx>
      <c:valAx>
        <c:axId val="14284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[app_master.xlsx]Pivot_Users!PivotTable2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Pivot_Users!$B$3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Pivot_Users!$A$4:$A$8</c:f>
              <c:strCache>
                <c:ptCount val="5"/>
                <c:pt idx="0">
                  <c:v>55+</c:v>
                </c:pt>
                <c:pt idx="1">
                  <c:v>45-54</c:v>
                </c:pt>
                <c:pt idx="2">
                  <c:v>35-44</c:v>
                </c:pt>
                <c:pt idx="3">
                  <c:v>25-34</c:v>
                </c:pt>
                <c:pt idx="4">
                  <c:v>18-24</c:v>
                </c:pt>
              </c:strCache>
            </c:strRef>
          </c:cat>
          <c:val>
            <c:numRef>
              <c:f>Pivot_Users!$B$4:$B$8</c:f>
              <c:numCache>
                <c:formatCode>General</c:formatCode>
                <c:ptCount val="5"/>
                <c:pt idx="0">
                  <c:v>12</c:v>
                </c:pt>
                <c:pt idx="1">
                  <c:v>28</c:v>
                </c:pt>
                <c:pt idx="2">
                  <c:v>51</c:v>
                </c:pt>
                <c:pt idx="3">
                  <c:v>58</c:v>
                </c:pt>
                <c:pt idx="4">
                  <c:v>51</c:v>
                </c:pt>
              </c:numCache>
            </c:numRef>
          </c:val>
          <c:extLst>
            <c:ext xmlns:c16="http://schemas.microsoft.com/office/drawing/2014/chart" uri="{C3380CC4-5D6E-409C-BE32-E72D297353CC}">
              <c16:uniqueId val="{00000000-0FEC-4859-97B7-7055F10B1B10}"/>
            </c:ext>
          </c:extLst>
        </c:ser>
        <c:dLbls>
          <c:showLegendKey val="0"/>
          <c:showVal val="0"/>
          <c:showCatName val="0"/>
          <c:showSerName val="0"/>
          <c:showPercent val="0"/>
          <c:showBubbleSize val="0"/>
        </c:dLbls>
        <c:gapWidth val="182"/>
        <c:axId val="585294600"/>
        <c:axId val="585294928"/>
      </c:barChart>
      <c:catAx>
        <c:axId val="585294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94928"/>
        <c:crosses val="autoZero"/>
        <c:auto val="1"/>
        <c:lblAlgn val="ctr"/>
        <c:lblOffset val="100"/>
        <c:noMultiLvlLbl val="0"/>
      </c:catAx>
      <c:valAx>
        <c:axId val="58529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94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[app_master.xlsx]Pivot_competitors!PivotTable3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competitors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Pivot_competitors!$B$3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Pivot_competitors!$A$4:$A$13</c:f>
              <c:strCache>
                <c:ptCount val="10"/>
                <c:pt idx="0">
                  <c:v>AppNest Studio</c:v>
                </c:pt>
                <c:pt idx="1">
                  <c:v>BluePeak Digital</c:v>
                </c:pt>
                <c:pt idx="2">
                  <c:v>BrightWorks</c:v>
                </c:pt>
                <c:pt idx="3">
                  <c:v>CloudFrame</c:v>
                </c:pt>
                <c:pt idx="4">
                  <c:v>GreenSpark</c:v>
                </c:pt>
                <c:pt idx="5">
                  <c:v>NextLoop</c:v>
                </c:pt>
                <c:pt idx="6">
                  <c:v>Nova Labs</c:v>
                </c:pt>
                <c:pt idx="7">
                  <c:v>OrbitSoft</c:v>
                </c:pt>
                <c:pt idx="8">
                  <c:v>PixelCraft</c:v>
                </c:pt>
                <c:pt idx="9">
                  <c:v>UrbanByte</c:v>
                </c:pt>
              </c:strCache>
            </c:strRef>
          </c:cat>
          <c:val>
            <c:numRef>
              <c:f>Pivot_competitors!$B$4:$B$13</c:f>
              <c:numCache>
                <c:formatCode>"$"#,##0.00</c:formatCode>
                <c:ptCount val="10"/>
                <c:pt idx="0">
                  <c:v>5462100</c:v>
                </c:pt>
                <c:pt idx="1">
                  <c:v>4208100</c:v>
                </c:pt>
                <c:pt idx="2">
                  <c:v>1521400</c:v>
                </c:pt>
                <c:pt idx="3">
                  <c:v>17708000</c:v>
                </c:pt>
                <c:pt idx="4">
                  <c:v>1065400</c:v>
                </c:pt>
                <c:pt idx="5">
                  <c:v>5157100</c:v>
                </c:pt>
                <c:pt idx="6">
                  <c:v>6259800</c:v>
                </c:pt>
                <c:pt idx="7">
                  <c:v>13930500</c:v>
                </c:pt>
                <c:pt idx="8">
                  <c:v>13110500</c:v>
                </c:pt>
                <c:pt idx="9">
                  <c:v>5545300</c:v>
                </c:pt>
              </c:numCache>
            </c:numRef>
          </c:val>
          <c:extLst>
            <c:ext xmlns:c16="http://schemas.microsoft.com/office/drawing/2014/chart" uri="{C3380CC4-5D6E-409C-BE32-E72D297353CC}">
              <c16:uniqueId val="{00000000-AC2E-4886-B52E-83A3C5479410}"/>
            </c:ext>
          </c:extLst>
        </c:ser>
        <c:dLbls>
          <c:dLblPos val="outEnd"/>
          <c:showLegendKey val="0"/>
          <c:showVal val="1"/>
          <c:showCatName val="0"/>
          <c:showSerName val="0"/>
          <c:showPercent val="0"/>
          <c:showBubbleSize val="0"/>
        </c:dLbls>
        <c:gapWidth val="182"/>
        <c:axId val="715552832"/>
        <c:axId val="718042240"/>
      </c:barChart>
      <c:catAx>
        <c:axId val="71555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42240"/>
        <c:crosses val="autoZero"/>
        <c:auto val="1"/>
        <c:lblAlgn val="ctr"/>
        <c:lblOffset val="100"/>
        <c:noMultiLvlLbl val="0"/>
      </c:catAx>
      <c:valAx>
        <c:axId val="7180422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1555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590550</xdr:colOff>
      <xdr:row>3</xdr:row>
      <xdr:rowOff>104775</xdr:rowOff>
    </xdr:from>
    <xdr:to>
      <xdr:col>7</xdr:col>
      <xdr:colOff>590550</xdr:colOff>
      <xdr:row>16</xdr:row>
      <xdr:rowOff>180975</xdr:rowOff>
    </xdr:to>
    <mc:AlternateContent xmlns:mc="http://schemas.openxmlformats.org/markup-compatibility/2006">
      <mc:Choice xmlns:a14="http://schemas.microsoft.com/office/drawing/2010/main" Requires="a14">
        <xdr:graphicFrame macro="">
          <xdr:nvGraphicFramePr>
            <xdr:cNvPr id="8" name="country_available 1">
              <a:extLst>
                <a:ext uri="{FF2B5EF4-FFF2-40B4-BE49-F238E27FC236}">
                  <a16:creationId xmlns:a16="http://schemas.microsoft.com/office/drawing/2014/main" id="{34B2CD0F-DCAD-415C-BFD9-B0446D8A405B}"/>
                </a:ext>
              </a:extLst>
            </xdr:cNvPr>
            <xdr:cNvGraphicFramePr/>
          </xdr:nvGraphicFramePr>
          <xdr:xfrm>
            <a:off x="0" y="0"/>
            <a:ext cx="0" cy="0"/>
          </xdr:xfrm>
          <a:graphic>
            <a:graphicData uri="http://schemas.microsoft.com/office/drawing/2010/slicer">
              <sle:slicer xmlns:sle="http://schemas.microsoft.com/office/drawing/2010/slicer" name="country_available 1"/>
            </a:graphicData>
          </a:graphic>
        </xdr:graphicFrame>
      </mc:Choice>
      <mc:Fallback>
        <xdr:sp macro="" textlink="">
          <xdr:nvSpPr>
            <xdr:cNvPr id="0" name=""/>
            <xdr:cNvSpPr>
              <a:spLocks noTextEdit="1"/>
            </xdr:cNvSpPr>
          </xdr:nvSpPr>
          <xdr:spPr>
            <a:xfrm>
              <a:off x="3028950" y="676275"/>
              <a:ext cx="182880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16</xdr:row>
      <xdr:rowOff>66674</xdr:rowOff>
    </xdr:from>
    <xdr:to>
      <xdr:col>18</xdr:col>
      <xdr:colOff>238125</xdr:colOff>
      <xdr:row>51</xdr:row>
      <xdr:rowOff>133350</xdr:rowOff>
    </xdr:to>
    <xdr:graphicFrame macro="">
      <xdr:nvGraphicFramePr>
        <xdr:cNvPr id="2" name="Chart 1">
          <a:extLst>
            <a:ext uri="{FF2B5EF4-FFF2-40B4-BE49-F238E27FC236}">
              <a16:creationId xmlns:a16="http://schemas.microsoft.com/office/drawing/2014/main" id="{CDDB9AE0-4E78-45E2-A9E9-8761072D4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9524</xdr:colOff>
      <xdr:row>3</xdr:row>
      <xdr:rowOff>104775</xdr:rowOff>
    </xdr:from>
    <xdr:to>
      <xdr:col>17</xdr:col>
      <xdr:colOff>114299</xdr:colOff>
      <xdr:row>9</xdr:row>
      <xdr:rowOff>171450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00E43296-8AF4-4AB9-A401-A4F91BEBBE1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715124" y="676275"/>
              <a:ext cx="376237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581025</xdr:colOff>
      <xdr:row>9</xdr:row>
      <xdr:rowOff>180975</xdr:rowOff>
    </xdr:from>
    <xdr:to>
      <xdr:col>14</xdr:col>
      <xdr:colOff>238125</xdr:colOff>
      <xdr:row>15</xdr:row>
      <xdr:rowOff>85725</xdr:rowOff>
    </xdr:to>
    <mc:AlternateContent xmlns:mc="http://schemas.openxmlformats.org/markup-compatibility/2006">
      <mc:Choice xmlns:a14="http://schemas.microsoft.com/office/drawing/2010/main" Requires="a14">
        <xdr:graphicFrame macro="">
          <xdr:nvGraphicFramePr>
            <xdr:cNvPr id="5" name="pricing_model 1">
              <a:extLst>
                <a:ext uri="{FF2B5EF4-FFF2-40B4-BE49-F238E27FC236}">
                  <a16:creationId xmlns:a16="http://schemas.microsoft.com/office/drawing/2014/main" id="{A0F9105E-96FB-4807-BF86-DB86197C87FE}"/>
                </a:ext>
              </a:extLst>
            </xdr:cNvPr>
            <xdr:cNvGraphicFramePr/>
          </xdr:nvGraphicFramePr>
          <xdr:xfrm>
            <a:off x="0" y="0"/>
            <a:ext cx="0" cy="0"/>
          </xdr:xfrm>
          <a:graphic>
            <a:graphicData uri="http://schemas.microsoft.com/office/drawing/2010/slicer">
              <sle:slicer xmlns:sle="http://schemas.microsoft.com/office/drawing/2010/slicer" name="pricing_model 1"/>
            </a:graphicData>
          </a:graphic>
        </xdr:graphicFrame>
      </mc:Choice>
      <mc:Fallback>
        <xdr:sp macro="" textlink="">
          <xdr:nvSpPr>
            <xdr:cNvPr id="0" name=""/>
            <xdr:cNvSpPr>
              <a:spLocks noTextEdit="1"/>
            </xdr:cNvSpPr>
          </xdr:nvSpPr>
          <xdr:spPr>
            <a:xfrm>
              <a:off x="6677025" y="1895475"/>
              <a:ext cx="20955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219075</xdr:colOff>
      <xdr:row>9</xdr:row>
      <xdr:rowOff>161924</xdr:rowOff>
    </xdr:from>
    <xdr:to>
      <xdr:col>17</xdr:col>
      <xdr:colOff>104775</xdr:colOff>
      <xdr:row>15</xdr:row>
      <xdr:rowOff>190499</xdr:rowOff>
    </xdr:to>
    <mc:AlternateContent xmlns:mc="http://schemas.openxmlformats.org/markup-compatibility/2006">
      <mc:Choice xmlns:a14="http://schemas.microsoft.com/office/drawing/2010/main" Requires="a14">
        <xdr:graphicFrame macro="">
          <xdr:nvGraphicFramePr>
            <xdr:cNvPr id="6" name="platform 1">
              <a:extLst>
                <a:ext uri="{FF2B5EF4-FFF2-40B4-BE49-F238E27FC236}">
                  <a16:creationId xmlns:a16="http://schemas.microsoft.com/office/drawing/2014/main" id="{66315256-7AE7-41DF-8730-58AAAB89FCB0}"/>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8753475" y="1876424"/>
              <a:ext cx="17145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590550</xdr:colOff>
      <xdr:row>3</xdr:row>
      <xdr:rowOff>95251</xdr:rowOff>
    </xdr:from>
    <xdr:to>
      <xdr:col>10</xdr:col>
      <xdr:colOff>590550</xdr:colOff>
      <xdr:row>16</xdr:row>
      <xdr:rowOff>57151</xdr:rowOff>
    </xdr:to>
    <mc:AlternateContent xmlns:mc="http://schemas.openxmlformats.org/markup-compatibility/2006">
      <mc:Choice xmlns:a14="http://schemas.microsoft.com/office/drawing/2010/main" Requires="a14">
        <xdr:graphicFrame macro="">
          <xdr:nvGraphicFramePr>
            <xdr:cNvPr id="9" name="developer_company 1">
              <a:extLst>
                <a:ext uri="{FF2B5EF4-FFF2-40B4-BE49-F238E27FC236}">
                  <a16:creationId xmlns:a16="http://schemas.microsoft.com/office/drawing/2014/main" id="{1B435D33-BAA0-470C-B24A-B2C683FE309E}"/>
                </a:ext>
              </a:extLst>
            </xdr:cNvPr>
            <xdr:cNvGraphicFramePr/>
          </xdr:nvGraphicFramePr>
          <xdr:xfrm>
            <a:off x="0" y="0"/>
            <a:ext cx="0" cy="0"/>
          </xdr:xfrm>
          <a:graphic>
            <a:graphicData uri="http://schemas.microsoft.com/office/drawing/2010/slicer">
              <sle:slicer xmlns:sle="http://schemas.microsoft.com/office/drawing/2010/slicer" name="developer_company 1"/>
            </a:graphicData>
          </a:graphic>
        </xdr:graphicFrame>
      </mc:Choice>
      <mc:Fallback>
        <xdr:sp macro="" textlink="">
          <xdr:nvSpPr>
            <xdr:cNvPr id="0" name=""/>
            <xdr:cNvSpPr>
              <a:spLocks noTextEdit="1"/>
            </xdr:cNvSpPr>
          </xdr:nvSpPr>
          <xdr:spPr>
            <a:xfrm>
              <a:off x="4857750" y="666751"/>
              <a:ext cx="1828800" cy="243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314324</xdr:colOff>
      <xdr:row>66</xdr:row>
      <xdr:rowOff>138111</xdr:rowOff>
    </xdr:from>
    <xdr:to>
      <xdr:col>17</xdr:col>
      <xdr:colOff>590549</xdr:colOff>
      <xdr:row>106</xdr:row>
      <xdr:rowOff>161925</xdr:rowOff>
    </xdr:to>
    <xdr:graphicFrame macro="">
      <xdr:nvGraphicFramePr>
        <xdr:cNvPr id="10" name="Chart 9">
          <a:extLst>
            <a:ext uri="{FF2B5EF4-FFF2-40B4-BE49-F238E27FC236}">
              <a16:creationId xmlns:a16="http://schemas.microsoft.com/office/drawing/2014/main" id="{A4817D16-F81B-4434-81D2-7358F05BF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466724</xdr:colOff>
      <xdr:row>59</xdr:row>
      <xdr:rowOff>19050</xdr:rowOff>
    </xdr:from>
    <xdr:to>
      <xdr:col>8</xdr:col>
      <xdr:colOff>323850</xdr:colOff>
      <xdr:row>66</xdr:row>
      <xdr:rowOff>123825</xdr:rowOff>
    </xdr:to>
    <mc:AlternateContent xmlns:mc="http://schemas.openxmlformats.org/markup-compatibility/2006">
      <mc:Choice xmlns:a14="http://schemas.microsoft.com/office/drawing/2010/main" Requires="a14">
        <xdr:graphicFrame macro="">
          <xdr:nvGraphicFramePr>
            <xdr:cNvPr id="11" name="target_audience 1">
              <a:extLst>
                <a:ext uri="{FF2B5EF4-FFF2-40B4-BE49-F238E27FC236}">
                  <a16:creationId xmlns:a16="http://schemas.microsoft.com/office/drawing/2014/main" id="{A925BA54-B64F-4DDF-889A-C67B00498B65}"/>
                </a:ext>
              </a:extLst>
            </xdr:cNvPr>
            <xdr:cNvGraphicFramePr/>
          </xdr:nvGraphicFramePr>
          <xdr:xfrm>
            <a:off x="0" y="0"/>
            <a:ext cx="0" cy="0"/>
          </xdr:xfrm>
          <a:graphic>
            <a:graphicData uri="http://schemas.microsoft.com/office/drawing/2010/slicer">
              <sle:slicer xmlns:sle="http://schemas.microsoft.com/office/drawing/2010/slicer" name="target_audience 1"/>
            </a:graphicData>
          </a:graphic>
        </xdr:graphicFrame>
      </mc:Choice>
      <mc:Fallback>
        <xdr:sp macro="" textlink="">
          <xdr:nvSpPr>
            <xdr:cNvPr id="0" name=""/>
            <xdr:cNvSpPr>
              <a:spLocks noTextEdit="1"/>
            </xdr:cNvSpPr>
          </xdr:nvSpPr>
          <xdr:spPr>
            <a:xfrm>
              <a:off x="1076324" y="11258550"/>
              <a:ext cx="4124326"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600074</xdr:colOff>
      <xdr:row>59</xdr:row>
      <xdr:rowOff>123826</xdr:rowOff>
    </xdr:from>
    <xdr:to>
      <xdr:col>20</xdr:col>
      <xdr:colOff>514350</xdr:colOff>
      <xdr:row>65</xdr:row>
      <xdr:rowOff>142875</xdr:rowOff>
    </xdr:to>
    <mc:AlternateContent xmlns:mc="http://schemas.openxmlformats.org/markup-compatibility/2006">
      <mc:Choice xmlns:a14="http://schemas.microsoft.com/office/drawing/2010/main" Requires="a14">
        <xdr:graphicFrame macro="">
          <xdr:nvGraphicFramePr>
            <xdr:cNvPr id="12" name="monetization_strategy 1">
              <a:extLst>
                <a:ext uri="{FF2B5EF4-FFF2-40B4-BE49-F238E27FC236}">
                  <a16:creationId xmlns:a16="http://schemas.microsoft.com/office/drawing/2014/main" id="{4703E383-9382-4547-A56A-AFA43A9932C7}"/>
                </a:ext>
              </a:extLst>
            </xdr:cNvPr>
            <xdr:cNvGraphicFramePr/>
          </xdr:nvGraphicFramePr>
          <xdr:xfrm>
            <a:off x="0" y="0"/>
            <a:ext cx="0" cy="0"/>
          </xdr:xfrm>
          <a:graphic>
            <a:graphicData uri="http://schemas.microsoft.com/office/drawing/2010/slicer">
              <sle:slicer xmlns:sle="http://schemas.microsoft.com/office/drawing/2010/slicer" name="monetization_strategy 1"/>
            </a:graphicData>
          </a:graphic>
        </xdr:graphicFrame>
      </mc:Choice>
      <mc:Fallback>
        <xdr:sp macro="" textlink="">
          <xdr:nvSpPr>
            <xdr:cNvPr id="0" name=""/>
            <xdr:cNvSpPr>
              <a:spLocks noTextEdit="1"/>
            </xdr:cNvSpPr>
          </xdr:nvSpPr>
          <xdr:spPr>
            <a:xfrm>
              <a:off x="9134474" y="11363326"/>
              <a:ext cx="3571876"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323849</xdr:colOff>
      <xdr:row>59</xdr:row>
      <xdr:rowOff>114300</xdr:rowOff>
    </xdr:from>
    <xdr:to>
      <xdr:col>14</xdr:col>
      <xdr:colOff>571501</xdr:colOff>
      <xdr:row>65</xdr:row>
      <xdr:rowOff>152400</xdr:rowOff>
    </xdr:to>
    <mc:AlternateContent xmlns:mc="http://schemas.openxmlformats.org/markup-compatibility/2006">
      <mc:Choice xmlns:a14="http://schemas.microsoft.com/office/drawing/2010/main" Requires="a14">
        <xdr:graphicFrame macro="">
          <xdr:nvGraphicFramePr>
            <xdr:cNvPr id="13" name="category 4">
              <a:extLst>
                <a:ext uri="{FF2B5EF4-FFF2-40B4-BE49-F238E27FC236}">
                  <a16:creationId xmlns:a16="http://schemas.microsoft.com/office/drawing/2014/main" id="{666217EC-F63C-4A87-84DD-B3203D0CCD8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5200649" y="11353800"/>
              <a:ext cx="3905252"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409575</xdr:colOff>
      <xdr:row>1</xdr:row>
      <xdr:rowOff>38100</xdr:rowOff>
    </xdr:from>
    <xdr:to>
      <xdr:col>14</xdr:col>
      <xdr:colOff>485775</xdr:colOff>
      <xdr:row>14</xdr:row>
      <xdr:rowOff>85725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9CF90B0-80AA-4607-8315-A6C3517335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48950"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1</xdr:row>
      <xdr:rowOff>57150</xdr:rowOff>
    </xdr:from>
    <xdr:to>
      <xdr:col>10</xdr:col>
      <xdr:colOff>238125</xdr:colOff>
      <xdr:row>14</xdr:row>
      <xdr:rowOff>104775</xdr:rowOff>
    </xdr:to>
    <mc:AlternateContent xmlns:mc="http://schemas.openxmlformats.org/markup-compatibility/2006">
      <mc:Choice xmlns:a14="http://schemas.microsoft.com/office/drawing/2010/main" Requires="a14">
        <xdr:graphicFrame macro="">
          <xdr:nvGraphicFramePr>
            <xdr:cNvPr id="6" name="pricing_model">
              <a:extLst>
                <a:ext uri="{FF2B5EF4-FFF2-40B4-BE49-F238E27FC236}">
                  <a16:creationId xmlns:a16="http://schemas.microsoft.com/office/drawing/2014/main" id="{C28A6E69-CEDC-4204-BDC9-418B7E873A5D}"/>
                </a:ext>
              </a:extLst>
            </xdr:cNvPr>
            <xdr:cNvGraphicFramePr/>
          </xdr:nvGraphicFramePr>
          <xdr:xfrm>
            <a:off x="0" y="0"/>
            <a:ext cx="0" cy="0"/>
          </xdr:xfrm>
          <a:graphic>
            <a:graphicData uri="http://schemas.microsoft.com/office/drawing/2010/slicer">
              <sle:slicer xmlns:sle="http://schemas.microsoft.com/office/drawing/2010/slicer" name="pricing_model"/>
            </a:graphicData>
          </a:graphic>
        </xdr:graphicFrame>
      </mc:Choice>
      <mc:Fallback>
        <xdr:sp macro="" textlink="">
          <xdr:nvSpPr>
            <xdr:cNvPr id="0" name=""/>
            <xdr:cNvSpPr>
              <a:spLocks noTextEdit="1"/>
            </xdr:cNvSpPr>
          </xdr:nvSpPr>
          <xdr:spPr>
            <a:xfrm>
              <a:off x="864870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15</xdr:row>
      <xdr:rowOff>104775</xdr:rowOff>
    </xdr:from>
    <xdr:to>
      <xdr:col>14</xdr:col>
      <xdr:colOff>457200</xdr:colOff>
      <xdr:row>28</xdr:row>
      <xdr:rowOff>152400</xdr:rowOff>
    </xdr:to>
    <mc:AlternateContent xmlns:mc="http://schemas.openxmlformats.org/markup-compatibility/2006">
      <mc:Choice xmlns:a14="http://schemas.microsoft.com/office/drawing/2010/main" Requires="a14">
        <xdr:graphicFrame macro="">
          <xdr:nvGraphicFramePr>
            <xdr:cNvPr id="7" name="platform">
              <a:extLst>
                <a:ext uri="{FF2B5EF4-FFF2-40B4-BE49-F238E27FC236}">
                  <a16:creationId xmlns:a16="http://schemas.microsoft.com/office/drawing/2014/main" id="{AFB8FF5C-3ABF-48BB-A61E-0DF75F6AC86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0620375" y="2962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1952625</xdr:colOff>
      <xdr:row>15</xdr:row>
      <xdr:rowOff>171450</xdr:rowOff>
    </xdr:from>
    <xdr:to>
      <xdr:col>2</xdr:col>
      <xdr:colOff>1790700</xdr:colOff>
      <xdr:row>29</xdr:row>
      <xdr:rowOff>28575</xdr:rowOff>
    </xdr:to>
    <mc:AlternateContent xmlns:mc="http://schemas.openxmlformats.org/markup-compatibility/2006">
      <mc:Choice xmlns:a14="http://schemas.microsoft.com/office/drawing/2010/main" Requires="a14">
        <xdr:graphicFrame macro="">
          <xdr:nvGraphicFramePr>
            <xdr:cNvPr id="9" name="country_available">
              <a:extLst>
                <a:ext uri="{FF2B5EF4-FFF2-40B4-BE49-F238E27FC236}">
                  <a16:creationId xmlns:a16="http://schemas.microsoft.com/office/drawing/2014/main" id="{2D8D264C-D678-410B-8A0C-175F9036163D}"/>
                </a:ext>
              </a:extLst>
            </xdr:cNvPr>
            <xdr:cNvGraphicFramePr/>
          </xdr:nvGraphicFramePr>
          <xdr:xfrm>
            <a:off x="0" y="0"/>
            <a:ext cx="0" cy="0"/>
          </xdr:xfrm>
          <a:graphic>
            <a:graphicData uri="http://schemas.microsoft.com/office/drawing/2010/slicer">
              <sle:slicer xmlns:sle="http://schemas.microsoft.com/office/drawing/2010/slicer" name="country_available"/>
            </a:graphicData>
          </a:graphic>
        </xdr:graphicFrame>
      </mc:Choice>
      <mc:Fallback>
        <xdr:sp macro="" textlink="">
          <xdr:nvSpPr>
            <xdr:cNvPr id="0" name=""/>
            <xdr:cNvSpPr>
              <a:spLocks noTextEdit="1"/>
            </xdr:cNvSpPr>
          </xdr:nvSpPr>
          <xdr:spPr>
            <a:xfrm>
              <a:off x="2790825" y="302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15</xdr:row>
      <xdr:rowOff>80961</xdr:rowOff>
    </xdr:from>
    <xdr:to>
      <xdr:col>10</xdr:col>
      <xdr:colOff>323849</xdr:colOff>
      <xdr:row>34</xdr:row>
      <xdr:rowOff>104774</xdr:rowOff>
    </xdr:to>
    <xdr:graphicFrame macro="">
      <xdr:nvGraphicFramePr>
        <xdr:cNvPr id="12" name="Chart 11">
          <a:extLst>
            <a:ext uri="{FF2B5EF4-FFF2-40B4-BE49-F238E27FC236}">
              <a16:creationId xmlns:a16="http://schemas.microsoft.com/office/drawing/2014/main" id="{3622C5E9-4C8A-4ECB-8B61-96FCBCD02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1790700</xdr:colOff>
      <xdr:row>1</xdr:row>
      <xdr:rowOff>38100</xdr:rowOff>
    </xdr:from>
    <xdr:to>
      <xdr:col>4</xdr:col>
      <xdr:colOff>104775</xdr:colOff>
      <xdr:row>14</xdr:row>
      <xdr:rowOff>85725</xdr:rowOff>
    </xdr:to>
    <mc:AlternateContent xmlns:mc="http://schemas.openxmlformats.org/markup-compatibility/2006">
      <mc:Choice xmlns:a14="http://schemas.microsoft.com/office/drawing/2010/main" Requires="a14">
        <xdr:graphicFrame macro="">
          <xdr:nvGraphicFramePr>
            <xdr:cNvPr id="13" name="developer_company">
              <a:extLst>
                <a:ext uri="{FF2B5EF4-FFF2-40B4-BE49-F238E27FC236}">
                  <a16:creationId xmlns:a16="http://schemas.microsoft.com/office/drawing/2014/main" id="{D4B8E4C8-085B-4164-8B08-05E96B32B80F}"/>
                </a:ext>
              </a:extLst>
            </xdr:cNvPr>
            <xdr:cNvGraphicFramePr/>
          </xdr:nvGraphicFramePr>
          <xdr:xfrm>
            <a:off x="0" y="0"/>
            <a:ext cx="0" cy="0"/>
          </xdr:xfrm>
          <a:graphic>
            <a:graphicData uri="http://schemas.microsoft.com/office/drawing/2010/slicer">
              <sle:slicer xmlns:sle="http://schemas.microsoft.com/office/drawing/2010/slicer" name="developer_company"/>
            </a:graphicData>
          </a:graphic>
        </xdr:graphicFrame>
      </mc:Choice>
      <mc:Fallback>
        <xdr:sp macro="" textlink="">
          <xdr:nvSpPr>
            <xdr:cNvPr id="0" name=""/>
            <xdr:cNvSpPr>
              <a:spLocks noTextEdit="1"/>
            </xdr:cNvSpPr>
          </xdr:nvSpPr>
          <xdr:spPr>
            <a:xfrm>
              <a:off x="4619625"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7</xdr:row>
      <xdr:rowOff>166687</xdr:rowOff>
    </xdr:from>
    <xdr:to>
      <xdr:col>11</xdr:col>
      <xdr:colOff>523875</xdr:colOff>
      <xdr:row>31</xdr:row>
      <xdr:rowOff>161925</xdr:rowOff>
    </xdr:to>
    <xdr:graphicFrame macro="">
      <xdr:nvGraphicFramePr>
        <xdr:cNvPr id="2" name="Chart 1">
          <a:extLst>
            <a:ext uri="{FF2B5EF4-FFF2-40B4-BE49-F238E27FC236}">
              <a16:creationId xmlns:a16="http://schemas.microsoft.com/office/drawing/2014/main" id="{ECA0A6E9-B738-414E-A5AF-60039FD05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485775</xdr:colOff>
      <xdr:row>6</xdr:row>
      <xdr:rowOff>9525</xdr:rowOff>
    </xdr:from>
    <xdr:to>
      <xdr:col>17</xdr:col>
      <xdr:colOff>342900</xdr:colOff>
      <xdr:row>19</xdr:row>
      <xdr:rowOff>57150</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1255FF7B-E1A6-47B0-99F8-CE2B2B5D280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430000" y="1152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590550</xdr:colOff>
      <xdr:row>11</xdr:row>
      <xdr:rowOff>128586</xdr:rowOff>
    </xdr:from>
    <xdr:to>
      <xdr:col>17</xdr:col>
      <xdr:colOff>304800</xdr:colOff>
      <xdr:row>51</xdr:row>
      <xdr:rowOff>152400</xdr:rowOff>
    </xdr:to>
    <xdr:graphicFrame macro="">
      <xdr:nvGraphicFramePr>
        <xdr:cNvPr id="2" name="Chart 1">
          <a:extLst>
            <a:ext uri="{FF2B5EF4-FFF2-40B4-BE49-F238E27FC236}">
              <a16:creationId xmlns:a16="http://schemas.microsoft.com/office/drawing/2014/main" id="{5D317F36-DF6F-4F37-9378-4D2D4D451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714375</xdr:colOff>
      <xdr:row>18</xdr:row>
      <xdr:rowOff>66675</xdr:rowOff>
    </xdr:from>
    <xdr:to>
      <xdr:col>2</xdr:col>
      <xdr:colOff>28575</xdr:colOff>
      <xdr:row>31</xdr:row>
      <xdr:rowOff>114300</xdr:rowOff>
    </xdr:to>
    <mc:AlternateContent xmlns:mc="http://schemas.openxmlformats.org/markup-compatibility/2006">
      <mc:Choice xmlns:a14="http://schemas.microsoft.com/office/drawing/2010/main" Requires="a14">
        <xdr:graphicFrame macro="">
          <xdr:nvGraphicFramePr>
            <xdr:cNvPr id="3" name="target_audience">
              <a:extLst>
                <a:ext uri="{FF2B5EF4-FFF2-40B4-BE49-F238E27FC236}">
                  <a16:creationId xmlns:a16="http://schemas.microsoft.com/office/drawing/2014/main" id="{8D06A880-0B6C-49CD-894F-B079E4E1789C}"/>
                </a:ext>
              </a:extLst>
            </xdr:cNvPr>
            <xdr:cNvGraphicFramePr/>
          </xdr:nvGraphicFramePr>
          <xdr:xfrm>
            <a:off x="0" y="0"/>
            <a:ext cx="0" cy="0"/>
          </xdr:xfrm>
          <a:graphic>
            <a:graphicData uri="http://schemas.microsoft.com/office/drawing/2010/slicer">
              <sle:slicer xmlns:sle="http://schemas.microsoft.com/office/drawing/2010/slicer" name="target_audience"/>
            </a:graphicData>
          </a:graphic>
        </xdr:graphicFrame>
      </mc:Choice>
      <mc:Fallback>
        <xdr:sp macro="" textlink="">
          <xdr:nvSpPr>
            <xdr:cNvPr id="0" name=""/>
            <xdr:cNvSpPr>
              <a:spLocks noTextEdit="1"/>
            </xdr:cNvSpPr>
          </xdr:nvSpPr>
          <xdr:spPr>
            <a:xfrm>
              <a:off x="714375" y="3495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1628775</xdr:colOff>
      <xdr:row>18</xdr:row>
      <xdr:rowOff>76200</xdr:rowOff>
    </xdr:from>
    <xdr:to>
      <xdr:col>5</xdr:col>
      <xdr:colOff>0</xdr:colOff>
      <xdr:row>31</xdr:row>
      <xdr:rowOff>123825</xdr:rowOff>
    </xdr:to>
    <mc:AlternateContent xmlns:mc="http://schemas.openxmlformats.org/markup-compatibility/2006">
      <mc:Choice xmlns:a14="http://schemas.microsoft.com/office/drawing/2010/main" Requires="a14">
        <xdr:graphicFrame macro="">
          <xdr:nvGraphicFramePr>
            <xdr:cNvPr id="4" name="monetization_strategy">
              <a:extLst>
                <a:ext uri="{FF2B5EF4-FFF2-40B4-BE49-F238E27FC236}">
                  <a16:creationId xmlns:a16="http://schemas.microsoft.com/office/drawing/2014/main" id="{F7B8AE6F-D50F-41FD-9DDD-C955D28CBFA7}"/>
                </a:ext>
              </a:extLst>
            </xdr:cNvPr>
            <xdr:cNvGraphicFramePr/>
          </xdr:nvGraphicFramePr>
          <xdr:xfrm>
            <a:off x="0" y="0"/>
            <a:ext cx="0" cy="0"/>
          </xdr:xfrm>
          <a:graphic>
            <a:graphicData uri="http://schemas.microsoft.com/office/drawing/2010/slicer">
              <sle:slicer xmlns:sle="http://schemas.microsoft.com/office/drawing/2010/slicer" name="monetization_strategy"/>
            </a:graphicData>
          </a:graphic>
        </xdr:graphicFrame>
      </mc:Choice>
      <mc:Fallback>
        <xdr:sp macro="" textlink="">
          <xdr:nvSpPr>
            <xdr:cNvPr id="0" name=""/>
            <xdr:cNvSpPr>
              <a:spLocks noTextEdit="1"/>
            </xdr:cNvSpPr>
          </xdr:nvSpPr>
          <xdr:spPr>
            <a:xfrm>
              <a:off x="2514600" y="350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238125</xdr:colOff>
      <xdr:row>3</xdr:row>
      <xdr:rowOff>85725</xdr:rowOff>
    </xdr:from>
    <xdr:to>
      <xdr:col>5</xdr:col>
      <xdr:colOff>238125</xdr:colOff>
      <xdr:row>16</xdr:row>
      <xdr:rowOff>133350</xdr:rowOff>
    </xdr:to>
    <mc:AlternateContent xmlns:mc="http://schemas.openxmlformats.org/markup-compatibility/2006">
      <mc:Choice xmlns:a14="http://schemas.microsoft.com/office/drawing/2010/main" Requires="a14">
        <xdr:graphicFrame macro="">
          <xdr:nvGraphicFramePr>
            <xdr:cNvPr id="5" name="category 3">
              <a:extLst>
                <a:ext uri="{FF2B5EF4-FFF2-40B4-BE49-F238E27FC236}">
                  <a16:creationId xmlns:a16="http://schemas.microsoft.com/office/drawing/2014/main" id="{4ADDE454-1D26-4999-8649-DF2D44BBC4A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752725"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6.878034027781" createdVersion="7" refreshedVersion="7" minRefreshableVersion="3" recordCount="100" xr:uid="{81EE397C-B467-479C-A3E2-183F1C1BA0DC}">
  <cacheSource type="worksheet">
    <worksheetSource name="Table1"/>
  </cacheSource>
  <cacheFields count="17">
    <cacheField name="app_id" numFmtId="0">
      <sharedItems/>
    </cacheField>
    <cacheField name="app_name" numFmtId="0">
      <sharedItems count="98">
        <s v="InvestPro"/>
        <s v="BankPro"/>
        <s v="BankX"/>
        <s v="BankNow"/>
        <s v="CreditHub"/>
        <s v="PayPlus"/>
        <s v="BankPlus"/>
        <s v="CoinPlus"/>
        <s v="CreditOne"/>
        <s v="PayPro"/>
        <s v="Creditly"/>
        <s v="PayX"/>
        <s v="DealGo"/>
        <s v="MallNow"/>
        <s v="DealPro"/>
        <s v="StyleNow"/>
        <s v="DealCloud"/>
        <s v="CartCloud"/>
        <s v="CartMate"/>
        <s v="BazaarOne"/>
        <s v="StyleOne"/>
        <s v="Cartly"/>
        <s v="BazaarCloud"/>
        <s v="CartPro"/>
        <s v="RunPlus"/>
        <s v="TrainCloud"/>
        <s v="Trainly"/>
        <s v="LiftCloud"/>
        <s v="MoveNow"/>
        <s v="ActiveMate"/>
        <s v="RunGo"/>
        <s v="LiftPro"/>
        <s v="Liftly"/>
        <s v="YogaHub"/>
        <s v="MoveGo"/>
        <s v="BrightNow"/>
        <s v="StudyCloud"/>
        <s v="SkillNow"/>
        <s v="LearnMate"/>
        <s v="QuestNow"/>
        <s v="SkillHub"/>
        <s v="TutorCloud"/>
        <s v="SkillOne"/>
        <s v="LearnOne"/>
        <s v="LearnPlus"/>
        <s v="StudyPlus"/>
        <s v="StudyX"/>
        <s v="PlayPlus"/>
        <s v="ShowMate"/>
        <s v="VibeX"/>
        <s v="BuzzNow"/>
        <s v="StreamPlus"/>
        <s v="Showly"/>
        <s v="BuzzOne"/>
        <s v="PlayHub"/>
        <s v="CinemaGo"/>
        <s v="LaughX"/>
        <s v="CinemaHub"/>
        <s v="ShowPro"/>
        <s v="FoodPlus"/>
        <s v="BiteGo"/>
        <s v="OrderCloud"/>
        <s v="DinePlus"/>
        <s v="SnackX"/>
        <s v="FoodOne"/>
        <s v="MealMate"/>
        <s v="SnackHub"/>
        <s v="BiteCloud"/>
        <s v="PlatePlus"/>
        <s v="VoyageGo"/>
        <s v="TripOne"/>
        <s v="FlyGo"/>
        <s v="MapX"/>
        <s v="StayX"/>
        <s v="GoNow"/>
        <s v="RouteGo"/>
        <s v="TripGo"/>
        <s v="Flyly"/>
        <s v="TripPro"/>
        <s v="Focusly"/>
        <s v="DeskX"/>
        <s v="DonePro"/>
        <s v="NotePlus"/>
        <s v="SyncPlus"/>
        <s v="NoteOne"/>
        <s v="NoteMate"/>
        <s v="PlanPlus"/>
        <s v="PlanMate"/>
        <s v="ClinicPro"/>
        <s v="MindMate"/>
        <s v="ClinicOne"/>
        <s v="WellMate"/>
        <s v="MediMate"/>
        <s v="WellNow"/>
        <s v="CareCloud"/>
        <s v="MediNow"/>
        <s v="MindPlus"/>
        <s v="MediCloud"/>
      </sharedItems>
    </cacheField>
    <cacheField name="category" numFmtId="0">
      <sharedItems count="9">
        <s v="Finance"/>
        <s v="Shopping"/>
        <s v="Fitness"/>
        <s v="Education"/>
        <s v="Entertainment"/>
        <s v="Food Delivery"/>
        <s v="Travel"/>
        <s v="Productivity"/>
        <s v="Health"/>
      </sharedItems>
    </cacheField>
    <cacheField name="platform" numFmtId="0">
      <sharedItems count="3">
        <s v="Android"/>
        <s v="Both"/>
        <s v="iOS"/>
      </sharedItems>
    </cacheField>
    <cacheField name="developer_company" numFmtId="0">
      <sharedItems count="10">
        <s v="BrightWorks"/>
        <s v="UrbanByte"/>
        <s v="PixelCraft"/>
        <s v="BluePeak Digital"/>
        <s v="OrbitSoft"/>
        <s v="Nova Labs"/>
        <s v="AppNest Studio"/>
        <s v="GreenSpark"/>
        <s v="NextLoop"/>
        <s v="CloudFrame"/>
      </sharedItems>
    </cacheField>
    <cacheField name="launch_year" numFmtId="0">
      <sharedItems containsSemiMixedTypes="0" containsString="0" containsNumber="1" containsInteger="1" minValue="2015" maxValue="2025"/>
    </cacheField>
    <cacheField name="pricing_model" numFmtId="0">
      <sharedItems count="4">
        <s v="Free"/>
        <s v="Subscription"/>
        <s v="Paid"/>
        <s v="Freemium"/>
      </sharedItems>
    </cacheField>
    <cacheField name="current_rating" numFmtId="0">
      <sharedItems containsSemiMixedTypes="0" containsString="0" containsNumber="1" minValue="3.1" maxValue="4.8"/>
    </cacheField>
    <cacheField name="total_downloads" numFmtId="0">
      <sharedItems containsSemiMixedTypes="0" containsString="0" containsNumber="1" containsInteger="1" minValue="17000" maxValue="21429000"/>
    </cacheField>
    <cacheField name="app_size_mb" numFmtId="0">
      <sharedItems containsSemiMixedTypes="0" containsString="0" containsNumber="1" minValue="18.7" maxValue="244.3"/>
    </cacheField>
    <cacheField name="country_available" numFmtId="0">
      <sharedItems count="8">
        <s v="Australia"/>
        <s v="India"/>
        <s v="Singapore"/>
        <s v="United States"/>
        <s v="Canada"/>
        <s v="Germany"/>
        <s v="United Kingdom"/>
        <s v="UAE"/>
      </sharedItems>
    </cacheField>
    <cacheField name="last_updated_date" numFmtId="14">
      <sharedItems containsSemiMixedTypes="0" containsNonDate="0" containsDate="1" containsString="0" minDate="2024-01-02T00:00:00" maxDate="2026-04-13T00:00:00"/>
    </cacheField>
    <cacheField name="market_rank" numFmtId="0">
      <sharedItems containsSemiMixedTypes="0" containsString="0" containsNumber="1" containsInteger="1" minValue="4" maxValue="100"/>
    </cacheField>
    <cacheField name="estimated_revenue_usd" numFmtId="165">
      <sharedItems containsSemiMixedTypes="0" containsString="0" containsNumber="1" containsInteger="1" minValue="1400" maxValue="11147600"/>
    </cacheField>
    <cacheField name="competitor_id" numFmtId="0">
      <sharedItems/>
    </cacheField>
    <cacheField name="marketing_channel" numFmtId="0">
      <sharedItems/>
    </cacheField>
    <cacheField name="monetization_strategy" numFmtId="0">
      <sharedItems/>
    </cacheField>
  </cacheFields>
  <extLst>
    <ext xmlns:x14="http://schemas.microsoft.com/office/spreadsheetml/2009/9/main" uri="{725AE2AE-9491-48be-B2B4-4EB974FC3084}">
      <x14:pivotCacheDefinition pivotCacheId="18914386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6.878034374997" createdVersion="7" refreshedVersion="7" minRefreshableVersion="3" recordCount="2000" xr:uid="{5A4F38EF-C79B-48BE-9B33-A7867666DCCC}">
  <cacheSource type="worksheet">
    <worksheetSource name="Table6"/>
  </cacheSource>
  <cacheFields count="14">
    <cacheField name="user_id" numFmtId="0">
      <sharedItems/>
    </cacheField>
    <cacheField name="app_id" numFmtId="0">
      <sharedItems/>
    </cacheField>
    <cacheField name="App name" numFmtId="0">
      <sharedItems/>
    </cacheField>
    <cacheField name="Category" numFmtId="0">
      <sharedItems count="9">
        <s v="Finance"/>
        <s v="Shopping"/>
        <s v="Fitness"/>
        <s v="Education"/>
        <s v="Entertainment"/>
        <s v="Food Delivery"/>
        <s v="Travel"/>
        <s v="Productivity"/>
        <s v="Health"/>
      </sharedItems>
    </cacheField>
    <cacheField name="age_group" numFmtId="0">
      <sharedItems count="5">
        <s v="25-34"/>
        <s v="35-44"/>
        <s v="18-24"/>
        <s v="55+"/>
        <s v="45-54"/>
      </sharedItems>
    </cacheField>
    <cacheField name="gender" numFmtId="0">
      <sharedItems/>
    </cacheField>
    <cacheField name="country" numFmtId="0">
      <sharedItems/>
    </cacheField>
    <cacheField name="device_type" numFmtId="0">
      <sharedItems/>
    </cacheField>
    <cacheField name="session_count" numFmtId="0">
      <sharedItems containsSemiMixedTypes="0" containsString="0" containsNumber="1" containsInteger="1" minValue="1" maxValue="95"/>
    </cacheField>
    <cacheField name="avg_session_duration_min" numFmtId="0">
      <sharedItems containsSemiMixedTypes="0" containsString="0" containsNumber="1" minValue="3" maxValue="41.9"/>
    </cacheField>
    <cacheField name="daily_active_usage" numFmtId="0">
      <sharedItems/>
    </cacheField>
    <cacheField name="retention_30_days" numFmtId="0">
      <sharedItems/>
    </cacheField>
    <cacheField name="uninstall_status" numFmtId="0">
      <sharedItems/>
    </cacheField>
    <cacheField name="in_app_purchase_amount" numFmtId="164">
      <sharedItems containsSemiMixedTypes="0" containsString="0" containsNumber="1" minValue="0" maxValue="99.49"/>
    </cacheField>
  </cacheFields>
  <extLst>
    <ext xmlns:x14="http://schemas.microsoft.com/office/spreadsheetml/2009/9/main" uri="{725AE2AE-9491-48be-B2B4-4EB974FC3084}">
      <x14:pivotCacheDefinition pivotCacheId="205868950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6.878034490743" createdVersion="7" refreshedVersion="7" minRefreshableVersion="3" recordCount="100" xr:uid="{BFB58C30-3F45-404C-8D9E-866B1F3B6323}">
  <cacheSource type="worksheet">
    <worksheetSource name="Table3"/>
  </cacheSource>
  <cacheFields count="14">
    <cacheField name="competitor_id" numFmtId="0">
      <sharedItems/>
    </cacheField>
    <cacheField name="developer_company" numFmtId="0">
      <sharedItems count="10">
        <s v="BrightWorks"/>
        <s v="UrbanByte"/>
        <s v="PixelCraft"/>
        <s v="BluePeak Digital"/>
        <s v="OrbitSoft"/>
        <s v="Nova Labs"/>
        <s v="AppNest Studio"/>
        <s v="GreenSpark"/>
        <s v="NextLoop"/>
        <s v="CloudFrame"/>
      </sharedItems>
    </cacheField>
    <cacheField name="app_id" numFmtId="0">
      <sharedItems/>
    </cacheField>
    <cacheField name="app_name" numFmtId="0">
      <sharedItems/>
    </cacheField>
    <cacheField name="category" numFmtId="0">
      <sharedItems count="9">
        <s v="Finance"/>
        <s v="Shopping"/>
        <s v="Fitness"/>
        <s v="Education"/>
        <s v="Entertainment"/>
        <s v="Food Delivery"/>
        <s v="Travel"/>
        <s v="Productivity"/>
        <s v="Health"/>
      </sharedItems>
    </cacheField>
    <cacheField name="market_rank" numFmtId="0">
      <sharedItems containsSemiMixedTypes="0" containsString="0" containsNumber="1" containsInteger="1" minValue="4" maxValue="100"/>
    </cacheField>
    <cacheField name="target_audience" numFmtId="0">
      <sharedItems count="8">
        <s v="Families"/>
        <s v="Urban consumers"/>
        <s v="Students"/>
        <s v="Young professionals"/>
        <s v="Frequent travelers"/>
        <s v="Small businesses"/>
        <s v="Fitness enthusiasts"/>
        <s v="Working professionals"/>
      </sharedItems>
    </cacheField>
    <cacheField name="main_strength" numFmtId="0">
      <sharedItems/>
    </cacheField>
    <cacheField name="main_weakness" numFmtId="0">
      <sharedItems/>
    </cacheField>
    <cacheField name="marketing_channel" numFmtId="0">
      <sharedItems/>
    </cacheField>
    <cacheField name="monetization_strategy" numFmtId="0">
      <sharedItems count="6">
        <s v="Commissions"/>
        <s v="Ads"/>
        <s v="Subscriptions"/>
        <s v="In-app purchases"/>
        <s v="Paid downloads"/>
        <s v="Freemium upsell"/>
      </sharedItems>
    </cacheField>
    <cacheField name="unique_selling_point" numFmtId="0">
      <sharedItems/>
    </cacheField>
    <cacheField name="competitor_rating" numFmtId="0">
      <sharedItems containsSemiMixedTypes="0" containsString="0" containsNumber="1" minValue="2.9" maxValue="4.9000000000000004"/>
    </cacheField>
    <cacheField name="estimated_revenue_usd" numFmtId="165">
      <sharedItems containsSemiMixedTypes="0" containsString="0" containsNumber="1" containsInteger="1" minValue="1400" maxValue="11147600"/>
    </cacheField>
  </cacheFields>
  <extLst>
    <ext xmlns:x14="http://schemas.microsoft.com/office/spreadsheetml/2009/9/main" uri="{725AE2AE-9491-48be-B2B4-4EB974FC3084}">
      <x14:pivotCacheDefinition pivotCacheId="1243434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PP001"/>
    <x v="0"/>
    <x v="0"/>
    <x v="0"/>
    <x v="0"/>
    <n v="2021"/>
    <x v="0"/>
    <n v="3.4"/>
    <n v="211000"/>
    <n v="152"/>
    <x v="0"/>
    <d v="2025-07-04T00:00:00"/>
    <n v="53"/>
    <n v="65000"/>
    <s v="CMP001"/>
    <s v="Social media"/>
    <s v="Commissions"/>
  </r>
  <r>
    <s v="APP002"/>
    <x v="1"/>
    <x v="0"/>
    <x v="1"/>
    <x v="1"/>
    <n v="2015"/>
    <x v="0"/>
    <n v="3.7"/>
    <n v="48000"/>
    <n v="244.3"/>
    <x v="1"/>
    <d v="2024-03-06T00:00:00"/>
    <n v="50"/>
    <n v="3900"/>
    <s v="CMP002"/>
    <s v="Paid search ads"/>
    <s v="Commissions"/>
  </r>
  <r>
    <s v="APP003"/>
    <x v="2"/>
    <x v="0"/>
    <x v="1"/>
    <x v="0"/>
    <n v="2021"/>
    <x v="0"/>
    <n v="4.4000000000000004"/>
    <n v="61000"/>
    <n v="160.6"/>
    <x v="2"/>
    <d v="2024-05-06T00:00:00"/>
    <n v="16"/>
    <n v="15100"/>
    <s v="CMP003"/>
    <s v="Paid search ads"/>
    <s v="Commissions"/>
  </r>
  <r>
    <s v="APP004"/>
    <x v="3"/>
    <x v="0"/>
    <x v="1"/>
    <x v="2"/>
    <n v="2015"/>
    <x v="0"/>
    <n v="3.2"/>
    <n v="1227000"/>
    <n v="217.1"/>
    <x v="3"/>
    <d v="2025-12-08T00:00:00"/>
    <n v="25"/>
    <n v="65000"/>
    <s v="CMP004"/>
    <s v="Organic search"/>
    <s v="Ads"/>
  </r>
  <r>
    <s v="APP005"/>
    <x v="4"/>
    <x v="0"/>
    <x v="1"/>
    <x v="3"/>
    <n v="2015"/>
    <x v="1"/>
    <n v="4.5999999999999996"/>
    <n v="12162000"/>
    <n v="192"/>
    <x v="4"/>
    <d v="2026-02-23T00:00:00"/>
    <n v="23"/>
    <n v="2116200"/>
    <s v="CMP005"/>
    <s v="Influencer marketing"/>
    <s v="Subscriptions"/>
  </r>
  <r>
    <s v="APP006"/>
    <x v="5"/>
    <x v="0"/>
    <x v="1"/>
    <x v="4"/>
    <n v="2022"/>
    <x v="1"/>
    <n v="4.4000000000000004"/>
    <n v="30000"/>
    <n v="58.7"/>
    <x v="1"/>
    <d v="2026-01-09T00:00:00"/>
    <n v="51"/>
    <n v="21100"/>
    <s v="CMP006"/>
    <s v="Paid search ads"/>
    <s v="Subscriptions"/>
  </r>
  <r>
    <s v="APP007"/>
    <x v="6"/>
    <x v="0"/>
    <x v="0"/>
    <x v="5"/>
    <n v="2020"/>
    <x v="1"/>
    <n v="4.0999999999999996"/>
    <n v="66000"/>
    <n v="28.9"/>
    <x v="1"/>
    <d v="2025-07-14T00:00:00"/>
    <n v="44"/>
    <n v="37700"/>
    <s v="CMP007"/>
    <s v="Organic search"/>
    <s v="Subscriptions"/>
  </r>
  <r>
    <s v="APP008"/>
    <x v="7"/>
    <x v="0"/>
    <x v="2"/>
    <x v="6"/>
    <n v="2019"/>
    <x v="1"/>
    <n v="3.5"/>
    <n v="421000"/>
    <n v="162"/>
    <x v="5"/>
    <d v="2026-04-05T00:00:00"/>
    <n v="48"/>
    <n v="68600"/>
    <s v="CMP008"/>
    <s v="Influencer marketing"/>
    <s v="Subscriptions"/>
  </r>
  <r>
    <s v="APP009"/>
    <x v="8"/>
    <x v="0"/>
    <x v="1"/>
    <x v="6"/>
    <n v="2015"/>
    <x v="0"/>
    <n v="3.7"/>
    <n v="265000"/>
    <n v="61.1"/>
    <x v="4"/>
    <d v="2025-08-06T00:00:00"/>
    <n v="11"/>
    <n v="22800"/>
    <s v="CMP009"/>
    <s v="Email campaigns"/>
    <s v="Commissions"/>
  </r>
  <r>
    <s v="APP010"/>
    <x v="9"/>
    <x v="0"/>
    <x v="0"/>
    <x v="4"/>
    <n v="2018"/>
    <x v="1"/>
    <n v="4.0999999999999996"/>
    <n v="305000"/>
    <n v="222.1"/>
    <x v="5"/>
    <d v="2024-06-08T00:00:00"/>
    <n v="42"/>
    <n v="187600"/>
    <s v="CMP010"/>
    <s v="Social media"/>
    <s v="Subscriptions"/>
  </r>
  <r>
    <s v="APP011"/>
    <x v="10"/>
    <x v="0"/>
    <x v="2"/>
    <x v="6"/>
    <n v="2021"/>
    <x v="0"/>
    <n v="4.2"/>
    <n v="313000"/>
    <n v="146.19999999999999"/>
    <x v="4"/>
    <d v="2025-11-17T00:00:00"/>
    <n v="66"/>
    <n v="24100"/>
    <s v="CMP011"/>
    <s v="Influencer marketing"/>
    <s v="In-app purchases"/>
  </r>
  <r>
    <s v="APP012"/>
    <x v="11"/>
    <x v="0"/>
    <x v="1"/>
    <x v="7"/>
    <n v="2025"/>
    <x v="1"/>
    <n v="3.5"/>
    <n v="106000"/>
    <n v="222.2"/>
    <x v="4"/>
    <d v="2024-03-20T00:00:00"/>
    <n v="63"/>
    <n v="75200"/>
    <s v="CMP012"/>
    <s v="Social media"/>
    <s v="Subscriptions"/>
  </r>
  <r>
    <s v="APP013"/>
    <x v="12"/>
    <x v="1"/>
    <x v="1"/>
    <x v="8"/>
    <n v="2023"/>
    <x v="2"/>
    <n v="3.2"/>
    <n v="33000"/>
    <n v="206.3"/>
    <x v="6"/>
    <d v="2024-01-23T00:00:00"/>
    <n v="81"/>
    <n v="11100"/>
    <s v="CMP013"/>
    <s v="Email campaigns"/>
    <s v="Paid downloads"/>
  </r>
  <r>
    <s v="APP014"/>
    <x v="13"/>
    <x v="1"/>
    <x v="1"/>
    <x v="8"/>
    <n v="2021"/>
    <x v="3"/>
    <n v="4.5"/>
    <n v="40000"/>
    <n v="174.1"/>
    <x v="5"/>
    <d v="2024-02-09T00:00:00"/>
    <n v="18"/>
    <n v="11300"/>
    <s v="CMP014"/>
    <s v="Paid search ads"/>
    <s v="In-app purchases"/>
  </r>
  <r>
    <s v="APP015"/>
    <x v="14"/>
    <x v="1"/>
    <x v="1"/>
    <x v="3"/>
    <n v="2021"/>
    <x v="1"/>
    <n v="3.6"/>
    <n v="836000"/>
    <n v="226.4"/>
    <x v="5"/>
    <d v="2024-07-20T00:00:00"/>
    <n v="28"/>
    <n v="146300"/>
    <s v="CMP015"/>
    <s v="Social media"/>
    <s v="Subscriptions"/>
  </r>
  <r>
    <s v="APP016"/>
    <x v="15"/>
    <x v="1"/>
    <x v="1"/>
    <x v="4"/>
    <n v="2019"/>
    <x v="1"/>
    <n v="3.4"/>
    <n v="13032000"/>
    <n v="39.1"/>
    <x v="7"/>
    <d v="2025-08-05T00:00:00"/>
    <n v="62"/>
    <n v="4443900"/>
    <s v="CMP016"/>
    <s v="Social media"/>
    <s v="Subscriptions"/>
  </r>
  <r>
    <s v="APP017"/>
    <x v="16"/>
    <x v="1"/>
    <x v="1"/>
    <x v="6"/>
    <n v="2021"/>
    <x v="1"/>
    <n v="4.5999999999999996"/>
    <n v="4130000"/>
    <n v="69.8"/>
    <x v="7"/>
    <d v="2026-02-28T00:00:00"/>
    <n v="94"/>
    <n v="2056700"/>
    <s v="CMP017"/>
    <s v="Paid search ads"/>
    <s v="Subscriptions"/>
  </r>
  <r>
    <s v="APP018"/>
    <x v="17"/>
    <x v="1"/>
    <x v="2"/>
    <x v="8"/>
    <n v="2017"/>
    <x v="3"/>
    <n v="4.4000000000000004"/>
    <n v="548000"/>
    <n v="234.3"/>
    <x v="5"/>
    <d v="2025-04-07T00:00:00"/>
    <n v="39"/>
    <n v="91000"/>
    <s v="CMP018"/>
    <s v="Social media"/>
    <s v="Ads"/>
  </r>
  <r>
    <s v="APP019"/>
    <x v="18"/>
    <x v="1"/>
    <x v="0"/>
    <x v="8"/>
    <n v="2018"/>
    <x v="3"/>
    <n v="4.0999999999999996"/>
    <n v="7834000"/>
    <n v="78.2"/>
    <x v="7"/>
    <d v="2024-12-12T00:00:00"/>
    <n v="47"/>
    <n v="399500"/>
    <s v="CMP019"/>
    <s v="Influencer marketing"/>
    <s v="Freemium upsell"/>
  </r>
  <r>
    <s v="APP020"/>
    <x v="19"/>
    <x v="1"/>
    <x v="2"/>
    <x v="2"/>
    <n v="2022"/>
    <x v="0"/>
    <n v="3.4"/>
    <n v="231000"/>
    <n v="103.1"/>
    <x v="3"/>
    <d v="2024-11-20T00:00:00"/>
    <n v="61"/>
    <n v="17600"/>
    <s v="CMP020"/>
    <s v="Email campaigns"/>
    <s v="Commissions"/>
  </r>
  <r>
    <s v="APP021"/>
    <x v="20"/>
    <x v="1"/>
    <x v="1"/>
    <x v="0"/>
    <n v="2017"/>
    <x v="3"/>
    <n v="3.4"/>
    <n v="34000"/>
    <n v="82.2"/>
    <x v="1"/>
    <d v="2024-03-05T00:00:00"/>
    <n v="28"/>
    <n v="3100"/>
    <s v="CMP021"/>
    <s v="Organic search"/>
    <s v="Ads"/>
  </r>
  <r>
    <s v="APP022"/>
    <x v="21"/>
    <x v="1"/>
    <x v="0"/>
    <x v="9"/>
    <n v="2024"/>
    <x v="1"/>
    <n v="4.8"/>
    <n v="19320000"/>
    <n v="41.1"/>
    <x v="4"/>
    <d v="2026-03-24T00:00:00"/>
    <n v="13"/>
    <n v="11147600"/>
    <s v="CMP022"/>
    <s v="App store optimization"/>
    <s v="Subscriptions"/>
  </r>
  <r>
    <s v="APP023"/>
    <x v="22"/>
    <x v="1"/>
    <x v="1"/>
    <x v="1"/>
    <n v="2020"/>
    <x v="1"/>
    <n v="3.8"/>
    <n v="982000"/>
    <n v="175.8"/>
    <x v="4"/>
    <d v="2024-12-13T00:00:00"/>
    <n v="15"/>
    <n v="790500"/>
    <s v="CMP023"/>
    <s v="Paid search ads"/>
    <s v="Subscriptions"/>
  </r>
  <r>
    <s v="APP024"/>
    <x v="23"/>
    <x v="1"/>
    <x v="1"/>
    <x v="6"/>
    <n v="2022"/>
    <x v="2"/>
    <n v="4"/>
    <n v="27000"/>
    <n v="232.4"/>
    <x v="5"/>
    <d v="2024-10-23T00:00:00"/>
    <n v="9"/>
    <n v="5300"/>
    <s v="CMP024"/>
    <s v="Referral program"/>
    <s v="Paid downloads"/>
  </r>
  <r>
    <s v="APP025"/>
    <x v="24"/>
    <x v="2"/>
    <x v="0"/>
    <x v="1"/>
    <n v="2025"/>
    <x v="0"/>
    <n v="3.6"/>
    <n v="2559000"/>
    <n v="183.4"/>
    <x v="2"/>
    <d v="2025-06-17T00:00:00"/>
    <n v="75"/>
    <n v="432500"/>
    <s v="CMP025"/>
    <s v="Referral program"/>
    <s v="In-app purchases"/>
  </r>
  <r>
    <s v="APP026"/>
    <x v="25"/>
    <x v="2"/>
    <x v="1"/>
    <x v="0"/>
    <n v="2019"/>
    <x v="1"/>
    <n v="3.8"/>
    <n v="5689000"/>
    <n v="71.099999999999994"/>
    <x v="4"/>
    <d v="2025-09-02T00:00:00"/>
    <n v="37"/>
    <n v="1245900"/>
    <s v="CMP026"/>
    <s v="Social media"/>
    <s v="Subscriptions"/>
  </r>
  <r>
    <s v="APP027"/>
    <x v="26"/>
    <x v="2"/>
    <x v="0"/>
    <x v="5"/>
    <n v="2019"/>
    <x v="3"/>
    <n v="3.8"/>
    <n v="37000"/>
    <n v="33.799999999999997"/>
    <x v="0"/>
    <d v="2024-02-29T00:00:00"/>
    <n v="73"/>
    <n v="11900"/>
    <s v="CMP027"/>
    <s v="Email campaigns"/>
    <s v="Freemium upsell"/>
  </r>
  <r>
    <s v="APP028"/>
    <x v="27"/>
    <x v="2"/>
    <x v="1"/>
    <x v="0"/>
    <n v="2023"/>
    <x v="2"/>
    <n v="4.3"/>
    <n v="490000"/>
    <n v="158.80000000000001"/>
    <x v="1"/>
    <d v="2025-08-22T00:00:00"/>
    <n v="20"/>
    <n v="63700"/>
    <s v="CMP028"/>
    <s v="Social media"/>
    <s v="Paid downloads"/>
  </r>
  <r>
    <s v="APP029"/>
    <x v="28"/>
    <x v="2"/>
    <x v="1"/>
    <x v="9"/>
    <n v="2023"/>
    <x v="1"/>
    <n v="4.0999999999999996"/>
    <n v="2723000"/>
    <n v="160.19999999999999"/>
    <x v="2"/>
    <d v="2024-05-27T00:00:00"/>
    <n v="35"/>
    <n v="1456800"/>
    <s v="CMP029"/>
    <s v="Paid search ads"/>
    <s v="Subscriptions"/>
  </r>
  <r>
    <s v="APP030"/>
    <x v="29"/>
    <x v="2"/>
    <x v="2"/>
    <x v="7"/>
    <n v="2016"/>
    <x v="2"/>
    <n v="3.2"/>
    <n v="564000"/>
    <n v="48.5"/>
    <x v="0"/>
    <d v="2024-12-05T00:00:00"/>
    <n v="76"/>
    <n v="39500"/>
    <s v="CMP030"/>
    <s v="Organic search"/>
    <s v="Paid downloads"/>
  </r>
  <r>
    <s v="APP031"/>
    <x v="30"/>
    <x v="2"/>
    <x v="2"/>
    <x v="6"/>
    <n v="2018"/>
    <x v="0"/>
    <n v="3.9"/>
    <n v="296000"/>
    <n v="41.9"/>
    <x v="7"/>
    <d v="2024-05-23T00:00:00"/>
    <n v="20"/>
    <n v="25800"/>
    <s v="CMP031"/>
    <s v="Email campaigns"/>
    <s v="In-app purchases"/>
  </r>
  <r>
    <s v="APP032"/>
    <x v="31"/>
    <x v="2"/>
    <x v="0"/>
    <x v="4"/>
    <n v="2017"/>
    <x v="3"/>
    <n v="4.0999999999999996"/>
    <n v="21429000"/>
    <n v="144.1"/>
    <x v="6"/>
    <d v="2024-07-02T00:00:00"/>
    <n v="49"/>
    <n v="3621500"/>
    <s v="CMP032"/>
    <s v="Email campaigns"/>
    <s v="In-app purchases"/>
  </r>
  <r>
    <s v="APP033"/>
    <x v="31"/>
    <x v="2"/>
    <x v="2"/>
    <x v="5"/>
    <n v="2017"/>
    <x v="0"/>
    <n v="3.9"/>
    <n v="301000"/>
    <n v="107.8"/>
    <x v="0"/>
    <d v="2024-08-17T00:00:00"/>
    <n v="97"/>
    <n v="23500"/>
    <s v="CMP033"/>
    <s v="Paid search ads"/>
    <s v="In-app purchases"/>
  </r>
  <r>
    <s v="APP034"/>
    <x v="32"/>
    <x v="2"/>
    <x v="1"/>
    <x v="8"/>
    <n v="2019"/>
    <x v="2"/>
    <n v="4.5"/>
    <n v="215000"/>
    <n v="143.6"/>
    <x v="2"/>
    <d v="2024-02-09T00:00:00"/>
    <n v="78"/>
    <n v="62800"/>
    <s v="CMP034"/>
    <s v="Influencer marketing"/>
    <s v="Paid downloads"/>
  </r>
  <r>
    <s v="APP035"/>
    <x v="33"/>
    <x v="2"/>
    <x v="0"/>
    <x v="1"/>
    <n v="2025"/>
    <x v="3"/>
    <n v="4.7"/>
    <n v="2512000"/>
    <n v="215.6"/>
    <x v="4"/>
    <d v="2025-10-23T00:00:00"/>
    <n v="17"/>
    <n v="708400"/>
    <s v="CMP035"/>
    <s v="Email campaigns"/>
    <s v="In-app purchases"/>
  </r>
  <r>
    <s v="APP036"/>
    <x v="34"/>
    <x v="2"/>
    <x v="0"/>
    <x v="1"/>
    <n v="2025"/>
    <x v="3"/>
    <n v="4.0999999999999996"/>
    <n v="1858000"/>
    <n v="64.2"/>
    <x v="2"/>
    <d v="2025-09-13T00:00:00"/>
    <n v="99"/>
    <n v="466400"/>
    <s v="CMP036"/>
    <s v="Referral program"/>
    <s v="In-app purchases"/>
  </r>
  <r>
    <s v="APP037"/>
    <x v="35"/>
    <x v="3"/>
    <x v="0"/>
    <x v="2"/>
    <n v="2015"/>
    <x v="0"/>
    <n v="3.2"/>
    <n v="2259000"/>
    <n v="61.9"/>
    <x v="5"/>
    <d v="2024-07-16T00:00:00"/>
    <n v="70"/>
    <n v="122000"/>
    <s v="CMP037"/>
    <s v="Paid search ads"/>
    <s v="In-app purchases"/>
  </r>
  <r>
    <s v="APP038"/>
    <x v="36"/>
    <x v="3"/>
    <x v="1"/>
    <x v="5"/>
    <n v="2024"/>
    <x v="1"/>
    <n v="3.4"/>
    <n v="49000"/>
    <n v="19.3"/>
    <x v="3"/>
    <d v="2025-02-11T00:00:00"/>
    <n v="27"/>
    <n v="21300"/>
    <s v="CMP038"/>
    <s v="Paid search ads"/>
    <s v="Subscriptions"/>
  </r>
  <r>
    <s v="APP039"/>
    <x v="37"/>
    <x v="3"/>
    <x v="1"/>
    <x v="2"/>
    <n v="2019"/>
    <x v="3"/>
    <n v="3.8"/>
    <n v="13836000"/>
    <n v="45.1"/>
    <x v="2"/>
    <d v="2024-02-13T00:00:00"/>
    <n v="61"/>
    <n v="4316800"/>
    <s v="CMP039"/>
    <s v="Influencer marketing"/>
    <s v="Freemium upsell"/>
  </r>
  <r>
    <s v="APP040"/>
    <x v="38"/>
    <x v="3"/>
    <x v="1"/>
    <x v="5"/>
    <n v="2015"/>
    <x v="2"/>
    <n v="3.5"/>
    <n v="789000"/>
    <n v="219.2"/>
    <x v="7"/>
    <d v="2024-04-17T00:00:00"/>
    <n v="20"/>
    <n v="243800"/>
    <s v="CMP040"/>
    <s v="Paid search ads"/>
    <s v="Paid downloads"/>
  </r>
  <r>
    <s v="APP041"/>
    <x v="39"/>
    <x v="3"/>
    <x v="2"/>
    <x v="5"/>
    <n v="2015"/>
    <x v="2"/>
    <n v="3.6"/>
    <n v="17824000"/>
    <n v="173.5"/>
    <x v="3"/>
    <d v="2024-04-10T00:00:00"/>
    <n v="39"/>
    <n v="534700"/>
    <s v="CMP041"/>
    <s v="Paid search ads"/>
    <s v="Paid downloads"/>
  </r>
  <r>
    <s v="APP042"/>
    <x v="40"/>
    <x v="3"/>
    <x v="1"/>
    <x v="7"/>
    <n v="2016"/>
    <x v="3"/>
    <n v="4.7"/>
    <n v="22000"/>
    <n v="149.1"/>
    <x v="6"/>
    <d v="2024-12-26T00:00:00"/>
    <n v="23"/>
    <n v="6300"/>
    <s v="CMP042"/>
    <s v="Paid search ads"/>
    <s v="Freemium upsell"/>
  </r>
  <r>
    <s v="APP043"/>
    <x v="41"/>
    <x v="3"/>
    <x v="0"/>
    <x v="5"/>
    <n v="2019"/>
    <x v="3"/>
    <n v="3.6"/>
    <n v="421000"/>
    <n v="48.7"/>
    <x v="2"/>
    <d v="2024-01-02T00:00:00"/>
    <n v="53"/>
    <n v="117000"/>
    <s v="CMP043"/>
    <s v="Paid search ads"/>
    <s v="Freemium upsell"/>
  </r>
  <r>
    <s v="APP044"/>
    <x v="42"/>
    <x v="3"/>
    <x v="1"/>
    <x v="8"/>
    <n v="2015"/>
    <x v="0"/>
    <n v="3.1"/>
    <n v="789000"/>
    <n v="150.30000000000001"/>
    <x v="0"/>
    <d v="2025-08-26T00:00:00"/>
    <n v="4"/>
    <n v="45000"/>
    <s v="CMP044"/>
    <s v="Referral program"/>
    <s v="Ads"/>
  </r>
  <r>
    <s v="APP045"/>
    <x v="43"/>
    <x v="3"/>
    <x v="0"/>
    <x v="3"/>
    <n v="2019"/>
    <x v="0"/>
    <n v="3.2"/>
    <n v="65000"/>
    <n v="131.80000000000001"/>
    <x v="5"/>
    <d v="2024-02-15T00:00:00"/>
    <n v="55"/>
    <n v="14800"/>
    <s v="CMP045"/>
    <s v="Influencer marketing"/>
    <s v="In-app purchases"/>
  </r>
  <r>
    <s v="APP046"/>
    <x v="44"/>
    <x v="3"/>
    <x v="0"/>
    <x v="0"/>
    <n v="2015"/>
    <x v="3"/>
    <n v="3.5"/>
    <n v="1455000"/>
    <n v="124.8"/>
    <x v="0"/>
    <d v="2025-04-27T00:00:00"/>
    <n v="46"/>
    <n v="71300"/>
    <s v="CMP046"/>
    <s v="Organic search"/>
    <s v="Freemium upsell"/>
  </r>
  <r>
    <s v="APP047"/>
    <x v="45"/>
    <x v="3"/>
    <x v="0"/>
    <x v="9"/>
    <n v="2024"/>
    <x v="0"/>
    <n v="4.0999999999999996"/>
    <n v="647000"/>
    <n v="18.7"/>
    <x v="2"/>
    <d v="2024-02-08T00:00:00"/>
    <n v="100"/>
    <n v="124900"/>
    <s v="CMP047"/>
    <s v="App store optimization"/>
    <s v="Commissions"/>
  </r>
  <r>
    <s v="APP048"/>
    <x v="46"/>
    <x v="3"/>
    <x v="2"/>
    <x v="3"/>
    <n v="2018"/>
    <x v="1"/>
    <n v="4.5"/>
    <n v="69000"/>
    <n v="196.7"/>
    <x v="3"/>
    <d v="2024-10-17T00:00:00"/>
    <n v="17"/>
    <n v="15200"/>
    <s v="CMP048"/>
    <s v="App store optimization"/>
    <s v="Subscriptions"/>
  </r>
  <r>
    <s v="APP049"/>
    <x v="47"/>
    <x v="4"/>
    <x v="1"/>
    <x v="5"/>
    <n v="2024"/>
    <x v="0"/>
    <n v="4.3"/>
    <n v="4467000"/>
    <n v="229.9"/>
    <x v="1"/>
    <d v="2024-10-11T00:00:00"/>
    <n v="22"/>
    <n v="1259700"/>
    <s v="CMP049"/>
    <s v="Social media"/>
    <s v="Ads"/>
  </r>
  <r>
    <s v="APP050"/>
    <x v="48"/>
    <x v="4"/>
    <x v="1"/>
    <x v="3"/>
    <n v="2019"/>
    <x v="0"/>
    <n v="3.6"/>
    <n v="8590000"/>
    <n v="78.8"/>
    <x v="3"/>
    <d v="2026-02-18T00:00:00"/>
    <n v="22"/>
    <n v="506800"/>
    <s v="CMP050"/>
    <s v="Influencer marketing"/>
    <s v="In-app purchases"/>
  </r>
  <r>
    <s v="APP051"/>
    <x v="49"/>
    <x v="4"/>
    <x v="1"/>
    <x v="9"/>
    <n v="2022"/>
    <x v="1"/>
    <n v="3.9"/>
    <n v="29000"/>
    <n v="128.80000000000001"/>
    <x v="0"/>
    <d v="2024-12-03T00:00:00"/>
    <n v="69"/>
    <n v="15800"/>
    <s v="CMP051"/>
    <s v="Organic search"/>
    <s v="Subscriptions"/>
  </r>
  <r>
    <s v="APP052"/>
    <x v="50"/>
    <x v="4"/>
    <x v="1"/>
    <x v="1"/>
    <n v="2018"/>
    <x v="3"/>
    <n v="4.3"/>
    <n v="1062000"/>
    <n v="144.6"/>
    <x v="7"/>
    <d v="2025-09-17T00:00:00"/>
    <n v="51"/>
    <n v="123200"/>
    <s v="CMP052"/>
    <s v="Influencer marketing"/>
    <s v="In-app purchases"/>
  </r>
  <r>
    <s v="APP053"/>
    <x v="51"/>
    <x v="4"/>
    <x v="1"/>
    <x v="5"/>
    <n v="2022"/>
    <x v="2"/>
    <n v="4.3"/>
    <n v="3802000"/>
    <n v="168"/>
    <x v="0"/>
    <d v="2026-04-12T00:00:00"/>
    <n v="75"/>
    <n v="140700"/>
    <s v="CMP053"/>
    <s v="Email campaigns"/>
    <s v="Paid downloads"/>
  </r>
  <r>
    <s v="APP054"/>
    <x v="52"/>
    <x v="4"/>
    <x v="0"/>
    <x v="5"/>
    <n v="2017"/>
    <x v="2"/>
    <n v="3.5"/>
    <n v="20000"/>
    <n v="54.9"/>
    <x v="4"/>
    <d v="2024-02-20T00:00:00"/>
    <n v="92"/>
    <n v="3400"/>
    <s v="CMP054"/>
    <s v="Referral program"/>
    <s v="Paid downloads"/>
  </r>
  <r>
    <s v="APP055"/>
    <x v="53"/>
    <x v="4"/>
    <x v="0"/>
    <x v="8"/>
    <n v="2023"/>
    <x v="3"/>
    <n v="3.8"/>
    <n v="3516000"/>
    <n v="229.9"/>
    <x v="2"/>
    <d v="2025-04-29T00:00:00"/>
    <n v="28"/>
    <n v="330500"/>
    <s v="CMP055"/>
    <s v="App store optimization"/>
    <s v="Ads"/>
  </r>
  <r>
    <s v="APP056"/>
    <x v="54"/>
    <x v="4"/>
    <x v="1"/>
    <x v="0"/>
    <n v="2015"/>
    <x v="3"/>
    <n v="4.4000000000000004"/>
    <n v="200000"/>
    <n v="41.6"/>
    <x v="2"/>
    <d v="2025-08-20T00:00:00"/>
    <n v="63"/>
    <n v="46400"/>
    <s v="CMP056"/>
    <s v="Referral program"/>
    <s v="Freemium upsell"/>
  </r>
  <r>
    <s v="APP057"/>
    <x v="55"/>
    <x v="4"/>
    <x v="2"/>
    <x v="2"/>
    <n v="2020"/>
    <x v="1"/>
    <n v="4.8"/>
    <n v="641000"/>
    <n v="143.6"/>
    <x v="3"/>
    <d v="2025-07-06T00:00:00"/>
    <n v="37"/>
    <n v="347400"/>
    <s v="CMP057"/>
    <s v="Organic search"/>
    <s v="Subscriptions"/>
  </r>
  <r>
    <s v="APP058"/>
    <x v="56"/>
    <x v="4"/>
    <x v="0"/>
    <x v="4"/>
    <n v="2023"/>
    <x v="0"/>
    <n v="3.9"/>
    <n v="12359000"/>
    <n v="159.80000000000001"/>
    <x v="5"/>
    <d v="2024-06-01T00:00:00"/>
    <n v="43"/>
    <n v="3336900"/>
    <s v="CMP058"/>
    <s v="Email campaigns"/>
    <s v="In-app purchases"/>
  </r>
  <r>
    <s v="APP059"/>
    <x v="57"/>
    <x v="4"/>
    <x v="1"/>
    <x v="2"/>
    <n v="2018"/>
    <x v="0"/>
    <n v="3.8"/>
    <n v="2911000"/>
    <n v="213.1"/>
    <x v="7"/>
    <d v="2025-04-23T00:00:00"/>
    <n v="90"/>
    <n v="623000"/>
    <s v="CMP059"/>
    <s v="App store optimization"/>
    <s v="Commissions"/>
  </r>
  <r>
    <s v="APP060"/>
    <x v="58"/>
    <x v="4"/>
    <x v="1"/>
    <x v="9"/>
    <n v="2021"/>
    <x v="0"/>
    <n v="4.4000000000000004"/>
    <n v="2673000"/>
    <n v="138.80000000000001"/>
    <x v="0"/>
    <d v="2024-09-08T00:00:00"/>
    <n v="22"/>
    <n v="748400"/>
    <s v="CMP060"/>
    <s v="Email campaigns"/>
    <s v="Commissions"/>
  </r>
  <r>
    <s v="APP061"/>
    <x v="59"/>
    <x v="5"/>
    <x v="1"/>
    <x v="1"/>
    <n v="2025"/>
    <x v="0"/>
    <n v="4.2"/>
    <n v="3715000"/>
    <n v="212"/>
    <x v="2"/>
    <d v="2024-03-28T00:00:00"/>
    <n v="27"/>
    <n v="1136800"/>
    <s v="CMP061"/>
    <s v="Email campaigns"/>
    <s v="Ads"/>
  </r>
  <r>
    <s v="APP062"/>
    <x v="60"/>
    <x v="5"/>
    <x v="2"/>
    <x v="3"/>
    <n v="2024"/>
    <x v="3"/>
    <n v="3.4"/>
    <n v="43000"/>
    <n v="74"/>
    <x v="7"/>
    <d v="2026-03-23T00:00:00"/>
    <n v="30"/>
    <n v="11900"/>
    <s v="CMP062"/>
    <s v="Referral program"/>
    <s v="In-app purchases"/>
  </r>
  <r>
    <s v="APP063"/>
    <x v="61"/>
    <x v="5"/>
    <x v="1"/>
    <x v="9"/>
    <n v="2024"/>
    <x v="3"/>
    <n v="3.5"/>
    <n v="194000"/>
    <n v="58.1"/>
    <x v="5"/>
    <d v="2025-03-09T00:00:00"/>
    <n v="12"/>
    <n v="38000"/>
    <s v="CMP063"/>
    <s v="Referral program"/>
    <s v="In-app purchases"/>
  </r>
  <r>
    <s v="APP064"/>
    <x v="62"/>
    <x v="5"/>
    <x v="2"/>
    <x v="1"/>
    <n v="2024"/>
    <x v="2"/>
    <n v="4"/>
    <n v="3289000"/>
    <n v="153.9"/>
    <x v="3"/>
    <d v="2024-03-25T00:00:00"/>
    <n v="53"/>
    <n v="1085400"/>
    <s v="CMP064"/>
    <s v="Influencer marketing"/>
    <s v="Paid downloads"/>
  </r>
  <r>
    <s v="APP065"/>
    <x v="63"/>
    <x v="5"/>
    <x v="0"/>
    <x v="4"/>
    <n v="2024"/>
    <x v="1"/>
    <n v="4.7"/>
    <n v="2296000"/>
    <n v="83"/>
    <x v="3"/>
    <d v="2025-06-05T00:00:00"/>
    <n v="13"/>
    <n v="799000"/>
    <s v="CMP065"/>
    <s v="Referral program"/>
    <s v="Subscriptions"/>
  </r>
  <r>
    <s v="APP066"/>
    <x v="64"/>
    <x v="5"/>
    <x v="0"/>
    <x v="0"/>
    <n v="2021"/>
    <x v="0"/>
    <n v="4.2"/>
    <n v="47000"/>
    <n v="188.3"/>
    <x v="6"/>
    <d v="2025-08-05T00:00:00"/>
    <n v="16"/>
    <n v="7600"/>
    <s v="CMP066"/>
    <s v="Social media"/>
    <s v="In-app purchases"/>
  </r>
  <r>
    <s v="APP067"/>
    <x v="65"/>
    <x v="5"/>
    <x v="0"/>
    <x v="2"/>
    <n v="2023"/>
    <x v="3"/>
    <n v="4"/>
    <n v="804000"/>
    <n v="61.8"/>
    <x v="3"/>
    <d v="2025-12-25T00:00:00"/>
    <n v="73"/>
    <n v="180100"/>
    <s v="CMP067"/>
    <s v="Organic search"/>
    <s v="In-app purchases"/>
  </r>
  <r>
    <s v="APP068"/>
    <x v="66"/>
    <x v="5"/>
    <x v="0"/>
    <x v="1"/>
    <n v="2015"/>
    <x v="3"/>
    <n v="3.7"/>
    <n v="98000"/>
    <n v="152.1"/>
    <x v="6"/>
    <d v="2024-05-09T00:00:00"/>
    <n v="57"/>
    <n v="14900"/>
    <s v="CMP068"/>
    <s v="Referral program"/>
    <s v="In-app purchases"/>
  </r>
  <r>
    <s v="APP069"/>
    <x v="67"/>
    <x v="5"/>
    <x v="0"/>
    <x v="8"/>
    <n v="2016"/>
    <x v="1"/>
    <n v="4.7"/>
    <n v="714000"/>
    <n v="215.8"/>
    <x v="0"/>
    <d v="2024-01-27T00:00:00"/>
    <n v="35"/>
    <n v="595500"/>
    <s v="CMP069"/>
    <s v="Social media"/>
    <s v="Subscriptions"/>
  </r>
  <r>
    <s v="APP070"/>
    <x v="68"/>
    <x v="5"/>
    <x v="0"/>
    <x v="1"/>
    <n v="2018"/>
    <x v="0"/>
    <n v="3.8"/>
    <n v="123000"/>
    <n v="105.9"/>
    <x v="0"/>
    <d v="2024-07-29T00:00:00"/>
    <n v="88"/>
    <n v="16500"/>
    <s v="CMP070"/>
    <s v="Social media"/>
    <s v="In-app purchases"/>
  </r>
  <r>
    <s v="APP071"/>
    <x v="69"/>
    <x v="6"/>
    <x v="1"/>
    <x v="9"/>
    <n v="2023"/>
    <x v="0"/>
    <n v="4.0999999999999996"/>
    <n v="22000"/>
    <n v="206"/>
    <x v="3"/>
    <d v="2024-09-25T00:00:00"/>
    <n v="11"/>
    <n v="1400"/>
    <s v="CMP071"/>
    <s v="Paid search ads"/>
    <s v="In-app purchases"/>
  </r>
  <r>
    <s v="APP072"/>
    <x v="70"/>
    <x v="6"/>
    <x v="2"/>
    <x v="8"/>
    <n v="2016"/>
    <x v="2"/>
    <n v="3.5"/>
    <n v="211000"/>
    <n v="173"/>
    <x v="3"/>
    <d v="2024-07-23T00:00:00"/>
    <n v="26"/>
    <n v="61800"/>
    <s v="CMP072"/>
    <s v="Email campaigns"/>
    <s v="Paid downloads"/>
  </r>
  <r>
    <s v="APP073"/>
    <x v="71"/>
    <x v="6"/>
    <x v="2"/>
    <x v="4"/>
    <n v="2021"/>
    <x v="3"/>
    <n v="4.5999999999999996"/>
    <n v="4688000"/>
    <n v="137"/>
    <x v="6"/>
    <d v="2024-11-24T00:00:00"/>
    <n v="36"/>
    <n v="1509500"/>
    <s v="CMP073"/>
    <s v="Organic search"/>
    <s v="Freemium upsell"/>
  </r>
  <r>
    <s v="APP074"/>
    <x v="72"/>
    <x v="6"/>
    <x v="1"/>
    <x v="7"/>
    <n v="2022"/>
    <x v="2"/>
    <n v="4.4000000000000004"/>
    <n v="17000"/>
    <n v="68.400000000000006"/>
    <x v="3"/>
    <d v="2025-10-19T00:00:00"/>
    <n v="31"/>
    <n v="5800"/>
    <s v="CMP074"/>
    <s v="Email campaigns"/>
    <s v="Paid downloads"/>
  </r>
  <r>
    <s v="APP075"/>
    <x v="73"/>
    <x v="6"/>
    <x v="2"/>
    <x v="2"/>
    <n v="2017"/>
    <x v="3"/>
    <n v="4.2"/>
    <n v="507000"/>
    <n v="180.8"/>
    <x v="5"/>
    <d v="2024-08-08T00:00:00"/>
    <n v="8"/>
    <n v="140900"/>
    <s v="CMP075"/>
    <s v="Organic search"/>
    <s v="Freemium upsell"/>
  </r>
  <r>
    <s v="APP076"/>
    <x v="74"/>
    <x v="6"/>
    <x v="2"/>
    <x v="3"/>
    <n v="2025"/>
    <x v="1"/>
    <n v="3.7"/>
    <n v="64000"/>
    <n v="106.2"/>
    <x v="6"/>
    <d v="2025-03-21T00:00:00"/>
    <n v="22"/>
    <n v="42100"/>
    <s v="CMP076"/>
    <s v="Organic search"/>
    <s v="Subscriptions"/>
  </r>
  <r>
    <s v="APP077"/>
    <x v="75"/>
    <x v="6"/>
    <x v="1"/>
    <x v="7"/>
    <n v="2019"/>
    <x v="3"/>
    <n v="3.4"/>
    <n v="18000"/>
    <n v="178.3"/>
    <x v="5"/>
    <d v="2024-07-14T00:00:00"/>
    <n v="86"/>
    <n v="3200"/>
    <s v="CMP077"/>
    <s v="App store optimization"/>
    <s v="Ads"/>
  </r>
  <r>
    <s v="APP078"/>
    <x v="76"/>
    <x v="6"/>
    <x v="1"/>
    <x v="4"/>
    <n v="2020"/>
    <x v="1"/>
    <n v="3.6"/>
    <n v="44000"/>
    <n v="24.1"/>
    <x v="0"/>
    <d v="2024-04-10T00:00:00"/>
    <n v="63"/>
    <n v="11000"/>
    <s v="CMP078"/>
    <s v="Organic search"/>
    <s v="Subscriptions"/>
  </r>
  <r>
    <s v="APP079"/>
    <x v="77"/>
    <x v="6"/>
    <x v="0"/>
    <x v="3"/>
    <n v="2020"/>
    <x v="0"/>
    <n v="3.4"/>
    <n v="918000"/>
    <n v="44"/>
    <x v="2"/>
    <d v="2024-05-22T00:00:00"/>
    <n v="31"/>
    <n v="97300"/>
    <s v="CMP079"/>
    <s v="Influencer marketing"/>
    <s v="In-app purchases"/>
  </r>
  <r>
    <s v="APP080"/>
    <x v="78"/>
    <x v="6"/>
    <x v="0"/>
    <x v="6"/>
    <n v="2015"/>
    <x v="0"/>
    <n v="4"/>
    <n v="1230000"/>
    <n v="236.1"/>
    <x v="6"/>
    <d v="2025-10-06T00:00:00"/>
    <n v="36"/>
    <n v="147600"/>
    <s v="CMP080"/>
    <s v="App store optimization"/>
    <s v="Ads"/>
  </r>
  <r>
    <s v="APP081"/>
    <x v="79"/>
    <x v="7"/>
    <x v="2"/>
    <x v="8"/>
    <n v="2015"/>
    <x v="3"/>
    <n v="3.4"/>
    <n v="12445000"/>
    <n v="174.2"/>
    <x v="5"/>
    <d v="2024-04-08T00:00:00"/>
    <n v="56"/>
    <n v="3360200"/>
    <s v="CMP081"/>
    <s v="Paid search ads"/>
    <s v="In-app purchases"/>
  </r>
  <r>
    <s v="APP082"/>
    <x v="80"/>
    <x v="7"/>
    <x v="2"/>
    <x v="2"/>
    <n v="2016"/>
    <x v="3"/>
    <n v="3.5"/>
    <n v="6081000"/>
    <n v="194.4"/>
    <x v="2"/>
    <d v="2025-03-06T00:00:00"/>
    <n v="22"/>
    <n v="2000600"/>
    <s v="CMP082"/>
    <s v="Influencer marketing"/>
    <s v="Ads"/>
  </r>
  <r>
    <s v="APP083"/>
    <x v="81"/>
    <x v="7"/>
    <x v="2"/>
    <x v="9"/>
    <n v="2020"/>
    <x v="0"/>
    <n v="4"/>
    <n v="16634000"/>
    <n v="195.1"/>
    <x v="3"/>
    <d v="2024-11-02T00:00:00"/>
    <n v="56"/>
    <n v="4175100"/>
    <s v="CMP083"/>
    <s v="Referral program"/>
    <s v="Commissions"/>
  </r>
  <r>
    <s v="APP084"/>
    <x v="82"/>
    <x v="7"/>
    <x v="0"/>
    <x v="3"/>
    <n v="2021"/>
    <x v="3"/>
    <n v="3.9"/>
    <n v="2924000"/>
    <n v="211.2"/>
    <x v="6"/>
    <d v="2025-05-09T00:00:00"/>
    <n v="74"/>
    <n v="190100"/>
    <s v="CMP084"/>
    <s v="Paid search ads"/>
    <s v="In-app purchases"/>
  </r>
  <r>
    <s v="APP085"/>
    <x v="83"/>
    <x v="7"/>
    <x v="1"/>
    <x v="2"/>
    <n v="2017"/>
    <x v="1"/>
    <n v="3.5"/>
    <n v="19187000"/>
    <n v="68.7"/>
    <x v="1"/>
    <d v="2026-02-14T00:00:00"/>
    <n v="47"/>
    <n v="4988600"/>
    <s v="CMP085"/>
    <s v="Paid search ads"/>
    <s v="Subscriptions"/>
  </r>
  <r>
    <s v="APP086"/>
    <x v="84"/>
    <x v="7"/>
    <x v="1"/>
    <x v="3"/>
    <n v="2021"/>
    <x v="1"/>
    <n v="4.7"/>
    <n v="147000"/>
    <n v="239.9"/>
    <x v="7"/>
    <d v="2026-03-24T00:00:00"/>
    <n v="42"/>
    <n v="56400"/>
    <s v="CMP086"/>
    <s v="Organic search"/>
    <s v="Subscriptions"/>
  </r>
  <r>
    <s v="APP087"/>
    <x v="85"/>
    <x v="7"/>
    <x v="0"/>
    <x v="5"/>
    <n v="2022"/>
    <x v="1"/>
    <n v="3.7"/>
    <n v="1698000"/>
    <n v="77.2"/>
    <x v="0"/>
    <d v="2024-06-15T00:00:00"/>
    <n v="46"/>
    <n v="1154600"/>
    <s v="CMP087"/>
    <s v="Social media"/>
    <s v="Subscriptions"/>
  </r>
  <r>
    <s v="APP088"/>
    <x v="86"/>
    <x v="7"/>
    <x v="1"/>
    <x v="1"/>
    <n v="2018"/>
    <x v="0"/>
    <n v="3.9"/>
    <n v="2716000"/>
    <n v="151.69999999999999"/>
    <x v="2"/>
    <d v="2025-05-26T00:00:00"/>
    <n v="73"/>
    <n v="757800"/>
    <s v="CMP088"/>
    <s v="Paid search ads"/>
    <s v="Ads"/>
  </r>
  <r>
    <s v="APP089"/>
    <x v="87"/>
    <x v="7"/>
    <x v="1"/>
    <x v="6"/>
    <n v="2022"/>
    <x v="3"/>
    <n v="3.4"/>
    <n v="28000"/>
    <n v="170.6"/>
    <x v="2"/>
    <d v="2025-12-26T00:00:00"/>
    <n v="97"/>
    <n v="8100"/>
    <s v="CMP089"/>
    <s v="Social media"/>
    <s v="In-app purchases"/>
  </r>
  <r>
    <s v="APP090"/>
    <x v="83"/>
    <x v="7"/>
    <x v="1"/>
    <x v="2"/>
    <n v="2016"/>
    <x v="0"/>
    <n v="4.2"/>
    <n v="26000"/>
    <n v="88.2"/>
    <x v="0"/>
    <d v="2024-10-16T00:00:00"/>
    <n v="89"/>
    <n v="1900"/>
    <s v="CMP090"/>
    <s v="Email campaigns"/>
    <s v="In-app purchases"/>
  </r>
  <r>
    <s v="APP091"/>
    <x v="88"/>
    <x v="8"/>
    <x v="1"/>
    <x v="3"/>
    <n v="2021"/>
    <x v="0"/>
    <n v="4.0999999999999996"/>
    <n v="3304000"/>
    <n v="73.8"/>
    <x v="0"/>
    <d v="2024-09-30T00:00:00"/>
    <n v="48"/>
    <n v="1011000"/>
    <s v="CMP091"/>
    <s v="App store optimization"/>
    <s v="Commissions"/>
  </r>
  <r>
    <s v="APP092"/>
    <x v="89"/>
    <x v="8"/>
    <x v="2"/>
    <x v="0"/>
    <n v="2023"/>
    <x v="3"/>
    <n v="3.7"/>
    <n v="35000"/>
    <n v="174.3"/>
    <x v="7"/>
    <d v="2024-08-13T00:00:00"/>
    <n v="35"/>
    <n v="3300"/>
    <s v="CMP092"/>
    <s v="Referral program"/>
    <s v="Freemium upsell"/>
  </r>
  <r>
    <s v="APP093"/>
    <x v="90"/>
    <x v="8"/>
    <x v="1"/>
    <x v="2"/>
    <n v="2020"/>
    <x v="0"/>
    <n v="4.4000000000000004"/>
    <n v="3565000"/>
    <n v="217.8"/>
    <x v="7"/>
    <d v="2025-03-02T00:00:00"/>
    <n v="15"/>
    <n v="306600"/>
    <s v="CMP093"/>
    <s v="Paid search ads"/>
    <s v="Ads"/>
  </r>
  <r>
    <s v="APP094"/>
    <x v="91"/>
    <x v="8"/>
    <x v="0"/>
    <x v="8"/>
    <n v="2016"/>
    <x v="0"/>
    <n v="3.7"/>
    <n v="2070000"/>
    <n v="91.8"/>
    <x v="4"/>
    <d v="2024-06-09T00:00:00"/>
    <n v="70"/>
    <n v="188400"/>
    <s v="CMP094"/>
    <s v="App store optimization"/>
    <s v="In-app purchases"/>
  </r>
  <r>
    <s v="APP095"/>
    <x v="92"/>
    <x v="8"/>
    <x v="1"/>
    <x v="1"/>
    <n v="2016"/>
    <x v="0"/>
    <n v="4.0999999999999996"/>
    <n v="57000"/>
    <n v="225.8"/>
    <x v="4"/>
    <d v="2025-10-19T00:00:00"/>
    <n v="78"/>
    <n v="9000"/>
    <s v="CMP095"/>
    <s v="Influencer marketing"/>
    <s v="Ads"/>
  </r>
  <r>
    <s v="APP096"/>
    <x v="93"/>
    <x v="8"/>
    <x v="1"/>
    <x v="6"/>
    <n v="2021"/>
    <x v="3"/>
    <n v="4"/>
    <n v="968000"/>
    <n v="118.7"/>
    <x v="0"/>
    <d v="2025-10-06T00:00:00"/>
    <n v="81"/>
    <n v="73600"/>
    <s v="CMP096"/>
    <s v="App store optimization"/>
    <s v="In-app purchases"/>
  </r>
  <r>
    <s v="APP097"/>
    <x v="94"/>
    <x v="8"/>
    <x v="0"/>
    <x v="6"/>
    <n v="2025"/>
    <x v="0"/>
    <n v="3.2"/>
    <n v="14223000"/>
    <n v="97.5"/>
    <x v="4"/>
    <d v="2024-02-15T00:00:00"/>
    <n v="7"/>
    <n v="3029500"/>
    <s v="CMP097"/>
    <s v="Paid search ads"/>
    <s v="Ads"/>
  </r>
  <r>
    <s v="APP098"/>
    <x v="95"/>
    <x v="8"/>
    <x v="1"/>
    <x v="7"/>
    <n v="2015"/>
    <x v="2"/>
    <n v="4.5"/>
    <n v="282000"/>
    <n v="59.5"/>
    <x v="4"/>
    <d v="2025-05-30T00:00:00"/>
    <n v="21"/>
    <n v="79500"/>
    <s v="CMP098"/>
    <s v="Influencer marketing"/>
    <s v="Paid downloads"/>
  </r>
  <r>
    <s v="APP099"/>
    <x v="96"/>
    <x v="8"/>
    <x v="1"/>
    <x v="7"/>
    <n v="2018"/>
    <x v="0"/>
    <n v="3.5"/>
    <n v="3981000"/>
    <n v="120.7"/>
    <x v="4"/>
    <d v="2026-03-30T00:00:00"/>
    <n v="34"/>
    <n v="855900"/>
    <s v="CMP099"/>
    <s v="Organic search"/>
    <s v="In-app purchases"/>
  </r>
  <r>
    <s v="APP100"/>
    <x v="97"/>
    <x v="8"/>
    <x v="2"/>
    <x v="5"/>
    <n v="2015"/>
    <x v="0"/>
    <n v="4.2"/>
    <n v="11298000"/>
    <n v="181.6"/>
    <x v="0"/>
    <d v="2024-12-05T00:00:00"/>
    <n v="61"/>
    <n v="2711500"/>
    <s v="CMP100"/>
    <s v="Email campaigns"/>
    <s v="In-app purchas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USR00001"/>
    <s v="APP001"/>
    <s v="InvestPro"/>
    <x v="0"/>
    <x v="0"/>
    <s v="Female"/>
    <s v="Australia"/>
    <s v="Smartphone"/>
    <n v="41"/>
    <n v="20.6"/>
    <s v="Yes"/>
    <s v="Yes"/>
    <s v="No"/>
    <n v="0"/>
  </r>
  <r>
    <s v="USR00002"/>
    <s v="APP002"/>
    <s v="BankPro"/>
    <x v="0"/>
    <x v="1"/>
    <s v="Male"/>
    <s v="UAE"/>
    <s v="Smartphone"/>
    <n v="19"/>
    <n v="22.3"/>
    <s v="No"/>
    <s v="No"/>
    <s v="No"/>
    <n v="0"/>
  </r>
  <r>
    <s v="USR00003"/>
    <s v="APP003"/>
    <s v="BankX"/>
    <x v="0"/>
    <x v="0"/>
    <s v="Male"/>
    <s v="Canada"/>
    <s v="Tablet"/>
    <n v="10"/>
    <n v="14.8"/>
    <s v="No"/>
    <s v="No"/>
    <s v="Yes"/>
    <n v="0"/>
  </r>
  <r>
    <s v="USR00004"/>
    <s v="APP004"/>
    <s v="BankNow"/>
    <x v="0"/>
    <x v="1"/>
    <s v="Female"/>
    <s v="UAE"/>
    <s v="Tablet"/>
    <n v="78"/>
    <n v="7.1"/>
    <s v="Yes"/>
    <s v="Yes"/>
    <s v="No"/>
    <n v="13.39"/>
  </r>
  <r>
    <s v="USR00005"/>
    <s v="APP005"/>
    <s v="CreditHub"/>
    <x v="0"/>
    <x v="1"/>
    <s v="Male"/>
    <s v="United States"/>
    <s v="Smartphone"/>
    <n v="16"/>
    <n v="7.3"/>
    <s v="Yes"/>
    <s v="Yes"/>
    <s v="No"/>
    <n v="0"/>
  </r>
  <r>
    <s v="USR00006"/>
    <s v="APP006"/>
    <s v="PayPlus"/>
    <x v="0"/>
    <x v="0"/>
    <s v="Female"/>
    <s v="Canada"/>
    <s v="Smartphone"/>
    <n v="92"/>
    <n v="21"/>
    <s v="Yes"/>
    <s v="Yes"/>
    <s v="No"/>
    <n v="0"/>
  </r>
  <r>
    <s v="USR00007"/>
    <s v="APP007"/>
    <s v="BankPlus"/>
    <x v="0"/>
    <x v="1"/>
    <s v="Female"/>
    <s v="Canada"/>
    <s v="Smartphone"/>
    <n v="23"/>
    <n v="10.199999999999999"/>
    <s v="No"/>
    <s v="Yes"/>
    <s v="No"/>
    <n v="0"/>
  </r>
  <r>
    <s v="USR00008"/>
    <s v="APP008"/>
    <s v="CoinPlus"/>
    <x v="0"/>
    <x v="2"/>
    <s v="Female"/>
    <s v="Canada"/>
    <s v="Smartphone"/>
    <n v="22"/>
    <n v="21.8"/>
    <s v="Yes"/>
    <s v="Yes"/>
    <s v="No"/>
    <n v="0"/>
  </r>
  <r>
    <s v="USR00009"/>
    <s v="APP009"/>
    <s v="CreditOne"/>
    <x v="0"/>
    <x v="2"/>
    <s v="Prefer not to say"/>
    <s v="Singapore"/>
    <s v="Smartphone"/>
    <n v="15"/>
    <n v="11.3"/>
    <s v="Yes"/>
    <s v="Yes"/>
    <s v="No"/>
    <n v="0"/>
  </r>
  <r>
    <s v="USR00010"/>
    <s v="APP010"/>
    <s v="PayPro"/>
    <x v="0"/>
    <x v="1"/>
    <s v="Female"/>
    <s v="Canada"/>
    <s v="Smartphone"/>
    <n v="29"/>
    <n v="8.3000000000000007"/>
    <s v="Yes"/>
    <s v="Yes"/>
    <s v="No"/>
    <n v="58.79"/>
  </r>
  <r>
    <s v="USR00011"/>
    <s v="APP011"/>
    <s v="Creditly"/>
    <x v="0"/>
    <x v="0"/>
    <s v="Female"/>
    <s v="Germany"/>
    <s v="Smartphone"/>
    <n v="24"/>
    <n v="14.4"/>
    <s v="No"/>
    <s v="No"/>
    <s v="Yes"/>
    <n v="0"/>
  </r>
  <r>
    <s v="USR00012"/>
    <s v="APP012"/>
    <s v="PayX"/>
    <x v="0"/>
    <x v="3"/>
    <s v="Male"/>
    <s v="Canada"/>
    <s v="Smartphone"/>
    <n v="14"/>
    <n v="4"/>
    <s v="No"/>
    <s v="No"/>
    <s v="Yes"/>
    <n v="0"/>
  </r>
  <r>
    <s v="USR00013"/>
    <s v="APP013"/>
    <s v="DealGo"/>
    <x v="1"/>
    <x v="1"/>
    <s v="Female"/>
    <s v="Germany"/>
    <s v="Tablet"/>
    <n v="27"/>
    <n v="14.5"/>
    <s v="No"/>
    <s v="Yes"/>
    <s v="No"/>
    <n v="31.82"/>
  </r>
  <r>
    <s v="USR00014"/>
    <s v="APP014"/>
    <s v="MallNow"/>
    <x v="1"/>
    <x v="0"/>
    <s v="Male"/>
    <s v="India"/>
    <s v="Smartphone"/>
    <n v="24"/>
    <n v="7.2"/>
    <s v="No"/>
    <s v="No"/>
    <s v="No"/>
    <n v="0"/>
  </r>
  <r>
    <s v="USR00015"/>
    <s v="APP015"/>
    <s v="DealPro"/>
    <x v="1"/>
    <x v="1"/>
    <s v="Male"/>
    <s v="Singapore"/>
    <s v="Smartphone"/>
    <n v="9"/>
    <n v="14.5"/>
    <s v="No"/>
    <s v="Yes"/>
    <s v="No"/>
    <n v="21.3"/>
  </r>
  <r>
    <s v="USR00016"/>
    <s v="APP016"/>
    <s v="StyleNow"/>
    <x v="1"/>
    <x v="4"/>
    <s v="Female"/>
    <s v="Australia"/>
    <s v="Smartphone"/>
    <n v="26"/>
    <n v="5.0999999999999996"/>
    <s v="Yes"/>
    <s v="Yes"/>
    <s v="No"/>
    <n v="0"/>
  </r>
  <r>
    <s v="USR00017"/>
    <s v="APP017"/>
    <s v="DealCloud"/>
    <x v="1"/>
    <x v="2"/>
    <s v="Female"/>
    <s v="India"/>
    <s v="Smartphone"/>
    <n v="14"/>
    <n v="11.2"/>
    <s v="No"/>
    <s v="No"/>
    <s v="No"/>
    <n v="0"/>
  </r>
  <r>
    <s v="USR00018"/>
    <s v="APP018"/>
    <s v="CartCloud"/>
    <x v="1"/>
    <x v="1"/>
    <s v="Male"/>
    <s v="Canada"/>
    <s v="Smartphone"/>
    <n v="26"/>
    <n v="17.600000000000001"/>
    <s v="No"/>
    <s v="No"/>
    <s v="Yes"/>
    <n v="0"/>
  </r>
  <r>
    <s v="USR00019"/>
    <s v="APP019"/>
    <s v="CartMate"/>
    <x v="1"/>
    <x v="4"/>
    <s v="Female"/>
    <s v="Australia"/>
    <s v="Smartphone"/>
    <n v="46"/>
    <n v="4.4000000000000004"/>
    <s v="Yes"/>
    <s v="Yes"/>
    <s v="No"/>
    <n v="7.02"/>
  </r>
  <r>
    <s v="USR00020"/>
    <s v="APP020"/>
    <s v="BazaarOne"/>
    <x v="1"/>
    <x v="1"/>
    <s v="Male"/>
    <s v="Canada"/>
    <s v="Smartphone"/>
    <n v="1"/>
    <n v="6.7"/>
    <s v="No"/>
    <s v="Yes"/>
    <s v="Yes"/>
    <n v="4.8"/>
  </r>
  <r>
    <s v="USR00021"/>
    <s v="APP021"/>
    <s v="StyleOne"/>
    <x v="1"/>
    <x v="3"/>
    <s v="Male"/>
    <s v="United States"/>
    <s v="Smartphone"/>
    <n v="3"/>
    <n v="5.8"/>
    <s v="No"/>
    <s v="Yes"/>
    <s v="No"/>
    <n v="0"/>
  </r>
  <r>
    <s v="USR00022"/>
    <s v="APP022"/>
    <s v="Cartly"/>
    <x v="1"/>
    <x v="1"/>
    <s v="Female"/>
    <s v="Singapore"/>
    <s v="Smartphone"/>
    <n v="68"/>
    <n v="6.4"/>
    <s v="Yes"/>
    <s v="Yes"/>
    <s v="No"/>
    <n v="73.569999999999993"/>
  </r>
  <r>
    <s v="USR00023"/>
    <s v="APP023"/>
    <s v="BazaarCloud"/>
    <x v="1"/>
    <x v="1"/>
    <s v="Male"/>
    <s v="UAE"/>
    <s v="Smartphone"/>
    <n v="58"/>
    <n v="9.4"/>
    <s v="Yes"/>
    <s v="Yes"/>
    <s v="No"/>
    <n v="0"/>
  </r>
  <r>
    <s v="USR00024"/>
    <s v="APP024"/>
    <s v="CartPro"/>
    <x v="1"/>
    <x v="0"/>
    <s v="Female"/>
    <s v="UAE"/>
    <s v="Smartphone"/>
    <n v="9"/>
    <n v="17.600000000000001"/>
    <s v="No"/>
    <s v="No"/>
    <s v="No"/>
    <n v="0"/>
  </r>
  <r>
    <s v="USR00025"/>
    <s v="APP025"/>
    <s v="RunPlus"/>
    <x v="2"/>
    <x v="0"/>
    <s v="Male"/>
    <s v="Singapore"/>
    <s v="Smartphone"/>
    <n v="1"/>
    <n v="15.9"/>
    <s v="No"/>
    <s v="No"/>
    <s v="No"/>
    <n v="0"/>
  </r>
  <r>
    <s v="USR00026"/>
    <s v="APP026"/>
    <s v="TrainCloud"/>
    <x v="2"/>
    <x v="0"/>
    <s v="Male"/>
    <s v="UAE"/>
    <s v="Smartphone"/>
    <n v="51"/>
    <n v="35"/>
    <s v="Yes"/>
    <s v="Yes"/>
    <s v="No"/>
    <n v="0"/>
  </r>
  <r>
    <s v="USR00027"/>
    <s v="APP027"/>
    <s v="Trainly"/>
    <x v="2"/>
    <x v="0"/>
    <s v="Male"/>
    <s v="Canada"/>
    <s v="Smartphone"/>
    <n v="19"/>
    <n v="30"/>
    <s v="No"/>
    <s v="Yes"/>
    <s v="No"/>
    <n v="0"/>
  </r>
  <r>
    <s v="USR00028"/>
    <s v="APP028"/>
    <s v="LiftCloud"/>
    <x v="2"/>
    <x v="1"/>
    <s v="Female"/>
    <s v="Germany"/>
    <s v="Smartphone"/>
    <n v="7"/>
    <n v="38.9"/>
    <s v="No"/>
    <s v="Yes"/>
    <s v="No"/>
    <n v="43.27"/>
  </r>
  <r>
    <s v="USR00029"/>
    <s v="APP029"/>
    <s v="MoveNow"/>
    <x v="2"/>
    <x v="0"/>
    <s v="Male"/>
    <s v="India"/>
    <s v="Smartphone"/>
    <n v="12"/>
    <n v="31"/>
    <s v="No"/>
    <s v="No"/>
    <s v="No"/>
    <n v="12.52"/>
  </r>
  <r>
    <s v="USR00030"/>
    <s v="APP030"/>
    <s v="ActiveMate"/>
    <x v="2"/>
    <x v="1"/>
    <s v="Female"/>
    <s v="Singapore"/>
    <s v="Smartphone"/>
    <n v="40"/>
    <n v="30.7"/>
    <s v="Yes"/>
    <s v="Yes"/>
    <s v="No"/>
    <n v="46.58"/>
  </r>
  <r>
    <s v="USR00031"/>
    <s v="APP031"/>
    <s v="RunGo"/>
    <x v="2"/>
    <x v="0"/>
    <s v="Prefer not to say"/>
    <s v="United States"/>
    <s v="Smartphone"/>
    <n v="13"/>
    <n v="11.5"/>
    <s v="No"/>
    <s v="No"/>
    <s v="No"/>
    <n v="0"/>
  </r>
  <r>
    <s v="USR00032"/>
    <s v="APP032"/>
    <s v="LiftPro"/>
    <x v="2"/>
    <x v="4"/>
    <s v="Female"/>
    <s v="Germany"/>
    <s v="Smartphone"/>
    <n v="53"/>
    <n v="29.3"/>
    <s v="Yes"/>
    <s v="Yes"/>
    <s v="No"/>
    <n v="0"/>
  </r>
  <r>
    <s v="USR00033"/>
    <s v="APP033"/>
    <s v="LiftPro"/>
    <x v="2"/>
    <x v="1"/>
    <s v="Female"/>
    <s v="India"/>
    <s v="Tablet"/>
    <n v="51"/>
    <n v="17.8"/>
    <s v="Yes"/>
    <s v="Yes"/>
    <s v="Yes"/>
    <n v="0"/>
  </r>
  <r>
    <s v="USR00034"/>
    <s v="APP034"/>
    <s v="Liftly"/>
    <x v="2"/>
    <x v="2"/>
    <s v="Male"/>
    <s v="Australia"/>
    <s v="Smartphone"/>
    <n v="3"/>
    <n v="32.1"/>
    <s v="No"/>
    <s v="No"/>
    <s v="Yes"/>
    <n v="7.97"/>
  </r>
  <r>
    <s v="USR00035"/>
    <s v="APP035"/>
    <s v="YogaHub"/>
    <x v="2"/>
    <x v="1"/>
    <s v="Male"/>
    <s v="Canada"/>
    <s v="Smartphone"/>
    <n v="25"/>
    <n v="41.6"/>
    <s v="Yes"/>
    <s v="No"/>
    <s v="Yes"/>
    <n v="0"/>
  </r>
  <r>
    <s v="USR00036"/>
    <s v="APP036"/>
    <s v="MoveGo"/>
    <x v="2"/>
    <x v="2"/>
    <s v="Female"/>
    <s v="Canada"/>
    <s v="Smartphone"/>
    <n v="73"/>
    <n v="27.9"/>
    <s v="Yes"/>
    <s v="Yes"/>
    <s v="No"/>
    <n v="0"/>
  </r>
  <r>
    <s v="USR00037"/>
    <s v="APP037"/>
    <s v="BrightNow"/>
    <x v="3"/>
    <x v="1"/>
    <s v="Male"/>
    <s v="United States"/>
    <s v="Smartphone"/>
    <n v="11"/>
    <n v="41.1"/>
    <s v="No"/>
    <s v="Yes"/>
    <s v="Yes"/>
    <n v="0"/>
  </r>
  <r>
    <s v="USR00038"/>
    <s v="APP038"/>
    <s v="StudyCloud"/>
    <x v="3"/>
    <x v="0"/>
    <s v="Male"/>
    <s v="Canada"/>
    <s v="Smartphone"/>
    <n v="18"/>
    <n v="37.700000000000003"/>
    <s v="Yes"/>
    <s v="Yes"/>
    <s v="Yes"/>
    <n v="0"/>
  </r>
  <r>
    <s v="USR00039"/>
    <s v="APP039"/>
    <s v="SkillNow"/>
    <x v="3"/>
    <x v="4"/>
    <s v="Male"/>
    <s v="Germany"/>
    <s v="Smartphone"/>
    <n v="10"/>
    <n v="25.3"/>
    <s v="No"/>
    <s v="Yes"/>
    <s v="No"/>
    <n v="22.35"/>
  </r>
  <r>
    <s v="USR00040"/>
    <s v="APP040"/>
    <s v="LearnMate"/>
    <x v="3"/>
    <x v="1"/>
    <s v="Male"/>
    <s v="Canada"/>
    <s v="Smartphone"/>
    <n v="21"/>
    <n v="22.8"/>
    <s v="No"/>
    <s v="No"/>
    <s v="Yes"/>
    <n v="0"/>
  </r>
  <r>
    <s v="USR00041"/>
    <s v="APP041"/>
    <s v="QuestNow"/>
    <x v="3"/>
    <x v="2"/>
    <s v="Male"/>
    <s v="United States"/>
    <s v="Smartphone"/>
    <n v="23"/>
    <n v="30.7"/>
    <s v="No"/>
    <s v="No"/>
    <s v="Yes"/>
    <n v="0"/>
  </r>
  <r>
    <s v="USR00042"/>
    <s v="APP042"/>
    <s v="SkillHub"/>
    <x v="3"/>
    <x v="4"/>
    <s v="Female"/>
    <s v="United States"/>
    <s v="Smartphone"/>
    <n v="65"/>
    <n v="18.2"/>
    <s v="Yes"/>
    <s v="No"/>
    <s v="No"/>
    <n v="0"/>
  </r>
  <r>
    <s v="USR00043"/>
    <s v="APP043"/>
    <s v="TutorCloud"/>
    <x v="3"/>
    <x v="0"/>
    <s v="Female"/>
    <s v="United Kingdom"/>
    <s v="Smartphone"/>
    <n v="8"/>
    <n v="8"/>
    <s v="No"/>
    <s v="No"/>
    <s v="No"/>
    <n v="0"/>
  </r>
  <r>
    <s v="USR00044"/>
    <s v="APP044"/>
    <s v="SkillOne"/>
    <x v="3"/>
    <x v="0"/>
    <s v="Male"/>
    <s v="Germany"/>
    <s v="Smartphone"/>
    <n v="1"/>
    <n v="17.100000000000001"/>
    <s v="No"/>
    <s v="Yes"/>
    <s v="No"/>
    <n v="0"/>
  </r>
  <r>
    <s v="USR00045"/>
    <s v="APP045"/>
    <s v="LearnOne"/>
    <x v="3"/>
    <x v="2"/>
    <s v="Female"/>
    <s v="Germany"/>
    <s v="Smartphone"/>
    <n v="12"/>
    <n v="14.4"/>
    <s v="No"/>
    <s v="No"/>
    <s v="No"/>
    <n v="0"/>
  </r>
  <r>
    <s v="USR00046"/>
    <s v="APP046"/>
    <s v="LearnPlus"/>
    <x v="3"/>
    <x v="1"/>
    <s v="Female"/>
    <s v="India"/>
    <s v="Smartphone"/>
    <n v="13"/>
    <n v="24.3"/>
    <s v="No"/>
    <s v="Yes"/>
    <s v="No"/>
    <n v="0"/>
  </r>
  <r>
    <s v="USR00047"/>
    <s v="APP047"/>
    <s v="StudyPlus"/>
    <x v="3"/>
    <x v="2"/>
    <s v="Female"/>
    <s v="Germany"/>
    <s v="Smartphone"/>
    <n v="43"/>
    <n v="40.799999999999997"/>
    <s v="Yes"/>
    <s v="Yes"/>
    <s v="No"/>
    <n v="0"/>
  </r>
  <r>
    <s v="USR00048"/>
    <s v="APP048"/>
    <s v="StudyX"/>
    <x v="3"/>
    <x v="1"/>
    <s v="Prefer not to say"/>
    <s v="Singapore"/>
    <s v="Smartphone"/>
    <n v="24"/>
    <n v="19.7"/>
    <s v="No"/>
    <s v="Yes"/>
    <s v="No"/>
    <n v="0"/>
  </r>
  <r>
    <s v="USR00049"/>
    <s v="APP049"/>
    <s v="PlayPlus"/>
    <x v="4"/>
    <x v="0"/>
    <s v="Prefer not to say"/>
    <s v="India"/>
    <s v="Smartphone"/>
    <n v="6"/>
    <n v="30"/>
    <s v="No"/>
    <s v="No"/>
    <s v="Yes"/>
    <n v="0"/>
  </r>
  <r>
    <s v="USR00050"/>
    <s v="APP050"/>
    <s v="ShowMate"/>
    <x v="4"/>
    <x v="2"/>
    <s v="Male"/>
    <s v="Australia"/>
    <s v="Smartphone"/>
    <n v="28"/>
    <n v="34.299999999999997"/>
    <s v="No"/>
    <s v="No"/>
    <s v="Yes"/>
    <n v="44.91"/>
  </r>
  <r>
    <s v="USR00051"/>
    <s v="APP051"/>
    <s v="VibeX"/>
    <x v="4"/>
    <x v="1"/>
    <s v="Female"/>
    <s v="United States"/>
    <s v="Smartphone"/>
    <n v="39"/>
    <n v="13.8"/>
    <s v="Yes"/>
    <s v="Yes"/>
    <s v="No"/>
    <n v="0"/>
  </r>
  <r>
    <s v="USR00052"/>
    <s v="APP052"/>
    <s v="BuzzNow"/>
    <x v="4"/>
    <x v="2"/>
    <s v="Female"/>
    <s v="UAE"/>
    <s v="Smartphone"/>
    <n v="85"/>
    <n v="35.299999999999997"/>
    <s v="Yes"/>
    <s v="Yes"/>
    <s v="No"/>
    <n v="17.25"/>
  </r>
  <r>
    <s v="USR00053"/>
    <s v="APP053"/>
    <s v="StreamPlus"/>
    <x v="4"/>
    <x v="0"/>
    <s v="Female"/>
    <s v="Germany"/>
    <s v="Tablet"/>
    <n v="32"/>
    <n v="40.1"/>
    <s v="Yes"/>
    <s v="Yes"/>
    <s v="No"/>
    <n v="0"/>
  </r>
  <r>
    <s v="USR00054"/>
    <s v="APP054"/>
    <s v="Showly"/>
    <x v="4"/>
    <x v="0"/>
    <s v="Male"/>
    <s v="UAE"/>
    <s v="Smartphone"/>
    <n v="82"/>
    <n v="26.9"/>
    <s v="Yes"/>
    <s v="Yes"/>
    <s v="No"/>
    <n v="0"/>
  </r>
  <r>
    <s v="USR00055"/>
    <s v="APP055"/>
    <s v="BuzzOne"/>
    <x v="4"/>
    <x v="2"/>
    <s v="Male"/>
    <s v="India"/>
    <s v="Smartphone"/>
    <n v="24"/>
    <n v="8.6"/>
    <s v="No"/>
    <s v="Yes"/>
    <s v="No"/>
    <n v="0"/>
  </r>
  <r>
    <s v="USR00056"/>
    <s v="APP056"/>
    <s v="PlayHub"/>
    <x v="4"/>
    <x v="0"/>
    <s v="Male"/>
    <s v="Canada"/>
    <s v="Smartphone"/>
    <n v="5"/>
    <n v="11.3"/>
    <s v="No"/>
    <s v="No"/>
    <s v="Yes"/>
    <n v="0"/>
  </r>
  <r>
    <s v="USR00057"/>
    <s v="APP057"/>
    <s v="CinemaGo"/>
    <x v="4"/>
    <x v="0"/>
    <s v="Male"/>
    <s v="United Kingdom"/>
    <s v="Smartphone"/>
    <n v="10"/>
    <n v="40.4"/>
    <s v="No"/>
    <s v="No"/>
    <s v="No"/>
    <n v="81.7"/>
  </r>
  <r>
    <s v="USR00058"/>
    <s v="APP058"/>
    <s v="LaughX"/>
    <x v="4"/>
    <x v="2"/>
    <s v="Female"/>
    <s v="Singapore"/>
    <s v="Smartphone"/>
    <n v="22"/>
    <n v="38.1"/>
    <s v="No"/>
    <s v="Yes"/>
    <s v="No"/>
    <n v="0"/>
  </r>
  <r>
    <s v="USR00059"/>
    <s v="APP059"/>
    <s v="CinemaHub"/>
    <x v="4"/>
    <x v="2"/>
    <s v="Male"/>
    <s v="UAE"/>
    <s v="Smartphone"/>
    <n v="90"/>
    <n v="19.399999999999999"/>
    <s v="Yes"/>
    <s v="Yes"/>
    <s v="No"/>
    <n v="0"/>
  </r>
  <r>
    <s v="USR00060"/>
    <s v="APP060"/>
    <s v="ShowPro"/>
    <x v="4"/>
    <x v="1"/>
    <s v="Prefer not to say"/>
    <s v="India"/>
    <s v="Smartphone"/>
    <n v="60"/>
    <n v="28.7"/>
    <s v="Yes"/>
    <s v="No"/>
    <s v="No"/>
    <n v="0"/>
  </r>
  <r>
    <s v="USR00061"/>
    <s v="APP061"/>
    <s v="FoodPlus"/>
    <x v="5"/>
    <x v="2"/>
    <s v="Female"/>
    <s v="United Kingdom"/>
    <s v="Tablet"/>
    <n v="16"/>
    <n v="6.5"/>
    <s v="No"/>
    <s v="No"/>
    <s v="Yes"/>
    <n v="0"/>
  </r>
  <r>
    <s v="USR00062"/>
    <s v="APP062"/>
    <s v="BiteGo"/>
    <x v="5"/>
    <x v="2"/>
    <s v="Male"/>
    <s v="UAE"/>
    <s v="Smartphone"/>
    <n v="19"/>
    <n v="14.7"/>
    <s v="No"/>
    <s v="Yes"/>
    <s v="No"/>
    <n v="0"/>
  </r>
  <r>
    <s v="USR00063"/>
    <s v="APP063"/>
    <s v="OrderCloud"/>
    <x v="5"/>
    <x v="4"/>
    <s v="Male"/>
    <s v="Singapore"/>
    <s v="Smartphone"/>
    <n v="15"/>
    <n v="9.3000000000000007"/>
    <s v="No"/>
    <s v="No"/>
    <s v="Yes"/>
    <n v="20.32"/>
  </r>
  <r>
    <s v="USR00064"/>
    <s v="APP064"/>
    <s v="DinePlus"/>
    <x v="5"/>
    <x v="0"/>
    <s v="Male"/>
    <s v="United States"/>
    <s v="Smartphone"/>
    <n v="14"/>
    <n v="4.5"/>
    <s v="No"/>
    <s v="No"/>
    <s v="No"/>
    <n v="0"/>
  </r>
  <r>
    <s v="USR00065"/>
    <s v="APP065"/>
    <s v="SnackX"/>
    <x v="5"/>
    <x v="0"/>
    <s v="Female"/>
    <s v="United States"/>
    <s v="Smartphone"/>
    <n v="84"/>
    <n v="5.8"/>
    <s v="Yes"/>
    <s v="Yes"/>
    <s v="No"/>
    <n v="74.22"/>
  </r>
  <r>
    <s v="USR00066"/>
    <s v="APP066"/>
    <s v="FoodOne"/>
    <x v="5"/>
    <x v="0"/>
    <s v="Female"/>
    <s v="United Kingdom"/>
    <s v="Smartphone"/>
    <n v="50"/>
    <n v="3.3"/>
    <s v="Yes"/>
    <s v="Yes"/>
    <s v="No"/>
    <n v="0"/>
  </r>
  <r>
    <s v="USR00067"/>
    <s v="APP067"/>
    <s v="MealMate"/>
    <x v="5"/>
    <x v="0"/>
    <s v="Male"/>
    <s v="Germany"/>
    <s v="Smartphone"/>
    <n v="25"/>
    <n v="22.3"/>
    <s v="Yes"/>
    <s v="Yes"/>
    <s v="No"/>
    <n v="0"/>
  </r>
  <r>
    <s v="USR00068"/>
    <s v="APP068"/>
    <s v="SnackHub"/>
    <x v="5"/>
    <x v="0"/>
    <s v="Prefer not to say"/>
    <s v="United Kingdom"/>
    <s v="Smartphone"/>
    <n v="14"/>
    <n v="10.7"/>
    <s v="No"/>
    <s v="Yes"/>
    <s v="Yes"/>
    <n v="0"/>
  </r>
  <r>
    <s v="USR00069"/>
    <s v="APP069"/>
    <s v="BiteCloud"/>
    <x v="5"/>
    <x v="4"/>
    <s v="Female"/>
    <s v="Germany"/>
    <s v="Smartphone"/>
    <n v="61"/>
    <n v="22.1"/>
    <s v="Yes"/>
    <s v="No"/>
    <s v="No"/>
    <n v="0"/>
  </r>
  <r>
    <s v="USR00070"/>
    <s v="APP070"/>
    <s v="PlatePlus"/>
    <x v="5"/>
    <x v="1"/>
    <s v="Male"/>
    <s v="Australia"/>
    <s v="Smartphone"/>
    <n v="8"/>
    <n v="13.6"/>
    <s v="No"/>
    <s v="No"/>
    <s v="No"/>
    <n v="0"/>
  </r>
  <r>
    <s v="USR00071"/>
    <s v="APP071"/>
    <s v="VoyageGo"/>
    <x v="6"/>
    <x v="1"/>
    <s v="Prefer not to say"/>
    <s v="UAE"/>
    <s v="Smartphone"/>
    <n v="70"/>
    <n v="17.399999999999999"/>
    <s v="Yes"/>
    <s v="Yes"/>
    <s v="No"/>
    <n v="0"/>
  </r>
  <r>
    <s v="USR00072"/>
    <s v="APP072"/>
    <s v="TripOne"/>
    <x v="6"/>
    <x v="1"/>
    <s v="Male"/>
    <s v="United Kingdom"/>
    <s v="Smartphone"/>
    <n v="50"/>
    <n v="19.7"/>
    <s v="Yes"/>
    <s v="Yes"/>
    <s v="No"/>
    <n v="0"/>
  </r>
  <r>
    <s v="USR00073"/>
    <s v="APP073"/>
    <s v="FlyGo"/>
    <x v="6"/>
    <x v="0"/>
    <s v="Female"/>
    <s v="Australia"/>
    <s v="Smartphone"/>
    <n v="4"/>
    <n v="17"/>
    <s v="No"/>
    <s v="Yes"/>
    <s v="No"/>
    <n v="0"/>
  </r>
  <r>
    <s v="USR00074"/>
    <s v="APP074"/>
    <s v="MapX"/>
    <x v="6"/>
    <x v="0"/>
    <s v="Female"/>
    <s v="Singapore"/>
    <s v="Smartphone"/>
    <n v="17"/>
    <n v="19.3"/>
    <s v="Yes"/>
    <s v="Yes"/>
    <s v="No"/>
    <n v="0"/>
  </r>
  <r>
    <s v="USR00075"/>
    <s v="APP075"/>
    <s v="StayX"/>
    <x v="6"/>
    <x v="1"/>
    <s v="Female"/>
    <s v="India"/>
    <s v="Smartphone"/>
    <n v="7"/>
    <n v="9.6999999999999993"/>
    <s v="No"/>
    <s v="Yes"/>
    <s v="No"/>
    <n v="0"/>
  </r>
  <r>
    <s v="USR00076"/>
    <s v="APP076"/>
    <s v="GoNow"/>
    <x v="6"/>
    <x v="1"/>
    <s v="Female"/>
    <s v="United States"/>
    <s v="Smartphone"/>
    <n v="65"/>
    <n v="18"/>
    <s v="Yes"/>
    <s v="Yes"/>
    <s v="No"/>
    <n v="90.84"/>
  </r>
  <r>
    <s v="USR00077"/>
    <s v="APP077"/>
    <s v="RouteGo"/>
    <x v="6"/>
    <x v="3"/>
    <s v="Male"/>
    <s v="Germany"/>
    <s v="Smartphone"/>
    <n v="3"/>
    <n v="17"/>
    <s v="No"/>
    <s v="No"/>
    <s v="No"/>
    <n v="0"/>
  </r>
  <r>
    <s v="USR00078"/>
    <s v="APP078"/>
    <s v="TripGo"/>
    <x v="6"/>
    <x v="0"/>
    <s v="Male"/>
    <s v="India"/>
    <s v="Smartphone"/>
    <n v="14"/>
    <n v="6.2"/>
    <s v="No"/>
    <s v="No"/>
    <s v="Yes"/>
    <n v="0"/>
  </r>
  <r>
    <s v="USR00079"/>
    <s v="APP079"/>
    <s v="Flyly"/>
    <x v="6"/>
    <x v="4"/>
    <s v="Female"/>
    <s v="United States"/>
    <s v="Smartphone"/>
    <n v="91"/>
    <n v="10.5"/>
    <s v="Yes"/>
    <s v="Yes"/>
    <s v="No"/>
    <n v="0"/>
  </r>
  <r>
    <s v="USR00080"/>
    <s v="APP080"/>
    <s v="TripPro"/>
    <x v="6"/>
    <x v="0"/>
    <s v="Male"/>
    <s v="Australia"/>
    <s v="Smartphone"/>
    <n v="34"/>
    <n v="21"/>
    <s v="Yes"/>
    <s v="Yes"/>
    <s v="No"/>
    <n v="0"/>
  </r>
  <r>
    <s v="USR00081"/>
    <s v="APP081"/>
    <s v="Focusly"/>
    <x v="7"/>
    <x v="0"/>
    <s v="Female"/>
    <s v="United States"/>
    <s v="Smartphone"/>
    <n v="19"/>
    <n v="18.5"/>
    <s v="No"/>
    <s v="Yes"/>
    <s v="No"/>
    <n v="0"/>
  </r>
  <r>
    <s v="USR00082"/>
    <s v="APP082"/>
    <s v="DeskX"/>
    <x v="7"/>
    <x v="4"/>
    <s v="Female"/>
    <s v="India"/>
    <s v="Tablet"/>
    <n v="30"/>
    <n v="16.399999999999999"/>
    <s v="Yes"/>
    <s v="Yes"/>
    <s v="No"/>
    <n v="0"/>
  </r>
  <r>
    <s v="USR00083"/>
    <s v="APP083"/>
    <s v="DonePro"/>
    <x v="7"/>
    <x v="2"/>
    <s v="Male"/>
    <s v="Australia"/>
    <s v="Smartphone"/>
    <n v="1"/>
    <n v="6.3"/>
    <s v="No"/>
    <s v="No"/>
    <s v="No"/>
    <n v="0"/>
  </r>
  <r>
    <s v="USR00084"/>
    <s v="APP084"/>
    <s v="NotePlus"/>
    <x v="7"/>
    <x v="2"/>
    <s v="Female"/>
    <s v="United States"/>
    <s v="Tablet"/>
    <n v="27"/>
    <n v="22.7"/>
    <s v="No"/>
    <s v="Yes"/>
    <s v="No"/>
    <n v="0"/>
  </r>
  <r>
    <s v="USR00085"/>
    <s v="APP085"/>
    <s v="SyncPlus"/>
    <x v="7"/>
    <x v="0"/>
    <s v="Male"/>
    <s v="United Kingdom"/>
    <s v="Smartphone"/>
    <n v="60"/>
    <n v="12.6"/>
    <s v="Yes"/>
    <s v="No"/>
    <s v="No"/>
    <n v="0"/>
  </r>
  <r>
    <s v="USR00086"/>
    <s v="APP086"/>
    <s v="NoteOne"/>
    <x v="7"/>
    <x v="4"/>
    <s v="Other"/>
    <s v="Canada"/>
    <s v="Tablet"/>
    <n v="9"/>
    <n v="23.1"/>
    <s v="No"/>
    <s v="Yes"/>
    <s v="No"/>
    <n v="0"/>
  </r>
  <r>
    <s v="USR00087"/>
    <s v="APP087"/>
    <s v="NoteMate"/>
    <x v="7"/>
    <x v="2"/>
    <s v="Female"/>
    <s v="United States"/>
    <s v="Smartphone"/>
    <n v="19"/>
    <n v="20.8"/>
    <s v="Yes"/>
    <s v="Yes"/>
    <s v="No"/>
    <n v="0"/>
  </r>
  <r>
    <s v="USR00088"/>
    <s v="APP088"/>
    <s v="PlanPlus"/>
    <x v="7"/>
    <x v="0"/>
    <s v="Male"/>
    <s v="Germany"/>
    <s v="Smartphone"/>
    <n v="27"/>
    <n v="3.3"/>
    <s v="Yes"/>
    <s v="Yes"/>
    <s v="No"/>
    <n v="0"/>
  </r>
  <r>
    <s v="USR00089"/>
    <s v="APP089"/>
    <s v="PlanMate"/>
    <x v="7"/>
    <x v="2"/>
    <s v="Male"/>
    <s v="Germany"/>
    <s v="Smartphone"/>
    <n v="15"/>
    <n v="18.7"/>
    <s v="Yes"/>
    <s v="Yes"/>
    <s v="No"/>
    <n v="0"/>
  </r>
  <r>
    <s v="USR00090"/>
    <s v="APP090"/>
    <s v="SyncPlus"/>
    <x v="7"/>
    <x v="1"/>
    <s v="Male"/>
    <s v="Germany"/>
    <s v="Smartphone"/>
    <n v="10"/>
    <n v="9.6999999999999993"/>
    <s v="No"/>
    <s v="Yes"/>
    <s v="No"/>
    <n v="0"/>
  </r>
  <r>
    <s v="USR00091"/>
    <s v="APP091"/>
    <s v="ClinicPro"/>
    <x v="8"/>
    <x v="0"/>
    <s v="Female"/>
    <s v="United States"/>
    <s v="Smartphone"/>
    <n v="42"/>
    <n v="19"/>
    <s v="Yes"/>
    <s v="Yes"/>
    <s v="No"/>
    <n v="0"/>
  </r>
  <r>
    <s v="USR00092"/>
    <s v="APP092"/>
    <s v="MindMate"/>
    <x v="8"/>
    <x v="3"/>
    <s v="Male"/>
    <s v="India"/>
    <s v="Smartphone"/>
    <n v="18"/>
    <n v="13.5"/>
    <s v="Yes"/>
    <s v="Yes"/>
    <s v="Yes"/>
    <n v="0"/>
  </r>
  <r>
    <s v="USR00093"/>
    <s v="APP093"/>
    <s v="ClinicOne"/>
    <x v="8"/>
    <x v="2"/>
    <s v="Female"/>
    <s v="Canada"/>
    <s v="Smartphone"/>
    <n v="40"/>
    <n v="10.7"/>
    <s v="Yes"/>
    <s v="Yes"/>
    <s v="No"/>
    <n v="0"/>
  </r>
  <r>
    <s v="USR00094"/>
    <s v="APP094"/>
    <s v="WellMate"/>
    <x v="8"/>
    <x v="4"/>
    <s v="Prefer not to say"/>
    <s v="United States"/>
    <s v="Smartphone"/>
    <n v="26"/>
    <n v="15.1"/>
    <s v="No"/>
    <s v="Yes"/>
    <s v="No"/>
    <n v="0"/>
  </r>
  <r>
    <s v="USR00095"/>
    <s v="APP095"/>
    <s v="MediMate"/>
    <x v="8"/>
    <x v="1"/>
    <s v="Female"/>
    <s v="United Kingdom"/>
    <s v="Smartphone"/>
    <n v="20"/>
    <n v="3.8"/>
    <s v="No"/>
    <s v="Yes"/>
    <s v="Yes"/>
    <n v="0"/>
  </r>
  <r>
    <s v="USR00096"/>
    <s v="APP096"/>
    <s v="WellNow"/>
    <x v="8"/>
    <x v="2"/>
    <s v="Male"/>
    <s v="Germany"/>
    <s v="Smartphone"/>
    <n v="22"/>
    <n v="7.4"/>
    <s v="No"/>
    <s v="Yes"/>
    <s v="No"/>
    <n v="0"/>
  </r>
  <r>
    <s v="USR00097"/>
    <s v="APP097"/>
    <s v="CareCloud"/>
    <x v="8"/>
    <x v="0"/>
    <s v="Male"/>
    <s v="UAE"/>
    <s v="Smartphone"/>
    <n v="10"/>
    <n v="21.9"/>
    <s v="No"/>
    <s v="Yes"/>
    <s v="No"/>
    <n v="0"/>
  </r>
  <r>
    <s v="USR00098"/>
    <s v="APP098"/>
    <s v="MediNow"/>
    <x v="8"/>
    <x v="4"/>
    <s v="Female"/>
    <s v="Singapore"/>
    <s v="Smartphone"/>
    <n v="8"/>
    <n v="12"/>
    <s v="No"/>
    <s v="No"/>
    <s v="No"/>
    <n v="0"/>
  </r>
  <r>
    <s v="USR00099"/>
    <s v="APP099"/>
    <s v="MindPlus"/>
    <x v="8"/>
    <x v="0"/>
    <s v="Prefer not to say"/>
    <s v="Canada"/>
    <s v="Smartphone"/>
    <n v="29"/>
    <n v="3.9"/>
    <s v="Yes"/>
    <s v="Yes"/>
    <s v="No"/>
    <n v="0"/>
  </r>
  <r>
    <s v="USR00100"/>
    <s v="APP100"/>
    <s v="MediCloud"/>
    <x v="8"/>
    <x v="0"/>
    <s v="Female"/>
    <s v="United States"/>
    <s v="Tablet"/>
    <n v="25"/>
    <n v="6.7"/>
    <s v="Yes"/>
    <s v="Yes"/>
    <s v="No"/>
    <n v="0"/>
  </r>
  <r>
    <s v="USR00101"/>
    <s v="APP001"/>
    <s v="InvestPro"/>
    <x v="0"/>
    <x v="0"/>
    <s v="Female"/>
    <s v="Germany"/>
    <s v="Smartphone"/>
    <n v="70"/>
    <n v="6.1"/>
    <s v="Yes"/>
    <s v="Yes"/>
    <s v="Yes"/>
    <n v="0"/>
  </r>
  <r>
    <s v="USR00102"/>
    <s v="APP002"/>
    <s v="BankPro"/>
    <x v="0"/>
    <x v="1"/>
    <s v="Female"/>
    <s v="Singapore"/>
    <s v="Smartphone"/>
    <n v="8"/>
    <n v="10.9"/>
    <s v="No"/>
    <s v="No"/>
    <s v="Yes"/>
    <n v="0"/>
  </r>
  <r>
    <s v="USR00103"/>
    <s v="APP003"/>
    <s v="BankX"/>
    <x v="0"/>
    <x v="0"/>
    <s v="Male"/>
    <s v="Australia"/>
    <s v="Smartphone"/>
    <n v="5"/>
    <n v="5.7"/>
    <s v="No"/>
    <s v="No"/>
    <s v="No"/>
    <n v="0"/>
  </r>
  <r>
    <s v="USR00104"/>
    <s v="APP004"/>
    <s v="BankNow"/>
    <x v="0"/>
    <x v="1"/>
    <s v="Other"/>
    <s v="Australia"/>
    <s v="Smartphone"/>
    <n v="23"/>
    <n v="9.4"/>
    <s v="Yes"/>
    <s v="No"/>
    <s v="No"/>
    <n v="0"/>
  </r>
  <r>
    <s v="USR00105"/>
    <s v="APP005"/>
    <s v="CreditHub"/>
    <x v="0"/>
    <x v="2"/>
    <s v="Prefer not to say"/>
    <s v="Germany"/>
    <s v="Smartphone"/>
    <n v="22"/>
    <n v="8"/>
    <s v="No"/>
    <s v="Yes"/>
    <s v="No"/>
    <n v="31.9"/>
  </r>
  <r>
    <s v="USR00106"/>
    <s v="APP006"/>
    <s v="PayPlus"/>
    <x v="0"/>
    <x v="4"/>
    <s v="Prefer not to say"/>
    <s v="Singapore"/>
    <s v="Smartphone"/>
    <n v="7"/>
    <n v="13.1"/>
    <s v="No"/>
    <s v="Yes"/>
    <s v="Yes"/>
    <n v="55.22"/>
  </r>
  <r>
    <s v="USR00107"/>
    <s v="APP007"/>
    <s v="BankPlus"/>
    <x v="0"/>
    <x v="0"/>
    <s v="Male"/>
    <s v="Australia"/>
    <s v="Smartphone"/>
    <n v="29"/>
    <n v="6.5"/>
    <s v="Yes"/>
    <s v="Yes"/>
    <s v="Yes"/>
    <n v="0"/>
  </r>
  <r>
    <s v="USR00108"/>
    <s v="APP008"/>
    <s v="CoinPlus"/>
    <x v="0"/>
    <x v="1"/>
    <s v="Female"/>
    <s v="United States"/>
    <s v="Smartphone"/>
    <n v="27"/>
    <n v="6.9"/>
    <s v="Yes"/>
    <s v="Yes"/>
    <s v="No"/>
    <n v="0"/>
  </r>
  <r>
    <s v="USR00109"/>
    <s v="APP009"/>
    <s v="CreditOne"/>
    <x v="0"/>
    <x v="1"/>
    <s v="Male"/>
    <s v="United States"/>
    <s v="Smartphone"/>
    <n v="1"/>
    <n v="11.2"/>
    <s v="No"/>
    <s v="Yes"/>
    <s v="No"/>
    <n v="0"/>
  </r>
  <r>
    <s v="USR00110"/>
    <s v="APP010"/>
    <s v="PayPro"/>
    <x v="0"/>
    <x v="1"/>
    <s v="Male"/>
    <s v="Germany"/>
    <s v="Smartphone"/>
    <n v="6"/>
    <n v="15.1"/>
    <s v="No"/>
    <s v="No"/>
    <s v="Yes"/>
    <n v="45.62"/>
  </r>
  <r>
    <s v="USR00111"/>
    <s v="APP011"/>
    <s v="Creditly"/>
    <x v="0"/>
    <x v="0"/>
    <s v="Female"/>
    <s v="Canada"/>
    <s v="Smartphone"/>
    <n v="21"/>
    <n v="14.5"/>
    <s v="Yes"/>
    <s v="Yes"/>
    <s v="No"/>
    <n v="0"/>
  </r>
  <r>
    <s v="USR00112"/>
    <s v="APP012"/>
    <s v="PayX"/>
    <x v="0"/>
    <x v="0"/>
    <s v="Female"/>
    <s v="United Kingdom"/>
    <s v="Smartphone"/>
    <n v="42"/>
    <n v="3.6"/>
    <s v="Yes"/>
    <s v="No"/>
    <s v="No"/>
    <n v="0"/>
  </r>
  <r>
    <s v="USR00113"/>
    <s v="APP013"/>
    <s v="DealGo"/>
    <x v="1"/>
    <x v="0"/>
    <s v="Male"/>
    <s v="India"/>
    <s v="Smartphone"/>
    <n v="88"/>
    <n v="19.600000000000001"/>
    <s v="Yes"/>
    <s v="No"/>
    <s v="Yes"/>
    <n v="0"/>
  </r>
  <r>
    <s v="USR00114"/>
    <s v="APP014"/>
    <s v="MallNow"/>
    <x v="1"/>
    <x v="1"/>
    <s v="Female"/>
    <s v="Canada"/>
    <s v="Smartphone"/>
    <n v="25"/>
    <n v="22"/>
    <s v="No"/>
    <s v="Yes"/>
    <s v="No"/>
    <n v="0"/>
  </r>
  <r>
    <s v="USR00115"/>
    <s v="APP015"/>
    <s v="DealPro"/>
    <x v="1"/>
    <x v="0"/>
    <s v="Male"/>
    <s v="United Kingdom"/>
    <s v="Smartphone"/>
    <n v="19"/>
    <n v="6.9"/>
    <s v="Yes"/>
    <s v="Yes"/>
    <s v="No"/>
    <n v="0"/>
  </r>
  <r>
    <s v="USR00116"/>
    <s v="APP016"/>
    <s v="StyleNow"/>
    <x v="1"/>
    <x v="3"/>
    <s v="Female"/>
    <s v="United Kingdom"/>
    <s v="Tablet"/>
    <n v="57"/>
    <n v="23.2"/>
    <s v="Yes"/>
    <s v="Yes"/>
    <s v="No"/>
    <n v="0"/>
  </r>
  <r>
    <s v="USR00117"/>
    <s v="APP017"/>
    <s v="DealCloud"/>
    <x v="1"/>
    <x v="1"/>
    <s v="Male"/>
    <s v="Canada"/>
    <s v="Smartphone"/>
    <n v="87"/>
    <n v="10.9"/>
    <s v="Yes"/>
    <s v="Yes"/>
    <s v="No"/>
    <n v="0"/>
  </r>
  <r>
    <s v="USR00118"/>
    <s v="APP018"/>
    <s v="CartCloud"/>
    <x v="1"/>
    <x v="0"/>
    <s v="Female"/>
    <s v="United Kingdom"/>
    <s v="Smartphone"/>
    <n v="1"/>
    <n v="23.1"/>
    <s v="No"/>
    <s v="No"/>
    <s v="Yes"/>
    <n v="0"/>
  </r>
  <r>
    <s v="USR00119"/>
    <s v="APP019"/>
    <s v="CartMate"/>
    <x v="1"/>
    <x v="0"/>
    <s v="Female"/>
    <s v="United States"/>
    <s v="Smartphone"/>
    <n v="86"/>
    <n v="11.6"/>
    <s v="Yes"/>
    <s v="Yes"/>
    <s v="No"/>
    <n v="0"/>
  </r>
  <r>
    <s v="USR00120"/>
    <s v="APP020"/>
    <s v="BazaarOne"/>
    <x v="1"/>
    <x v="1"/>
    <s v="Male"/>
    <s v="Singapore"/>
    <s v="Smartphone"/>
    <n v="19"/>
    <n v="12.5"/>
    <s v="No"/>
    <s v="No"/>
    <s v="No"/>
    <n v="0"/>
  </r>
  <r>
    <s v="USR00121"/>
    <s v="APP021"/>
    <s v="StyleOne"/>
    <x v="1"/>
    <x v="1"/>
    <s v="Prefer not to say"/>
    <s v="United States"/>
    <s v="Smartphone"/>
    <n v="20"/>
    <n v="10.1"/>
    <s v="No"/>
    <s v="No"/>
    <s v="No"/>
    <n v="3.53"/>
  </r>
  <r>
    <s v="USR00122"/>
    <s v="APP022"/>
    <s v="Cartly"/>
    <x v="1"/>
    <x v="1"/>
    <s v="Male"/>
    <s v="United Kingdom"/>
    <s v="Tablet"/>
    <n v="15"/>
    <n v="23.9"/>
    <s v="Yes"/>
    <s v="Yes"/>
    <s v="No"/>
    <n v="0"/>
  </r>
  <r>
    <s v="USR00123"/>
    <s v="APP023"/>
    <s v="BazaarCloud"/>
    <x v="1"/>
    <x v="0"/>
    <s v="Female"/>
    <s v="Singapore"/>
    <s v="Smartphone"/>
    <n v="20"/>
    <n v="13.7"/>
    <s v="No"/>
    <s v="No"/>
    <s v="Yes"/>
    <n v="9.23"/>
  </r>
  <r>
    <s v="USR00124"/>
    <s v="APP024"/>
    <s v="CartPro"/>
    <x v="1"/>
    <x v="0"/>
    <s v="Prefer not to say"/>
    <s v="Australia"/>
    <s v="Smartphone"/>
    <n v="4"/>
    <n v="18.100000000000001"/>
    <s v="No"/>
    <s v="No"/>
    <s v="No"/>
    <n v="0"/>
  </r>
  <r>
    <s v="USR00125"/>
    <s v="APP025"/>
    <s v="RunPlus"/>
    <x v="2"/>
    <x v="1"/>
    <s v="Prefer not to say"/>
    <s v="Germany"/>
    <s v="Smartphone"/>
    <n v="23"/>
    <n v="25.4"/>
    <s v="Yes"/>
    <s v="No"/>
    <s v="No"/>
    <n v="0"/>
  </r>
  <r>
    <s v="USR00126"/>
    <s v="APP026"/>
    <s v="TrainCloud"/>
    <x v="2"/>
    <x v="0"/>
    <s v="Male"/>
    <s v="UAE"/>
    <s v="Smartphone"/>
    <n v="17"/>
    <n v="40.799999999999997"/>
    <s v="Yes"/>
    <s v="No"/>
    <s v="Yes"/>
    <n v="0"/>
  </r>
  <r>
    <s v="USR00127"/>
    <s v="APP027"/>
    <s v="Trainly"/>
    <x v="2"/>
    <x v="0"/>
    <s v="Male"/>
    <s v="Germany"/>
    <s v="Tablet"/>
    <n v="24"/>
    <n v="8.6999999999999993"/>
    <s v="Yes"/>
    <s v="Yes"/>
    <s v="No"/>
    <n v="42.8"/>
  </r>
  <r>
    <s v="USR00128"/>
    <s v="APP028"/>
    <s v="LiftCloud"/>
    <x v="2"/>
    <x v="0"/>
    <s v="Prefer not to say"/>
    <s v="UAE"/>
    <s v="Smartphone"/>
    <n v="19"/>
    <n v="25.1"/>
    <s v="No"/>
    <s v="No"/>
    <s v="Yes"/>
    <n v="0"/>
  </r>
  <r>
    <s v="USR00129"/>
    <s v="APP029"/>
    <s v="MoveNow"/>
    <x v="2"/>
    <x v="1"/>
    <s v="Male"/>
    <s v="United Kingdom"/>
    <s v="Smartphone"/>
    <n v="27"/>
    <n v="37.4"/>
    <s v="No"/>
    <s v="No"/>
    <s v="No"/>
    <n v="32.67"/>
  </r>
  <r>
    <s v="USR00130"/>
    <s v="APP030"/>
    <s v="ActiveMate"/>
    <x v="2"/>
    <x v="0"/>
    <s v="Male"/>
    <s v="United States"/>
    <s v="Smartphone"/>
    <n v="80"/>
    <n v="19.399999999999999"/>
    <s v="Yes"/>
    <s v="Yes"/>
    <s v="No"/>
    <n v="0"/>
  </r>
  <r>
    <s v="USR00131"/>
    <s v="APP031"/>
    <s v="RunGo"/>
    <x v="2"/>
    <x v="3"/>
    <s v="Female"/>
    <s v="United Kingdom"/>
    <s v="Smartphone"/>
    <n v="11"/>
    <n v="12.5"/>
    <s v="No"/>
    <s v="No"/>
    <s v="No"/>
    <n v="0"/>
  </r>
  <r>
    <s v="USR00132"/>
    <s v="APP032"/>
    <s v="LiftPro"/>
    <x v="2"/>
    <x v="1"/>
    <s v="Female"/>
    <s v="United Kingdom"/>
    <s v="Smartphone"/>
    <n v="16"/>
    <n v="29.4"/>
    <s v="Yes"/>
    <s v="Yes"/>
    <s v="No"/>
    <n v="7.29"/>
  </r>
  <r>
    <s v="USR00133"/>
    <s v="APP033"/>
    <s v="LiftPro"/>
    <x v="2"/>
    <x v="2"/>
    <s v="Female"/>
    <s v="Singapore"/>
    <s v="Smartphone"/>
    <n v="5"/>
    <n v="36.5"/>
    <s v="No"/>
    <s v="No"/>
    <s v="No"/>
    <n v="0"/>
  </r>
  <r>
    <s v="USR00134"/>
    <s v="APP034"/>
    <s v="Liftly"/>
    <x v="2"/>
    <x v="2"/>
    <s v="Male"/>
    <s v="United States"/>
    <s v="Smartphone"/>
    <n v="23"/>
    <n v="10.4"/>
    <s v="No"/>
    <s v="Yes"/>
    <s v="No"/>
    <n v="0"/>
  </r>
  <r>
    <s v="USR00135"/>
    <s v="APP035"/>
    <s v="YogaHub"/>
    <x v="2"/>
    <x v="0"/>
    <s v="Male"/>
    <s v="India"/>
    <s v="Smartphone"/>
    <n v="51"/>
    <n v="25"/>
    <s v="Yes"/>
    <s v="No"/>
    <s v="No"/>
    <n v="31.68"/>
  </r>
  <r>
    <s v="USR00136"/>
    <s v="APP036"/>
    <s v="MoveGo"/>
    <x v="2"/>
    <x v="0"/>
    <s v="Female"/>
    <s v="Canada"/>
    <s v="Smartphone"/>
    <n v="92"/>
    <n v="25.7"/>
    <s v="Yes"/>
    <s v="Yes"/>
    <s v="No"/>
    <n v="24.12"/>
  </r>
  <r>
    <s v="USR00137"/>
    <s v="APP037"/>
    <s v="BrightNow"/>
    <x v="3"/>
    <x v="2"/>
    <s v="Female"/>
    <s v="Australia"/>
    <s v="Smartphone"/>
    <n v="11"/>
    <n v="30.9"/>
    <s v="No"/>
    <s v="No"/>
    <s v="Yes"/>
    <n v="0"/>
  </r>
  <r>
    <s v="USR00138"/>
    <s v="APP038"/>
    <s v="StudyCloud"/>
    <x v="3"/>
    <x v="1"/>
    <s v="Male"/>
    <s v="Australia"/>
    <s v="Smartphone"/>
    <n v="26"/>
    <n v="9.5"/>
    <s v="No"/>
    <s v="No"/>
    <s v="No"/>
    <n v="35.21"/>
  </r>
  <r>
    <s v="USR00139"/>
    <s v="APP039"/>
    <s v="SkillNow"/>
    <x v="3"/>
    <x v="1"/>
    <s v="Male"/>
    <s v="Canada"/>
    <s v="Smartphone"/>
    <n v="74"/>
    <n v="10.199999999999999"/>
    <s v="Yes"/>
    <s v="Yes"/>
    <s v="No"/>
    <n v="0"/>
  </r>
  <r>
    <s v="USR00140"/>
    <s v="APP040"/>
    <s v="LearnMate"/>
    <x v="3"/>
    <x v="1"/>
    <s v="Male"/>
    <s v="Australia"/>
    <s v="Smartphone"/>
    <n v="22"/>
    <n v="33.6"/>
    <s v="No"/>
    <s v="No"/>
    <s v="Yes"/>
    <n v="0"/>
  </r>
  <r>
    <s v="USR00141"/>
    <s v="APP041"/>
    <s v="QuestNow"/>
    <x v="3"/>
    <x v="0"/>
    <s v="Male"/>
    <s v="United Kingdom"/>
    <s v="Smartphone"/>
    <n v="17"/>
    <n v="21.9"/>
    <s v="Yes"/>
    <s v="Yes"/>
    <s v="No"/>
    <n v="0"/>
  </r>
  <r>
    <s v="USR00142"/>
    <s v="APP042"/>
    <s v="SkillHub"/>
    <x v="3"/>
    <x v="2"/>
    <s v="Female"/>
    <s v="United States"/>
    <s v="Smartphone"/>
    <n v="76"/>
    <n v="34"/>
    <s v="Yes"/>
    <s v="Yes"/>
    <s v="No"/>
    <n v="0"/>
  </r>
  <r>
    <s v="USR00143"/>
    <s v="APP043"/>
    <s v="TutorCloud"/>
    <x v="3"/>
    <x v="0"/>
    <s v="Male"/>
    <s v="Singapore"/>
    <s v="Smartphone"/>
    <n v="5"/>
    <n v="27"/>
    <s v="No"/>
    <s v="No"/>
    <s v="Yes"/>
    <n v="0"/>
  </r>
  <r>
    <s v="USR00144"/>
    <s v="APP044"/>
    <s v="SkillOne"/>
    <x v="3"/>
    <x v="0"/>
    <s v="Female"/>
    <s v="Australia"/>
    <s v="Smartphone"/>
    <n v="5"/>
    <n v="23.7"/>
    <s v="No"/>
    <s v="Yes"/>
    <s v="No"/>
    <n v="0"/>
  </r>
  <r>
    <s v="USR00145"/>
    <s v="APP045"/>
    <s v="LearnOne"/>
    <x v="3"/>
    <x v="4"/>
    <s v="Female"/>
    <s v="Australia"/>
    <s v="Smartphone"/>
    <n v="11"/>
    <n v="36.1"/>
    <s v="No"/>
    <s v="Yes"/>
    <s v="No"/>
    <n v="21.32"/>
  </r>
  <r>
    <s v="USR00146"/>
    <s v="APP046"/>
    <s v="LearnPlus"/>
    <x v="3"/>
    <x v="2"/>
    <s v="Prefer not to say"/>
    <s v="Australia"/>
    <s v="Tablet"/>
    <n v="26"/>
    <n v="40.4"/>
    <s v="No"/>
    <s v="Yes"/>
    <s v="No"/>
    <n v="0"/>
  </r>
  <r>
    <s v="USR00147"/>
    <s v="APP047"/>
    <s v="StudyPlus"/>
    <x v="3"/>
    <x v="1"/>
    <s v="Female"/>
    <s v="Singapore"/>
    <s v="Tablet"/>
    <n v="8"/>
    <n v="41.6"/>
    <s v="No"/>
    <s v="No"/>
    <s v="No"/>
    <n v="0"/>
  </r>
  <r>
    <s v="USR00148"/>
    <s v="APP048"/>
    <s v="StudyX"/>
    <x v="3"/>
    <x v="4"/>
    <s v="Male"/>
    <s v="Singapore"/>
    <s v="Smartphone"/>
    <n v="4"/>
    <n v="33.200000000000003"/>
    <s v="No"/>
    <s v="Yes"/>
    <s v="No"/>
    <n v="0"/>
  </r>
  <r>
    <s v="USR00149"/>
    <s v="APP049"/>
    <s v="PlayPlus"/>
    <x v="4"/>
    <x v="0"/>
    <s v="Male"/>
    <s v="UAE"/>
    <s v="Tablet"/>
    <n v="25"/>
    <n v="9.6"/>
    <s v="No"/>
    <s v="Yes"/>
    <s v="No"/>
    <n v="0"/>
  </r>
  <r>
    <s v="USR00150"/>
    <s v="APP050"/>
    <s v="ShowMate"/>
    <x v="4"/>
    <x v="2"/>
    <s v="Male"/>
    <s v="Germany"/>
    <s v="Tablet"/>
    <n v="82"/>
    <n v="31"/>
    <s v="Yes"/>
    <s v="Yes"/>
    <s v="No"/>
    <n v="0"/>
  </r>
  <r>
    <s v="USR00151"/>
    <s v="APP051"/>
    <s v="VibeX"/>
    <x v="4"/>
    <x v="0"/>
    <s v="Male"/>
    <s v="Canada"/>
    <s v="Smartphone"/>
    <n v="5"/>
    <n v="27.3"/>
    <s v="No"/>
    <s v="Yes"/>
    <s v="No"/>
    <n v="0"/>
  </r>
  <r>
    <s v="USR00152"/>
    <s v="APP052"/>
    <s v="BuzzNow"/>
    <x v="4"/>
    <x v="4"/>
    <s v="Female"/>
    <s v="United States"/>
    <s v="Smartphone"/>
    <n v="8"/>
    <n v="34.299999999999997"/>
    <s v="No"/>
    <s v="Yes"/>
    <s v="No"/>
    <n v="0"/>
  </r>
  <r>
    <s v="USR00153"/>
    <s v="APP053"/>
    <s v="StreamPlus"/>
    <x v="4"/>
    <x v="2"/>
    <s v="Female"/>
    <s v="Australia"/>
    <s v="Smartphone"/>
    <n v="8"/>
    <n v="18.399999999999999"/>
    <s v="No"/>
    <s v="Yes"/>
    <s v="No"/>
    <n v="0"/>
  </r>
  <r>
    <s v="USR00154"/>
    <s v="APP054"/>
    <s v="Showly"/>
    <x v="4"/>
    <x v="1"/>
    <s v="Male"/>
    <s v="UAE"/>
    <s v="Smartphone"/>
    <n v="25"/>
    <n v="31.8"/>
    <s v="Yes"/>
    <s v="Yes"/>
    <s v="No"/>
    <n v="0"/>
  </r>
  <r>
    <s v="USR00155"/>
    <s v="APP055"/>
    <s v="BuzzOne"/>
    <x v="4"/>
    <x v="2"/>
    <s v="Male"/>
    <s v="United Kingdom"/>
    <s v="Smartphone"/>
    <n v="77"/>
    <n v="8.1"/>
    <s v="Yes"/>
    <s v="No"/>
    <s v="Yes"/>
    <n v="0"/>
  </r>
  <r>
    <s v="USR00156"/>
    <s v="APP056"/>
    <s v="PlayHub"/>
    <x v="4"/>
    <x v="1"/>
    <s v="Male"/>
    <s v="United States"/>
    <s v="Smartphone"/>
    <n v="19"/>
    <n v="36.6"/>
    <s v="No"/>
    <s v="Yes"/>
    <s v="No"/>
    <n v="0"/>
  </r>
  <r>
    <s v="USR00157"/>
    <s v="APP057"/>
    <s v="CinemaGo"/>
    <x v="4"/>
    <x v="0"/>
    <s v="Female"/>
    <s v="Australia"/>
    <s v="Smartphone"/>
    <n v="24"/>
    <n v="24.4"/>
    <s v="Yes"/>
    <s v="No"/>
    <s v="Yes"/>
    <n v="0"/>
  </r>
  <r>
    <s v="USR00158"/>
    <s v="APP058"/>
    <s v="LaughX"/>
    <x v="4"/>
    <x v="1"/>
    <s v="Female"/>
    <s v="Singapore"/>
    <s v="Smartphone"/>
    <n v="49"/>
    <n v="16.3"/>
    <s v="Yes"/>
    <s v="Yes"/>
    <s v="No"/>
    <n v="0"/>
  </r>
  <r>
    <s v="USR00159"/>
    <s v="APP059"/>
    <s v="CinemaHub"/>
    <x v="4"/>
    <x v="0"/>
    <s v="Female"/>
    <s v="Canada"/>
    <s v="Smartphone"/>
    <n v="10"/>
    <n v="26.8"/>
    <s v="No"/>
    <s v="No"/>
    <s v="No"/>
    <n v="0"/>
  </r>
  <r>
    <s v="USR00160"/>
    <s v="APP060"/>
    <s v="ShowPro"/>
    <x v="4"/>
    <x v="1"/>
    <s v="Male"/>
    <s v="United States"/>
    <s v="Tablet"/>
    <n v="20"/>
    <n v="11.9"/>
    <s v="No"/>
    <s v="No"/>
    <s v="Yes"/>
    <n v="0"/>
  </r>
  <r>
    <s v="USR00161"/>
    <s v="APP061"/>
    <s v="FoodPlus"/>
    <x v="5"/>
    <x v="0"/>
    <s v="Male"/>
    <s v="India"/>
    <s v="Smartphone"/>
    <n v="11"/>
    <n v="13.7"/>
    <s v="No"/>
    <s v="Yes"/>
    <s v="No"/>
    <n v="0"/>
  </r>
  <r>
    <s v="USR00162"/>
    <s v="APP062"/>
    <s v="BiteGo"/>
    <x v="5"/>
    <x v="0"/>
    <s v="Female"/>
    <s v="Germany"/>
    <s v="Smartphone"/>
    <n v="75"/>
    <n v="4.3"/>
    <s v="Yes"/>
    <s v="Yes"/>
    <s v="No"/>
    <n v="49.42"/>
  </r>
  <r>
    <s v="USR00163"/>
    <s v="APP063"/>
    <s v="OrderCloud"/>
    <x v="5"/>
    <x v="0"/>
    <s v="Male"/>
    <s v="United States"/>
    <s v="Smartphone"/>
    <n v="7"/>
    <n v="15.5"/>
    <s v="No"/>
    <s v="No"/>
    <s v="No"/>
    <n v="0"/>
  </r>
  <r>
    <s v="USR00164"/>
    <s v="APP064"/>
    <s v="DinePlus"/>
    <x v="5"/>
    <x v="4"/>
    <s v="Other"/>
    <s v="Singapore"/>
    <s v="Smartphone"/>
    <n v="22"/>
    <n v="9.9"/>
    <s v="Yes"/>
    <s v="No"/>
    <s v="No"/>
    <n v="3.53"/>
  </r>
  <r>
    <s v="USR00165"/>
    <s v="APP065"/>
    <s v="SnackX"/>
    <x v="5"/>
    <x v="2"/>
    <s v="Female"/>
    <s v="UAE"/>
    <s v="Smartphone"/>
    <n v="8"/>
    <n v="23.6"/>
    <s v="No"/>
    <s v="Yes"/>
    <s v="No"/>
    <n v="70.38"/>
  </r>
  <r>
    <s v="USR00166"/>
    <s v="APP066"/>
    <s v="FoodOne"/>
    <x v="5"/>
    <x v="1"/>
    <s v="Female"/>
    <s v="United States"/>
    <s v="Smartphone"/>
    <n v="20"/>
    <n v="22.7"/>
    <s v="No"/>
    <s v="No"/>
    <s v="No"/>
    <n v="0"/>
  </r>
  <r>
    <s v="USR00167"/>
    <s v="APP067"/>
    <s v="MealMate"/>
    <x v="5"/>
    <x v="0"/>
    <s v="Female"/>
    <s v="Singapore"/>
    <s v="Smartphone"/>
    <n v="8"/>
    <n v="20.3"/>
    <s v="No"/>
    <s v="Yes"/>
    <s v="No"/>
    <n v="25.63"/>
  </r>
  <r>
    <s v="USR00168"/>
    <s v="APP068"/>
    <s v="SnackHub"/>
    <x v="5"/>
    <x v="1"/>
    <s v="Male"/>
    <s v="UAE"/>
    <s v="Smartphone"/>
    <n v="34"/>
    <n v="6.3"/>
    <s v="Yes"/>
    <s v="Yes"/>
    <s v="No"/>
    <n v="0"/>
  </r>
  <r>
    <s v="USR00169"/>
    <s v="APP069"/>
    <s v="BiteCloud"/>
    <x v="5"/>
    <x v="0"/>
    <s v="Male"/>
    <s v="Canada"/>
    <s v="Smartphone"/>
    <n v="18"/>
    <n v="16"/>
    <s v="No"/>
    <s v="No"/>
    <s v="Yes"/>
    <n v="21.66"/>
  </r>
  <r>
    <s v="USR00170"/>
    <s v="APP070"/>
    <s v="PlatePlus"/>
    <x v="5"/>
    <x v="3"/>
    <s v="Female"/>
    <s v="Canada"/>
    <s v="Smartphone"/>
    <n v="7"/>
    <n v="20.399999999999999"/>
    <s v="No"/>
    <s v="No"/>
    <s v="No"/>
    <n v="0"/>
  </r>
  <r>
    <s v="USR00171"/>
    <s v="APP071"/>
    <s v="VoyageGo"/>
    <x v="6"/>
    <x v="0"/>
    <s v="Female"/>
    <s v="Germany"/>
    <s v="Smartphone"/>
    <n v="58"/>
    <n v="4.4000000000000004"/>
    <s v="Yes"/>
    <s v="Yes"/>
    <s v="No"/>
    <n v="0"/>
  </r>
  <r>
    <s v="USR00172"/>
    <s v="APP072"/>
    <s v="TripOne"/>
    <x v="6"/>
    <x v="2"/>
    <s v="Female"/>
    <s v="United Kingdom"/>
    <s v="Smartphone"/>
    <n v="53"/>
    <n v="18.2"/>
    <s v="Yes"/>
    <s v="No"/>
    <s v="Yes"/>
    <n v="0"/>
  </r>
  <r>
    <s v="USR00173"/>
    <s v="APP073"/>
    <s v="FlyGo"/>
    <x v="6"/>
    <x v="1"/>
    <s v="Male"/>
    <s v="Germany"/>
    <s v="Smartphone"/>
    <n v="8"/>
    <n v="18"/>
    <s v="No"/>
    <s v="No"/>
    <s v="Yes"/>
    <n v="0"/>
  </r>
  <r>
    <s v="USR00174"/>
    <s v="APP074"/>
    <s v="MapX"/>
    <x v="6"/>
    <x v="1"/>
    <s v="Female"/>
    <s v="UAE"/>
    <s v="Smartphone"/>
    <n v="28"/>
    <n v="17.899999999999999"/>
    <s v="No"/>
    <s v="No"/>
    <s v="No"/>
    <n v="0"/>
  </r>
  <r>
    <s v="USR00175"/>
    <s v="APP075"/>
    <s v="StayX"/>
    <x v="6"/>
    <x v="2"/>
    <s v="Female"/>
    <s v="Germany"/>
    <s v="Smartphone"/>
    <n v="19"/>
    <n v="17.5"/>
    <s v="No"/>
    <s v="Yes"/>
    <s v="No"/>
    <n v="0"/>
  </r>
  <r>
    <s v="USR00176"/>
    <s v="APP076"/>
    <s v="GoNow"/>
    <x v="6"/>
    <x v="4"/>
    <s v="Female"/>
    <s v="Australia"/>
    <s v="Tablet"/>
    <n v="28"/>
    <n v="9.9"/>
    <s v="No"/>
    <s v="No"/>
    <s v="Yes"/>
    <n v="0"/>
  </r>
  <r>
    <s v="USR00177"/>
    <s v="APP077"/>
    <s v="RouteGo"/>
    <x v="6"/>
    <x v="4"/>
    <s v="Female"/>
    <s v="Canada"/>
    <s v="Smartphone"/>
    <n v="44"/>
    <n v="8.6"/>
    <s v="Yes"/>
    <s v="No"/>
    <s v="Yes"/>
    <n v="0"/>
  </r>
  <r>
    <s v="USR00178"/>
    <s v="APP078"/>
    <s v="TripGo"/>
    <x v="6"/>
    <x v="3"/>
    <s v="Prefer not to say"/>
    <s v="Canada"/>
    <s v="Smartphone"/>
    <n v="2"/>
    <n v="10.3"/>
    <s v="No"/>
    <s v="No"/>
    <s v="Yes"/>
    <n v="31.02"/>
  </r>
  <r>
    <s v="USR00179"/>
    <s v="APP079"/>
    <s v="Flyly"/>
    <x v="6"/>
    <x v="0"/>
    <s v="Female"/>
    <s v="Canada"/>
    <s v="Smartphone"/>
    <n v="28"/>
    <n v="22.4"/>
    <s v="Yes"/>
    <s v="Yes"/>
    <s v="No"/>
    <n v="0"/>
  </r>
  <r>
    <s v="USR00180"/>
    <s v="APP080"/>
    <s v="TripPro"/>
    <x v="6"/>
    <x v="0"/>
    <s v="Female"/>
    <s v="United Kingdom"/>
    <s v="Tablet"/>
    <n v="32"/>
    <n v="6.6"/>
    <s v="Yes"/>
    <s v="Yes"/>
    <s v="No"/>
    <n v="0"/>
  </r>
  <r>
    <s v="USR00181"/>
    <s v="APP081"/>
    <s v="Focusly"/>
    <x v="7"/>
    <x v="1"/>
    <s v="Other"/>
    <s v="Canada"/>
    <s v="Smartphone"/>
    <n v="26"/>
    <n v="8.1"/>
    <s v="No"/>
    <s v="No"/>
    <s v="No"/>
    <n v="0"/>
  </r>
  <r>
    <s v="USR00182"/>
    <s v="APP082"/>
    <s v="DeskX"/>
    <x v="7"/>
    <x v="0"/>
    <s v="Female"/>
    <s v="United States"/>
    <s v="Smartphone"/>
    <n v="49"/>
    <n v="16.2"/>
    <s v="Yes"/>
    <s v="No"/>
    <s v="No"/>
    <n v="0"/>
  </r>
  <r>
    <s v="USR00183"/>
    <s v="APP083"/>
    <s v="DonePro"/>
    <x v="7"/>
    <x v="4"/>
    <s v="Male"/>
    <s v="United States"/>
    <s v="Smartphone"/>
    <n v="14"/>
    <n v="13.5"/>
    <s v="Yes"/>
    <s v="Yes"/>
    <s v="No"/>
    <n v="0"/>
  </r>
  <r>
    <s v="USR00184"/>
    <s v="APP084"/>
    <s v="NotePlus"/>
    <x v="7"/>
    <x v="1"/>
    <s v="Prefer not to say"/>
    <s v="Singapore"/>
    <s v="Smartphone"/>
    <n v="69"/>
    <n v="18.100000000000001"/>
    <s v="Yes"/>
    <s v="Yes"/>
    <s v="No"/>
    <n v="47.94"/>
  </r>
  <r>
    <s v="USR00185"/>
    <s v="APP085"/>
    <s v="SyncPlus"/>
    <x v="7"/>
    <x v="2"/>
    <s v="Female"/>
    <s v="Germany"/>
    <s v="Smartphone"/>
    <n v="36"/>
    <n v="18.399999999999999"/>
    <s v="Yes"/>
    <s v="Yes"/>
    <s v="No"/>
    <n v="0"/>
  </r>
  <r>
    <s v="USR00186"/>
    <s v="APP086"/>
    <s v="NoteOne"/>
    <x v="7"/>
    <x v="0"/>
    <s v="Other"/>
    <s v="Canada"/>
    <s v="Tablet"/>
    <n v="95"/>
    <n v="7"/>
    <s v="Yes"/>
    <s v="No"/>
    <s v="No"/>
    <n v="0"/>
  </r>
  <r>
    <s v="USR00187"/>
    <s v="APP087"/>
    <s v="NoteMate"/>
    <x v="7"/>
    <x v="4"/>
    <s v="Male"/>
    <s v="Singapore"/>
    <s v="Smartphone"/>
    <n v="25"/>
    <n v="18.600000000000001"/>
    <s v="Yes"/>
    <s v="Yes"/>
    <s v="No"/>
    <n v="0"/>
  </r>
  <r>
    <s v="USR00188"/>
    <s v="APP088"/>
    <s v="PlanPlus"/>
    <x v="7"/>
    <x v="0"/>
    <s v="Male"/>
    <s v="UAE"/>
    <s v="Smartphone"/>
    <n v="18"/>
    <n v="11.9"/>
    <s v="No"/>
    <s v="No"/>
    <s v="Yes"/>
    <n v="0"/>
  </r>
  <r>
    <s v="USR00189"/>
    <s v="APP089"/>
    <s v="PlanMate"/>
    <x v="7"/>
    <x v="2"/>
    <s v="Male"/>
    <s v="Australia"/>
    <s v="Smartphone"/>
    <n v="31"/>
    <n v="14.7"/>
    <s v="Yes"/>
    <s v="No"/>
    <s v="Yes"/>
    <n v="0"/>
  </r>
  <r>
    <s v="USR00190"/>
    <s v="APP090"/>
    <s v="SyncPlus"/>
    <x v="7"/>
    <x v="2"/>
    <s v="Female"/>
    <s v="United Kingdom"/>
    <s v="Smartphone"/>
    <n v="14"/>
    <n v="21.6"/>
    <s v="No"/>
    <s v="No"/>
    <s v="No"/>
    <n v="0"/>
  </r>
  <r>
    <s v="USR00191"/>
    <s v="APP091"/>
    <s v="ClinicPro"/>
    <x v="8"/>
    <x v="0"/>
    <s v="Male"/>
    <s v="United States"/>
    <s v="Smartphone"/>
    <n v="71"/>
    <n v="6.6"/>
    <s v="Yes"/>
    <s v="Yes"/>
    <s v="No"/>
    <n v="0"/>
  </r>
  <r>
    <s v="USR00192"/>
    <s v="APP092"/>
    <s v="MindMate"/>
    <x v="8"/>
    <x v="2"/>
    <s v="Other"/>
    <s v="Germany"/>
    <s v="Smartphone"/>
    <n v="39"/>
    <n v="10.7"/>
    <s v="Yes"/>
    <s v="Yes"/>
    <s v="No"/>
    <n v="0"/>
  </r>
  <r>
    <s v="USR00193"/>
    <s v="APP093"/>
    <s v="ClinicOne"/>
    <x v="8"/>
    <x v="0"/>
    <s v="Prefer not to say"/>
    <s v="Australia"/>
    <s v="Smartphone"/>
    <n v="17"/>
    <n v="10.9"/>
    <s v="Yes"/>
    <s v="Yes"/>
    <s v="No"/>
    <n v="0"/>
  </r>
  <r>
    <s v="USR00194"/>
    <s v="APP094"/>
    <s v="WellMate"/>
    <x v="8"/>
    <x v="0"/>
    <s v="Female"/>
    <s v="Germany"/>
    <s v="Smartphone"/>
    <n v="19"/>
    <n v="22.5"/>
    <s v="No"/>
    <s v="No"/>
    <s v="No"/>
    <n v="0"/>
  </r>
  <r>
    <s v="USR00195"/>
    <s v="APP095"/>
    <s v="MediMate"/>
    <x v="8"/>
    <x v="2"/>
    <s v="Female"/>
    <s v="Australia"/>
    <s v="Smartphone"/>
    <n v="57"/>
    <n v="5.0999999999999996"/>
    <s v="Yes"/>
    <s v="Yes"/>
    <s v="No"/>
    <n v="0"/>
  </r>
  <r>
    <s v="USR00196"/>
    <s v="APP096"/>
    <s v="WellNow"/>
    <x v="8"/>
    <x v="0"/>
    <s v="Prefer not to say"/>
    <s v="Germany"/>
    <s v="Smartphone"/>
    <n v="44"/>
    <n v="16.7"/>
    <s v="Yes"/>
    <s v="Yes"/>
    <s v="No"/>
    <n v="9.74"/>
  </r>
  <r>
    <s v="USR00197"/>
    <s v="APP097"/>
    <s v="CareCloud"/>
    <x v="8"/>
    <x v="0"/>
    <s v="Female"/>
    <s v="United Kingdom"/>
    <s v="Smartphone"/>
    <n v="64"/>
    <n v="14.1"/>
    <s v="Yes"/>
    <s v="Yes"/>
    <s v="No"/>
    <n v="0"/>
  </r>
  <r>
    <s v="USR00198"/>
    <s v="APP098"/>
    <s v="MediNow"/>
    <x v="8"/>
    <x v="1"/>
    <s v="Male"/>
    <s v="UAE"/>
    <s v="Smartphone"/>
    <n v="60"/>
    <n v="11.6"/>
    <s v="Yes"/>
    <s v="No"/>
    <s v="No"/>
    <n v="41.57"/>
  </r>
  <r>
    <s v="USR00199"/>
    <s v="APP099"/>
    <s v="MindPlus"/>
    <x v="8"/>
    <x v="2"/>
    <s v="Female"/>
    <s v="United States"/>
    <s v="Smartphone"/>
    <n v="5"/>
    <n v="10.7"/>
    <s v="No"/>
    <s v="No"/>
    <s v="Yes"/>
    <n v="0"/>
  </r>
  <r>
    <s v="USR00200"/>
    <s v="APP100"/>
    <s v="MediCloud"/>
    <x v="8"/>
    <x v="1"/>
    <s v="Male"/>
    <s v="Germany"/>
    <s v="Smartphone"/>
    <n v="57"/>
    <n v="17.8"/>
    <s v="Yes"/>
    <s v="Yes"/>
    <s v="No"/>
    <n v="21.65"/>
  </r>
  <r>
    <s v="USR00201"/>
    <s v="APP001"/>
    <s v="InvestPro"/>
    <x v="0"/>
    <x v="0"/>
    <s v="Female"/>
    <s v="UAE"/>
    <s v="Smartphone"/>
    <n v="30"/>
    <n v="4.2"/>
    <s v="Yes"/>
    <s v="Yes"/>
    <s v="No"/>
    <n v="0"/>
  </r>
  <r>
    <s v="USR00202"/>
    <s v="APP002"/>
    <s v="BankPro"/>
    <x v="0"/>
    <x v="1"/>
    <s v="Male"/>
    <s v="Singapore"/>
    <s v="Smartphone"/>
    <n v="86"/>
    <n v="20.100000000000001"/>
    <s v="Yes"/>
    <s v="Yes"/>
    <s v="No"/>
    <n v="0"/>
  </r>
  <r>
    <s v="USR00203"/>
    <s v="APP003"/>
    <s v="BankX"/>
    <x v="0"/>
    <x v="2"/>
    <s v="Female"/>
    <s v="Singapore"/>
    <s v="Smartphone"/>
    <n v="5"/>
    <n v="6.8"/>
    <s v="No"/>
    <s v="No"/>
    <s v="No"/>
    <n v="0"/>
  </r>
  <r>
    <s v="USR00204"/>
    <s v="APP004"/>
    <s v="BankNow"/>
    <x v="0"/>
    <x v="4"/>
    <s v="Female"/>
    <s v="Australia"/>
    <s v="Smartphone"/>
    <n v="20"/>
    <n v="23.4"/>
    <s v="No"/>
    <s v="No"/>
    <s v="No"/>
    <n v="26.44"/>
  </r>
  <r>
    <s v="USR00205"/>
    <s v="APP005"/>
    <s v="CreditHub"/>
    <x v="0"/>
    <x v="2"/>
    <s v="Female"/>
    <s v="United Kingdom"/>
    <s v="Smartphone"/>
    <n v="8"/>
    <n v="7.5"/>
    <s v="No"/>
    <s v="No"/>
    <s v="No"/>
    <n v="0"/>
  </r>
  <r>
    <s v="USR00206"/>
    <s v="APP006"/>
    <s v="PayPlus"/>
    <x v="0"/>
    <x v="1"/>
    <s v="Prefer not to say"/>
    <s v="United States"/>
    <s v="Smartphone"/>
    <n v="16"/>
    <n v="21.8"/>
    <s v="No"/>
    <s v="No"/>
    <s v="Yes"/>
    <n v="28.33"/>
  </r>
  <r>
    <s v="USR00207"/>
    <s v="APP007"/>
    <s v="BankPlus"/>
    <x v="0"/>
    <x v="2"/>
    <s v="Male"/>
    <s v="Australia"/>
    <s v="Smartphone"/>
    <n v="1"/>
    <n v="10.6"/>
    <s v="No"/>
    <s v="No"/>
    <s v="No"/>
    <n v="0"/>
  </r>
  <r>
    <s v="USR00208"/>
    <s v="APP008"/>
    <s v="CoinPlus"/>
    <x v="0"/>
    <x v="1"/>
    <s v="Female"/>
    <s v="Singapore"/>
    <s v="Smartphone"/>
    <n v="3"/>
    <n v="7.1"/>
    <s v="No"/>
    <s v="No"/>
    <s v="No"/>
    <n v="0"/>
  </r>
  <r>
    <s v="USR00209"/>
    <s v="APP009"/>
    <s v="CreditOne"/>
    <x v="0"/>
    <x v="2"/>
    <s v="Female"/>
    <s v="Singapore"/>
    <s v="Smartphone"/>
    <n v="30"/>
    <n v="14"/>
    <s v="Yes"/>
    <s v="Yes"/>
    <s v="No"/>
    <n v="0"/>
  </r>
  <r>
    <s v="USR00210"/>
    <s v="APP010"/>
    <s v="PayPro"/>
    <x v="0"/>
    <x v="1"/>
    <s v="Female"/>
    <s v="United States"/>
    <s v="Smartphone"/>
    <n v="70"/>
    <n v="3.4"/>
    <s v="Yes"/>
    <s v="No"/>
    <s v="No"/>
    <n v="0"/>
  </r>
  <r>
    <s v="USR00211"/>
    <s v="APP011"/>
    <s v="Creditly"/>
    <x v="0"/>
    <x v="1"/>
    <s v="Male"/>
    <s v="Australia"/>
    <s v="Tablet"/>
    <n v="45"/>
    <n v="22"/>
    <s v="Yes"/>
    <s v="Yes"/>
    <s v="No"/>
    <n v="0"/>
  </r>
  <r>
    <s v="USR00212"/>
    <s v="APP012"/>
    <s v="PayX"/>
    <x v="0"/>
    <x v="0"/>
    <s v="Prefer not to say"/>
    <s v="Australia"/>
    <s v="Smartphone"/>
    <n v="5"/>
    <n v="12.7"/>
    <s v="No"/>
    <s v="Yes"/>
    <s v="No"/>
    <n v="0"/>
  </r>
  <r>
    <s v="USR00213"/>
    <s v="APP013"/>
    <s v="DealGo"/>
    <x v="1"/>
    <x v="0"/>
    <s v="Male"/>
    <s v="United States"/>
    <s v="Smartphone"/>
    <n v="1"/>
    <n v="23.5"/>
    <s v="No"/>
    <s v="No"/>
    <s v="Yes"/>
    <n v="0"/>
  </r>
  <r>
    <s v="USR00214"/>
    <s v="APP014"/>
    <s v="MallNow"/>
    <x v="1"/>
    <x v="4"/>
    <s v="Male"/>
    <s v="United States"/>
    <s v="Tablet"/>
    <n v="73"/>
    <n v="5.5"/>
    <s v="Yes"/>
    <s v="Yes"/>
    <s v="No"/>
    <n v="0"/>
  </r>
  <r>
    <s v="USR00215"/>
    <s v="APP015"/>
    <s v="DealPro"/>
    <x v="1"/>
    <x v="3"/>
    <s v="Male"/>
    <s v="India"/>
    <s v="Smartphone"/>
    <n v="21"/>
    <n v="12.9"/>
    <s v="No"/>
    <s v="No"/>
    <s v="No"/>
    <n v="0"/>
  </r>
  <r>
    <s v="USR00216"/>
    <s v="APP016"/>
    <s v="StyleNow"/>
    <x v="1"/>
    <x v="0"/>
    <s v="Male"/>
    <s v="Singapore"/>
    <s v="Smartphone"/>
    <n v="70"/>
    <n v="3.2"/>
    <s v="Yes"/>
    <s v="No"/>
    <s v="No"/>
    <n v="93.55"/>
  </r>
  <r>
    <s v="USR00217"/>
    <s v="APP017"/>
    <s v="DealCloud"/>
    <x v="1"/>
    <x v="0"/>
    <s v="Female"/>
    <s v="Singapore"/>
    <s v="Tablet"/>
    <n v="34"/>
    <n v="21.6"/>
    <s v="Yes"/>
    <s v="Yes"/>
    <s v="No"/>
    <n v="84.02"/>
  </r>
  <r>
    <s v="USR00218"/>
    <s v="APP018"/>
    <s v="CartCloud"/>
    <x v="1"/>
    <x v="1"/>
    <s v="Other"/>
    <s v="United Kingdom"/>
    <s v="Smartphone"/>
    <n v="82"/>
    <n v="5.4"/>
    <s v="Yes"/>
    <s v="No"/>
    <s v="Yes"/>
    <n v="26.22"/>
  </r>
  <r>
    <s v="USR00219"/>
    <s v="APP019"/>
    <s v="CartMate"/>
    <x v="1"/>
    <x v="2"/>
    <s v="Male"/>
    <s v="United States"/>
    <s v="Smartphone"/>
    <n v="14"/>
    <n v="20.7"/>
    <s v="No"/>
    <s v="Yes"/>
    <s v="No"/>
    <n v="0"/>
  </r>
  <r>
    <s v="USR00220"/>
    <s v="APP020"/>
    <s v="BazaarOne"/>
    <x v="1"/>
    <x v="1"/>
    <s v="Female"/>
    <s v="UAE"/>
    <s v="Tablet"/>
    <n v="19"/>
    <n v="15.3"/>
    <s v="No"/>
    <s v="No"/>
    <s v="No"/>
    <n v="0"/>
  </r>
  <r>
    <s v="USR00221"/>
    <s v="APP021"/>
    <s v="StyleOne"/>
    <x v="1"/>
    <x v="1"/>
    <s v="Female"/>
    <s v="Canada"/>
    <s v="Smartphone"/>
    <n v="44"/>
    <n v="13.5"/>
    <s v="Yes"/>
    <s v="Yes"/>
    <s v="No"/>
    <n v="0"/>
  </r>
  <r>
    <s v="USR00222"/>
    <s v="APP022"/>
    <s v="Cartly"/>
    <x v="1"/>
    <x v="4"/>
    <s v="Female"/>
    <s v="Singapore"/>
    <s v="Smartphone"/>
    <n v="50"/>
    <n v="8"/>
    <s v="Yes"/>
    <s v="No"/>
    <s v="No"/>
    <n v="0"/>
  </r>
  <r>
    <s v="USR00223"/>
    <s v="APP023"/>
    <s v="BazaarCloud"/>
    <x v="1"/>
    <x v="0"/>
    <s v="Prefer not to say"/>
    <s v="United Kingdom"/>
    <s v="Smartphone"/>
    <n v="18"/>
    <n v="14.5"/>
    <s v="Yes"/>
    <s v="Yes"/>
    <s v="No"/>
    <n v="0"/>
  </r>
  <r>
    <s v="USR00224"/>
    <s v="APP024"/>
    <s v="CartPro"/>
    <x v="1"/>
    <x v="1"/>
    <s v="Male"/>
    <s v="United States"/>
    <s v="Smartphone"/>
    <n v="26"/>
    <n v="18.100000000000001"/>
    <s v="No"/>
    <s v="No"/>
    <s v="No"/>
    <n v="0"/>
  </r>
  <r>
    <s v="USR00225"/>
    <s v="APP025"/>
    <s v="RunPlus"/>
    <x v="2"/>
    <x v="2"/>
    <s v="Female"/>
    <s v="United States"/>
    <s v="Smartphone"/>
    <n v="61"/>
    <n v="17.600000000000001"/>
    <s v="Yes"/>
    <s v="No"/>
    <s v="No"/>
    <n v="0"/>
  </r>
  <r>
    <s v="USR00226"/>
    <s v="APP026"/>
    <s v="TrainCloud"/>
    <x v="2"/>
    <x v="0"/>
    <s v="Male"/>
    <s v="Singapore"/>
    <s v="Smartphone"/>
    <n v="6"/>
    <n v="32.5"/>
    <s v="No"/>
    <s v="No"/>
    <s v="Yes"/>
    <n v="0"/>
  </r>
  <r>
    <s v="USR00227"/>
    <s v="APP027"/>
    <s v="Trainly"/>
    <x v="2"/>
    <x v="2"/>
    <s v="Male"/>
    <s v="Canada"/>
    <s v="Smartphone"/>
    <n v="40"/>
    <n v="11.9"/>
    <s v="Yes"/>
    <s v="Yes"/>
    <s v="Yes"/>
    <n v="10.130000000000001"/>
  </r>
  <r>
    <s v="USR00228"/>
    <s v="APP028"/>
    <s v="LiftCloud"/>
    <x v="2"/>
    <x v="0"/>
    <s v="Female"/>
    <s v="United Kingdom"/>
    <s v="Smartphone"/>
    <n v="17"/>
    <n v="19.5"/>
    <s v="No"/>
    <s v="Yes"/>
    <s v="Yes"/>
    <n v="15.62"/>
  </r>
  <r>
    <s v="USR00229"/>
    <s v="APP029"/>
    <s v="MoveNow"/>
    <x v="2"/>
    <x v="4"/>
    <s v="Female"/>
    <s v="Australia"/>
    <s v="Smartphone"/>
    <n v="21"/>
    <n v="41.2"/>
    <s v="Yes"/>
    <s v="Yes"/>
    <s v="No"/>
    <n v="51.96"/>
  </r>
  <r>
    <s v="USR00230"/>
    <s v="APP030"/>
    <s v="ActiveMate"/>
    <x v="2"/>
    <x v="1"/>
    <s v="Female"/>
    <s v="India"/>
    <s v="Smartphone"/>
    <n v="81"/>
    <n v="30.2"/>
    <s v="Yes"/>
    <s v="No"/>
    <s v="No"/>
    <n v="0"/>
  </r>
  <r>
    <s v="USR00231"/>
    <s v="APP031"/>
    <s v="RunGo"/>
    <x v="2"/>
    <x v="0"/>
    <s v="Female"/>
    <s v="United Kingdom"/>
    <s v="Smartphone"/>
    <n v="23"/>
    <n v="11.8"/>
    <s v="Yes"/>
    <s v="No"/>
    <s v="No"/>
    <n v="0"/>
  </r>
  <r>
    <s v="USR00232"/>
    <s v="APP032"/>
    <s v="LiftPro"/>
    <x v="2"/>
    <x v="2"/>
    <s v="Female"/>
    <s v="UAE"/>
    <s v="Smartphone"/>
    <n v="89"/>
    <n v="24.6"/>
    <s v="Yes"/>
    <s v="Yes"/>
    <s v="No"/>
    <n v="0"/>
  </r>
  <r>
    <s v="USR00233"/>
    <s v="APP033"/>
    <s v="LiftPro"/>
    <x v="2"/>
    <x v="0"/>
    <s v="Female"/>
    <s v="Canada"/>
    <s v="Smartphone"/>
    <n v="7"/>
    <n v="29.8"/>
    <s v="No"/>
    <s v="Yes"/>
    <s v="No"/>
    <n v="0"/>
  </r>
  <r>
    <s v="USR00234"/>
    <s v="APP034"/>
    <s v="Liftly"/>
    <x v="2"/>
    <x v="0"/>
    <s v="Other"/>
    <s v="UAE"/>
    <s v="Smartphone"/>
    <n v="26"/>
    <n v="40"/>
    <s v="No"/>
    <s v="Yes"/>
    <s v="No"/>
    <n v="7.97"/>
  </r>
  <r>
    <s v="USR00235"/>
    <s v="APP035"/>
    <s v="YogaHub"/>
    <x v="2"/>
    <x v="1"/>
    <s v="Male"/>
    <s v="Australia"/>
    <s v="Tablet"/>
    <n v="19"/>
    <n v="40.299999999999997"/>
    <s v="No"/>
    <s v="Yes"/>
    <s v="No"/>
    <n v="0"/>
  </r>
  <r>
    <s v="USR00236"/>
    <s v="APP036"/>
    <s v="MoveGo"/>
    <x v="2"/>
    <x v="4"/>
    <s v="Female"/>
    <s v="United Kingdom"/>
    <s v="Smartphone"/>
    <n v="18"/>
    <n v="26.5"/>
    <s v="Yes"/>
    <s v="Yes"/>
    <s v="No"/>
    <n v="0"/>
  </r>
  <r>
    <s v="USR00237"/>
    <s v="APP037"/>
    <s v="BrightNow"/>
    <x v="3"/>
    <x v="1"/>
    <s v="Male"/>
    <s v="United States"/>
    <s v="Smartphone"/>
    <n v="1"/>
    <n v="14.6"/>
    <s v="No"/>
    <s v="No"/>
    <s v="Yes"/>
    <n v="0"/>
  </r>
  <r>
    <s v="USR00238"/>
    <s v="APP038"/>
    <s v="StudyCloud"/>
    <x v="3"/>
    <x v="0"/>
    <s v="Male"/>
    <s v="United States"/>
    <s v="Smartphone"/>
    <n v="4"/>
    <n v="31.6"/>
    <s v="No"/>
    <s v="No"/>
    <s v="No"/>
    <n v="0"/>
  </r>
  <r>
    <s v="USR00239"/>
    <s v="APP039"/>
    <s v="SkillNow"/>
    <x v="3"/>
    <x v="0"/>
    <s v="Male"/>
    <s v="United Kingdom"/>
    <s v="Smartphone"/>
    <n v="18"/>
    <n v="13.3"/>
    <s v="Yes"/>
    <s v="Yes"/>
    <s v="No"/>
    <n v="0"/>
  </r>
  <r>
    <s v="USR00240"/>
    <s v="APP040"/>
    <s v="LearnMate"/>
    <x v="3"/>
    <x v="0"/>
    <s v="Female"/>
    <s v="Australia"/>
    <s v="Smartphone"/>
    <n v="25"/>
    <n v="24.1"/>
    <s v="No"/>
    <s v="Yes"/>
    <s v="No"/>
    <n v="0"/>
  </r>
  <r>
    <s v="USR00241"/>
    <s v="APP041"/>
    <s v="QuestNow"/>
    <x v="3"/>
    <x v="0"/>
    <s v="Male"/>
    <s v="Singapore"/>
    <s v="Smartphone"/>
    <n v="32"/>
    <n v="35.200000000000003"/>
    <s v="Yes"/>
    <s v="No"/>
    <s v="No"/>
    <n v="0"/>
  </r>
  <r>
    <s v="USR00242"/>
    <s v="APP042"/>
    <s v="SkillHub"/>
    <x v="3"/>
    <x v="0"/>
    <s v="Other"/>
    <s v="United States"/>
    <s v="Smartphone"/>
    <n v="21"/>
    <n v="20.7"/>
    <s v="No"/>
    <s v="No"/>
    <s v="No"/>
    <n v="0"/>
  </r>
  <r>
    <s v="USR00243"/>
    <s v="APP043"/>
    <s v="TutorCloud"/>
    <x v="3"/>
    <x v="0"/>
    <s v="Female"/>
    <s v="United Kingdom"/>
    <s v="Smartphone"/>
    <n v="28"/>
    <n v="12.8"/>
    <s v="No"/>
    <s v="No"/>
    <s v="No"/>
    <n v="19.260000000000002"/>
  </r>
  <r>
    <s v="USR00244"/>
    <s v="APP044"/>
    <s v="SkillOne"/>
    <x v="3"/>
    <x v="2"/>
    <s v="Prefer not to say"/>
    <s v="Canada"/>
    <s v="Smartphone"/>
    <n v="82"/>
    <n v="37.700000000000003"/>
    <s v="Yes"/>
    <s v="Yes"/>
    <s v="No"/>
    <n v="0"/>
  </r>
  <r>
    <s v="USR00245"/>
    <s v="APP045"/>
    <s v="LearnOne"/>
    <x v="3"/>
    <x v="0"/>
    <s v="Prefer not to say"/>
    <s v="Canada"/>
    <s v="Smartphone"/>
    <n v="15"/>
    <n v="40"/>
    <s v="No"/>
    <s v="No"/>
    <s v="Yes"/>
    <n v="0"/>
  </r>
  <r>
    <s v="USR00246"/>
    <s v="APP046"/>
    <s v="LearnPlus"/>
    <x v="3"/>
    <x v="2"/>
    <s v="Male"/>
    <s v="Australia"/>
    <s v="Smartphone"/>
    <n v="11"/>
    <n v="38"/>
    <s v="No"/>
    <s v="No"/>
    <s v="No"/>
    <n v="0"/>
  </r>
  <r>
    <s v="USR00247"/>
    <s v="APP047"/>
    <s v="StudyPlus"/>
    <x v="3"/>
    <x v="0"/>
    <s v="Female"/>
    <s v="UAE"/>
    <s v="Tablet"/>
    <n v="25"/>
    <n v="36.6"/>
    <s v="No"/>
    <s v="No"/>
    <s v="No"/>
    <n v="0"/>
  </r>
  <r>
    <s v="USR00248"/>
    <s v="APP048"/>
    <s v="StudyX"/>
    <x v="3"/>
    <x v="3"/>
    <s v="Male"/>
    <s v="Singapore"/>
    <s v="Smartphone"/>
    <n v="79"/>
    <n v="11.5"/>
    <s v="Yes"/>
    <s v="No"/>
    <s v="Yes"/>
    <n v="0"/>
  </r>
  <r>
    <s v="USR00249"/>
    <s v="APP049"/>
    <s v="PlayPlus"/>
    <x v="4"/>
    <x v="2"/>
    <s v="Male"/>
    <s v="UAE"/>
    <s v="Smartphone"/>
    <n v="27"/>
    <n v="27.3"/>
    <s v="No"/>
    <s v="Yes"/>
    <s v="No"/>
    <n v="0"/>
  </r>
  <r>
    <s v="USR00250"/>
    <s v="APP050"/>
    <s v="ShowMate"/>
    <x v="4"/>
    <x v="4"/>
    <s v="Female"/>
    <s v="UAE"/>
    <s v="Smartphone"/>
    <n v="1"/>
    <n v="26.7"/>
    <s v="No"/>
    <s v="Yes"/>
    <s v="No"/>
    <n v="0"/>
  </r>
  <r>
    <s v="USR00251"/>
    <s v="APP051"/>
    <s v="VibeX"/>
    <x v="4"/>
    <x v="2"/>
    <s v="Female"/>
    <s v="UAE"/>
    <s v="Smartphone"/>
    <n v="53"/>
    <n v="9.9"/>
    <s v="Yes"/>
    <s v="Yes"/>
    <s v="No"/>
    <n v="86.9"/>
  </r>
  <r>
    <s v="USR00252"/>
    <s v="APP052"/>
    <s v="BuzzNow"/>
    <x v="4"/>
    <x v="2"/>
    <s v="Prefer not to say"/>
    <s v="India"/>
    <s v="Smartphone"/>
    <n v="27"/>
    <n v="18.8"/>
    <s v="Yes"/>
    <s v="No"/>
    <s v="Yes"/>
    <n v="0"/>
  </r>
  <r>
    <s v="USR00253"/>
    <s v="APP053"/>
    <s v="StreamPlus"/>
    <x v="4"/>
    <x v="4"/>
    <s v="Prefer not to say"/>
    <s v="India"/>
    <s v="Smartphone"/>
    <n v="19"/>
    <n v="15.3"/>
    <s v="Yes"/>
    <s v="No"/>
    <s v="No"/>
    <n v="0"/>
  </r>
  <r>
    <s v="USR00254"/>
    <s v="APP054"/>
    <s v="Showly"/>
    <x v="4"/>
    <x v="1"/>
    <s v="Female"/>
    <s v="Canada"/>
    <s v="Smartphone"/>
    <n v="23"/>
    <n v="25.7"/>
    <s v="No"/>
    <s v="No"/>
    <s v="Yes"/>
    <n v="0"/>
  </r>
  <r>
    <s v="USR00255"/>
    <s v="APP055"/>
    <s v="BuzzOne"/>
    <x v="4"/>
    <x v="0"/>
    <s v="Female"/>
    <s v="Australia"/>
    <s v="Smartphone"/>
    <n v="84"/>
    <n v="20.6"/>
    <s v="Yes"/>
    <s v="Yes"/>
    <s v="No"/>
    <n v="0"/>
  </r>
  <r>
    <s v="USR00256"/>
    <s v="APP056"/>
    <s v="PlayHub"/>
    <x v="4"/>
    <x v="0"/>
    <s v="Female"/>
    <s v="United States"/>
    <s v="Tablet"/>
    <n v="44"/>
    <n v="30.2"/>
    <s v="Yes"/>
    <s v="Yes"/>
    <s v="No"/>
    <n v="0"/>
  </r>
  <r>
    <s v="USR00257"/>
    <s v="APP057"/>
    <s v="CinemaGo"/>
    <x v="4"/>
    <x v="1"/>
    <s v="Female"/>
    <s v="Singapore"/>
    <s v="Smartphone"/>
    <n v="57"/>
    <n v="16.600000000000001"/>
    <s v="Yes"/>
    <s v="Yes"/>
    <s v="No"/>
    <n v="0"/>
  </r>
  <r>
    <s v="USR00258"/>
    <s v="APP058"/>
    <s v="LaughX"/>
    <x v="4"/>
    <x v="1"/>
    <s v="Female"/>
    <s v="United States"/>
    <s v="Smartphone"/>
    <n v="42"/>
    <n v="34"/>
    <s v="Yes"/>
    <s v="Yes"/>
    <s v="No"/>
    <n v="0"/>
  </r>
  <r>
    <s v="USR00259"/>
    <s v="APP059"/>
    <s v="CinemaHub"/>
    <x v="4"/>
    <x v="0"/>
    <s v="Male"/>
    <s v="Australia"/>
    <s v="Smartphone"/>
    <n v="23"/>
    <n v="25.8"/>
    <s v="No"/>
    <s v="Yes"/>
    <s v="No"/>
    <n v="0"/>
  </r>
  <r>
    <s v="USR00260"/>
    <s v="APP060"/>
    <s v="ShowPro"/>
    <x v="4"/>
    <x v="0"/>
    <s v="Male"/>
    <s v="Australia"/>
    <s v="Smartphone"/>
    <n v="28"/>
    <n v="28.3"/>
    <s v="No"/>
    <s v="Yes"/>
    <s v="No"/>
    <n v="0"/>
  </r>
  <r>
    <s v="USR00261"/>
    <s v="APP061"/>
    <s v="FoodPlus"/>
    <x v="5"/>
    <x v="1"/>
    <s v="Female"/>
    <s v="United Kingdom"/>
    <s v="Smartphone"/>
    <n v="46"/>
    <n v="22.2"/>
    <s v="Yes"/>
    <s v="Yes"/>
    <s v="No"/>
    <n v="0"/>
  </r>
  <r>
    <s v="USR00262"/>
    <s v="APP062"/>
    <s v="BiteGo"/>
    <x v="5"/>
    <x v="1"/>
    <s v="Male"/>
    <s v="United States"/>
    <s v="Smartphone"/>
    <n v="82"/>
    <n v="12.6"/>
    <s v="Yes"/>
    <s v="Yes"/>
    <s v="No"/>
    <n v="0"/>
  </r>
  <r>
    <s v="USR00263"/>
    <s v="APP063"/>
    <s v="OrderCloud"/>
    <x v="5"/>
    <x v="2"/>
    <s v="Male"/>
    <s v="Singapore"/>
    <s v="Smartphone"/>
    <n v="21"/>
    <n v="13.4"/>
    <s v="No"/>
    <s v="Yes"/>
    <s v="No"/>
    <n v="0"/>
  </r>
  <r>
    <s v="USR00264"/>
    <s v="APP064"/>
    <s v="DinePlus"/>
    <x v="5"/>
    <x v="3"/>
    <s v="Male"/>
    <s v="United Kingdom"/>
    <s v="Smartphone"/>
    <n v="64"/>
    <n v="21.3"/>
    <s v="Yes"/>
    <s v="Yes"/>
    <s v="No"/>
    <n v="0"/>
  </r>
  <r>
    <s v="USR00265"/>
    <s v="APP065"/>
    <s v="SnackX"/>
    <x v="5"/>
    <x v="0"/>
    <s v="Male"/>
    <s v="India"/>
    <s v="Smartphone"/>
    <n v="36"/>
    <n v="19"/>
    <s v="Yes"/>
    <s v="Yes"/>
    <s v="No"/>
    <n v="90.95"/>
  </r>
  <r>
    <s v="USR00266"/>
    <s v="APP066"/>
    <s v="FoodOne"/>
    <x v="5"/>
    <x v="0"/>
    <s v="Male"/>
    <s v="Australia"/>
    <s v="Smartphone"/>
    <n v="71"/>
    <n v="18.7"/>
    <s v="Yes"/>
    <s v="Yes"/>
    <s v="No"/>
    <n v="0"/>
  </r>
  <r>
    <s v="USR00267"/>
    <s v="APP067"/>
    <s v="MealMate"/>
    <x v="5"/>
    <x v="0"/>
    <s v="Male"/>
    <s v="United Kingdom"/>
    <s v="Smartphone"/>
    <n v="64"/>
    <n v="23.4"/>
    <s v="Yes"/>
    <s v="No"/>
    <s v="No"/>
    <n v="0"/>
  </r>
  <r>
    <s v="USR00268"/>
    <s v="APP068"/>
    <s v="SnackHub"/>
    <x v="5"/>
    <x v="1"/>
    <s v="Male"/>
    <s v="UAE"/>
    <s v="Smartphone"/>
    <n v="28"/>
    <n v="9"/>
    <s v="No"/>
    <s v="Yes"/>
    <s v="No"/>
    <n v="0"/>
  </r>
  <r>
    <s v="USR00269"/>
    <s v="APP069"/>
    <s v="BiteCloud"/>
    <x v="5"/>
    <x v="0"/>
    <s v="Male"/>
    <s v="United States"/>
    <s v="Smartphone"/>
    <n v="27"/>
    <n v="19.8"/>
    <s v="Yes"/>
    <s v="Yes"/>
    <s v="No"/>
    <n v="0"/>
  </r>
  <r>
    <s v="USR00270"/>
    <s v="APP070"/>
    <s v="PlatePlus"/>
    <x v="5"/>
    <x v="1"/>
    <s v="Female"/>
    <s v="Canada"/>
    <s v="Smartphone"/>
    <n v="15"/>
    <n v="23.1"/>
    <s v="No"/>
    <s v="No"/>
    <s v="No"/>
    <n v="0"/>
  </r>
  <r>
    <s v="USR00271"/>
    <s v="APP071"/>
    <s v="VoyageGo"/>
    <x v="6"/>
    <x v="0"/>
    <s v="Female"/>
    <s v="Canada"/>
    <s v="Smartphone"/>
    <n v="6"/>
    <n v="12.9"/>
    <s v="No"/>
    <s v="No"/>
    <s v="No"/>
    <n v="0"/>
  </r>
  <r>
    <s v="USR00272"/>
    <s v="APP072"/>
    <s v="TripOne"/>
    <x v="6"/>
    <x v="0"/>
    <s v="Male"/>
    <s v="Australia"/>
    <s v="Smartphone"/>
    <n v="45"/>
    <n v="17.2"/>
    <s v="Yes"/>
    <s v="Yes"/>
    <s v="No"/>
    <n v="0"/>
  </r>
  <r>
    <s v="USR00273"/>
    <s v="APP073"/>
    <s v="FlyGo"/>
    <x v="6"/>
    <x v="0"/>
    <s v="Female"/>
    <s v="UAE"/>
    <s v="Smartphone"/>
    <n v="70"/>
    <n v="15.6"/>
    <s v="Yes"/>
    <s v="No"/>
    <s v="Yes"/>
    <n v="0"/>
  </r>
  <r>
    <s v="USR00274"/>
    <s v="APP074"/>
    <s v="MapX"/>
    <x v="6"/>
    <x v="4"/>
    <s v="Male"/>
    <s v="Singapore"/>
    <s v="Smartphone"/>
    <n v="6"/>
    <n v="11.5"/>
    <s v="No"/>
    <s v="Yes"/>
    <s v="No"/>
    <n v="0"/>
  </r>
  <r>
    <s v="USR00275"/>
    <s v="APP075"/>
    <s v="StayX"/>
    <x v="6"/>
    <x v="0"/>
    <s v="Male"/>
    <s v="United States"/>
    <s v="Smartphone"/>
    <n v="40"/>
    <n v="12"/>
    <s v="Yes"/>
    <s v="Yes"/>
    <s v="No"/>
    <n v="0"/>
  </r>
  <r>
    <s v="USR00276"/>
    <s v="APP076"/>
    <s v="GoNow"/>
    <x v="6"/>
    <x v="4"/>
    <s v="Female"/>
    <s v="India"/>
    <s v="Smartphone"/>
    <n v="78"/>
    <n v="23.1"/>
    <s v="Yes"/>
    <s v="Yes"/>
    <s v="No"/>
    <n v="40.799999999999997"/>
  </r>
  <r>
    <s v="USR00277"/>
    <s v="APP077"/>
    <s v="RouteGo"/>
    <x v="6"/>
    <x v="2"/>
    <s v="Female"/>
    <s v="United States"/>
    <s v="Tablet"/>
    <n v="3"/>
    <n v="7.5"/>
    <s v="No"/>
    <s v="Yes"/>
    <s v="No"/>
    <n v="0"/>
  </r>
  <r>
    <s v="USR00278"/>
    <s v="APP078"/>
    <s v="TripGo"/>
    <x v="6"/>
    <x v="4"/>
    <s v="Female"/>
    <s v="United Kingdom"/>
    <s v="Smartphone"/>
    <n v="4"/>
    <n v="4.4000000000000004"/>
    <s v="No"/>
    <s v="Yes"/>
    <s v="No"/>
    <n v="0"/>
  </r>
  <r>
    <s v="USR00279"/>
    <s v="APP079"/>
    <s v="Flyly"/>
    <x v="6"/>
    <x v="2"/>
    <s v="Male"/>
    <s v="Canada"/>
    <s v="Smartphone"/>
    <n v="46"/>
    <n v="7.7"/>
    <s v="Yes"/>
    <s v="Yes"/>
    <s v="No"/>
    <n v="0"/>
  </r>
  <r>
    <s v="USR00280"/>
    <s v="APP080"/>
    <s v="TripPro"/>
    <x v="6"/>
    <x v="2"/>
    <s v="Male"/>
    <s v="Australia"/>
    <s v="Smartphone"/>
    <n v="36"/>
    <n v="20.3"/>
    <s v="Yes"/>
    <s v="Yes"/>
    <s v="No"/>
    <n v="0"/>
  </r>
  <r>
    <s v="USR00281"/>
    <s v="APP081"/>
    <s v="Focusly"/>
    <x v="7"/>
    <x v="1"/>
    <s v="Prefer not to say"/>
    <s v="India"/>
    <s v="Tablet"/>
    <n v="47"/>
    <n v="6.5"/>
    <s v="Yes"/>
    <s v="Yes"/>
    <s v="No"/>
    <n v="32.630000000000003"/>
  </r>
  <r>
    <s v="USR00282"/>
    <s v="APP082"/>
    <s v="DeskX"/>
    <x v="7"/>
    <x v="0"/>
    <s v="Female"/>
    <s v="India"/>
    <s v="Tablet"/>
    <n v="80"/>
    <n v="12.5"/>
    <s v="Yes"/>
    <s v="Yes"/>
    <s v="No"/>
    <n v="37.479999999999997"/>
  </r>
  <r>
    <s v="USR00283"/>
    <s v="APP083"/>
    <s v="DonePro"/>
    <x v="7"/>
    <x v="4"/>
    <s v="Male"/>
    <s v="Singapore"/>
    <s v="Smartphone"/>
    <n v="44"/>
    <n v="9.4"/>
    <s v="Yes"/>
    <s v="Yes"/>
    <s v="No"/>
    <n v="0"/>
  </r>
  <r>
    <s v="USR00284"/>
    <s v="APP084"/>
    <s v="NotePlus"/>
    <x v="7"/>
    <x v="0"/>
    <s v="Male"/>
    <s v="Australia"/>
    <s v="Smartphone"/>
    <n v="88"/>
    <n v="16.100000000000001"/>
    <s v="Yes"/>
    <s v="Yes"/>
    <s v="No"/>
    <n v="0"/>
  </r>
  <r>
    <s v="USR00285"/>
    <s v="APP085"/>
    <s v="SyncPlus"/>
    <x v="7"/>
    <x v="4"/>
    <s v="Male"/>
    <s v="United Kingdom"/>
    <s v="Smartphone"/>
    <n v="94"/>
    <n v="5.3"/>
    <s v="Yes"/>
    <s v="No"/>
    <s v="Yes"/>
    <n v="48.26"/>
  </r>
  <r>
    <s v="USR00286"/>
    <s v="APP086"/>
    <s v="NoteOne"/>
    <x v="7"/>
    <x v="4"/>
    <s v="Male"/>
    <s v="United Kingdom"/>
    <s v="Smartphone"/>
    <n v="20"/>
    <n v="5.4"/>
    <s v="No"/>
    <s v="No"/>
    <s v="Yes"/>
    <n v="23.77"/>
  </r>
  <r>
    <s v="USR00287"/>
    <s v="APP087"/>
    <s v="NoteMate"/>
    <x v="7"/>
    <x v="1"/>
    <s v="Female"/>
    <s v="India"/>
    <s v="Smartphone"/>
    <n v="17"/>
    <n v="22.1"/>
    <s v="Yes"/>
    <s v="Yes"/>
    <s v="No"/>
    <n v="0"/>
  </r>
  <r>
    <s v="USR00288"/>
    <s v="APP088"/>
    <s v="PlanPlus"/>
    <x v="7"/>
    <x v="3"/>
    <s v="Female"/>
    <s v="India"/>
    <s v="Smartphone"/>
    <n v="8"/>
    <n v="11.2"/>
    <s v="No"/>
    <s v="No"/>
    <s v="No"/>
    <n v="0"/>
  </r>
  <r>
    <s v="USR00289"/>
    <s v="APP089"/>
    <s v="PlanMate"/>
    <x v="7"/>
    <x v="0"/>
    <s v="Female"/>
    <s v="Singapore"/>
    <s v="Smartphone"/>
    <n v="42"/>
    <n v="13.2"/>
    <s v="Yes"/>
    <s v="Yes"/>
    <s v="No"/>
    <n v="14.9"/>
  </r>
  <r>
    <s v="USR00290"/>
    <s v="APP090"/>
    <s v="SyncPlus"/>
    <x v="7"/>
    <x v="4"/>
    <s v="Female"/>
    <s v="India"/>
    <s v="Smartphone"/>
    <n v="6"/>
    <n v="12.4"/>
    <s v="No"/>
    <s v="No"/>
    <s v="Yes"/>
    <n v="0"/>
  </r>
  <r>
    <s v="USR00291"/>
    <s v="APP091"/>
    <s v="ClinicPro"/>
    <x v="8"/>
    <x v="0"/>
    <s v="Female"/>
    <s v="Canada"/>
    <s v="Smartphone"/>
    <n v="95"/>
    <n v="12"/>
    <s v="Yes"/>
    <s v="No"/>
    <s v="Yes"/>
    <n v="0"/>
  </r>
  <r>
    <s v="USR00292"/>
    <s v="APP092"/>
    <s v="MindMate"/>
    <x v="8"/>
    <x v="3"/>
    <s v="Male"/>
    <s v="Australia"/>
    <s v="Smartphone"/>
    <n v="55"/>
    <n v="18.2"/>
    <s v="Yes"/>
    <s v="Yes"/>
    <s v="No"/>
    <n v="0"/>
  </r>
  <r>
    <s v="USR00293"/>
    <s v="APP093"/>
    <s v="ClinicOne"/>
    <x v="8"/>
    <x v="4"/>
    <s v="Male"/>
    <s v="United Kingdom"/>
    <s v="Smartphone"/>
    <n v="35"/>
    <n v="8"/>
    <s v="Yes"/>
    <s v="No"/>
    <s v="Yes"/>
    <n v="0"/>
  </r>
  <r>
    <s v="USR00294"/>
    <s v="APP094"/>
    <s v="WellMate"/>
    <x v="8"/>
    <x v="4"/>
    <s v="Male"/>
    <s v="United Kingdom"/>
    <s v="Smartphone"/>
    <n v="26"/>
    <n v="19.7"/>
    <s v="No"/>
    <s v="Yes"/>
    <s v="No"/>
    <n v="0"/>
  </r>
  <r>
    <s v="USR00295"/>
    <s v="APP095"/>
    <s v="MediMate"/>
    <x v="8"/>
    <x v="2"/>
    <s v="Female"/>
    <s v="Singapore"/>
    <s v="Smartphone"/>
    <n v="78"/>
    <n v="21.7"/>
    <s v="Yes"/>
    <s v="Yes"/>
    <s v="No"/>
    <n v="0"/>
  </r>
  <r>
    <s v="USR00296"/>
    <s v="APP096"/>
    <s v="WellNow"/>
    <x v="8"/>
    <x v="0"/>
    <s v="Female"/>
    <s v="United States"/>
    <s v="Smartphone"/>
    <n v="34"/>
    <n v="14.4"/>
    <s v="Yes"/>
    <s v="Yes"/>
    <s v="No"/>
    <n v="0"/>
  </r>
  <r>
    <s v="USR00297"/>
    <s v="APP097"/>
    <s v="CareCloud"/>
    <x v="8"/>
    <x v="1"/>
    <s v="Other"/>
    <s v="Germany"/>
    <s v="Smartphone"/>
    <n v="48"/>
    <n v="14.8"/>
    <s v="Yes"/>
    <s v="Yes"/>
    <s v="No"/>
    <n v="0"/>
  </r>
  <r>
    <s v="USR00298"/>
    <s v="APP098"/>
    <s v="MediNow"/>
    <x v="8"/>
    <x v="1"/>
    <s v="Male"/>
    <s v="India"/>
    <s v="Smartphone"/>
    <n v="24"/>
    <n v="4.9000000000000004"/>
    <s v="No"/>
    <s v="No"/>
    <s v="No"/>
    <n v="0"/>
  </r>
  <r>
    <s v="USR00299"/>
    <s v="APP099"/>
    <s v="MindPlus"/>
    <x v="8"/>
    <x v="0"/>
    <s v="Female"/>
    <s v="United States"/>
    <s v="Smartphone"/>
    <n v="19"/>
    <n v="18.2"/>
    <s v="No"/>
    <s v="Yes"/>
    <s v="No"/>
    <n v="0"/>
  </r>
  <r>
    <s v="USR00300"/>
    <s v="APP100"/>
    <s v="MediCloud"/>
    <x v="8"/>
    <x v="2"/>
    <s v="Female"/>
    <s v="Germany"/>
    <s v="Smartphone"/>
    <n v="3"/>
    <n v="4.5999999999999996"/>
    <s v="No"/>
    <s v="No"/>
    <s v="No"/>
    <n v="0"/>
  </r>
  <r>
    <s v="USR00301"/>
    <s v="APP001"/>
    <s v="InvestPro"/>
    <x v="0"/>
    <x v="0"/>
    <s v="Male"/>
    <s v="United Kingdom"/>
    <s v="Smartphone"/>
    <n v="15"/>
    <n v="9.8000000000000007"/>
    <s v="No"/>
    <s v="No"/>
    <s v="No"/>
    <n v="0"/>
  </r>
  <r>
    <s v="USR00302"/>
    <s v="APP002"/>
    <s v="BankPro"/>
    <x v="0"/>
    <x v="1"/>
    <s v="Female"/>
    <s v="Australia"/>
    <s v="Smartphone"/>
    <n v="71"/>
    <n v="23.9"/>
    <s v="Yes"/>
    <s v="Yes"/>
    <s v="No"/>
    <n v="0"/>
  </r>
  <r>
    <s v="USR00303"/>
    <s v="APP003"/>
    <s v="BankX"/>
    <x v="0"/>
    <x v="2"/>
    <s v="Prefer not to say"/>
    <s v="India"/>
    <s v="Smartphone"/>
    <n v="20"/>
    <n v="10.199999999999999"/>
    <s v="Yes"/>
    <s v="Yes"/>
    <s v="No"/>
    <n v="0"/>
  </r>
  <r>
    <s v="USR00304"/>
    <s v="APP004"/>
    <s v="BankNow"/>
    <x v="0"/>
    <x v="0"/>
    <s v="Male"/>
    <s v="UAE"/>
    <s v="Smartphone"/>
    <n v="18"/>
    <n v="3.2"/>
    <s v="No"/>
    <s v="Yes"/>
    <s v="No"/>
    <n v="0"/>
  </r>
  <r>
    <s v="USR00305"/>
    <s v="APP005"/>
    <s v="CreditHub"/>
    <x v="0"/>
    <x v="0"/>
    <s v="Male"/>
    <s v="Australia"/>
    <s v="Smartphone"/>
    <n v="51"/>
    <n v="7.3"/>
    <s v="Yes"/>
    <s v="Yes"/>
    <s v="Yes"/>
    <n v="0"/>
  </r>
  <r>
    <s v="USR00306"/>
    <s v="APP006"/>
    <s v="PayPlus"/>
    <x v="0"/>
    <x v="0"/>
    <s v="Female"/>
    <s v="Singapore"/>
    <s v="Smartphone"/>
    <n v="23"/>
    <n v="21.7"/>
    <s v="Yes"/>
    <s v="Yes"/>
    <s v="No"/>
    <n v="0"/>
  </r>
  <r>
    <s v="USR00307"/>
    <s v="APP007"/>
    <s v="BankPlus"/>
    <x v="0"/>
    <x v="4"/>
    <s v="Male"/>
    <s v="United Kingdom"/>
    <s v="Smartphone"/>
    <n v="25"/>
    <n v="5.2"/>
    <s v="No"/>
    <s v="Yes"/>
    <s v="No"/>
    <n v="93.79"/>
  </r>
  <r>
    <s v="USR00308"/>
    <s v="APP008"/>
    <s v="CoinPlus"/>
    <x v="0"/>
    <x v="1"/>
    <s v="Female"/>
    <s v="United Kingdom"/>
    <s v="Smartphone"/>
    <n v="22"/>
    <n v="11.5"/>
    <s v="No"/>
    <s v="Yes"/>
    <s v="No"/>
    <n v="92.09"/>
  </r>
  <r>
    <s v="USR00309"/>
    <s v="APP009"/>
    <s v="CreditOne"/>
    <x v="0"/>
    <x v="0"/>
    <s v="Female"/>
    <s v="Singapore"/>
    <s v="Smartphone"/>
    <n v="27"/>
    <n v="13.3"/>
    <s v="No"/>
    <s v="No"/>
    <s v="Yes"/>
    <n v="0"/>
  </r>
  <r>
    <s v="USR00310"/>
    <s v="APP010"/>
    <s v="PayPro"/>
    <x v="0"/>
    <x v="1"/>
    <s v="Female"/>
    <s v="India"/>
    <s v="Smartphone"/>
    <n v="22"/>
    <n v="5.2"/>
    <s v="No"/>
    <s v="Yes"/>
    <s v="No"/>
    <n v="0"/>
  </r>
  <r>
    <s v="USR00311"/>
    <s v="APP011"/>
    <s v="Creditly"/>
    <x v="0"/>
    <x v="2"/>
    <s v="Male"/>
    <s v="Singapore"/>
    <s v="Smartphone"/>
    <n v="8"/>
    <n v="6.7"/>
    <s v="No"/>
    <s v="Yes"/>
    <s v="No"/>
    <n v="0"/>
  </r>
  <r>
    <s v="USR00312"/>
    <s v="APP012"/>
    <s v="PayX"/>
    <x v="0"/>
    <x v="4"/>
    <s v="Male"/>
    <s v="Canada"/>
    <s v="Smartphone"/>
    <n v="72"/>
    <n v="6.8"/>
    <s v="Yes"/>
    <s v="Yes"/>
    <s v="No"/>
    <n v="0"/>
  </r>
  <r>
    <s v="USR00313"/>
    <s v="APP013"/>
    <s v="DealGo"/>
    <x v="1"/>
    <x v="0"/>
    <s v="Male"/>
    <s v="UAE"/>
    <s v="Smartphone"/>
    <n v="12"/>
    <n v="8.6"/>
    <s v="No"/>
    <s v="Yes"/>
    <s v="No"/>
    <n v="0"/>
  </r>
  <r>
    <s v="USR00314"/>
    <s v="APP014"/>
    <s v="MallNow"/>
    <x v="1"/>
    <x v="0"/>
    <s v="Male"/>
    <s v="Germany"/>
    <s v="Smartphone"/>
    <n v="25"/>
    <n v="12.8"/>
    <s v="Yes"/>
    <s v="Yes"/>
    <s v="Yes"/>
    <n v="0"/>
  </r>
  <r>
    <s v="USR00315"/>
    <s v="APP015"/>
    <s v="DealPro"/>
    <x v="1"/>
    <x v="2"/>
    <s v="Other"/>
    <s v="Australia"/>
    <s v="Smartphone"/>
    <n v="86"/>
    <n v="10.8"/>
    <s v="Yes"/>
    <s v="Yes"/>
    <s v="No"/>
    <n v="0"/>
  </r>
  <r>
    <s v="USR00316"/>
    <s v="APP016"/>
    <s v="StyleNow"/>
    <x v="1"/>
    <x v="0"/>
    <s v="Female"/>
    <s v="Singapore"/>
    <s v="Smartphone"/>
    <n v="34"/>
    <n v="16.100000000000001"/>
    <s v="Yes"/>
    <s v="Yes"/>
    <s v="No"/>
    <n v="0"/>
  </r>
  <r>
    <s v="USR00317"/>
    <s v="APP017"/>
    <s v="DealCloud"/>
    <x v="1"/>
    <x v="2"/>
    <s v="Male"/>
    <s v="Germany"/>
    <s v="Smartphone"/>
    <n v="48"/>
    <n v="5.2"/>
    <s v="Yes"/>
    <s v="Yes"/>
    <s v="No"/>
    <n v="0"/>
  </r>
  <r>
    <s v="USR00318"/>
    <s v="APP018"/>
    <s v="CartCloud"/>
    <x v="1"/>
    <x v="0"/>
    <s v="Male"/>
    <s v="India"/>
    <s v="Smartphone"/>
    <n v="88"/>
    <n v="15.8"/>
    <s v="Yes"/>
    <s v="Yes"/>
    <s v="No"/>
    <n v="36.590000000000003"/>
  </r>
  <r>
    <s v="USR00319"/>
    <s v="APP019"/>
    <s v="CartMate"/>
    <x v="1"/>
    <x v="1"/>
    <s v="Female"/>
    <s v="Canada"/>
    <s v="Smartphone"/>
    <n v="11"/>
    <n v="5.0999999999999996"/>
    <s v="No"/>
    <s v="Yes"/>
    <s v="No"/>
    <n v="0"/>
  </r>
  <r>
    <s v="USR00320"/>
    <s v="APP020"/>
    <s v="BazaarOne"/>
    <x v="1"/>
    <x v="2"/>
    <s v="Male"/>
    <s v="India"/>
    <s v="Smartphone"/>
    <n v="80"/>
    <n v="12.6"/>
    <s v="Yes"/>
    <s v="Yes"/>
    <s v="No"/>
    <n v="0"/>
  </r>
  <r>
    <s v="USR00321"/>
    <s v="APP021"/>
    <s v="StyleOne"/>
    <x v="1"/>
    <x v="1"/>
    <s v="Female"/>
    <s v="UAE"/>
    <s v="Smartphone"/>
    <n v="15"/>
    <n v="8"/>
    <s v="No"/>
    <s v="No"/>
    <s v="No"/>
    <n v="0"/>
  </r>
  <r>
    <s v="USR00322"/>
    <s v="APP022"/>
    <s v="Cartly"/>
    <x v="1"/>
    <x v="4"/>
    <s v="Female"/>
    <s v="United Kingdom"/>
    <s v="Smartphone"/>
    <n v="40"/>
    <n v="14.9"/>
    <s v="Yes"/>
    <s v="Yes"/>
    <s v="No"/>
    <n v="70.290000000000006"/>
  </r>
  <r>
    <s v="USR00323"/>
    <s v="APP023"/>
    <s v="BazaarCloud"/>
    <x v="1"/>
    <x v="0"/>
    <s v="Male"/>
    <s v="Canada"/>
    <s v="Smartphone"/>
    <n v="75"/>
    <n v="8.6999999999999993"/>
    <s v="Yes"/>
    <s v="No"/>
    <s v="No"/>
    <n v="0"/>
  </r>
  <r>
    <s v="USR00324"/>
    <s v="APP024"/>
    <s v="CartPro"/>
    <x v="1"/>
    <x v="0"/>
    <s v="Female"/>
    <s v="Canada"/>
    <s v="Smartphone"/>
    <n v="19"/>
    <n v="19.7"/>
    <s v="No"/>
    <s v="No"/>
    <s v="No"/>
    <n v="0"/>
  </r>
  <r>
    <s v="USR00325"/>
    <s v="APP025"/>
    <s v="RunPlus"/>
    <x v="2"/>
    <x v="1"/>
    <s v="Male"/>
    <s v="Singapore"/>
    <s v="Smartphone"/>
    <n v="68"/>
    <n v="19.3"/>
    <s v="Yes"/>
    <s v="Yes"/>
    <s v="No"/>
    <n v="0"/>
  </r>
  <r>
    <s v="USR00326"/>
    <s v="APP026"/>
    <s v="TrainCloud"/>
    <x v="2"/>
    <x v="3"/>
    <s v="Female"/>
    <s v="Canada"/>
    <s v="Smartphone"/>
    <n v="28"/>
    <n v="31.7"/>
    <s v="No"/>
    <s v="Yes"/>
    <s v="No"/>
    <n v="19.88"/>
  </r>
  <r>
    <s v="USR00327"/>
    <s v="APP027"/>
    <s v="Trainly"/>
    <x v="2"/>
    <x v="2"/>
    <s v="Female"/>
    <s v="Germany"/>
    <s v="Smartphone"/>
    <n v="48"/>
    <n v="18"/>
    <s v="Yes"/>
    <s v="Yes"/>
    <s v="No"/>
    <n v="0"/>
  </r>
  <r>
    <s v="USR00328"/>
    <s v="APP028"/>
    <s v="LiftCloud"/>
    <x v="2"/>
    <x v="1"/>
    <s v="Male"/>
    <s v="United Kingdom"/>
    <s v="Tablet"/>
    <n v="10"/>
    <n v="26.3"/>
    <s v="No"/>
    <s v="Yes"/>
    <s v="No"/>
    <n v="0"/>
  </r>
  <r>
    <s v="USR00329"/>
    <s v="APP029"/>
    <s v="MoveNow"/>
    <x v="2"/>
    <x v="1"/>
    <s v="Male"/>
    <s v="United Kingdom"/>
    <s v="Smartphone"/>
    <n v="5"/>
    <n v="22.6"/>
    <s v="No"/>
    <s v="No"/>
    <s v="No"/>
    <n v="0"/>
  </r>
  <r>
    <s v="USR00330"/>
    <s v="APP030"/>
    <s v="ActiveMate"/>
    <x v="2"/>
    <x v="1"/>
    <s v="Female"/>
    <s v="UAE"/>
    <s v="Smartphone"/>
    <n v="21"/>
    <n v="36.1"/>
    <s v="No"/>
    <s v="No"/>
    <s v="No"/>
    <n v="15.31"/>
  </r>
  <r>
    <s v="USR00331"/>
    <s v="APP031"/>
    <s v="RunGo"/>
    <x v="2"/>
    <x v="1"/>
    <s v="Male"/>
    <s v="India"/>
    <s v="Smartphone"/>
    <n v="83"/>
    <n v="15.8"/>
    <s v="Yes"/>
    <s v="No"/>
    <s v="No"/>
    <n v="0"/>
  </r>
  <r>
    <s v="USR00332"/>
    <s v="APP032"/>
    <s v="LiftPro"/>
    <x v="2"/>
    <x v="2"/>
    <s v="Male"/>
    <s v="United Kingdom"/>
    <s v="Smartphone"/>
    <n v="51"/>
    <n v="20.5"/>
    <s v="Yes"/>
    <s v="Yes"/>
    <s v="Yes"/>
    <n v="0"/>
  </r>
  <r>
    <s v="USR00333"/>
    <s v="APP033"/>
    <s v="LiftPro"/>
    <x v="2"/>
    <x v="2"/>
    <s v="Male"/>
    <s v="India"/>
    <s v="Smartphone"/>
    <n v="52"/>
    <n v="27.5"/>
    <s v="Yes"/>
    <s v="Yes"/>
    <s v="No"/>
    <n v="0"/>
  </r>
  <r>
    <s v="USR00334"/>
    <s v="APP034"/>
    <s v="Liftly"/>
    <x v="2"/>
    <x v="0"/>
    <s v="Other"/>
    <s v="Singapore"/>
    <s v="Smartphone"/>
    <n v="53"/>
    <n v="9.1"/>
    <s v="Yes"/>
    <s v="No"/>
    <s v="No"/>
    <n v="0"/>
  </r>
  <r>
    <s v="USR00335"/>
    <s v="APP035"/>
    <s v="YogaHub"/>
    <x v="2"/>
    <x v="1"/>
    <s v="Female"/>
    <s v="UAE"/>
    <s v="Smartphone"/>
    <n v="35"/>
    <n v="31.8"/>
    <s v="Yes"/>
    <s v="Yes"/>
    <s v="No"/>
    <n v="0"/>
  </r>
  <r>
    <s v="USR00336"/>
    <s v="APP036"/>
    <s v="MoveGo"/>
    <x v="2"/>
    <x v="2"/>
    <s v="Female"/>
    <s v="United Kingdom"/>
    <s v="Smartphone"/>
    <n v="71"/>
    <n v="41.2"/>
    <s v="Yes"/>
    <s v="No"/>
    <s v="Yes"/>
    <n v="0"/>
  </r>
  <r>
    <s v="USR00337"/>
    <s v="APP037"/>
    <s v="BrightNow"/>
    <x v="3"/>
    <x v="0"/>
    <s v="Prefer not to say"/>
    <s v="Singapore"/>
    <s v="Smartphone"/>
    <n v="6"/>
    <n v="40.200000000000003"/>
    <s v="No"/>
    <s v="No"/>
    <s v="No"/>
    <n v="0"/>
  </r>
  <r>
    <s v="USR00338"/>
    <s v="APP038"/>
    <s v="StudyCloud"/>
    <x v="3"/>
    <x v="1"/>
    <s v="Prefer not to say"/>
    <s v="United States"/>
    <s v="Smartphone"/>
    <n v="6"/>
    <n v="27"/>
    <s v="No"/>
    <s v="No"/>
    <s v="No"/>
    <n v="0"/>
  </r>
  <r>
    <s v="USR00339"/>
    <s v="APP039"/>
    <s v="SkillNow"/>
    <x v="3"/>
    <x v="1"/>
    <s v="Female"/>
    <s v="Australia"/>
    <s v="Smartphone"/>
    <n v="12"/>
    <n v="38.5"/>
    <s v="No"/>
    <s v="No"/>
    <s v="No"/>
    <n v="0"/>
  </r>
  <r>
    <s v="USR00340"/>
    <s v="APP040"/>
    <s v="LearnMate"/>
    <x v="3"/>
    <x v="1"/>
    <s v="Female"/>
    <s v="United Kingdom"/>
    <s v="Smartphone"/>
    <n v="26"/>
    <n v="15.9"/>
    <s v="No"/>
    <s v="Yes"/>
    <s v="Yes"/>
    <n v="0"/>
  </r>
  <r>
    <s v="USR00341"/>
    <s v="APP041"/>
    <s v="QuestNow"/>
    <x v="3"/>
    <x v="4"/>
    <s v="Female"/>
    <s v="India"/>
    <s v="Smartphone"/>
    <n v="8"/>
    <n v="16.7"/>
    <s v="No"/>
    <s v="No"/>
    <s v="Yes"/>
    <n v="0"/>
  </r>
  <r>
    <s v="USR00342"/>
    <s v="APP042"/>
    <s v="SkillHub"/>
    <x v="3"/>
    <x v="0"/>
    <s v="Female"/>
    <s v="United Kingdom"/>
    <s v="Smartphone"/>
    <n v="76"/>
    <n v="29.3"/>
    <s v="Yes"/>
    <s v="No"/>
    <s v="No"/>
    <n v="0"/>
  </r>
  <r>
    <s v="USR00343"/>
    <s v="APP043"/>
    <s v="TutorCloud"/>
    <x v="3"/>
    <x v="1"/>
    <s v="Male"/>
    <s v="United Kingdom"/>
    <s v="Smartphone"/>
    <n v="18"/>
    <n v="39.200000000000003"/>
    <s v="No"/>
    <s v="No"/>
    <s v="Yes"/>
    <n v="0"/>
  </r>
  <r>
    <s v="USR00344"/>
    <s v="APP044"/>
    <s v="SkillOne"/>
    <x v="3"/>
    <x v="0"/>
    <s v="Female"/>
    <s v="Canada"/>
    <s v="Smartphone"/>
    <n v="22"/>
    <n v="13.1"/>
    <s v="No"/>
    <s v="No"/>
    <s v="Yes"/>
    <n v="0"/>
  </r>
  <r>
    <s v="USR00345"/>
    <s v="APP045"/>
    <s v="LearnOne"/>
    <x v="3"/>
    <x v="1"/>
    <s v="Female"/>
    <s v="Singapore"/>
    <s v="Smartphone"/>
    <n v="66"/>
    <n v="36.4"/>
    <s v="Yes"/>
    <s v="Yes"/>
    <s v="Yes"/>
    <n v="35.83"/>
  </r>
  <r>
    <s v="USR00346"/>
    <s v="APP046"/>
    <s v="LearnPlus"/>
    <x v="3"/>
    <x v="0"/>
    <s v="Male"/>
    <s v="Canada"/>
    <s v="Smartphone"/>
    <n v="61"/>
    <n v="15.2"/>
    <s v="Yes"/>
    <s v="No"/>
    <s v="No"/>
    <n v="0"/>
  </r>
  <r>
    <s v="USR00347"/>
    <s v="APP047"/>
    <s v="StudyPlus"/>
    <x v="3"/>
    <x v="2"/>
    <s v="Male"/>
    <s v="Germany"/>
    <s v="Smartphone"/>
    <n v="93"/>
    <n v="36.200000000000003"/>
    <s v="Yes"/>
    <s v="Yes"/>
    <s v="No"/>
    <n v="0"/>
  </r>
  <r>
    <s v="USR00348"/>
    <s v="APP048"/>
    <s v="StudyX"/>
    <x v="3"/>
    <x v="1"/>
    <s v="Female"/>
    <s v="Canada"/>
    <s v="Smartphone"/>
    <n v="12"/>
    <n v="39.5"/>
    <s v="No"/>
    <s v="Yes"/>
    <s v="No"/>
    <n v="0"/>
  </r>
  <r>
    <s v="USR00349"/>
    <s v="APP049"/>
    <s v="PlayPlus"/>
    <x v="4"/>
    <x v="1"/>
    <s v="Male"/>
    <s v="Germany"/>
    <s v="Smartphone"/>
    <n v="28"/>
    <n v="34.5"/>
    <s v="Yes"/>
    <s v="Yes"/>
    <s v="No"/>
    <n v="0"/>
  </r>
  <r>
    <s v="USR00350"/>
    <s v="APP050"/>
    <s v="ShowMate"/>
    <x v="4"/>
    <x v="1"/>
    <s v="Female"/>
    <s v="Singapore"/>
    <s v="Smartphone"/>
    <n v="1"/>
    <n v="12.6"/>
    <s v="No"/>
    <s v="Yes"/>
    <s v="No"/>
    <n v="0"/>
  </r>
  <r>
    <s v="USR00351"/>
    <s v="APP051"/>
    <s v="VibeX"/>
    <x v="4"/>
    <x v="4"/>
    <s v="Female"/>
    <s v="United Kingdom"/>
    <s v="Tablet"/>
    <n v="67"/>
    <n v="40.299999999999997"/>
    <s v="Yes"/>
    <s v="Yes"/>
    <s v="No"/>
    <n v="0"/>
  </r>
  <r>
    <s v="USR00352"/>
    <s v="APP052"/>
    <s v="BuzzNow"/>
    <x v="4"/>
    <x v="3"/>
    <s v="Female"/>
    <s v="Singapore"/>
    <s v="Tablet"/>
    <n v="26"/>
    <n v="36.1"/>
    <s v="No"/>
    <s v="Yes"/>
    <s v="No"/>
    <n v="0"/>
  </r>
  <r>
    <s v="USR00353"/>
    <s v="APP053"/>
    <s v="StreamPlus"/>
    <x v="4"/>
    <x v="0"/>
    <s v="Female"/>
    <s v="United Kingdom"/>
    <s v="Smartphone"/>
    <n v="28"/>
    <n v="9.9"/>
    <s v="No"/>
    <s v="No"/>
    <s v="Yes"/>
    <n v="39.229999999999997"/>
  </r>
  <r>
    <s v="USR00354"/>
    <s v="APP054"/>
    <s v="Showly"/>
    <x v="4"/>
    <x v="0"/>
    <s v="Male"/>
    <s v="Australia"/>
    <s v="Tablet"/>
    <n v="35"/>
    <n v="23.2"/>
    <s v="Yes"/>
    <s v="Yes"/>
    <s v="Yes"/>
    <n v="0"/>
  </r>
  <r>
    <s v="USR00355"/>
    <s v="APP055"/>
    <s v="BuzzOne"/>
    <x v="4"/>
    <x v="0"/>
    <s v="Female"/>
    <s v="UAE"/>
    <s v="Smartphone"/>
    <n v="26"/>
    <n v="17"/>
    <s v="Yes"/>
    <s v="Yes"/>
    <s v="No"/>
    <n v="22.49"/>
  </r>
  <r>
    <s v="USR00356"/>
    <s v="APP056"/>
    <s v="PlayHub"/>
    <x v="4"/>
    <x v="1"/>
    <s v="Male"/>
    <s v="UAE"/>
    <s v="Tablet"/>
    <n v="5"/>
    <n v="17.8"/>
    <s v="No"/>
    <s v="No"/>
    <s v="No"/>
    <n v="0"/>
  </r>
  <r>
    <s v="USR00357"/>
    <s v="APP057"/>
    <s v="CinemaGo"/>
    <x v="4"/>
    <x v="2"/>
    <s v="Female"/>
    <s v="India"/>
    <s v="Smartphone"/>
    <n v="23"/>
    <n v="27.9"/>
    <s v="No"/>
    <s v="No"/>
    <s v="Yes"/>
    <n v="52.79"/>
  </r>
  <r>
    <s v="USR00358"/>
    <s v="APP058"/>
    <s v="LaughX"/>
    <x v="4"/>
    <x v="4"/>
    <s v="Male"/>
    <s v="Singapore"/>
    <s v="Smartphone"/>
    <n v="62"/>
    <n v="26.7"/>
    <s v="Yes"/>
    <s v="Yes"/>
    <s v="No"/>
    <n v="0"/>
  </r>
  <r>
    <s v="USR00359"/>
    <s v="APP059"/>
    <s v="CinemaHub"/>
    <x v="4"/>
    <x v="1"/>
    <s v="Male"/>
    <s v="UAE"/>
    <s v="Smartphone"/>
    <n v="21"/>
    <n v="11.4"/>
    <s v="No"/>
    <s v="Yes"/>
    <s v="No"/>
    <n v="0"/>
  </r>
  <r>
    <s v="USR00360"/>
    <s v="APP060"/>
    <s v="ShowPro"/>
    <x v="4"/>
    <x v="1"/>
    <s v="Male"/>
    <s v="United Kingdom"/>
    <s v="Smartphone"/>
    <n v="35"/>
    <n v="14.6"/>
    <s v="Yes"/>
    <s v="No"/>
    <s v="Yes"/>
    <n v="0"/>
  </r>
  <r>
    <s v="USR00361"/>
    <s v="APP061"/>
    <s v="FoodPlus"/>
    <x v="5"/>
    <x v="2"/>
    <s v="Male"/>
    <s v="United Kingdom"/>
    <s v="Smartphone"/>
    <n v="23"/>
    <n v="7.1"/>
    <s v="No"/>
    <s v="No"/>
    <s v="Yes"/>
    <n v="0"/>
  </r>
  <r>
    <s v="USR00362"/>
    <s v="APP062"/>
    <s v="BiteGo"/>
    <x v="5"/>
    <x v="0"/>
    <s v="Female"/>
    <s v="Singapore"/>
    <s v="Smartphone"/>
    <n v="90"/>
    <n v="12.4"/>
    <s v="Yes"/>
    <s v="No"/>
    <s v="Yes"/>
    <n v="40.42"/>
  </r>
  <r>
    <s v="USR00363"/>
    <s v="APP063"/>
    <s v="OrderCloud"/>
    <x v="5"/>
    <x v="4"/>
    <s v="Female"/>
    <s v="UAE"/>
    <s v="Smartphone"/>
    <n v="41"/>
    <n v="8"/>
    <s v="Yes"/>
    <s v="Yes"/>
    <s v="No"/>
    <n v="0"/>
  </r>
  <r>
    <s v="USR00364"/>
    <s v="APP064"/>
    <s v="DinePlus"/>
    <x v="5"/>
    <x v="0"/>
    <s v="Female"/>
    <s v="India"/>
    <s v="Smartphone"/>
    <n v="14"/>
    <n v="14.9"/>
    <s v="No"/>
    <s v="Yes"/>
    <s v="No"/>
    <n v="5.54"/>
  </r>
  <r>
    <s v="USR00365"/>
    <s v="APP065"/>
    <s v="SnackX"/>
    <x v="5"/>
    <x v="4"/>
    <s v="Male"/>
    <s v="India"/>
    <s v="Smartphone"/>
    <n v="26"/>
    <n v="7.8"/>
    <s v="No"/>
    <s v="Yes"/>
    <s v="No"/>
    <n v="83.92"/>
  </r>
  <r>
    <s v="USR00366"/>
    <s v="APP066"/>
    <s v="FoodOne"/>
    <x v="5"/>
    <x v="2"/>
    <s v="Female"/>
    <s v="Germany"/>
    <s v="Smartphone"/>
    <n v="6"/>
    <n v="9.1"/>
    <s v="No"/>
    <s v="No"/>
    <s v="Yes"/>
    <n v="0"/>
  </r>
  <r>
    <s v="USR00367"/>
    <s v="APP067"/>
    <s v="MealMate"/>
    <x v="5"/>
    <x v="0"/>
    <s v="Male"/>
    <s v="United States"/>
    <s v="Smartphone"/>
    <n v="3"/>
    <n v="10.6"/>
    <s v="No"/>
    <s v="No"/>
    <s v="No"/>
    <n v="42.12"/>
  </r>
  <r>
    <s v="USR00368"/>
    <s v="APP068"/>
    <s v="SnackHub"/>
    <x v="5"/>
    <x v="4"/>
    <s v="Female"/>
    <s v="Canada"/>
    <s v="Tablet"/>
    <n v="80"/>
    <n v="7"/>
    <s v="Yes"/>
    <s v="No"/>
    <s v="No"/>
    <n v="0"/>
  </r>
  <r>
    <s v="USR00369"/>
    <s v="APP069"/>
    <s v="BiteCloud"/>
    <x v="5"/>
    <x v="4"/>
    <s v="Female"/>
    <s v="UAE"/>
    <s v="Tablet"/>
    <n v="4"/>
    <n v="9.4"/>
    <s v="No"/>
    <s v="No"/>
    <s v="No"/>
    <n v="0"/>
  </r>
  <r>
    <s v="USR00370"/>
    <s v="APP070"/>
    <s v="PlatePlus"/>
    <x v="5"/>
    <x v="0"/>
    <s v="Male"/>
    <s v="India"/>
    <s v="Smartphone"/>
    <n v="25"/>
    <n v="19"/>
    <s v="No"/>
    <s v="No"/>
    <s v="Yes"/>
    <n v="0"/>
  </r>
  <r>
    <s v="USR00371"/>
    <s v="APP071"/>
    <s v="VoyageGo"/>
    <x v="6"/>
    <x v="1"/>
    <s v="Male"/>
    <s v="Singapore"/>
    <s v="Smartphone"/>
    <n v="84"/>
    <n v="21"/>
    <s v="Yes"/>
    <s v="Yes"/>
    <s v="No"/>
    <n v="0"/>
  </r>
  <r>
    <s v="USR00372"/>
    <s v="APP072"/>
    <s v="TripOne"/>
    <x v="6"/>
    <x v="1"/>
    <s v="Female"/>
    <s v="Germany"/>
    <s v="Smartphone"/>
    <n v="17"/>
    <n v="5.2"/>
    <s v="No"/>
    <s v="No"/>
    <s v="No"/>
    <n v="22.71"/>
  </r>
  <r>
    <s v="USR00373"/>
    <s v="APP073"/>
    <s v="FlyGo"/>
    <x v="6"/>
    <x v="2"/>
    <s v="Female"/>
    <s v="Germany"/>
    <s v="Smartphone"/>
    <n v="3"/>
    <n v="6.9"/>
    <s v="No"/>
    <s v="No"/>
    <s v="Yes"/>
    <n v="0"/>
  </r>
  <r>
    <s v="USR00374"/>
    <s v="APP074"/>
    <s v="MapX"/>
    <x v="6"/>
    <x v="1"/>
    <s v="Female"/>
    <s v="Canada"/>
    <s v="Smartphone"/>
    <n v="66"/>
    <n v="5.2"/>
    <s v="Yes"/>
    <s v="No"/>
    <s v="No"/>
    <n v="0"/>
  </r>
  <r>
    <s v="USR00375"/>
    <s v="APP075"/>
    <s v="StayX"/>
    <x v="6"/>
    <x v="4"/>
    <s v="Male"/>
    <s v="United Kingdom"/>
    <s v="Smartphone"/>
    <n v="6"/>
    <n v="16.600000000000001"/>
    <s v="No"/>
    <s v="Yes"/>
    <s v="No"/>
    <n v="0"/>
  </r>
  <r>
    <s v="USR00376"/>
    <s v="APP076"/>
    <s v="GoNow"/>
    <x v="6"/>
    <x v="1"/>
    <s v="Female"/>
    <s v="UAE"/>
    <s v="Smartphone"/>
    <n v="87"/>
    <n v="17"/>
    <s v="Yes"/>
    <s v="Yes"/>
    <s v="No"/>
    <n v="0"/>
  </r>
  <r>
    <s v="USR00377"/>
    <s v="APP077"/>
    <s v="RouteGo"/>
    <x v="6"/>
    <x v="2"/>
    <s v="Female"/>
    <s v="Germany"/>
    <s v="Smartphone"/>
    <n v="76"/>
    <n v="13.7"/>
    <s v="Yes"/>
    <s v="Yes"/>
    <s v="No"/>
    <n v="0"/>
  </r>
  <r>
    <s v="USR00378"/>
    <s v="APP078"/>
    <s v="TripGo"/>
    <x v="6"/>
    <x v="2"/>
    <s v="Male"/>
    <s v="Germany"/>
    <s v="Smartphone"/>
    <n v="64"/>
    <n v="11.4"/>
    <s v="Yes"/>
    <s v="Yes"/>
    <s v="No"/>
    <n v="0"/>
  </r>
  <r>
    <s v="USR00379"/>
    <s v="APP079"/>
    <s v="Flyly"/>
    <x v="6"/>
    <x v="4"/>
    <s v="Male"/>
    <s v="UAE"/>
    <s v="Smartphone"/>
    <n v="60"/>
    <n v="16.899999999999999"/>
    <s v="Yes"/>
    <s v="Yes"/>
    <s v="No"/>
    <n v="0"/>
  </r>
  <r>
    <s v="USR00380"/>
    <s v="APP080"/>
    <s v="TripPro"/>
    <x v="6"/>
    <x v="0"/>
    <s v="Female"/>
    <s v="Canada"/>
    <s v="Smartphone"/>
    <n v="38"/>
    <n v="6.2"/>
    <s v="Yes"/>
    <s v="Yes"/>
    <s v="No"/>
    <n v="0"/>
  </r>
  <r>
    <s v="USR00381"/>
    <s v="APP081"/>
    <s v="Focusly"/>
    <x v="7"/>
    <x v="0"/>
    <s v="Female"/>
    <s v="Germany"/>
    <s v="Tablet"/>
    <n v="87"/>
    <n v="20.399999999999999"/>
    <s v="Yes"/>
    <s v="Yes"/>
    <s v="Yes"/>
    <n v="46.88"/>
  </r>
  <r>
    <s v="USR00382"/>
    <s v="APP082"/>
    <s v="DeskX"/>
    <x v="7"/>
    <x v="4"/>
    <s v="Male"/>
    <s v="Germany"/>
    <s v="Smartphone"/>
    <n v="81"/>
    <n v="18.7"/>
    <s v="Yes"/>
    <s v="No"/>
    <s v="Yes"/>
    <n v="0"/>
  </r>
  <r>
    <s v="USR00383"/>
    <s v="APP083"/>
    <s v="DonePro"/>
    <x v="7"/>
    <x v="2"/>
    <s v="Male"/>
    <s v="Germany"/>
    <s v="Smartphone"/>
    <n v="23"/>
    <n v="5.8"/>
    <s v="No"/>
    <s v="Yes"/>
    <s v="No"/>
    <n v="0"/>
  </r>
  <r>
    <s v="USR00384"/>
    <s v="APP084"/>
    <s v="NotePlus"/>
    <x v="7"/>
    <x v="2"/>
    <s v="Male"/>
    <s v="Australia"/>
    <s v="Smartphone"/>
    <n v="4"/>
    <n v="16.100000000000001"/>
    <s v="No"/>
    <s v="No"/>
    <s v="Yes"/>
    <n v="0"/>
  </r>
  <r>
    <s v="USR00385"/>
    <s v="APP085"/>
    <s v="SyncPlus"/>
    <x v="7"/>
    <x v="2"/>
    <s v="Male"/>
    <s v="United States"/>
    <s v="Smartphone"/>
    <n v="81"/>
    <n v="10.5"/>
    <s v="Yes"/>
    <s v="Yes"/>
    <s v="No"/>
    <n v="63.52"/>
  </r>
  <r>
    <s v="USR00386"/>
    <s v="APP086"/>
    <s v="NoteOne"/>
    <x v="7"/>
    <x v="1"/>
    <s v="Female"/>
    <s v="United States"/>
    <s v="Smartphone"/>
    <n v="76"/>
    <n v="8.1"/>
    <s v="Yes"/>
    <s v="Yes"/>
    <s v="No"/>
    <n v="0"/>
  </r>
  <r>
    <s v="USR00387"/>
    <s v="APP087"/>
    <s v="NoteMate"/>
    <x v="7"/>
    <x v="0"/>
    <s v="Male"/>
    <s v="United Kingdom"/>
    <s v="Smartphone"/>
    <n v="52"/>
    <n v="15.7"/>
    <s v="Yes"/>
    <s v="No"/>
    <s v="Yes"/>
    <n v="62.52"/>
  </r>
  <r>
    <s v="USR00388"/>
    <s v="APP088"/>
    <s v="PlanPlus"/>
    <x v="7"/>
    <x v="2"/>
    <s v="Female"/>
    <s v="Germany"/>
    <s v="Smartphone"/>
    <n v="21"/>
    <n v="17.7"/>
    <s v="No"/>
    <s v="No"/>
    <s v="No"/>
    <n v="0"/>
  </r>
  <r>
    <s v="USR00389"/>
    <s v="APP089"/>
    <s v="PlanMate"/>
    <x v="7"/>
    <x v="0"/>
    <s v="Male"/>
    <s v="Canada"/>
    <s v="Smartphone"/>
    <n v="25"/>
    <n v="9.1999999999999993"/>
    <s v="No"/>
    <s v="No"/>
    <s v="Yes"/>
    <n v="0"/>
  </r>
  <r>
    <s v="USR00390"/>
    <s v="APP090"/>
    <s v="SyncPlus"/>
    <x v="7"/>
    <x v="1"/>
    <s v="Female"/>
    <s v="Singapore"/>
    <s v="Smartphone"/>
    <n v="20"/>
    <n v="20.5"/>
    <s v="Yes"/>
    <s v="No"/>
    <s v="Yes"/>
    <n v="0"/>
  </r>
  <r>
    <s v="USR00391"/>
    <s v="APP091"/>
    <s v="ClinicPro"/>
    <x v="8"/>
    <x v="0"/>
    <s v="Female"/>
    <s v="United States"/>
    <s v="Smartphone"/>
    <n v="13"/>
    <n v="16.5"/>
    <s v="No"/>
    <s v="No"/>
    <s v="Yes"/>
    <n v="0"/>
  </r>
  <r>
    <s v="USR00392"/>
    <s v="APP092"/>
    <s v="MindMate"/>
    <x v="8"/>
    <x v="4"/>
    <s v="Male"/>
    <s v="Singapore"/>
    <s v="Smartphone"/>
    <n v="27"/>
    <n v="3"/>
    <s v="No"/>
    <s v="Yes"/>
    <s v="No"/>
    <n v="6.88"/>
  </r>
  <r>
    <s v="USR00393"/>
    <s v="APP093"/>
    <s v="ClinicOne"/>
    <x v="8"/>
    <x v="4"/>
    <s v="Other"/>
    <s v="Canada"/>
    <s v="Smartphone"/>
    <n v="9"/>
    <n v="9.5"/>
    <s v="No"/>
    <s v="No"/>
    <s v="No"/>
    <n v="0"/>
  </r>
  <r>
    <s v="USR00394"/>
    <s v="APP094"/>
    <s v="WellMate"/>
    <x v="8"/>
    <x v="0"/>
    <s v="Male"/>
    <s v="United Kingdom"/>
    <s v="Smartphone"/>
    <n v="38"/>
    <n v="7.3"/>
    <s v="Yes"/>
    <s v="Yes"/>
    <s v="No"/>
    <n v="0"/>
  </r>
  <r>
    <s v="USR00395"/>
    <s v="APP095"/>
    <s v="MediMate"/>
    <x v="8"/>
    <x v="2"/>
    <s v="Prefer not to say"/>
    <s v="India"/>
    <s v="Tablet"/>
    <n v="84"/>
    <n v="21.8"/>
    <s v="Yes"/>
    <s v="Yes"/>
    <s v="No"/>
    <n v="0"/>
  </r>
  <r>
    <s v="USR00396"/>
    <s v="APP096"/>
    <s v="WellNow"/>
    <x v="8"/>
    <x v="0"/>
    <s v="Other"/>
    <s v="Canada"/>
    <s v="Smartphone"/>
    <n v="52"/>
    <n v="9.6999999999999993"/>
    <s v="Yes"/>
    <s v="Yes"/>
    <s v="No"/>
    <n v="0"/>
  </r>
  <r>
    <s v="USR00397"/>
    <s v="APP097"/>
    <s v="CareCloud"/>
    <x v="8"/>
    <x v="2"/>
    <s v="Male"/>
    <s v="United Kingdom"/>
    <s v="Smartphone"/>
    <n v="80"/>
    <n v="3.5"/>
    <s v="Yes"/>
    <s v="Yes"/>
    <s v="No"/>
    <n v="0"/>
  </r>
  <r>
    <s v="USR00398"/>
    <s v="APP098"/>
    <s v="MediNow"/>
    <x v="8"/>
    <x v="2"/>
    <s v="Male"/>
    <s v="UAE"/>
    <s v="Smartphone"/>
    <n v="19"/>
    <n v="16.8"/>
    <s v="No"/>
    <s v="No"/>
    <s v="Yes"/>
    <n v="0"/>
  </r>
  <r>
    <s v="USR00399"/>
    <s v="APP099"/>
    <s v="MindPlus"/>
    <x v="8"/>
    <x v="1"/>
    <s v="Male"/>
    <s v="United Kingdom"/>
    <s v="Smartphone"/>
    <n v="72"/>
    <n v="3.4"/>
    <s v="Yes"/>
    <s v="Yes"/>
    <s v="No"/>
    <n v="0"/>
  </r>
  <r>
    <s v="USR00400"/>
    <s v="APP100"/>
    <s v="MediCloud"/>
    <x v="8"/>
    <x v="2"/>
    <s v="Male"/>
    <s v="United States"/>
    <s v="Smartphone"/>
    <n v="21"/>
    <n v="9.5"/>
    <s v="Yes"/>
    <s v="No"/>
    <s v="Yes"/>
    <n v="0"/>
  </r>
  <r>
    <s v="USR00401"/>
    <s v="APP001"/>
    <s v="InvestPro"/>
    <x v="0"/>
    <x v="1"/>
    <s v="Male"/>
    <s v="Germany"/>
    <s v="Smartphone"/>
    <n v="65"/>
    <n v="17.3"/>
    <s v="Yes"/>
    <s v="Yes"/>
    <s v="No"/>
    <n v="0"/>
  </r>
  <r>
    <s v="USR00402"/>
    <s v="APP002"/>
    <s v="BankPro"/>
    <x v="0"/>
    <x v="4"/>
    <s v="Female"/>
    <s v="India"/>
    <s v="Smartphone"/>
    <n v="8"/>
    <n v="18.600000000000001"/>
    <s v="No"/>
    <s v="No"/>
    <s v="Yes"/>
    <n v="0"/>
  </r>
  <r>
    <s v="USR00403"/>
    <s v="APP003"/>
    <s v="BankX"/>
    <x v="0"/>
    <x v="1"/>
    <s v="Female"/>
    <s v="India"/>
    <s v="Smartphone"/>
    <n v="24"/>
    <n v="7"/>
    <s v="Yes"/>
    <s v="Yes"/>
    <s v="No"/>
    <n v="0"/>
  </r>
  <r>
    <s v="USR00404"/>
    <s v="APP004"/>
    <s v="BankNow"/>
    <x v="0"/>
    <x v="0"/>
    <s v="Male"/>
    <s v="Australia"/>
    <s v="Smartphone"/>
    <n v="27"/>
    <n v="8.3000000000000007"/>
    <s v="No"/>
    <s v="Yes"/>
    <s v="No"/>
    <n v="0"/>
  </r>
  <r>
    <s v="USR00405"/>
    <s v="APP005"/>
    <s v="CreditHub"/>
    <x v="0"/>
    <x v="1"/>
    <s v="Female"/>
    <s v="UAE"/>
    <s v="Smartphone"/>
    <n v="20"/>
    <n v="9.6999999999999993"/>
    <s v="No"/>
    <s v="Yes"/>
    <s v="No"/>
    <n v="0"/>
  </r>
  <r>
    <s v="USR00406"/>
    <s v="APP006"/>
    <s v="PayPlus"/>
    <x v="0"/>
    <x v="0"/>
    <s v="Male"/>
    <s v="United Kingdom"/>
    <s v="Smartphone"/>
    <n v="8"/>
    <n v="8.4"/>
    <s v="No"/>
    <s v="No"/>
    <s v="No"/>
    <n v="0"/>
  </r>
  <r>
    <s v="USR00407"/>
    <s v="APP007"/>
    <s v="BankPlus"/>
    <x v="0"/>
    <x v="1"/>
    <s v="Male"/>
    <s v="UAE"/>
    <s v="Smartphone"/>
    <n v="16"/>
    <n v="11"/>
    <s v="No"/>
    <s v="Yes"/>
    <s v="No"/>
    <n v="29.2"/>
  </r>
  <r>
    <s v="USR00408"/>
    <s v="APP008"/>
    <s v="CoinPlus"/>
    <x v="0"/>
    <x v="1"/>
    <s v="Male"/>
    <s v="India"/>
    <s v="Smartphone"/>
    <n v="18"/>
    <n v="19.3"/>
    <s v="Yes"/>
    <s v="Yes"/>
    <s v="No"/>
    <n v="66.06"/>
  </r>
  <r>
    <s v="USR00409"/>
    <s v="APP009"/>
    <s v="CreditOne"/>
    <x v="0"/>
    <x v="2"/>
    <s v="Male"/>
    <s v="UAE"/>
    <s v="Tablet"/>
    <n v="82"/>
    <n v="13.9"/>
    <s v="Yes"/>
    <s v="Yes"/>
    <s v="Yes"/>
    <n v="0"/>
  </r>
  <r>
    <s v="USR00410"/>
    <s v="APP010"/>
    <s v="PayPro"/>
    <x v="0"/>
    <x v="1"/>
    <s v="Male"/>
    <s v="United States"/>
    <s v="Smartphone"/>
    <n v="2"/>
    <n v="5.5"/>
    <s v="No"/>
    <s v="No"/>
    <s v="No"/>
    <n v="0"/>
  </r>
  <r>
    <s v="USR00411"/>
    <s v="APP011"/>
    <s v="Creditly"/>
    <x v="0"/>
    <x v="0"/>
    <s v="Male"/>
    <s v="Australia"/>
    <s v="Smartphone"/>
    <n v="26"/>
    <n v="7.7"/>
    <s v="No"/>
    <s v="Yes"/>
    <s v="No"/>
    <n v="0"/>
  </r>
  <r>
    <s v="USR00412"/>
    <s v="APP012"/>
    <s v="PayX"/>
    <x v="0"/>
    <x v="2"/>
    <s v="Male"/>
    <s v="UAE"/>
    <s v="Tablet"/>
    <n v="14"/>
    <n v="18.8"/>
    <s v="No"/>
    <s v="Yes"/>
    <s v="No"/>
    <n v="0"/>
  </r>
  <r>
    <s v="USR00413"/>
    <s v="APP013"/>
    <s v="DealGo"/>
    <x v="1"/>
    <x v="4"/>
    <s v="Male"/>
    <s v="Germany"/>
    <s v="Smartphone"/>
    <n v="38"/>
    <n v="21.9"/>
    <s v="Yes"/>
    <s v="Yes"/>
    <s v="No"/>
    <n v="0"/>
  </r>
  <r>
    <s v="USR00414"/>
    <s v="APP014"/>
    <s v="MallNow"/>
    <x v="1"/>
    <x v="0"/>
    <s v="Female"/>
    <s v="Canada"/>
    <s v="Smartphone"/>
    <n v="23"/>
    <n v="17.899999999999999"/>
    <s v="No"/>
    <s v="No"/>
    <s v="No"/>
    <n v="0"/>
  </r>
  <r>
    <s v="USR00415"/>
    <s v="APP015"/>
    <s v="DealPro"/>
    <x v="1"/>
    <x v="4"/>
    <s v="Male"/>
    <s v="Singapore"/>
    <s v="Tablet"/>
    <n v="1"/>
    <n v="9.3000000000000007"/>
    <s v="No"/>
    <s v="Yes"/>
    <s v="No"/>
    <n v="0"/>
  </r>
  <r>
    <s v="USR00416"/>
    <s v="APP016"/>
    <s v="StyleNow"/>
    <x v="1"/>
    <x v="2"/>
    <s v="Male"/>
    <s v="UAE"/>
    <s v="Smartphone"/>
    <n v="32"/>
    <n v="17.2"/>
    <s v="Yes"/>
    <s v="Yes"/>
    <s v="No"/>
    <n v="0"/>
  </r>
  <r>
    <s v="USR00417"/>
    <s v="APP017"/>
    <s v="DealCloud"/>
    <x v="1"/>
    <x v="0"/>
    <s v="Male"/>
    <s v="Germany"/>
    <s v="Smartphone"/>
    <n v="9"/>
    <n v="7.8"/>
    <s v="No"/>
    <s v="No"/>
    <s v="No"/>
    <n v="70.680000000000007"/>
  </r>
  <r>
    <s v="USR00418"/>
    <s v="APP018"/>
    <s v="CartCloud"/>
    <x v="1"/>
    <x v="0"/>
    <s v="Male"/>
    <s v="United States"/>
    <s v="Smartphone"/>
    <n v="16"/>
    <n v="21.3"/>
    <s v="No"/>
    <s v="Yes"/>
    <s v="No"/>
    <n v="0"/>
  </r>
  <r>
    <s v="USR00419"/>
    <s v="APP019"/>
    <s v="CartMate"/>
    <x v="1"/>
    <x v="1"/>
    <s v="Male"/>
    <s v="United Kingdom"/>
    <s v="Smartphone"/>
    <n v="22"/>
    <n v="12.9"/>
    <s v="No"/>
    <s v="No"/>
    <s v="Yes"/>
    <n v="0"/>
  </r>
  <r>
    <s v="USR00420"/>
    <s v="APP020"/>
    <s v="BazaarOne"/>
    <x v="1"/>
    <x v="0"/>
    <s v="Female"/>
    <s v="UAE"/>
    <s v="Smartphone"/>
    <n v="23"/>
    <n v="20.7"/>
    <s v="No"/>
    <s v="No"/>
    <s v="Yes"/>
    <n v="0"/>
  </r>
  <r>
    <s v="USR00421"/>
    <s v="APP021"/>
    <s v="StyleOne"/>
    <x v="1"/>
    <x v="4"/>
    <s v="Female"/>
    <s v="United States"/>
    <s v="Smartphone"/>
    <n v="49"/>
    <n v="12.9"/>
    <s v="Yes"/>
    <s v="Yes"/>
    <s v="No"/>
    <n v="0"/>
  </r>
  <r>
    <s v="USR00422"/>
    <s v="APP022"/>
    <s v="Cartly"/>
    <x v="1"/>
    <x v="0"/>
    <s v="Male"/>
    <s v="Canada"/>
    <s v="Smartphone"/>
    <n v="1"/>
    <n v="16.3"/>
    <s v="No"/>
    <s v="Yes"/>
    <s v="No"/>
    <n v="34.18"/>
  </r>
  <r>
    <s v="USR00423"/>
    <s v="APP023"/>
    <s v="BazaarCloud"/>
    <x v="1"/>
    <x v="2"/>
    <s v="Female"/>
    <s v="India"/>
    <s v="Smartphone"/>
    <n v="66"/>
    <n v="5.7"/>
    <s v="Yes"/>
    <s v="No"/>
    <s v="Yes"/>
    <n v="7.52"/>
  </r>
  <r>
    <s v="USR00424"/>
    <s v="APP024"/>
    <s v="CartPro"/>
    <x v="1"/>
    <x v="2"/>
    <s v="Male"/>
    <s v="Australia"/>
    <s v="Smartphone"/>
    <n v="95"/>
    <n v="12.6"/>
    <s v="Yes"/>
    <s v="Yes"/>
    <s v="No"/>
    <n v="0"/>
  </r>
  <r>
    <s v="USR00425"/>
    <s v="APP025"/>
    <s v="RunPlus"/>
    <x v="2"/>
    <x v="2"/>
    <s v="Prefer not to say"/>
    <s v="Australia"/>
    <s v="Smartphone"/>
    <n v="14"/>
    <n v="14.1"/>
    <s v="No"/>
    <s v="No"/>
    <s v="No"/>
    <n v="0"/>
  </r>
  <r>
    <s v="USR00426"/>
    <s v="APP026"/>
    <s v="TrainCloud"/>
    <x v="2"/>
    <x v="0"/>
    <s v="Male"/>
    <s v="United Kingdom"/>
    <s v="Smartphone"/>
    <n v="27"/>
    <n v="39.799999999999997"/>
    <s v="No"/>
    <s v="Yes"/>
    <s v="No"/>
    <n v="30.94"/>
  </r>
  <r>
    <s v="USR00427"/>
    <s v="APP027"/>
    <s v="Trainly"/>
    <x v="2"/>
    <x v="1"/>
    <s v="Male"/>
    <s v="Australia"/>
    <s v="Smartphone"/>
    <n v="84"/>
    <n v="26.9"/>
    <s v="Yes"/>
    <s v="Yes"/>
    <s v="No"/>
    <n v="0"/>
  </r>
  <r>
    <s v="USR00428"/>
    <s v="APP028"/>
    <s v="LiftCloud"/>
    <x v="2"/>
    <x v="1"/>
    <s v="Male"/>
    <s v="Singapore"/>
    <s v="Smartphone"/>
    <n v="21"/>
    <n v="15.3"/>
    <s v="No"/>
    <s v="Yes"/>
    <s v="No"/>
    <n v="3.39"/>
  </r>
  <r>
    <s v="USR00429"/>
    <s v="APP029"/>
    <s v="MoveNow"/>
    <x v="2"/>
    <x v="0"/>
    <s v="Male"/>
    <s v="India"/>
    <s v="Smartphone"/>
    <n v="61"/>
    <n v="16.8"/>
    <s v="Yes"/>
    <s v="Yes"/>
    <s v="No"/>
    <n v="0"/>
  </r>
  <r>
    <s v="USR00430"/>
    <s v="APP030"/>
    <s v="ActiveMate"/>
    <x v="2"/>
    <x v="0"/>
    <s v="Male"/>
    <s v="United Kingdom"/>
    <s v="Smartphone"/>
    <n v="83"/>
    <n v="11.4"/>
    <s v="Yes"/>
    <s v="Yes"/>
    <s v="No"/>
    <n v="0"/>
  </r>
  <r>
    <s v="USR00431"/>
    <s v="APP031"/>
    <s v="RunGo"/>
    <x v="2"/>
    <x v="0"/>
    <s v="Male"/>
    <s v="Germany"/>
    <s v="Smartphone"/>
    <n v="68"/>
    <n v="12.6"/>
    <s v="Yes"/>
    <s v="Yes"/>
    <s v="Yes"/>
    <n v="0"/>
  </r>
  <r>
    <s v="USR00432"/>
    <s v="APP032"/>
    <s v="LiftPro"/>
    <x v="2"/>
    <x v="2"/>
    <s v="Male"/>
    <s v="United Kingdom"/>
    <s v="Smartphone"/>
    <n v="23"/>
    <n v="41.5"/>
    <s v="No"/>
    <s v="Yes"/>
    <s v="No"/>
    <n v="0"/>
  </r>
  <r>
    <s v="USR00433"/>
    <s v="APP033"/>
    <s v="LiftPro"/>
    <x v="2"/>
    <x v="0"/>
    <s v="Female"/>
    <s v="United States"/>
    <s v="Smartphone"/>
    <n v="21"/>
    <n v="19"/>
    <s v="Yes"/>
    <s v="No"/>
    <s v="Yes"/>
    <n v="0"/>
  </r>
  <r>
    <s v="USR00434"/>
    <s v="APP034"/>
    <s v="Liftly"/>
    <x v="2"/>
    <x v="0"/>
    <s v="Male"/>
    <s v="Australia"/>
    <s v="Smartphone"/>
    <n v="32"/>
    <n v="32.200000000000003"/>
    <s v="Yes"/>
    <s v="Yes"/>
    <s v="No"/>
    <n v="0"/>
  </r>
  <r>
    <s v="USR00435"/>
    <s v="APP035"/>
    <s v="YogaHub"/>
    <x v="2"/>
    <x v="1"/>
    <s v="Male"/>
    <s v="Germany"/>
    <s v="Smartphone"/>
    <n v="5"/>
    <n v="17.100000000000001"/>
    <s v="No"/>
    <s v="No"/>
    <s v="Yes"/>
    <n v="0"/>
  </r>
  <r>
    <s v="USR00436"/>
    <s v="APP036"/>
    <s v="MoveGo"/>
    <x v="2"/>
    <x v="0"/>
    <s v="Female"/>
    <s v="UAE"/>
    <s v="Smartphone"/>
    <n v="20"/>
    <n v="18.399999999999999"/>
    <s v="Yes"/>
    <s v="Yes"/>
    <s v="No"/>
    <n v="0"/>
  </r>
  <r>
    <s v="USR00437"/>
    <s v="APP037"/>
    <s v="BrightNow"/>
    <x v="3"/>
    <x v="4"/>
    <s v="Male"/>
    <s v="India"/>
    <s v="Smartphone"/>
    <n v="50"/>
    <n v="40"/>
    <s v="Yes"/>
    <s v="Yes"/>
    <s v="No"/>
    <n v="0"/>
  </r>
  <r>
    <s v="USR00438"/>
    <s v="APP038"/>
    <s v="StudyCloud"/>
    <x v="3"/>
    <x v="0"/>
    <s v="Male"/>
    <s v="United Kingdom"/>
    <s v="Smartphone"/>
    <n v="13"/>
    <n v="22.5"/>
    <s v="No"/>
    <s v="Yes"/>
    <s v="No"/>
    <n v="0"/>
  </r>
  <r>
    <s v="USR00439"/>
    <s v="APP039"/>
    <s v="SkillNow"/>
    <x v="3"/>
    <x v="2"/>
    <s v="Male"/>
    <s v="United States"/>
    <s v="Smartphone"/>
    <n v="8"/>
    <n v="15.3"/>
    <s v="No"/>
    <s v="Yes"/>
    <s v="No"/>
    <n v="17.34"/>
  </r>
  <r>
    <s v="USR00440"/>
    <s v="APP040"/>
    <s v="LearnMate"/>
    <x v="3"/>
    <x v="0"/>
    <s v="Male"/>
    <s v="Australia"/>
    <s v="Smartphone"/>
    <n v="17"/>
    <n v="10.7"/>
    <s v="No"/>
    <s v="Yes"/>
    <s v="Yes"/>
    <n v="0"/>
  </r>
  <r>
    <s v="USR00441"/>
    <s v="APP041"/>
    <s v="QuestNow"/>
    <x v="3"/>
    <x v="2"/>
    <s v="Female"/>
    <s v="Canada"/>
    <s v="Smartphone"/>
    <n v="13"/>
    <n v="28.1"/>
    <s v="No"/>
    <s v="Yes"/>
    <s v="No"/>
    <n v="0"/>
  </r>
  <r>
    <s v="USR00442"/>
    <s v="APP042"/>
    <s v="SkillHub"/>
    <x v="3"/>
    <x v="0"/>
    <s v="Female"/>
    <s v="India"/>
    <s v="Smartphone"/>
    <n v="81"/>
    <n v="26.1"/>
    <s v="Yes"/>
    <s v="Yes"/>
    <s v="No"/>
    <n v="0"/>
  </r>
  <r>
    <s v="USR00443"/>
    <s v="APP043"/>
    <s v="TutorCloud"/>
    <x v="3"/>
    <x v="1"/>
    <s v="Male"/>
    <s v="Germany"/>
    <s v="Smartphone"/>
    <n v="39"/>
    <n v="17.899999999999999"/>
    <s v="Yes"/>
    <s v="Yes"/>
    <s v="No"/>
    <n v="0"/>
  </r>
  <r>
    <s v="USR00444"/>
    <s v="APP044"/>
    <s v="SkillOne"/>
    <x v="3"/>
    <x v="1"/>
    <s v="Female"/>
    <s v="United States"/>
    <s v="Smartphone"/>
    <n v="1"/>
    <n v="28.3"/>
    <s v="No"/>
    <s v="Yes"/>
    <s v="Yes"/>
    <n v="0"/>
  </r>
  <r>
    <s v="USR00445"/>
    <s v="APP045"/>
    <s v="LearnOne"/>
    <x v="3"/>
    <x v="2"/>
    <s v="Male"/>
    <s v="Germany"/>
    <s v="Smartphone"/>
    <n v="54"/>
    <n v="18.899999999999999"/>
    <s v="Yes"/>
    <s v="No"/>
    <s v="No"/>
    <n v="0"/>
  </r>
  <r>
    <s v="USR00446"/>
    <s v="APP046"/>
    <s v="LearnPlus"/>
    <x v="3"/>
    <x v="1"/>
    <s v="Female"/>
    <s v="UAE"/>
    <s v="Smartphone"/>
    <n v="59"/>
    <n v="32.200000000000003"/>
    <s v="Yes"/>
    <s v="No"/>
    <s v="Yes"/>
    <n v="49.42"/>
  </r>
  <r>
    <s v="USR00447"/>
    <s v="APP047"/>
    <s v="StudyPlus"/>
    <x v="3"/>
    <x v="4"/>
    <s v="Male"/>
    <s v="Canada"/>
    <s v="Smartphone"/>
    <n v="6"/>
    <n v="23.9"/>
    <s v="No"/>
    <s v="Yes"/>
    <s v="No"/>
    <n v="0"/>
  </r>
  <r>
    <s v="USR00448"/>
    <s v="APP048"/>
    <s v="StudyX"/>
    <x v="3"/>
    <x v="4"/>
    <s v="Male"/>
    <s v="Germany"/>
    <s v="Tablet"/>
    <n v="23"/>
    <n v="8.4"/>
    <s v="No"/>
    <s v="No"/>
    <s v="No"/>
    <n v="0"/>
  </r>
  <r>
    <s v="USR00449"/>
    <s v="APP049"/>
    <s v="PlayPlus"/>
    <x v="4"/>
    <x v="2"/>
    <s v="Female"/>
    <s v="United States"/>
    <s v="Smartphone"/>
    <n v="23"/>
    <n v="10.7"/>
    <s v="No"/>
    <s v="Yes"/>
    <s v="No"/>
    <n v="0"/>
  </r>
  <r>
    <s v="USR00450"/>
    <s v="APP050"/>
    <s v="ShowMate"/>
    <x v="4"/>
    <x v="0"/>
    <s v="Male"/>
    <s v="Australia"/>
    <s v="Smartphone"/>
    <n v="3"/>
    <n v="37.6"/>
    <s v="No"/>
    <s v="Yes"/>
    <s v="No"/>
    <n v="0"/>
  </r>
  <r>
    <s v="USR00451"/>
    <s v="APP051"/>
    <s v="VibeX"/>
    <x v="4"/>
    <x v="3"/>
    <s v="Male"/>
    <s v="Australia"/>
    <s v="Smartphone"/>
    <n v="15"/>
    <n v="14"/>
    <s v="Yes"/>
    <s v="Yes"/>
    <s v="No"/>
    <n v="0"/>
  </r>
  <r>
    <s v="USR00452"/>
    <s v="APP052"/>
    <s v="BuzzNow"/>
    <x v="4"/>
    <x v="2"/>
    <s v="Female"/>
    <s v="Germany"/>
    <s v="Smartphone"/>
    <n v="78"/>
    <n v="13.9"/>
    <s v="Yes"/>
    <s v="No"/>
    <s v="Yes"/>
    <n v="0"/>
  </r>
  <r>
    <s v="USR00453"/>
    <s v="APP053"/>
    <s v="StreamPlus"/>
    <x v="4"/>
    <x v="2"/>
    <s v="Female"/>
    <s v="Singapore"/>
    <s v="Smartphone"/>
    <n v="26"/>
    <n v="11.9"/>
    <s v="No"/>
    <s v="Yes"/>
    <s v="No"/>
    <n v="30.52"/>
  </r>
  <r>
    <s v="USR00454"/>
    <s v="APP054"/>
    <s v="Showly"/>
    <x v="4"/>
    <x v="2"/>
    <s v="Male"/>
    <s v="United Kingdom"/>
    <s v="Smartphone"/>
    <n v="31"/>
    <n v="37.9"/>
    <s v="Yes"/>
    <s v="No"/>
    <s v="Yes"/>
    <n v="35.83"/>
  </r>
  <r>
    <s v="USR00455"/>
    <s v="APP055"/>
    <s v="BuzzOne"/>
    <x v="4"/>
    <x v="0"/>
    <s v="Female"/>
    <s v="Germany"/>
    <s v="Smartphone"/>
    <n v="15"/>
    <n v="25.9"/>
    <s v="No"/>
    <s v="Yes"/>
    <s v="No"/>
    <n v="0"/>
  </r>
  <r>
    <s v="USR00456"/>
    <s v="APP056"/>
    <s v="PlayHub"/>
    <x v="4"/>
    <x v="2"/>
    <s v="Female"/>
    <s v="United States"/>
    <s v="Smartphone"/>
    <n v="2"/>
    <n v="38"/>
    <s v="No"/>
    <s v="No"/>
    <s v="No"/>
    <n v="9.07"/>
  </r>
  <r>
    <s v="USR00457"/>
    <s v="APP057"/>
    <s v="CinemaGo"/>
    <x v="4"/>
    <x v="0"/>
    <s v="Prefer not to say"/>
    <s v="UAE"/>
    <s v="Smartphone"/>
    <n v="92"/>
    <n v="23.7"/>
    <s v="Yes"/>
    <s v="Yes"/>
    <s v="No"/>
    <n v="21.27"/>
  </r>
  <r>
    <s v="USR00458"/>
    <s v="APP058"/>
    <s v="LaughX"/>
    <x v="4"/>
    <x v="0"/>
    <s v="Male"/>
    <s v="India"/>
    <s v="Smartphone"/>
    <n v="64"/>
    <n v="8.3000000000000007"/>
    <s v="Yes"/>
    <s v="Yes"/>
    <s v="No"/>
    <n v="0"/>
  </r>
  <r>
    <s v="USR00459"/>
    <s v="APP059"/>
    <s v="CinemaHub"/>
    <x v="4"/>
    <x v="0"/>
    <s v="Female"/>
    <s v="Germany"/>
    <s v="Smartphone"/>
    <n v="16"/>
    <n v="9.5"/>
    <s v="Yes"/>
    <s v="Yes"/>
    <s v="No"/>
    <n v="0"/>
  </r>
  <r>
    <s v="USR00460"/>
    <s v="APP060"/>
    <s v="ShowPro"/>
    <x v="4"/>
    <x v="1"/>
    <s v="Female"/>
    <s v="Germany"/>
    <s v="Smartphone"/>
    <n v="20"/>
    <n v="12.4"/>
    <s v="Yes"/>
    <s v="Yes"/>
    <s v="No"/>
    <n v="0"/>
  </r>
  <r>
    <s v="USR00461"/>
    <s v="APP061"/>
    <s v="FoodPlus"/>
    <x v="5"/>
    <x v="0"/>
    <s v="Female"/>
    <s v="Germany"/>
    <s v="Smartphone"/>
    <n v="79"/>
    <n v="14.7"/>
    <s v="Yes"/>
    <s v="Yes"/>
    <s v="No"/>
    <n v="0"/>
  </r>
  <r>
    <s v="USR00462"/>
    <s v="APP062"/>
    <s v="BiteGo"/>
    <x v="5"/>
    <x v="0"/>
    <s v="Male"/>
    <s v="Singapore"/>
    <s v="Smartphone"/>
    <n v="36"/>
    <n v="17.899999999999999"/>
    <s v="Yes"/>
    <s v="Yes"/>
    <s v="No"/>
    <n v="0"/>
  </r>
  <r>
    <s v="USR00463"/>
    <s v="APP063"/>
    <s v="OrderCloud"/>
    <x v="5"/>
    <x v="0"/>
    <s v="Female"/>
    <s v="Australia"/>
    <s v="Smartphone"/>
    <n v="49"/>
    <n v="22.4"/>
    <s v="Yes"/>
    <s v="No"/>
    <s v="Yes"/>
    <n v="0"/>
  </r>
  <r>
    <s v="USR00464"/>
    <s v="APP064"/>
    <s v="DinePlus"/>
    <x v="5"/>
    <x v="0"/>
    <s v="Male"/>
    <s v="United Kingdom"/>
    <s v="Tablet"/>
    <n v="40"/>
    <n v="11"/>
    <s v="Yes"/>
    <s v="No"/>
    <s v="No"/>
    <n v="0"/>
  </r>
  <r>
    <s v="USR00465"/>
    <s v="APP065"/>
    <s v="SnackX"/>
    <x v="5"/>
    <x v="3"/>
    <s v="Male"/>
    <s v="United Kingdom"/>
    <s v="Smartphone"/>
    <n v="39"/>
    <n v="10"/>
    <s v="Yes"/>
    <s v="Yes"/>
    <s v="No"/>
    <n v="0"/>
  </r>
  <r>
    <s v="USR00466"/>
    <s v="APP066"/>
    <s v="FoodOne"/>
    <x v="5"/>
    <x v="2"/>
    <s v="Male"/>
    <s v="India"/>
    <s v="Smartphone"/>
    <n v="17"/>
    <n v="17.100000000000001"/>
    <s v="No"/>
    <s v="No"/>
    <s v="No"/>
    <n v="0"/>
  </r>
  <r>
    <s v="USR00467"/>
    <s v="APP067"/>
    <s v="MealMate"/>
    <x v="5"/>
    <x v="0"/>
    <s v="Male"/>
    <s v="United States"/>
    <s v="Smartphone"/>
    <n v="21"/>
    <n v="14"/>
    <s v="No"/>
    <s v="No"/>
    <s v="No"/>
    <n v="0"/>
  </r>
  <r>
    <s v="USR00468"/>
    <s v="APP068"/>
    <s v="SnackHub"/>
    <x v="5"/>
    <x v="2"/>
    <s v="Female"/>
    <s v="Australia"/>
    <s v="Smartphone"/>
    <n v="15"/>
    <n v="9.9"/>
    <s v="No"/>
    <s v="No"/>
    <s v="No"/>
    <n v="0"/>
  </r>
  <r>
    <s v="USR00469"/>
    <s v="APP069"/>
    <s v="BiteCloud"/>
    <x v="5"/>
    <x v="3"/>
    <s v="Male"/>
    <s v="Singapore"/>
    <s v="Smartphone"/>
    <n v="63"/>
    <n v="17.8"/>
    <s v="Yes"/>
    <s v="Yes"/>
    <s v="No"/>
    <n v="20.32"/>
  </r>
  <r>
    <s v="USR00470"/>
    <s v="APP070"/>
    <s v="PlatePlus"/>
    <x v="5"/>
    <x v="0"/>
    <s v="Female"/>
    <s v="UAE"/>
    <s v="Smartphone"/>
    <n v="19"/>
    <n v="7.7"/>
    <s v="No"/>
    <s v="No"/>
    <s v="Yes"/>
    <n v="0"/>
  </r>
  <r>
    <s v="USR00471"/>
    <s v="APP071"/>
    <s v="VoyageGo"/>
    <x v="6"/>
    <x v="0"/>
    <s v="Male"/>
    <s v="Germany"/>
    <s v="Smartphone"/>
    <n v="19"/>
    <n v="11.8"/>
    <s v="No"/>
    <s v="Yes"/>
    <s v="No"/>
    <n v="0"/>
  </r>
  <r>
    <s v="USR00472"/>
    <s v="APP072"/>
    <s v="TripOne"/>
    <x v="6"/>
    <x v="4"/>
    <s v="Female"/>
    <s v="Canada"/>
    <s v="Smartphone"/>
    <n v="26"/>
    <n v="12.5"/>
    <s v="No"/>
    <s v="Yes"/>
    <s v="No"/>
    <n v="12.59"/>
  </r>
  <r>
    <s v="USR00473"/>
    <s v="APP073"/>
    <s v="FlyGo"/>
    <x v="6"/>
    <x v="2"/>
    <s v="Male"/>
    <s v="Australia"/>
    <s v="Smartphone"/>
    <n v="20"/>
    <n v="14.3"/>
    <s v="No"/>
    <s v="No"/>
    <s v="No"/>
    <n v="0"/>
  </r>
  <r>
    <s v="USR00474"/>
    <s v="APP074"/>
    <s v="MapX"/>
    <x v="6"/>
    <x v="3"/>
    <s v="Female"/>
    <s v="UAE"/>
    <s v="Smartphone"/>
    <n v="19"/>
    <n v="15.6"/>
    <s v="No"/>
    <s v="Yes"/>
    <s v="No"/>
    <n v="0"/>
  </r>
  <r>
    <s v="USR00475"/>
    <s v="APP075"/>
    <s v="StayX"/>
    <x v="6"/>
    <x v="0"/>
    <s v="Male"/>
    <s v="United States"/>
    <s v="Tablet"/>
    <n v="28"/>
    <n v="7.2"/>
    <s v="No"/>
    <s v="Yes"/>
    <s v="No"/>
    <n v="0"/>
  </r>
  <r>
    <s v="USR00476"/>
    <s v="APP076"/>
    <s v="GoNow"/>
    <x v="6"/>
    <x v="4"/>
    <s v="Male"/>
    <s v="Australia"/>
    <s v="Smartphone"/>
    <n v="70"/>
    <n v="19.899999999999999"/>
    <s v="Yes"/>
    <s v="Yes"/>
    <s v="No"/>
    <n v="0"/>
  </r>
  <r>
    <s v="USR00477"/>
    <s v="APP077"/>
    <s v="RouteGo"/>
    <x v="6"/>
    <x v="4"/>
    <s v="Male"/>
    <s v="Australia"/>
    <s v="Smartphone"/>
    <n v="39"/>
    <n v="3"/>
    <s v="Yes"/>
    <s v="No"/>
    <s v="Yes"/>
    <n v="35.74"/>
  </r>
  <r>
    <s v="USR00478"/>
    <s v="APP078"/>
    <s v="TripGo"/>
    <x v="6"/>
    <x v="4"/>
    <s v="Female"/>
    <s v="Australia"/>
    <s v="Smartphone"/>
    <n v="14"/>
    <n v="5.4"/>
    <s v="No"/>
    <s v="Yes"/>
    <s v="No"/>
    <n v="0"/>
  </r>
  <r>
    <s v="USR00479"/>
    <s v="APP079"/>
    <s v="Flyly"/>
    <x v="6"/>
    <x v="3"/>
    <s v="Male"/>
    <s v="United Kingdom"/>
    <s v="Tablet"/>
    <n v="3"/>
    <n v="12.6"/>
    <s v="No"/>
    <s v="No"/>
    <s v="Yes"/>
    <n v="0"/>
  </r>
  <r>
    <s v="USR00480"/>
    <s v="APP080"/>
    <s v="TripPro"/>
    <x v="6"/>
    <x v="4"/>
    <s v="Female"/>
    <s v="United Kingdom"/>
    <s v="Tablet"/>
    <n v="88"/>
    <n v="19.600000000000001"/>
    <s v="Yes"/>
    <s v="No"/>
    <s v="No"/>
    <n v="0"/>
  </r>
  <r>
    <s v="USR00481"/>
    <s v="APP081"/>
    <s v="Focusly"/>
    <x v="7"/>
    <x v="0"/>
    <s v="Other"/>
    <s v="Australia"/>
    <s v="Smartphone"/>
    <n v="22"/>
    <n v="9.1"/>
    <s v="No"/>
    <s v="No"/>
    <s v="No"/>
    <n v="48.17"/>
  </r>
  <r>
    <s v="USR00482"/>
    <s v="APP082"/>
    <s v="DeskX"/>
    <x v="7"/>
    <x v="2"/>
    <s v="Male"/>
    <s v="United Kingdom"/>
    <s v="Smartphone"/>
    <n v="7"/>
    <n v="9.4"/>
    <s v="No"/>
    <s v="No"/>
    <s v="Yes"/>
    <n v="0"/>
  </r>
  <r>
    <s v="USR00483"/>
    <s v="APP083"/>
    <s v="DonePro"/>
    <x v="7"/>
    <x v="1"/>
    <s v="Female"/>
    <s v="UAE"/>
    <s v="Smartphone"/>
    <n v="84"/>
    <n v="13.9"/>
    <s v="Yes"/>
    <s v="No"/>
    <s v="Yes"/>
    <n v="0"/>
  </r>
  <r>
    <s v="USR00484"/>
    <s v="APP084"/>
    <s v="NotePlus"/>
    <x v="7"/>
    <x v="0"/>
    <s v="Male"/>
    <s v="United Kingdom"/>
    <s v="Smartphone"/>
    <n v="81"/>
    <n v="11.5"/>
    <s v="Yes"/>
    <s v="Yes"/>
    <s v="No"/>
    <n v="0"/>
  </r>
  <r>
    <s v="USR00485"/>
    <s v="APP085"/>
    <s v="SyncPlus"/>
    <x v="7"/>
    <x v="4"/>
    <s v="Prefer not to say"/>
    <s v="UAE"/>
    <s v="Smartphone"/>
    <n v="70"/>
    <n v="17.899999999999999"/>
    <s v="Yes"/>
    <s v="Yes"/>
    <s v="No"/>
    <n v="0"/>
  </r>
  <r>
    <s v="USR00486"/>
    <s v="APP086"/>
    <s v="NoteOne"/>
    <x v="7"/>
    <x v="4"/>
    <s v="Male"/>
    <s v="United Kingdom"/>
    <s v="Tablet"/>
    <n v="22"/>
    <n v="17.100000000000001"/>
    <s v="No"/>
    <s v="No"/>
    <s v="No"/>
    <n v="0"/>
  </r>
  <r>
    <s v="USR00487"/>
    <s v="APP087"/>
    <s v="NoteMate"/>
    <x v="7"/>
    <x v="0"/>
    <s v="Female"/>
    <s v="Australia"/>
    <s v="Smartphone"/>
    <n v="24"/>
    <n v="7.5"/>
    <s v="Yes"/>
    <s v="No"/>
    <s v="Yes"/>
    <n v="0"/>
  </r>
  <r>
    <s v="USR00488"/>
    <s v="APP088"/>
    <s v="PlanPlus"/>
    <x v="7"/>
    <x v="4"/>
    <s v="Male"/>
    <s v="Canada"/>
    <s v="Smartphone"/>
    <n v="19"/>
    <n v="15.1"/>
    <s v="Yes"/>
    <s v="Yes"/>
    <s v="No"/>
    <n v="0"/>
  </r>
  <r>
    <s v="USR00489"/>
    <s v="APP089"/>
    <s v="PlanMate"/>
    <x v="7"/>
    <x v="4"/>
    <s v="Male"/>
    <s v="UAE"/>
    <s v="Smartphone"/>
    <n v="32"/>
    <n v="14.7"/>
    <s v="Yes"/>
    <s v="No"/>
    <s v="No"/>
    <n v="0"/>
  </r>
  <r>
    <s v="USR00490"/>
    <s v="APP090"/>
    <s v="SyncPlus"/>
    <x v="7"/>
    <x v="2"/>
    <s v="Female"/>
    <s v="Australia"/>
    <s v="Smartphone"/>
    <n v="40"/>
    <n v="3.9"/>
    <s v="Yes"/>
    <s v="Yes"/>
    <s v="No"/>
    <n v="0"/>
  </r>
  <r>
    <s v="USR00491"/>
    <s v="APP091"/>
    <s v="ClinicPro"/>
    <x v="8"/>
    <x v="1"/>
    <s v="Female"/>
    <s v="Canada"/>
    <s v="Smartphone"/>
    <n v="87"/>
    <n v="9"/>
    <s v="Yes"/>
    <s v="No"/>
    <s v="No"/>
    <n v="0"/>
  </r>
  <r>
    <s v="USR00492"/>
    <s v="APP092"/>
    <s v="MindMate"/>
    <x v="8"/>
    <x v="4"/>
    <s v="Male"/>
    <s v="India"/>
    <s v="Smartphone"/>
    <n v="19"/>
    <n v="6.9"/>
    <s v="No"/>
    <s v="No"/>
    <s v="No"/>
    <n v="0"/>
  </r>
  <r>
    <s v="USR00493"/>
    <s v="APP093"/>
    <s v="ClinicOne"/>
    <x v="8"/>
    <x v="0"/>
    <s v="Female"/>
    <s v="India"/>
    <s v="Smartphone"/>
    <n v="15"/>
    <n v="22.9"/>
    <s v="No"/>
    <s v="Yes"/>
    <s v="No"/>
    <n v="0"/>
  </r>
  <r>
    <s v="USR00494"/>
    <s v="APP094"/>
    <s v="WellMate"/>
    <x v="8"/>
    <x v="4"/>
    <s v="Male"/>
    <s v="Germany"/>
    <s v="Smartphone"/>
    <n v="31"/>
    <n v="21.2"/>
    <s v="Yes"/>
    <s v="No"/>
    <s v="No"/>
    <n v="0"/>
  </r>
  <r>
    <s v="USR00495"/>
    <s v="APP095"/>
    <s v="MediMate"/>
    <x v="8"/>
    <x v="3"/>
    <s v="Male"/>
    <s v="Australia"/>
    <s v="Smartphone"/>
    <n v="84"/>
    <n v="19.100000000000001"/>
    <s v="Yes"/>
    <s v="Yes"/>
    <s v="No"/>
    <n v="0"/>
  </r>
  <r>
    <s v="USR00496"/>
    <s v="APP096"/>
    <s v="WellNow"/>
    <x v="8"/>
    <x v="4"/>
    <s v="Female"/>
    <s v="Australia"/>
    <s v="Tablet"/>
    <n v="93"/>
    <n v="16.3"/>
    <s v="Yes"/>
    <s v="Yes"/>
    <s v="No"/>
    <n v="0"/>
  </r>
  <r>
    <s v="USR00497"/>
    <s v="APP097"/>
    <s v="CareCloud"/>
    <x v="8"/>
    <x v="2"/>
    <s v="Male"/>
    <s v="Australia"/>
    <s v="Smartphone"/>
    <n v="38"/>
    <n v="19.7"/>
    <s v="Yes"/>
    <s v="No"/>
    <s v="No"/>
    <n v="0"/>
  </r>
  <r>
    <s v="USR00498"/>
    <s v="APP098"/>
    <s v="MediNow"/>
    <x v="8"/>
    <x v="0"/>
    <s v="Male"/>
    <s v="UAE"/>
    <s v="Smartphone"/>
    <n v="95"/>
    <n v="16.8"/>
    <s v="Yes"/>
    <s v="Yes"/>
    <s v="No"/>
    <n v="38.18"/>
  </r>
  <r>
    <s v="USR00499"/>
    <s v="APP099"/>
    <s v="MindPlus"/>
    <x v="8"/>
    <x v="1"/>
    <s v="Female"/>
    <s v="UAE"/>
    <s v="Smartphone"/>
    <n v="15"/>
    <n v="23.3"/>
    <s v="No"/>
    <s v="No"/>
    <s v="Yes"/>
    <n v="0"/>
  </r>
  <r>
    <s v="USR00500"/>
    <s v="APP100"/>
    <s v="MediCloud"/>
    <x v="8"/>
    <x v="1"/>
    <s v="Female"/>
    <s v="United States"/>
    <s v="Smartphone"/>
    <n v="24"/>
    <n v="8.6999999999999993"/>
    <s v="Yes"/>
    <s v="Yes"/>
    <s v="No"/>
    <n v="0"/>
  </r>
  <r>
    <s v="USR00501"/>
    <s v="APP001"/>
    <s v="InvestPro"/>
    <x v="0"/>
    <x v="0"/>
    <s v="Male"/>
    <s v="UAE"/>
    <s v="Smartphone"/>
    <n v="34"/>
    <n v="22.9"/>
    <s v="Yes"/>
    <s v="Yes"/>
    <s v="No"/>
    <n v="0"/>
  </r>
  <r>
    <s v="USR00502"/>
    <s v="APP002"/>
    <s v="BankPro"/>
    <x v="0"/>
    <x v="0"/>
    <s v="Prefer not to say"/>
    <s v="UAE"/>
    <s v="Smartphone"/>
    <n v="14"/>
    <n v="9.1999999999999993"/>
    <s v="No"/>
    <s v="Yes"/>
    <s v="No"/>
    <n v="0"/>
  </r>
  <r>
    <s v="USR00503"/>
    <s v="APP003"/>
    <s v="BankX"/>
    <x v="0"/>
    <x v="2"/>
    <s v="Male"/>
    <s v="UAE"/>
    <s v="Smartphone"/>
    <n v="19"/>
    <n v="10"/>
    <s v="No"/>
    <s v="Yes"/>
    <s v="No"/>
    <n v="0"/>
  </r>
  <r>
    <s v="USR00504"/>
    <s v="APP004"/>
    <s v="BankNow"/>
    <x v="0"/>
    <x v="2"/>
    <s v="Female"/>
    <s v="UAE"/>
    <s v="Smartphone"/>
    <n v="73"/>
    <n v="22.3"/>
    <s v="Yes"/>
    <s v="No"/>
    <s v="No"/>
    <n v="0"/>
  </r>
  <r>
    <s v="USR00505"/>
    <s v="APP005"/>
    <s v="CreditHub"/>
    <x v="0"/>
    <x v="4"/>
    <s v="Male"/>
    <s v="UAE"/>
    <s v="Smartphone"/>
    <n v="13"/>
    <n v="11.5"/>
    <s v="No"/>
    <s v="No"/>
    <s v="Yes"/>
    <n v="0"/>
  </r>
  <r>
    <s v="USR00506"/>
    <s v="APP006"/>
    <s v="PayPlus"/>
    <x v="0"/>
    <x v="1"/>
    <s v="Female"/>
    <s v="Singapore"/>
    <s v="Smartphone"/>
    <n v="35"/>
    <n v="11.6"/>
    <s v="Yes"/>
    <s v="Yes"/>
    <s v="No"/>
    <n v="0"/>
  </r>
  <r>
    <s v="USR00507"/>
    <s v="APP007"/>
    <s v="BankPlus"/>
    <x v="0"/>
    <x v="0"/>
    <s v="Male"/>
    <s v="India"/>
    <s v="Smartphone"/>
    <n v="16"/>
    <n v="8"/>
    <s v="Yes"/>
    <s v="Yes"/>
    <s v="No"/>
    <n v="8.1199999999999992"/>
  </r>
  <r>
    <s v="USR00508"/>
    <s v="APP008"/>
    <s v="CoinPlus"/>
    <x v="0"/>
    <x v="1"/>
    <s v="Female"/>
    <s v="Germany"/>
    <s v="Smartphone"/>
    <n v="24"/>
    <n v="14"/>
    <s v="Yes"/>
    <s v="Yes"/>
    <s v="No"/>
    <n v="70.260000000000005"/>
  </r>
  <r>
    <s v="USR00509"/>
    <s v="APP009"/>
    <s v="CreditOne"/>
    <x v="0"/>
    <x v="4"/>
    <s v="Female"/>
    <s v="United States"/>
    <s v="Smartphone"/>
    <n v="6"/>
    <n v="22"/>
    <s v="No"/>
    <s v="No"/>
    <s v="No"/>
    <n v="0"/>
  </r>
  <r>
    <s v="USR00510"/>
    <s v="APP010"/>
    <s v="PayPro"/>
    <x v="0"/>
    <x v="1"/>
    <s v="Other"/>
    <s v="United Kingdom"/>
    <s v="Smartphone"/>
    <n v="75"/>
    <n v="20.100000000000001"/>
    <s v="Yes"/>
    <s v="Yes"/>
    <s v="No"/>
    <n v="41.03"/>
  </r>
  <r>
    <s v="USR00511"/>
    <s v="APP011"/>
    <s v="Creditly"/>
    <x v="0"/>
    <x v="2"/>
    <s v="Female"/>
    <s v="United Kingdom"/>
    <s v="Tablet"/>
    <n v="9"/>
    <n v="21.5"/>
    <s v="No"/>
    <s v="No"/>
    <s v="No"/>
    <n v="0"/>
  </r>
  <r>
    <s v="USR00512"/>
    <s v="APP012"/>
    <s v="PayX"/>
    <x v="0"/>
    <x v="4"/>
    <s v="Female"/>
    <s v="UAE"/>
    <s v="Smartphone"/>
    <n v="81"/>
    <n v="16.600000000000001"/>
    <s v="Yes"/>
    <s v="Yes"/>
    <s v="No"/>
    <n v="0"/>
  </r>
  <r>
    <s v="USR00513"/>
    <s v="APP013"/>
    <s v="DealGo"/>
    <x v="1"/>
    <x v="0"/>
    <s v="Female"/>
    <s v="Singapore"/>
    <s v="Smartphone"/>
    <n v="34"/>
    <n v="22.6"/>
    <s v="Yes"/>
    <s v="Yes"/>
    <s v="No"/>
    <n v="0"/>
  </r>
  <r>
    <s v="USR00514"/>
    <s v="APP014"/>
    <s v="MallNow"/>
    <x v="1"/>
    <x v="3"/>
    <s v="Female"/>
    <s v="Australia"/>
    <s v="Tablet"/>
    <n v="90"/>
    <n v="8.8000000000000007"/>
    <s v="Yes"/>
    <s v="Yes"/>
    <s v="Yes"/>
    <n v="0"/>
  </r>
  <r>
    <s v="USR00515"/>
    <s v="APP015"/>
    <s v="DealPro"/>
    <x v="1"/>
    <x v="1"/>
    <s v="Male"/>
    <s v="United Kingdom"/>
    <s v="Smartphone"/>
    <n v="69"/>
    <n v="6.1"/>
    <s v="Yes"/>
    <s v="No"/>
    <s v="No"/>
    <n v="0"/>
  </r>
  <r>
    <s v="USR00516"/>
    <s v="APP016"/>
    <s v="StyleNow"/>
    <x v="1"/>
    <x v="1"/>
    <s v="Prefer not to say"/>
    <s v="Canada"/>
    <s v="Smartphone"/>
    <n v="28"/>
    <n v="18.8"/>
    <s v="Yes"/>
    <s v="Yes"/>
    <s v="No"/>
    <n v="33.69"/>
  </r>
  <r>
    <s v="USR00517"/>
    <s v="APP017"/>
    <s v="DealCloud"/>
    <x v="1"/>
    <x v="3"/>
    <s v="Other"/>
    <s v="United Kingdom"/>
    <s v="Tablet"/>
    <n v="88"/>
    <n v="15.4"/>
    <s v="Yes"/>
    <s v="Yes"/>
    <s v="No"/>
    <n v="82.16"/>
  </r>
  <r>
    <s v="USR00518"/>
    <s v="APP018"/>
    <s v="CartCloud"/>
    <x v="1"/>
    <x v="0"/>
    <s v="Female"/>
    <s v="United States"/>
    <s v="Smartphone"/>
    <n v="57"/>
    <n v="6.9"/>
    <s v="Yes"/>
    <s v="Yes"/>
    <s v="No"/>
    <n v="0"/>
  </r>
  <r>
    <s v="USR00519"/>
    <s v="APP019"/>
    <s v="CartMate"/>
    <x v="1"/>
    <x v="0"/>
    <s v="Female"/>
    <s v="UAE"/>
    <s v="Tablet"/>
    <n v="69"/>
    <n v="6.3"/>
    <s v="Yes"/>
    <s v="Yes"/>
    <s v="No"/>
    <n v="0"/>
  </r>
  <r>
    <s v="USR00520"/>
    <s v="APP020"/>
    <s v="BazaarOne"/>
    <x v="1"/>
    <x v="1"/>
    <s v="Male"/>
    <s v="Canada"/>
    <s v="Smartphone"/>
    <n v="16"/>
    <n v="15.4"/>
    <s v="No"/>
    <s v="No"/>
    <s v="Yes"/>
    <n v="0"/>
  </r>
  <r>
    <s v="USR00521"/>
    <s v="APP021"/>
    <s v="StyleOne"/>
    <x v="1"/>
    <x v="0"/>
    <s v="Male"/>
    <s v="Australia"/>
    <s v="Smartphone"/>
    <n v="22"/>
    <n v="23.5"/>
    <s v="No"/>
    <s v="No"/>
    <s v="No"/>
    <n v="0"/>
  </r>
  <r>
    <s v="USR00522"/>
    <s v="APP022"/>
    <s v="Cartly"/>
    <x v="1"/>
    <x v="1"/>
    <s v="Female"/>
    <s v="India"/>
    <s v="Smartphone"/>
    <n v="3"/>
    <n v="20.2"/>
    <s v="No"/>
    <s v="No"/>
    <s v="No"/>
    <n v="0"/>
  </r>
  <r>
    <s v="USR00523"/>
    <s v="APP023"/>
    <s v="BazaarCloud"/>
    <x v="1"/>
    <x v="1"/>
    <s v="Female"/>
    <s v="United States"/>
    <s v="Smartphone"/>
    <n v="59"/>
    <n v="22.7"/>
    <s v="Yes"/>
    <s v="Yes"/>
    <s v="Yes"/>
    <n v="0"/>
  </r>
  <r>
    <s v="USR00524"/>
    <s v="APP024"/>
    <s v="CartPro"/>
    <x v="1"/>
    <x v="0"/>
    <s v="Female"/>
    <s v="Germany"/>
    <s v="Smartphone"/>
    <n v="79"/>
    <n v="11.1"/>
    <s v="Yes"/>
    <s v="No"/>
    <s v="No"/>
    <n v="0"/>
  </r>
  <r>
    <s v="USR00525"/>
    <s v="APP025"/>
    <s v="RunPlus"/>
    <x v="2"/>
    <x v="0"/>
    <s v="Female"/>
    <s v="United States"/>
    <s v="Smartphone"/>
    <n v="75"/>
    <n v="9.5"/>
    <s v="Yes"/>
    <s v="Yes"/>
    <s v="No"/>
    <n v="0"/>
  </r>
  <r>
    <s v="USR00526"/>
    <s v="APP026"/>
    <s v="TrainCloud"/>
    <x v="2"/>
    <x v="0"/>
    <s v="Male"/>
    <s v="Singapore"/>
    <s v="Smartphone"/>
    <n v="59"/>
    <n v="23.6"/>
    <s v="Yes"/>
    <s v="Yes"/>
    <s v="No"/>
    <n v="0"/>
  </r>
  <r>
    <s v="USR00527"/>
    <s v="APP027"/>
    <s v="Trainly"/>
    <x v="2"/>
    <x v="0"/>
    <s v="Female"/>
    <s v="United Kingdom"/>
    <s v="Smartphone"/>
    <n v="19"/>
    <n v="9.5"/>
    <s v="Yes"/>
    <s v="Yes"/>
    <s v="Yes"/>
    <n v="5.63"/>
  </r>
  <r>
    <s v="USR00528"/>
    <s v="APP028"/>
    <s v="LiftCloud"/>
    <x v="2"/>
    <x v="0"/>
    <s v="Prefer not to say"/>
    <s v="India"/>
    <s v="Smartphone"/>
    <n v="17"/>
    <n v="20.100000000000001"/>
    <s v="Yes"/>
    <s v="Yes"/>
    <s v="No"/>
    <n v="0"/>
  </r>
  <r>
    <s v="USR00529"/>
    <s v="APP029"/>
    <s v="MoveNow"/>
    <x v="2"/>
    <x v="1"/>
    <s v="Female"/>
    <s v="Canada"/>
    <s v="Smartphone"/>
    <n v="64"/>
    <n v="14.2"/>
    <s v="Yes"/>
    <s v="Yes"/>
    <s v="Yes"/>
    <n v="0"/>
  </r>
  <r>
    <s v="USR00530"/>
    <s v="APP030"/>
    <s v="ActiveMate"/>
    <x v="2"/>
    <x v="0"/>
    <s v="Male"/>
    <s v="Germany"/>
    <s v="Smartphone"/>
    <n v="29"/>
    <n v="40.4"/>
    <s v="Yes"/>
    <s v="Yes"/>
    <s v="No"/>
    <n v="9.91"/>
  </r>
  <r>
    <s v="USR00531"/>
    <s v="APP031"/>
    <s v="RunGo"/>
    <x v="2"/>
    <x v="0"/>
    <s v="Male"/>
    <s v="UAE"/>
    <s v="Smartphone"/>
    <n v="23"/>
    <n v="15.5"/>
    <s v="No"/>
    <s v="No"/>
    <s v="No"/>
    <n v="0"/>
  </r>
  <r>
    <s v="USR00532"/>
    <s v="APP032"/>
    <s v="LiftPro"/>
    <x v="2"/>
    <x v="0"/>
    <s v="Female"/>
    <s v="United Kingdom"/>
    <s v="Smartphone"/>
    <n v="55"/>
    <n v="40.4"/>
    <s v="Yes"/>
    <s v="No"/>
    <s v="No"/>
    <n v="20.81"/>
  </r>
  <r>
    <s v="USR00533"/>
    <s v="APP033"/>
    <s v="LiftPro"/>
    <x v="2"/>
    <x v="0"/>
    <s v="Male"/>
    <s v="UAE"/>
    <s v="Smartphone"/>
    <n v="64"/>
    <n v="40.299999999999997"/>
    <s v="Yes"/>
    <s v="Yes"/>
    <s v="No"/>
    <n v="0"/>
  </r>
  <r>
    <s v="USR00534"/>
    <s v="APP034"/>
    <s v="Liftly"/>
    <x v="2"/>
    <x v="1"/>
    <s v="Female"/>
    <s v="Singapore"/>
    <s v="Smartphone"/>
    <n v="2"/>
    <n v="27"/>
    <s v="No"/>
    <s v="Yes"/>
    <s v="No"/>
    <n v="0"/>
  </r>
  <r>
    <s v="USR00535"/>
    <s v="APP035"/>
    <s v="YogaHub"/>
    <x v="2"/>
    <x v="0"/>
    <s v="Female"/>
    <s v="Australia"/>
    <s v="Smartphone"/>
    <n v="19"/>
    <n v="28.3"/>
    <s v="No"/>
    <s v="Yes"/>
    <s v="No"/>
    <n v="0"/>
  </r>
  <r>
    <s v="USR00536"/>
    <s v="APP036"/>
    <s v="MoveGo"/>
    <x v="2"/>
    <x v="1"/>
    <s v="Female"/>
    <s v="India"/>
    <s v="Smartphone"/>
    <n v="26"/>
    <n v="41.3"/>
    <s v="No"/>
    <s v="No"/>
    <s v="No"/>
    <n v="0"/>
  </r>
  <r>
    <s v="USR00537"/>
    <s v="APP037"/>
    <s v="BrightNow"/>
    <x v="3"/>
    <x v="2"/>
    <s v="Female"/>
    <s v="Canada"/>
    <s v="Tablet"/>
    <n v="14"/>
    <n v="32.299999999999997"/>
    <s v="No"/>
    <s v="No"/>
    <s v="No"/>
    <n v="0"/>
  </r>
  <r>
    <s v="USR00538"/>
    <s v="APP038"/>
    <s v="StudyCloud"/>
    <x v="3"/>
    <x v="2"/>
    <s v="Prefer not to say"/>
    <s v="Canada"/>
    <s v="Smartphone"/>
    <n v="34"/>
    <n v="19.100000000000001"/>
    <s v="Yes"/>
    <s v="No"/>
    <s v="No"/>
    <n v="9.51"/>
  </r>
  <r>
    <s v="USR00539"/>
    <s v="APP039"/>
    <s v="SkillNow"/>
    <x v="3"/>
    <x v="2"/>
    <s v="Male"/>
    <s v="Singapore"/>
    <s v="Smartphone"/>
    <n v="3"/>
    <n v="21.1"/>
    <s v="No"/>
    <s v="Yes"/>
    <s v="No"/>
    <n v="0"/>
  </r>
  <r>
    <s v="USR00540"/>
    <s v="APP040"/>
    <s v="LearnMate"/>
    <x v="3"/>
    <x v="0"/>
    <s v="Female"/>
    <s v="Singapore"/>
    <s v="Smartphone"/>
    <n v="8"/>
    <n v="38.9"/>
    <s v="No"/>
    <s v="No"/>
    <s v="No"/>
    <n v="0"/>
  </r>
  <r>
    <s v="USR00541"/>
    <s v="APP041"/>
    <s v="QuestNow"/>
    <x v="3"/>
    <x v="0"/>
    <s v="Male"/>
    <s v="Germany"/>
    <s v="Smartphone"/>
    <n v="5"/>
    <n v="41.2"/>
    <s v="No"/>
    <s v="No"/>
    <s v="No"/>
    <n v="0"/>
  </r>
  <r>
    <s v="USR00542"/>
    <s v="APP042"/>
    <s v="SkillHub"/>
    <x v="3"/>
    <x v="4"/>
    <s v="Female"/>
    <s v="United States"/>
    <s v="Smartphone"/>
    <n v="24"/>
    <n v="20.6"/>
    <s v="No"/>
    <s v="No"/>
    <s v="Yes"/>
    <n v="0"/>
  </r>
  <r>
    <s v="USR00543"/>
    <s v="APP043"/>
    <s v="TutorCloud"/>
    <x v="3"/>
    <x v="4"/>
    <s v="Female"/>
    <s v="Canada"/>
    <s v="Smartphone"/>
    <n v="77"/>
    <n v="28.2"/>
    <s v="Yes"/>
    <s v="Yes"/>
    <s v="No"/>
    <n v="0"/>
  </r>
  <r>
    <s v="USR00544"/>
    <s v="APP044"/>
    <s v="SkillOne"/>
    <x v="3"/>
    <x v="4"/>
    <s v="Female"/>
    <s v="UAE"/>
    <s v="Smartphone"/>
    <n v="19"/>
    <n v="23.3"/>
    <s v="No"/>
    <s v="Yes"/>
    <s v="Yes"/>
    <n v="0"/>
  </r>
  <r>
    <s v="USR00545"/>
    <s v="APP045"/>
    <s v="LearnOne"/>
    <x v="3"/>
    <x v="4"/>
    <s v="Male"/>
    <s v="Singapore"/>
    <s v="Smartphone"/>
    <n v="53"/>
    <n v="13.1"/>
    <s v="Yes"/>
    <s v="Yes"/>
    <s v="No"/>
    <n v="0"/>
  </r>
  <r>
    <s v="USR00546"/>
    <s v="APP046"/>
    <s v="LearnPlus"/>
    <x v="3"/>
    <x v="2"/>
    <s v="Male"/>
    <s v="UAE"/>
    <s v="Smartphone"/>
    <n v="20"/>
    <n v="18"/>
    <s v="No"/>
    <s v="Yes"/>
    <s v="No"/>
    <n v="0"/>
  </r>
  <r>
    <s v="USR00547"/>
    <s v="APP047"/>
    <s v="StudyPlus"/>
    <x v="3"/>
    <x v="1"/>
    <s v="Female"/>
    <s v="Australia"/>
    <s v="Smartphone"/>
    <n v="79"/>
    <n v="29.4"/>
    <s v="Yes"/>
    <s v="Yes"/>
    <s v="No"/>
    <n v="0"/>
  </r>
  <r>
    <s v="USR00548"/>
    <s v="APP048"/>
    <s v="StudyX"/>
    <x v="3"/>
    <x v="1"/>
    <s v="Female"/>
    <s v="Australia"/>
    <s v="Smartphone"/>
    <n v="26"/>
    <n v="16.5"/>
    <s v="No"/>
    <s v="No"/>
    <s v="No"/>
    <n v="0"/>
  </r>
  <r>
    <s v="USR00549"/>
    <s v="APP049"/>
    <s v="PlayPlus"/>
    <x v="4"/>
    <x v="0"/>
    <s v="Male"/>
    <s v="India"/>
    <s v="Smartphone"/>
    <n v="18"/>
    <n v="8.1"/>
    <s v="No"/>
    <s v="No"/>
    <s v="No"/>
    <n v="0"/>
  </r>
  <r>
    <s v="USR00550"/>
    <s v="APP050"/>
    <s v="ShowMate"/>
    <x v="4"/>
    <x v="2"/>
    <s v="Female"/>
    <s v="United States"/>
    <s v="Smartphone"/>
    <n v="3"/>
    <n v="16.8"/>
    <s v="No"/>
    <s v="Yes"/>
    <s v="No"/>
    <n v="0"/>
  </r>
  <r>
    <s v="USR00551"/>
    <s v="APP051"/>
    <s v="VibeX"/>
    <x v="4"/>
    <x v="2"/>
    <s v="Male"/>
    <s v="India"/>
    <s v="Tablet"/>
    <n v="17"/>
    <n v="8.6"/>
    <s v="No"/>
    <s v="No"/>
    <s v="No"/>
    <n v="0"/>
  </r>
  <r>
    <s v="USR00552"/>
    <s v="APP052"/>
    <s v="BuzzNow"/>
    <x v="4"/>
    <x v="4"/>
    <s v="Female"/>
    <s v="Singapore"/>
    <s v="Smartphone"/>
    <n v="70"/>
    <n v="15.2"/>
    <s v="Yes"/>
    <s v="Yes"/>
    <s v="No"/>
    <n v="32.96"/>
  </r>
  <r>
    <s v="USR00553"/>
    <s v="APP053"/>
    <s v="StreamPlus"/>
    <x v="4"/>
    <x v="3"/>
    <s v="Prefer not to say"/>
    <s v="Germany"/>
    <s v="Smartphone"/>
    <n v="20"/>
    <n v="10.7"/>
    <s v="No"/>
    <s v="Yes"/>
    <s v="No"/>
    <n v="0"/>
  </r>
  <r>
    <s v="USR00554"/>
    <s v="APP054"/>
    <s v="Showly"/>
    <x v="4"/>
    <x v="0"/>
    <s v="Female"/>
    <s v="India"/>
    <s v="Smartphone"/>
    <n v="16"/>
    <n v="39.9"/>
    <s v="No"/>
    <s v="Yes"/>
    <s v="No"/>
    <n v="0"/>
  </r>
  <r>
    <s v="USR00555"/>
    <s v="APP055"/>
    <s v="BuzzOne"/>
    <x v="4"/>
    <x v="1"/>
    <s v="Prefer not to say"/>
    <s v="United States"/>
    <s v="Smartphone"/>
    <n v="90"/>
    <n v="18.5"/>
    <s v="Yes"/>
    <s v="Yes"/>
    <s v="No"/>
    <n v="43.02"/>
  </r>
  <r>
    <s v="USR00556"/>
    <s v="APP056"/>
    <s v="PlayHub"/>
    <x v="4"/>
    <x v="2"/>
    <s v="Male"/>
    <s v="Australia"/>
    <s v="Smartphone"/>
    <n v="33"/>
    <n v="13.7"/>
    <s v="Yes"/>
    <s v="No"/>
    <s v="No"/>
    <n v="0"/>
  </r>
  <r>
    <s v="USR00557"/>
    <s v="APP057"/>
    <s v="CinemaGo"/>
    <x v="4"/>
    <x v="0"/>
    <s v="Male"/>
    <s v="Canada"/>
    <s v="Smartphone"/>
    <n v="5"/>
    <n v="17.100000000000001"/>
    <s v="No"/>
    <s v="Yes"/>
    <s v="No"/>
    <n v="0"/>
  </r>
  <r>
    <s v="USR00558"/>
    <s v="APP058"/>
    <s v="LaughX"/>
    <x v="4"/>
    <x v="1"/>
    <s v="Female"/>
    <s v="UAE"/>
    <s v="Smartphone"/>
    <n v="3"/>
    <n v="22"/>
    <s v="No"/>
    <s v="No"/>
    <s v="No"/>
    <n v="0"/>
  </r>
  <r>
    <s v="USR00559"/>
    <s v="APP059"/>
    <s v="CinemaHub"/>
    <x v="4"/>
    <x v="1"/>
    <s v="Other"/>
    <s v="UAE"/>
    <s v="Smartphone"/>
    <n v="8"/>
    <n v="11.6"/>
    <s v="No"/>
    <s v="Yes"/>
    <s v="No"/>
    <n v="0"/>
  </r>
  <r>
    <s v="USR00560"/>
    <s v="APP060"/>
    <s v="ShowPro"/>
    <x v="4"/>
    <x v="1"/>
    <s v="Male"/>
    <s v="Germany"/>
    <s v="Tablet"/>
    <n v="56"/>
    <n v="11.5"/>
    <s v="Yes"/>
    <s v="Yes"/>
    <s v="No"/>
    <n v="0"/>
  </r>
  <r>
    <s v="USR00561"/>
    <s v="APP061"/>
    <s v="FoodPlus"/>
    <x v="5"/>
    <x v="1"/>
    <s v="Female"/>
    <s v="Singapore"/>
    <s v="Smartphone"/>
    <n v="6"/>
    <n v="21.6"/>
    <s v="No"/>
    <s v="No"/>
    <s v="No"/>
    <n v="0"/>
  </r>
  <r>
    <s v="USR00562"/>
    <s v="APP062"/>
    <s v="BiteGo"/>
    <x v="5"/>
    <x v="0"/>
    <s v="Female"/>
    <s v="Canada"/>
    <s v="Smartphone"/>
    <n v="68"/>
    <n v="13.1"/>
    <s v="Yes"/>
    <s v="No"/>
    <s v="No"/>
    <n v="0"/>
  </r>
  <r>
    <s v="USR00563"/>
    <s v="APP063"/>
    <s v="OrderCloud"/>
    <x v="5"/>
    <x v="0"/>
    <s v="Other"/>
    <s v="United Kingdom"/>
    <s v="Smartphone"/>
    <n v="93"/>
    <n v="10.1"/>
    <s v="Yes"/>
    <s v="Yes"/>
    <s v="Yes"/>
    <n v="3.56"/>
  </r>
  <r>
    <s v="USR00564"/>
    <s v="APP064"/>
    <s v="DinePlus"/>
    <x v="5"/>
    <x v="2"/>
    <s v="Male"/>
    <s v="United States"/>
    <s v="Smartphone"/>
    <n v="29"/>
    <n v="22.2"/>
    <s v="Yes"/>
    <s v="Yes"/>
    <s v="No"/>
    <n v="0"/>
  </r>
  <r>
    <s v="USR00565"/>
    <s v="APP065"/>
    <s v="SnackX"/>
    <x v="5"/>
    <x v="0"/>
    <s v="Female"/>
    <s v="UAE"/>
    <s v="Smartphone"/>
    <n v="20"/>
    <n v="8.6999999999999993"/>
    <s v="No"/>
    <s v="No"/>
    <s v="No"/>
    <n v="12.56"/>
  </r>
  <r>
    <s v="USR00566"/>
    <s v="APP066"/>
    <s v="FoodOne"/>
    <x v="5"/>
    <x v="2"/>
    <s v="Other"/>
    <s v="Singapore"/>
    <s v="Smartphone"/>
    <n v="25"/>
    <n v="16.2"/>
    <s v="No"/>
    <s v="No"/>
    <s v="No"/>
    <n v="0"/>
  </r>
  <r>
    <s v="USR00567"/>
    <s v="APP067"/>
    <s v="MealMate"/>
    <x v="5"/>
    <x v="0"/>
    <s v="Prefer not to say"/>
    <s v="United Kingdom"/>
    <s v="Smartphone"/>
    <n v="23"/>
    <n v="21.1"/>
    <s v="No"/>
    <s v="No"/>
    <s v="Yes"/>
    <n v="0"/>
  </r>
  <r>
    <s v="USR00568"/>
    <s v="APP068"/>
    <s v="SnackHub"/>
    <x v="5"/>
    <x v="2"/>
    <s v="Male"/>
    <s v="Australia"/>
    <s v="Smartphone"/>
    <n v="18"/>
    <n v="3.9"/>
    <s v="No"/>
    <s v="Yes"/>
    <s v="No"/>
    <n v="22.83"/>
  </r>
  <r>
    <s v="USR00569"/>
    <s v="APP069"/>
    <s v="BiteCloud"/>
    <x v="5"/>
    <x v="2"/>
    <s v="Male"/>
    <s v="India"/>
    <s v="Smartphone"/>
    <n v="23"/>
    <n v="6.7"/>
    <s v="Yes"/>
    <s v="Yes"/>
    <s v="No"/>
    <n v="0"/>
  </r>
  <r>
    <s v="USR00570"/>
    <s v="APP070"/>
    <s v="PlatePlus"/>
    <x v="5"/>
    <x v="1"/>
    <s v="Male"/>
    <s v="Germany"/>
    <s v="Smartphone"/>
    <n v="45"/>
    <n v="4.5"/>
    <s v="Yes"/>
    <s v="Yes"/>
    <s v="No"/>
    <n v="0"/>
  </r>
  <r>
    <s v="USR00571"/>
    <s v="APP071"/>
    <s v="VoyageGo"/>
    <x v="6"/>
    <x v="2"/>
    <s v="Male"/>
    <s v="Australia"/>
    <s v="Smartphone"/>
    <n v="9"/>
    <n v="7.2"/>
    <s v="No"/>
    <s v="No"/>
    <s v="No"/>
    <n v="0"/>
  </r>
  <r>
    <s v="USR00572"/>
    <s v="APP072"/>
    <s v="TripOne"/>
    <x v="6"/>
    <x v="1"/>
    <s v="Other"/>
    <s v="Australia"/>
    <s v="Tablet"/>
    <n v="12"/>
    <n v="18.5"/>
    <s v="No"/>
    <s v="No"/>
    <s v="Yes"/>
    <n v="0"/>
  </r>
  <r>
    <s v="USR00573"/>
    <s v="APP073"/>
    <s v="FlyGo"/>
    <x v="6"/>
    <x v="1"/>
    <s v="Male"/>
    <s v="Canada"/>
    <s v="Smartphone"/>
    <n v="6"/>
    <n v="10.8"/>
    <s v="No"/>
    <s v="Yes"/>
    <s v="Yes"/>
    <n v="34.85"/>
  </r>
  <r>
    <s v="USR00574"/>
    <s v="APP074"/>
    <s v="MapX"/>
    <x v="6"/>
    <x v="1"/>
    <s v="Male"/>
    <s v="UAE"/>
    <s v="Smartphone"/>
    <n v="90"/>
    <n v="4.3"/>
    <s v="Yes"/>
    <s v="Yes"/>
    <s v="No"/>
    <n v="0"/>
  </r>
  <r>
    <s v="USR00575"/>
    <s v="APP075"/>
    <s v="StayX"/>
    <x v="6"/>
    <x v="0"/>
    <s v="Male"/>
    <s v="Singapore"/>
    <s v="Smartphone"/>
    <n v="38"/>
    <n v="11.5"/>
    <s v="Yes"/>
    <s v="Yes"/>
    <s v="No"/>
    <n v="45.2"/>
  </r>
  <r>
    <s v="USR00576"/>
    <s v="APP076"/>
    <s v="GoNow"/>
    <x v="6"/>
    <x v="0"/>
    <s v="Female"/>
    <s v="UAE"/>
    <s v="Smartphone"/>
    <n v="25"/>
    <n v="14"/>
    <s v="No"/>
    <s v="Yes"/>
    <s v="No"/>
    <n v="0"/>
  </r>
  <r>
    <s v="USR00577"/>
    <s v="APP077"/>
    <s v="RouteGo"/>
    <x v="6"/>
    <x v="0"/>
    <s v="Female"/>
    <s v="Canada"/>
    <s v="Smartphone"/>
    <n v="1"/>
    <n v="21.2"/>
    <s v="No"/>
    <s v="Yes"/>
    <s v="No"/>
    <n v="0"/>
  </r>
  <r>
    <s v="USR00578"/>
    <s v="APP078"/>
    <s v="TripGo"/>
    <x v="6"/>
    <x v="2"/>
    <s v="Male"/>
    <s v="United States"/>
    <s v="Smartphone"/>
    <n v="3"/>
    <n v="12.3"/>
    <s v="No"/>
    <s v="No"/>
    <s v="No"/>
    <n v="0"/>
  </r>
  <r>
    <s v="USR00579"/>
    <s v="APP079"/>
    <s v="Flyly"/>
    <x v="6"/>
    <x v="2"/>
    <s v="Female"/>
    <s v="Germany"/>
    <s v="Smartphone"/>
    <n v="9"/>
    <n v="4.4000000000000004"/>
    <s v="No"/>
    <s v="No"/>
    <s v="Yes"/>
    <n v="0"/>
  </r>
  <r>
    <s v="USR00580"/>
    <s v="APP080"/>
    <s v="TripPro"/>
    <x v="6"/>
    <x v="1"/>
    <s v="Male"/>
    <s v="United States"/>
    <s v="Smartphone"/>
    <n v="48"/>
    <n v="20.7"/>
    <s v="Yes"/>
    <s v="Yes"/>
    <s v="No"/>
    <n v="0"/>
  </r>
  <r>
    <s v="USR00581"/>
    <s v="APP081"/>
    <s v="Focusly"/>
    <x v="7"/>
    <x v="2"/>
    <s v="Male"/>
    <s v="UAE"/>
    <s v="Smartphone"/>
    <n v="94"/>
    <n v="6"/>
    <s v="Yes"/>
    <s v="Yes"/>
    <s v="No"/>
    <n v="8.14"/>
  </r>
  <r>
    <s v="USR00582"/>
    <s v="APP082"/>
    <s v="DeskX"/>
    <x v="7"/>
    <x v="4"/>
    <s v="Female"/>
    <s v="United States"/>
    <s v="Smartphone"/>
    <n v="27"/>
    <n v="11.7"/>
    <s v="No"/>
    <s v="Yes"/>
    <s v="No"/>
    <n v="0"/>
  </r>
  <r>
    <s v="USR00583"/>
    <s v="APP083"/>
    <s v="DonePro"/>
    <x v="7"/>
    <x v="2"/>
    <s v="Male"/>
    <s v="United States"/>
    <s v="Smartphone"/>
    <n v="25"/>
    <n v="10"/>
    <s v="No"/>
    <s v="Yes"/>
    <s v="No"/>
    <n v="0"/>
  </r>
  <r>
    <s v="USR00584"/>
    <s v="APP084"/>
    <s v="NotePlus"/>
    <x v="7"/>
    <x v="0"/>
    <s v="Female"/>
    <s v="UAE"/>
    <s v="Smartphone"/>
    <n v="10"/>
    <n v="5.6"/>
    <s v="No"/>
    <s v="No"/>
    <s v="Yes"/>
    <n v="0"/>
  </r>
  <r>
    <s v="USR00585"/>
    <s v="APP085"/>
    <s v="SyncPlus"/>
    <x v="7"/>
    <x v="0"/>
    <s v="Male"/>
    <s v="Canada"/>
    <s v="Smartphone"/>
    <n v="72"/>
    <n v="21.8"/>
    <s v="Yes"/>
    <s v="Yes"/>
    <s v="No"/>
    <n v="0"/>
  </r>
  <r>
    <s v="USR00586"/>
    <s v="APP086"/>
    <s v="NoteOne"/>
    <x v="7"/>
    <x v="1"/>
    <s v="Male"/>
    <s v="Germany"/>
    <s v="Smartphone"/>
    <n v="38"/>
    <n v="3.5"/>
    <s v="Yes"/>
    <s v="Yes"/>
    <s v="No"/>
    <n v="0"/>
  </r>
  <r>
    <s v="USR00587"/>
    <s v="APP087"/>
    <s v="NoteMate"/>
    <x v="7"/>
    <x v="2"/>
    <s v="Female"/>
    <s v="Germany"/>
    <s v="Smartphone"/>
    <n v="13"/>
    <n v="12.4"/>
    <s v="No"/>
    <s v="No"/>
    <s v="Yes"/>
    <n v="41.51"/>
  </r>
  <r>
    <s v="USR00588"/>
    <s v="APP088"/>
    <s v="PlanPlus"/>
    <x v="7"/>
    <x v="0"/>
    <s v="Male"/>
    <s v="Singapore"/>
    <s v="Smartphone"/>
    <n v="74"/>
    <n v="11.3"/>
    <s v="Yes"/>
    <s v="No"/>
    <s v="Yes"/>
    <n v="43.16"/>
  </r>
  <r>
    <s v="USR00589"/>
    <s v="APP089"/>
    <s v="PlanMate"/>
    <x v="7"/>
    <x v="4"/>
    <s v="Female"/>
    <s v="Singapore"/>
    <s v="Smartphone"/>
    <n v="7"/>
    <n v="5.2"/>
    <s v="No"/>
    <s v="Yes"/>
    <s v="No"/>
    <n v="0"/>
  </r>
  <r>
    <s v="USR00590"/>
    <s v="APP090"/>
    <s v="SyncPlus"/>
    <x v="7"/>
    <x v="0"/>
    <s v="Female"/>
    <s v="Singapore"/>
    <s v="Smartphone"/>
    <n v="17"/>
    <n v="17.899999999999999"/>
    <s v="No"/>
    <s v="Yes"/>
    <s v="Yes"/>
    <n v="0"/>
  </r>
  <r>
    <s v="USR00591"/>
    <s v="APP091"/>
    <s v="ClinicPro"/>
    <x v="8"/>
    <x v="0"/>
    <s v="Female"/>
    <s v="United States"/>
    <s v="Smartphone"/>
    <n v="88"/>
    <n v="14.6"/>
    <s v="Yes"/>
    <s v="Yes"/>
    <s v="No"/>
    <n v="0"/>
  </r>
  <r>
    <s v="USR00592"/>
    <s v="APP092"/>
    <s v="MindMate"/>
    <x v="8"/>
    <x v="1"/>
    <s v="Female"/>
    <s v="Australia"/>
    <s v="Smartphone"/>
    <n v="18"/>
    <n v="19.600000000000001"/>
    <s v="No"/>
    <s v="No"/>
    <s v="Yes"/>
    <n v="0"/>
  </r>
  <r>
    <s v="USR00593"/>
    <s v="APP093"/>
    <s v="ClinicOne"/>
    <x v="8"/>
    <x v="2"/>
    <s v="Male"/>
    <s v="UAE"/>
    <s v="Smartphone"/>
    <n v="27"/>
    <n v="4.5"/>
    <s v="Yes"/>
    <s v="Yes"/>
    <s v="No"/>
    <n v="0"/>
  </r>
  <r>
    <s v="USR00594"/>
    <s v="APP094"/>
    <s v="WellMate"/>
    <x v="8"/>
    <x v="0"/>
    <s v="Male"/>
    <s v="UAE"/>
    <s v="Smartphone"/>
    <n v="35"/>
    <n v="11.1"/>
    <s v="Yes"/>
    <s v="Yes"/>
    <s v="No"/>
    <n v="0"/>
  </r>
  <r>
    <s v="USR00595"/>
    <s v="APP095"/>
    <s v="MediMate"/>
    <x v="8"/>
    <x v="0"/>
    <s v="Male"/>
    <s v="Canada"/>
    <s v="Smartphone"/>
    <n v="13"/>
    <n v="14.7"/>
    <s v="No"/>
    <s v="Yes"/>
    <s v="No"/>
    <n v="0"/>
  </r>
  <r>
    <s v="USR00596"/>
    <s v="APP096"/>
    <s v="WellNow"/>
    <x v="8"/>
    <x v="0"/>
    <s v="Male"/>
    <s v="United Kingdom"/>
    <s v="Smartphone"/>
    <n v="9"/>
    <n v="6.4"/>
    <s v="No"/>
    <s v="Yes"/>
    <s v="No"/>
    <n v="31.41"/>
  </r>
  <r>
    <s v="USR00597"/>
    <s v="APP097"/>
    <s v="CareCloud"/>
    <x v="8"/>
    <x v="0"/>
    <s v="Female"/>
    <s v="UAE"/>
    <s v="Smartphone"/>
    <n v="58"/>
    <n v="3.1"/>
    <s v="Yes"/>
    <s v="Yes"/>
    <s v="No"/>
    <n v="0"/>
  </r>
  <r>
    <s v="USR00598"/>
    <s v="APP098"/>
    <s v="MediNow"/>
    <x v="8"/>
    <x v="2"/>
    <s v="Female"/>
    <s v="Australia"/>
    <s v="Smartphone"/>
    <n v="27"/>
    <n v="23.5"/>
    <s v="No"/>
    <s v="Yes"/>
    <s v="No"/>
    <n v="46.7"/>
  </r>
  <r>
    <s v="USR00599"/>
    <s v="APP099"/>
    <s v="MindPlus"/>
    <x v="8"/>
    <x v="0"/>
    <s v="Male"/>
    <s v="Canada"/>
    <s v="Smartphone"/>
    <n v="57"/>
    <n v="10.6"/>
    <s v="Yes"/>
    <s v="Yes"/>
    <s v="No"/>
    <n v="0"/>
  </r>
  <r>
    <s v="USR00600"/>
    <s v="APP100"/>
    <s v="MediCloud"/>
    <x v="8"/>
    <x v="2"/>
    <s v="Male"/>
    <s v="United Kingdom"/>
    <s v="Smartphone"/>
    <n v="86"/>
    <n v="3.5"/>
    <s v="Yes"/>
    <s v="Yes"/>
    <s v="No"/>
    <n v="0"/>
  </r>
  <r>
    <s v="USR00601"/>
    <s v="APP001"/>
    <s v="InvestPro"/>
    <x v="0"/>
    <x v="0"/>
    <s v="Male"/>
    <s v="United States"/>
    <s v="Smartphone"/>
    <n v="37"/>
    <n v="17.3"/>
    <s v="Yes"/>
    <s v="Yes"/>
    <s v="No"/>
    <n v="0"/>
  </r>
  <r>
    <s v="USR00602"/>
    <s v="APP002"/>
    <s v="BankPro"/>
    <x v="0"/>
    <x v="0"/>
    <s v="Male"/>
    <s v="United States"/>
    <s v="Smartphone"/>
    <n v="25"/>
    <n v="19"/>
    <s v="No"/>
    <s v="Yes"/>
    <s v="No"/>
    <n v="0"/>
  </r>
  <r>
    <s v="USR00603"/>
    <s v="APP003"/>
    <s v="BankX"/>
    <x v="0"/>
    <x v="4"/>
    <s v="Male"/>
    <s v="United States"/>
    <s v="Smartphone"/>
    <n v="65"/>
    <n v="9.1999999999999993"/>
    <s v="Yes"/>
    <s v="Yes"/>
    <s v="No"/>
    <n v="0"/>
  </r>
  <r>
    <s v="USR00604"/>
    <s v="APP004"/>
    <s v="BankNow"/>
    <x v="0"/>
    <x v="1"/>
    <s v="Female"/>
    <s v="Australia"/>
    <s v="Smartphone"/>
    <n v="11"/>
    <n v="4.7"/>
    <s v="No"/>
    <s v="No"/>
    <s v="No"/>
    <n v="0"/>
  </r>
  <r>
    <s v="USR00605"/>
    <s v="APP005"/>
    <s v="CreditHub"/>
    <x v="0"/>
    <x v="3"/>
    <s v="Female"/>
    <s v="Canada"/>
    <s v="Smartphone"/>
    <n v="1"/>
    <n v="7.3"/>
    <s v="No"/>
    <s v="No"/>
    <s v="Yes"/>
    <n v="0"/>
  </r>
  <r>
    <s v="USR00606"/>
    <s v="APP006"/>
    <s v="PayPlus"/>
    <x v="0"/>
    <x v="0"/>
    <s v="Male"/>
    <s v="India"/>
    <s v="Smartphone"/>
    <n v="23"/>
    <n v="16.2"/>
    <s v="No"/>
    <s v="No"/>
    <s v="Yes"/>
    <n v="0"/>
  </r>
  <r>
    <s v="USR00607"/>
    <s v="APP007"/>
    <s v="BankPlus"/>
    <x v="0"/>
    <x v="0"/>
    <s v="Female"/>
    <s v="United States"/>
    <s v="Tablet"/>
    <n v="75"/>
    <n v="10.5"/>
    <s v="Yes"/>
    <s v="No"/>
    <s v="Yes"/>
    <n v="0"/>
  </r>
  <r>
    <s v="USR00608"/>
    <s v="APP008"/>
    <s v="CoinPlus"/>
    <x v="0"/>
    <x v="2"/>
    <s v="Male"/>
    <s v="United States"/>
    <s v="Smartphone"/>
    <n v="53"/>
    <n v="3.8"/>
    <s v="Yes"/>
    <s v="Yes"/>
    <s v="No"/>
    <n v="0"/>
  </r>
  <r>
    <s v="USR00609"/>
    <s v="APP009"/>
    <s v="CreditOne"/>
    <x v="0"/>
    <x v="1"/>
    <s v="Male"/>
    <s v="Singapore"/>
    <s v="Smartphone"/>
    <n v="94"/>
    <n v="11.3"/>
    <s v="Yes"/>
    <s v="No"/>
    <s v="Yes"/>
    <n v="0"/>
  </r>
  <r>
    <s v="USR00610"/>
    <s v="APP010"/>
    <s v="PayPro"/>
    <x v="0"/>
    <x v="0"/>
    <s v="Female"/>
    <s v="Germany"/>
    <s v="Tablet"/>
    <n v="19"/>
    <n v="4.8"/>
    <s v="No"/>
    <s v="Yes"/>
    <s v="No"/>
    <n v="0"/>
  </r>
  <r>
    <s v="USR00611"/>
    <s v="APP011"/>
    <s v="Creditly"/>
    <x v="0"/>
    <x v="2"/>
    <s v="Male"/>
    <s v="Australia"/>
    <s v="Smartphone"/>
    <n v="83"/>
    <n v="6.9"/>
    <s v="Yes"/>
    <s v="No"/>
    <s v="Yes"/>
    <n v="0"/>
  </r>
  <r>
    <s v="USR00612"/>
    <s v="APP012"/>
    <s v="PayX"/>
    <x v="0"/>
    <x v="0"/>
    <s v="Prefer not to say"/>
    <s v="Canada"/>
    <s v="Smartphone"/>
    <n v="26"/>
    <n v="20.5"/>
    <s v="No"/>
    <s v="No"/>
    <s v="No"/>
    <n v="0"/>
  </r>
  <r>
    <s v="USR00613"/>
    <s v="APP013"/>
    <s v="DealGo"/>
    <x v="1"/>
    <x v="4"/>
    <s v="Female"/>
    <s v="UAE"/>
    <s v="Smartphone"/>
    <n v="19"/>
    <n v="10.199999999999999"/>
    <s v="Yes"/>
    <s v="Yes"/>
    <s v="No"/>
    <n v="0"/>
  </r>
  <r>
    <s v="USR00614"/>
    <s v="APP014"/>
    <s v="MallNow"/>
    <x v="1"/>
    <x v="1"/>
    <s v="Male"/>
    <s v="Australia"/>
    <s v="Tablet"/>
    <n v="9"/>
    <n v="3.5"/>
    <s v="No"/>
    <s v="Yes"/>
    <s v="No"/>
    <n v="0"/>
  </r>
  <r>
    <s v="USR00615"/>
    <s v="APP015"/>
    <s v="DealPro"/>
    <x v="1"/>
    <x v="2"/>
    <s v="Prefer not to say"/>
    <s v="Singapore"/>
    <s v="Smartphone"/>
    <n v="16"/>
    <n v="3.9"/>
    <s v="No"/>
    <s v="Yes"/>
    <s v="No"/>
    <n v="0"/>
  </r>
  <r>
    <s v="USR00616"/>
    <s v="APP016"/>
    <s v="StyleNow"/>
    <x v="1"/>
    <x v="0"/>
    <s v="Female"/>
    <s v="Singapore"/>
    <s v="Smartphone"/>
    <n v="46"/>
    <n v="7.9"/>
    <s v="Yes"/>
    <s v="Yes"/>
    <s v="No"/>
    <n v="0"/>
  </r>
  <r>
    <s v="USR00617"/>
    <s v="APP017"/>
    <s v="DealCloud"/>
    <x v="1"/>
    <x v="1"/>
    <s v="Female"/>
    <s v="India"/>
    <s v="Smartphone"/>
    <n v="84"/>
    <n v="4.5999999999999996"/>
    <s v="Yes"/>
    <s v="Yes"/>
    <s v="No"/>
    <n v="41.27"/>
  </r>
  <r>
    <s v="USR00618"/>
    <s v="APP018"/>
    <s v="CartCloud"/>
    <x v="1"/>
    <x v="2"/>
    <s v="Male"/>
    <s v="Germany"/>
    <s v="Smartphone"/>
    <n v="14"/>
    <n v="10.6"/>
    <s v="No"/>
    <s v="Yes"/>
    <s v="No"/>
    <n v="0"/>
  </r>
  <r>
    <s v="USR00619"/>
    <s v="APP019"/>
    <s v="CartMate"/>
    <x v="1"/>
    <x v="2"/>
    <s v="Male"/>
    <s v="UAE"/>
    <s v="Smartphone"/>
    <n v="13"/>
    <n v="6.3"/>
    <s v="No"/>
    <s v="No"/>
    <s v="Yes"/>
    <n v="0"/>
  </r>
  <r>
    <s v="USR00620"/>
    <s v="APP020"/>
    <s v="BazaarOne"/>
    <x v="1"/>
    <x v="2"/>
    <s v="Male"/>
    <s v="Germany"/>
    <s v="Smartphone"/>
    <n v="16"/>
    <n v="12.3"/>
    <s v="No"/>
    <s v="No"/>
    <s v="Yes"/>
    <n v="0"/>
  </r>
  <r>
    <s v="USR00621"/>
    <s v="APP021"/>
    <s v="StyleOne"/>
    <x v="1"/>
    <x v="1"/>
    <s v="Male"/>
    <s v="United States"/>
    <s v="Smartphone"/>
    <n v="8"/>
    <n v="10.5"/>
    <s v="No"/>
    <s v="No"/>
    <s v="Yes"/>
    <n v="0"/>
  </r>
  <r>
    <s v="USR00622"/>
    <s v="APP022"/>
    <s v="Cartly"/>
    <x v="1"/>
    <x v="1"/>
    <s v="Male"/>
    <s v="Germany"/>
    <s v="Smartphone"/>
    <n v="75"/>
    <n v="16.2"/>
    <s v="Yes"/>
    <s v="Yes"/>
    <s v="No"/>
    <n v="0"/>
  </r>
  <r>
    <s v="USR00623"/>
    <s v="APP023"/>
    <s v="BazaarCloud"/>
    <x v="1"/>
    <x v="2"/>
    <s v="Male"/>
    <s v="United Kingdom"/>
    <s v="Smartphone"/>
    <n v="9"/>
    <n v="6"/>
    <s v="No"/>
    <s v="Yes"/>
    <s v="Yes"/>
    <n v="69.73"/>
  </r>
  <r>
    <s v="USR00624"/>
    <s v="APP024"/>
    <s v="CartPro"/>
    <x v="1"/>
    <x v="0"/>
    <s v="Female"/>
    <s v="UAE"/>
    <s v="Smartphone"/>
    <n v="18"/>
    <n v="7.4"/>
    <s v="No"/>
    <s v="Yes"/>
    <s v="No"/>
    <n v="0"/>
  </r>
  <r>
    <s v="USR00625"/>
    <s v="APP025"/>
    <s v="RunPlus"/>
    <x v="2"/>
    <x v="4"/>
    <s v="Male"/>
    <s v="India"/>
    <s v="Smartphone"/>
    <n v="71"/>
    <n v="27.9"/>
    <s v="Yes"/>
    <s v="Yes"/>
    <s v="No"/>
    <n v="0"/>
  </r>
  <r>
    <s v="USR00626"/>
    <s v="APP026"/>
    <s v="TrainCloud"/>
    <x v="2"/>
    <x v="1"/>
    <s v="Female"/>
    <s v="Germany"/>
    <s v="Smartphone"/>
    <n v="29"/>
    <n v="34.299999999999997"/>
    <s v="Yes"/>
    <s v="No"/>
    <s v="No"/>
    <n v="0"/>
  </r>
  <r>
    <s v="USR00627"/>
    <s v="APP027"/>
    <s v="Trainly"/>
    <x v="2"/>
    <x v="0"/>
    <s v="Female"/>
    <s v="Germany"/>
    <s v="Smartphone"/>
    <n v="67"/>
    <n v="19.899999999999999"/>
    <s v="Yes"/>
    <s v="Yes"/>
    <s v="No"/>
    <n v="0"/>
  </r>
  <r>
    <s v="USR00628"/>
    <s v="APP028"/>
    <s v="LiftCloud"/>
    <x v="2"/>
    <x v="0"/>
    <s v="Female"/>
    <s v="Germany"/>
    <s v="Smartphone"/>
    <n v="17"/>
    <n v="37"/>
    <s v="No"/>
    <s v="Yes"/>
    <s v="No"/>
    <n v="0"/>
  </r>
  <r>
    <s v="USR00629"/>
    <s v="APP029"/>
    <s v="MoveNow"/>
    <x v="2"/>
    <x v="2"/>
    <s v="Female"/>
    <s v="Germany"/>
    <s v="Smartphone"/>
    <n v="81"/>
    <n v="33.700000000000003"/>
    <s v="Yes"/>
    <s v="Yes"/>
    <s v="No"/>
    <n v="26.11"/>
  </r>
  <r>
    <s v="USR00630"/>
    <s v="APP030"/>
    <s v="ActiveMate"/>
    <x v="2"/>
    <x v="4"/>
    <s v="Male"/>
    <s v="Australia"/>
    <s v="Smartphone"/>
    <n v="53"/>
    <n v="40.1"/>
    <s v="Yes"/>
    <s v="Yes"/>
    <s v="No"/>
    <n v="0"/>
  </r>
  <r>
    <s v="USR00631"/>
    <s v="APP031"/>
    <s v="RunGo"/>
    <x v="2"/>
    <x v="2"/>
    <s v="Female"/>
    <s v="Germany"/>
    <s v="Smartphone"/>
    <n v="16"/>
    <n v="27.8"/>
    <s v="Yes"/>
    <s v="Yes"/>
    <s v="No"/>
    <n v="0"/>
  </r>
  <r>
    <s v="USR00632"/>
    <s v="APP032"/>
    <s v="LiftPro"/>
    <x v="2"/>
    <x v="0"/>
    <s v="Prefer not to say"/>
    <s v="United Kingdom"/>
    <s v="Smartphone"/>
    <n v="14"/>
    <n v="32.200000000000003"/>
    <s v="No"/>
    <s v="Yes"/>
    <s v="Yes"/>
    <n v="32.659999999999997"/>
  </r>
  <r>
    <s v="USR00633"/>
    <s v="APP033"/>
    <s v="LiftPro"/>
    <x v="2"/>
    <x v="0"/>
    <s v="Female"/>
    <s v="United States"/>
    <s v="Smartphone"/>
    <n v="19"/>
    <n v="31.3"/>
    <s v="No"/>
    <s v="No"/>
    <s v="No"/>
    <n v="0"/>
  </r>
  <r>
    <s v="USR00634"/>
    <s v="APP034"/>
    <s v="Liftly"/>
    <x v="2"/>
    <x v="1"/>
    <s v="Male"/>
    <s v="Canada"/>
    <s v="Smartphone"/>
    <n v="28"/>
    <n v="8.8000000000000007"/>
    <s v="Yes"/>
    <s v="No"/>
    <s v="Yes"/>
    <n v="0"/>
  </r>
  <r>
    <s v="USR00635"/>
    <s v="APP035"/>
    <s v="YogaHub"/>
    <x v="2"/>
    <x v="1"/>
    <s v="Female"/>
    <s v="United States"/>
    <s v="Smartphone"/>
    <n v="5"/>
    <n v="14.6"/>
    <s v="No"/>
    <s v="Yes"/>
    <s v="No"/>
    <n v="0"/>
  </r>
  <r>
    <s v="USR00636"/>
    <s v="APP036"/>
    <s v="MoveGo"/>
    <x v="2"/>
    <x v="2"/>
    <s v="Male"/>
    <s v="United Kingdom"/>
    <s v="Smartphone"/>
    <n v="2"/>
    <n v="11.4"/>
    <s v="No"/>
    <s v="No"/>
    <s v="No"/>
    <n v="22.67"/>
  </r>
  <r>
    <s v="USR00637"/>
    <s v="APP037"/>
    <s v="BrightNow"/>
    <x v="3"/>
    <x v="4"/>
    <s v="Male"/>
    <s v="Canada"/>
    <s v="Smartphone"/>
    <n v="15"/>
    <n v="13.2"/>
    <s v="No"/>
    <s v="No"/>
    <s v="Yes"/>
    <n v="0"/>
  </r>
  <r>
    <s v="USR00638"/>
    <s v="APP038"/>
    <s v="StudyCloud"/>
    <x v="3"/>
    <x v="2"/>
    <s v="Male"/>
    <s v="Germany"/>
    <s v="Smartphone"/>
    <n v="24"/>
    <n v="11"/>
    <s v="No"/>
    <s v="No"/>
    <s v="No"/>
    <n v="0"/>
  </r>
  <r>
    <s v="USR00639"/>
    <s v="APP039"/>
    <s v="SkillNow"/>
    <x v="3"/>
    <x v="1"/>
    <s v="Female"/>
    <s v="Canada"/>
    <s v="Tablet"/>
    <n v="93"/>
    <n v="37.700000000000003"/>
    <s v="Yes"/>
    <s v="No"/>
    <s v="Yes"/>
    <n v="0"/>
  </r>
  <r>
    <s v="USR00640"/>
    <s v="APP040"/>
    <s v="LearnMate"/>
    <x v="3"/>
    <x v="1"/>
    <s v="Female"/>
    <s v="United States"/>
    <s v="Tablet"/>
    <n v="57"/>
    <n v="15.3"/>
    <s v="Yes"/>
    <s v="No"/>
    <s v="No"/>
    <n v="0"/>
  </r>
  <r>
    <s v="USR00641"/>
    <s v="APP041"/>
    <s v="QuestNow"/>
    <x v="3"/>
    <x v="1"/>
    <s v="Female"/>
    <s v="Germany"/>
    <s v="Smartphone"/>
    <n v="3"/>
    <n v="9"/>
    <s v="No"/>
    <s v="No"/>
    <s v="No"/>
    <n v="12.17"/>
  </r>
  <r>
    <s v="USR00642"/>
    <s v="APP042"/>
    <s v="SkillHub"/>
    <x v="3"/>
    <x v="2"/>
    <s v="Prefer not to say"/>
    <s v="Australia"/>
    <s v="Tablet"/>
    <n v="75"/>
    <n v="40.1"/>
    <s v="Yes"/>
    <s v="No"/>
    <s v="No"/>
    <n v="0"/>
  </r>
  <r>
    <s v="USR00643"/>
    <s v="APP043"/>
    <s v="TutorCloud"/>
    <x v="3"/>
    <x v="1"/>
    <s v="Male"/>
    <s v="United Kingdom"/>
    <s v="Smartphone"/>
    <n v="86"/>
    <n v="9.3000000000000007"/>
    <s v="Yes"/>
    <s v="Yes"/>
    <s v="Yes"/>
    <n v="0"/>
  </r>
  <r>
    <s v="USR00644"/>
    <s v="APP044"/>
    <s v="SkillOne"/>
    <x v="3"/>
    <x v="0"/>
    <s v="Female"/>
    <s v="United States"/>
    <s v="Smartphone"/>
    <n v="26"/>
    <n v="10"/>
    <s v="No"/>
    <s v="No"/>
    <s v="Yes"/>
    <n v="0"/>
  </r>
  <r>
    <s v="USR00645"/>
    <s v="APP045"/>
    <s v="LearnOne"/>
    <x v="3"/>
    <x v="2"/>
    <s v="Male"/>
    <s v="Australia"/>
    <s v="Smartphone"/>
    <n v="26"/>
    <n v="26.2"/>
    <s v="No"/>
    <s v="No"/>
    <s v="No"/>
    <n v="0"/>
  </r>
  <r>
    <s v="USR00646"/>
    <s v="APP046"/>
    <s v="LearnPlus"/>
    <x v="3"/>
    <x v="2"/>
    <s v="Male"/>
    <s v="United Kingdom"/>
    <s v="Smartphone"/>
    <n v="26"/>
    <n v="33.6"/>
    <s v="No"/>
    <s v="Yes"/>
    <s v="No"/>
    <n v="23.95"/>
  </r>
  <r>
    <s v="USR00647"/>
    <s v="APP047"/>
    <s v="StudyPlus"/>
    <x v="3"/>
    <x v="0"/>
    <s v="Male"/>
    <s v="Germany"/>
    <s v="Smartphone"/>
    <n v="14"/>
    <n v="22.2"/>
    <s v="Yes"/>
    <s v="Yes"/>
    <s v="No"/>
    <n v="0"/>
  </r>
  <r>
    <s v="USR00648"/>
    <s v="APP048"/>
    <s v="StudyX"/>
    <x v="3"/>
    <x v="1"/>
    <s v="Prefer not to say"/>
    <s v="United States"/>
    <s v="Smartphone"/>
    <n v="2"/>
    <n v="29.9"/>
    <s v="No"/>
    <s v="Yes"/>
    <s v="No"/>
    <n v="0"/>
  </r>
  <r>
    <s v="USR00649"/>
    <s v="APP049"/>
    <s v="PlayPlus"/>
    <x v="4"/>
    <x v="0"/>
    <s v="Male"/>
    <s v="Germany"/>
    <s v="Smartphone"/>
    <n v="17"/>
    <n v="28.6"/>
    <s v="No"/>
    <s v="No"/>
    <s v="No"/>
    <n v="0"/>
  </r>
  <r>
    <s v="USR00650"/>
    <s v="APP050"/>
    <s v="ShowMate"/>
    <x v="4"/>
    <x v="1"/>
    <s v="Female"/>
    <s v="Canada"/>
    <s v="Smartphone"/>
    <n v="24"/>
    <n v="11.5"/>
    <s v="No"/>
    <s v="Yes"/>
    <s v="No"/>
    <n v="0"/>
  </r>
  <r>
    <s v="USR00651"/>
    <s v="APP051"/>
    <s v="VibeX"/>
    <x v="4"/>
    <x v="0"/>
    <s v="Female"/>
    <s v="Singapore"/>
    <s v="Smartphone"/>
    <n v="4"/>
    <n v="40.5"/>
    <s v="No"/>
    <s v="No"/>
    <s v="No"/>
    <n v="0"/>
  </r>
  <r>
    <s v="USR00652"/>
    <s v="APP052"/>
    <s v="BuzzNow"/>
    <x v="4"/>
    <x v="1"/>
    <s v="Female"/>
    <s v="Australia"/>
    <s v="Smartphone"/>
    <n v="74"/>
    <n v="15.6"/>
    <s v="Yes"/>
    <s v="Yes"/>
    <s v="No"/>
    <n v="0"/>
  </r>
  <r>
    <s v="USR00653"/>
    <s v="APP053"/>
    <s v="StreamPlus"/>
    <x v="4"/>
    <x v="0"/>
    <s v="Other"/>
    <s v="Germany"/>
    <s v="Smartphone"/>
    <n v="15"/>
    <n v="35.5"/>
    <s v="No"/>
    <s v="No"/>
    <s v="No"/>
    <n v="49.16"/>
  </r>
  <r>
    <s v="USR00654"/>
    <s v="APP054"/>
    <s v="Showly"/>
    <x v="4"/>
    <x v="4"/>
    <s v="Female"/>
    <s v="United States"/>
    <s v="Smartphone"/>
    <n v="62"/>
    <n v="28.4"/>
    <s v="Yes"/>
    <s v="Yes"/>
    <s v="No"/>
    <n v="0"/>
  </r>
  <r>
    <s v="USR00655"/>
    <s v="APP055"/>
    <s v="BuzzOne"/>
    <x v="4"/>
    <x v="1"/>
    <s v="Male"/>
    <s v="UAE"/>
    <s v="Smartphone"/>
    <n v="20"/>
    <n v="24"/>
    <s v="Yes"/>
    <s v="No"/>
    <s v="No"/>
    <n v="0"/>
  </r>
  <r>
    <s v="USR00656"/>
    <s v="APP056"/>
    <s v="PlayHub"/>
    <x v="4"/>
    <x v="0"/>
    <s v="Male"/>
    <s v="United States"/>
    <s v="Smartphone"/>
    <n v="40"/>
    <n v="20"/>
    <s v="Yes"/>
    <s v="Yes"/>
    <s v="Yes"/>
    <n v="0"/>
  </r>
  <r>
    <s v="USR00657"/>
    <s v="APP057"/>
    <s v="CinemaGo"/>
    <x v="4"/>
    <x v="1"/>
    <s v="Male"/>
    <s v="United Kingdom"/>
    <s v="Smartphone"/>
    <n v="84"/>
    <n v="13.3"/>
    <s v="Yes"/>
    <s v="No"/>
    <s v="Yes"/>
    <n v="0"/>
  </r>
  <r>
    <s v="USR00658"/>
    <s v="APP058"/>
    <s v="LaughX"/>
    <x v="4"/>
    <x v="4"/>
    <s v="Female"/>
    <s v="Singapore"/>
    <s v="Smartphone"/>
    <n v="2"/>
    <n v="25.2"/>
    <s v="No"/>
    <s v="No"/>
    <s v="No"/>
    <n v="0"/>
  </r>
  <r>
    <s v="USR00659"/>
    <s v="APP059"/>
    <s v="CinemaHub"/>
    <x v="4"/>
    <x v="0"/>
    <s v="Male"/>
    <s v="United Kingdom"/>
    <s v="Smartphone"/>
    <n v="9"/>
    <n v="19.5"/>
    <s v="No"/>
    <s v="No"/>
    <s v="Yes"/>
    <n v="0"/>
  </r>
  <r>
    <s v="USR00660"/>
    <s v="APP060"/>
    <s v="ShowPro"/>
    <x v="4"/>
    <x v="0"/>
    <s v="Prefer not to say"/>
    <s v="Australia"/>
    <s v="Smartphone"/>
    <n v="10"/>
    <n v="14.1"/>
    <s v="No"/>
    <s v="No"/>
    <s v="No"/>
    <n v="0"/>
  </r>
  <r>
    <s v="USR00661"/>
    <s v="APP061"/>
    <s v="FoodPlus"/>
    <x v="5"/>
    <x v="0"/>
    <s v="Female"/>
    <s v="United States"/>
    <s v="Smartphone"/>
    <n v="23"/>
    <n v="14.1"/>
    <s v="No"/>
    <s v="Yes"/>
    <s v="No"/>
    <n v="0"/>
  </r>
  <r>
    <s v="USR00662"/>
    <s v="APP062"/>
    <s v="BiteGo"/>
    <x v="5"/>
    <x v="1"/>
    <s v="Female"/>
    <s v="Canada"/>
    <s v="Smartphone"/>
    <n v="3"/>
    <n v="4.5"/>
    <s v="No"/>
    <s v="Yes"/>
    <s v="No"/>
    <n v="17.7"/>
  </r>
  <r>
    <s v="USR00663"/>
    <s v="APP063"/>
    <s v="OrderCloud"/>
    <x v="5"/>
    <x v="0"/>
    <s v="Male"/>
    <s v="Australia"/>
    <s v="Smartphone"/>
    <n v="65"/>
    <n v="22.6"/>
    <s v="Yes"/>
    <s v="No"/>
    <s v="No"/>
    <n v="5.86"/>
  </r>
  <r>
    <s v="USR00664"/>
    <s v="APP064"/>
    <s v="DinePlus"/>
    <x v="5"/>
    <x v="0"/>
    <s v="Male"/>
    <s v="Canada"/>
    <s v="Smartphone"/>
    <n v="73"/>
    <n v="8.1999999999999993"/>
    <s v="Yes"/>
    <s v="Yes"/>
    <s v="No"/>
    <n v="0"/>
  </r>
  <r>
    <s v="USR00665"/>
    <s v="APP065"/>
    <s v="SnackX"/>
    <x v="5"/>
    <x v="0"/>
    <s v="Male"/>
    <s v="India"/>
    <s v="Tablet"/>
    <n v="12"/>
    <n v="23.4"/>
    <s v="No"/>
    <s v="No"/>
    <s v="No"/>
    <n v="0"/>
  </r>
  <r>
    <s v="USR00666"/>
    <s v="APP066"/>
    <s v="FoodOne"/>
    <x v="5"/>
    <x v="0"/>
    <s v="Male"/>
    <s v="Singapore"/>
    <s v="Smartphone"/>
    <n v="21"/>
    <n v="4.0999999999999996"/>
    <s v="No"/>
    <s v="No"/>
    <s v="No"/>
    <n v="0"/>
  </r>
  <r>
    <s v="USR00667"/>
    <s v="APP067"/>
    <s v="MealMate"/>
    <x v="5"/>
    <x v="0"/>
    <s v="Male"/>
    <s v="United States"/>
    <s v="Smartphone"/>
    <n v="4"/>
    <n v="12.3"/>
    <s v="No"/>
    <s v="No"/>
    <s v="No"/>
    <n v="0"/>
  </r>
  <r>
    <s v="USR00668"/>
    <s v="APP068"/>
    <s v="SnackHub"/>
    <x v="5"/>
    <x v="1"/>
    <s v="Male"/>
    <s v="United Kingdom"/>
    <s v="Tablet"/>
    <n v="1"/>
    <n v="10.6"/>
    <s v="No"/>
    <s v="No"/>
    <s v="No"/>
    <n v="18.71"/>
  </r>
  <r>
    <s v="USR00669"/>
    <s v="APP069"/>
    <s v="BiteCloud"/>
    <x v="5"/>
    <x v="2"/>
    <s v="Female"/>
    <s v="Germany"/>
    <s v="Smartphone"/>
    <n v="8"/>
    <n v="17.899999999999999"/>
    <s v="No"/>
    <s v="Yes"/>
    <s v="No"/>
    <n v="80.63"/>
  </r>
  <r>
    <s v="USR00670"/>
    <s v="APP070"/>
    <s v="PlatePlus"/>
    <x v="5"/>
    <x v="1"/>
    <s v="Male"/>
    <s v="Germany"/>
    <s v="Tablet"/>
    <n v="78"/>
    <n v="20.7"/>
    <s v="Yes"/>
    <s v="Yes"/>
    <s v="No"/>
    <n v="0"/>
  </r>
  <r>
    <s v="USR00671"/>
    <s v="APP071"/>
    <s v="VoyageGo"/>
    <x v="6"/>
    <x v="2"/>
    <s v="Female"/>
    <s v="Australia"/>
    <s v="Tablet"/>
    <n v="12"/>
    <n v="15.3"/>
    <s v="No"/>
    <s v="No"/>
    <s v="Yes"/>
    <n v="0"/>
  </r>
  <r>
    <s v="USR00672"/>
    <s v="APP072"/>
    <s v="TripOne"/>
    <x v="6"/>
    <x v="0"/>
    <s v="Female"/>
    <s v="Australia"/>
    <s v="Smartphone"/>
    <n v="18"/>
    <n v="21.5"/>
    <s v="No"/>
    <s v="Yes"/>
    <s v="No"/>
    <n v="0"/>
  </r>
  <r>
    <s v="USR00673"/>
    <s v="APP073"/>
    <s v="FlyGo"/>
    <x v="6"/>
    <x v="0"/>
    <s v="Female"/>
    <s v="UAE"/>
    <s v="Smartphone"/>
    <n v="51"/>
    <n v="5.4"/>
    <s v="Yes"/>
    <s v="Yes"/>
    <s v="No"/>
    <n v="0"/>
  </r>
  <r>
    <s v="USR00674"/>
    <s v="APP074"/>
    <s v="MapX"/>
    <x v="6"/>
    <x v="0"/>
    <s v="Male"/>
    <s v="India"/>
    <s v="Smartphone"/>
    <n v="24"/>
    <n v="22.7"/>
    <s v="No"/>
    <s v="No"/>
    <s v="Yes"/>
    <n v="0"/>
  </r>
  <r>
    <s v="USR00675"/>
    <s v="APP075"/>
    <s v="StayX"/>
    <x v="6"/>
    <x v="1"/>
    <s v="Female"/>
    <s v="Singapore"/>
    <s v="Smartphone"/>
    <n v="8"/>
    <n v="23"/>
    <s v="No"/>
    <s v="No"/>
    <s v="Yes"/>
    <n v="0"/>
  </r>
  <r>
    <s v="USR00676"/>
    <s v="APP076"/>
    <s v="GoNow"/>
    <x v="6"/>
    <x v="3"/>
    <s v="Female"/>
    <s v="United Kingdom"/>
    <s v="Tablet"/>
    <n v="35"/>
    <n v="4.2"/>
    <s v="Yes"/>
    <s v="Yes"/>
    <s v="No"/>
    <n v="0"/>
  </r>
  <r>
    <s v="USR00677"/>
    <s v="APP077"/>
    <s v="RouteGo"/>
    <x v="6"/>
    <x v="0"/>
    <s v="Male"/>
    <s v="Germany"/>
    <s v="Tablet"/>
    <n v="21"/>
    <n v="17.3"/>
    <s v="Yes"/>
    <s v="No"/>
    <s v="No"/>
    <n v="0"/>
  </r>
  <r>
    <s v="USR00678"/>
    <s v="APP078"/>
    <s v="TripGo"/>
    <x v="6"/>
    <x v="0"/>
    <s v="Female"/>
    <s v="India"/>
    <s v="Tablet"/>
    <n v="22"/>
    <n v="18.5"/>
    <s v="No"/>
    <s v="No"/>
    <s v="No"/>
    <n v="41.7"/>
  </r>
  <r>
    <s v="USR00679"/>
    <s v="APP079"/>
    <s v="Flyly"/>
    <x v="6"/>
    <x v="4"/>
    <s v="Male"/>
    <s v="Germany"/>
    <s v="Smartphone"/>
    <n v="22"/>
    <n v="23.4"/>
    <s v="Yes"/>
    <s v="No"/>
    <s v="No"/>
    <n v="0"/>
  </r>
  <r>
    <s v="USR00680"/>
    <s v="APP080"/>
    <s v="TripPro"/>
    <x v="6"/>
    <x v="2"/>
    <s v="Male"/>
    <s v="Germany"/>
    <s v="Smartphone"/>
    <n v="1"/>
    <n v="12.9"/>
    <s v="No"/>
    <s v="Yes"/>
    <s v="No"/>
    <n v="0"/>
  </r>
  <r>
    <s v="USR00681"/>
    <s v="APP081"/>
    <s v="Focusly"/>
    <x v="7"/>
    <x v="0"/>
    <s v="Male"/>
    <s v="Germany"/>
    <s v="Smartphone"/>
    <n v="28"/>
    <n v="9.8000000000000007"/>
    <s v="No"/>
    <s v="Yes"/>
    <s v="No"/>
    <n v="0"/>
  </r>
  <r>
    <s v="USR00682"/>
    <s v="APP082"/>
    <s v="DeskX"/>
    <x v="7"/>
    <x v="1"/>
    <s v="Other"/>
    <s v="Germany"/>
    <s v="Smartphone"/>
    <n v="6"/>
    <n v="8.6"/>
    <s v="No"/>
    <s v="Yes"/>
    <s v="No"/>
    <n v="0"/>
  </r>
  <r>
    <s v="USR00683"/>
    <s v="APP083"/>
    <s v="DonePro"/>
    <x v="7"/>
    <x v="1"/>
    <s v="Male"/>
    <s v="UAE"/>
    <s v="Smartphone"/>
    <n v="89"/>
    <n v="7"/>
    <s v="Yes"/>
    <s v="Yes"/>
    <s v="No"/>
    <n v="0"/>
  </r>
  <r>
    <s v="USR00684"/>
    <s v="APP084"/>
    <s v="NotePlus"/>
    <x v="7"/>
    <x v="2"/>
    <s v="Other"/>
    <s v="Germany"/>
    <s v="Smartphone"/>
    <n v="15"/>
    <n v="18.600000000000001"/>
    <s v="No"/>
    <s v="No"/>
    <s v="No"/>
    <n v="0"/>
  </r>
  <r>
    <s v="USR00685"/>
    <s v="APP085"/>
    <s v="SyncPlus"/>
    <x v="7"/>
    <x v="2"/>
    <s v="Male"/>
    <s v="United Kingdom"/>
    <s v="Smartphone"/>
    <n v="30"/>
    <n v="3.7"/>
    <s v="Yes"/>
    <s v="Yes"/>
    <s v="No"/>
    <n v="0"/>
  </r>
  <r>
    <s v="USR00686"/>
    <s v="APP086"/>
    <s v="NoteOne"/>
    <x v="7"/>
    <x v="2"/>
    <s v="Female"/>
    <s v="Australia"/>
    <s v="Smartphone"/>
    <n v="26"/>
    <n v="6.6"/>
    <s v="Yes"/>
    <s v="Yes"/>
    <s v="No"/>
    <n v="0"/>
  </r>
  <r>
    <s v="USR00687"/>
    <s v="APP087"/>
    <s v="NoteMate"/>
    <x v="7"/>
    <x v="1"/>
    <s v="Female"/>
    <s v="Germany"/>
    <s v="Tablet"/>
    <n v="76"/>
    <n v="16.399999999999999"/>
    <s v="Yes"/>
    <s v="Yes"/>
    <s v="No"/>
    <n v="0"/>
  </r>
  <r>
    <s v="USR00688"/>
    <s v="APP088"/>
    <s v="PlanPlus"/>
    <x v="7"/>
    <x v="2"/>
    <s v="Female"/>
    <s v="India"/>
    <s v="Tablet"/>
    <n v="53"/>
    <n v="4.5"/>
    <s v="Yes"/>
    <s v="No"/>
    <s v="Yes"/>
    <n v="0"/>
  </r>
  <r>
    <s v="USR00689"/>
    <s v="APP089"/>
    <s v="PlanMate"/>
    <x v="7"/>
    <x v="0"/>
    <s v="Male"/>
    <s v="Singapore"/>
    <s v="Smartphone"/>
    <n v="95"/>
    <n v="21.9"/>
    <s v="Yes"/>
    <s v="Yes"/>
    <s v="No"/>
    <n v="39.659999999999997"/>
  </r>
  <r>
    <s v="USR00690"/>
    <s v="APP090"/>
    <s v="SyncPlus"/>
    <x v="7"/>
    <x v="0"/>
    <s v="Male"/>
    <s v="Australia"/>
    <s v="Tablet"/>
    <n v="27"/>
    <n v="19.100000000000001"/>
    <s v="Yes"/>
    <s v="Yes"/>
    <s v="No"/>
    <n v="0"/>
  </r>
  <r>
    <s v="USR00691"/>
    <s v="APP091"/>
    <s v="ClinicPro"/>
    <x v="8"/>
    <x v="4"/>
    <s v="Female"/>
    <s v="Germany"/>
    <s v="Smartphone"/>
    <n v="85"/>
    <n v="20.8"/>
    <s v="Yes"/>
    <s v="Yes"/>
    <s v="No"/>
    <n v="0"/>
  </r>
  <r>
    <s v="USR00692"/>
    <s v="APP092"/>
    <s v="MindMate"/>
    <x v="8"/>
    <x v="1"/>
    <s v="Male"/>
    <s v="UAE"/>
    <s v="Tablet"/>
    <n v="48"/>
    <n v="18.7"/>
    <s v="Yes"/>
    <s v="Yes"/>
    <s v="No"/>
    <n v="0"/>
  </r>
  <r>
    <s v="USR00693"/>
    <s v="APP093"/>
    <s v="ClinicOne"/>
    <x v="8"/>
    <x v="3"/>
    <s v="Female"/>
    <s v="United States"/>
    <s v="Smartphone"/>
    <n v="23"/>
    <n v="20.5"/>
    <s v="Yes"/>
    <s v="Yes"/>
    <s v="No"/>
    <n v="34.97"/>
  </r>
  <r>
    <s v="USR00694"/>
    <s v="APP094"/>
    <s v="WellMate"/>
    <x v="8"/>
    <x v="2"/>
    <s v="Female"/>
    <s v="Germany"/>
    <s v="Smartphone"/>
    <n v="17"/>
    <n v="5.7"/>
    <s v="No"/>
    <s v="No"/>
    <s v="No"/>
    <n v="0"/>
  </r>
  <r>
    <s v="USR00695"/>
    <s v="APP095"/>
    <s v="MediMate"/>
    <x v="8"/>
    <x v="0"/>
    <s v="Other"/>
    <s v="United Kingdom"/>
    <s v="Smartphone"/>
    <n v="41"/>
    <n v="8.4"/>
    <s v="Yes"/>
    <s v="Yes"/>
    <s v="No"/>
    <n v="0"/>
  </r>
  <r>
    <s v="USR00696"/>
    <s v="APP096"/>
    <s v="WellNow"/>
    <x v="8"/>
    <x v="1"/>
    <s v="Female"/>
    <s v="Australia"/>
    <s v="Smartphone"/>
    <n v="12"/>
    <n v="11"/>
    <s v="No"/>
    <s v="Yes"/>
    <s v="No"/>
    <n v="0"/>
  </r>
  <r>
    <s v="USR00697"/>
    <s v="APP097"/>
    <s v="CareCloud"/>
    <x v="8"/>
    <x v="2"/>
    <s v="Female"/>
    <s v="United States"/>
    <s v="Smartphone"/>
    <n v="44"/>
    <n v="11.8"/>
    <s v="Yes"/>
    <s v="Yes"/>
    <s v="No"/>
    <n v="0"/>
  </r>
  <r>
    <s v="USR00698"/>
    <s v="APP098"/>
    <s v="MediNow"/>
    <x v="8"/>
    <x v="4"/>
    <s v="Male"/>
    <s v="United States"/>
    <s v="Smartphone"/>
    <n v="36"/>
    <n v="4.5"/>
    <s v="Yes"/>
    <s v="No"/>
    <s v="Yes"/>
    <n v="0"/>
  </r>
  <r>
    <s v="USR00699"/>
    <s v="APP099"/>
    <s v="MindPlus"/>
    <x v="8"/>
    <x v="0"/>
    <s v="Male"/>
    <s v="United Kingdom"/>
    <s v="Smartphone"/>
    <n v="49"/>
    <n v="5.9"/>
    <s v="Yes"/>
    <s v="Yes"/>
    <s v="No"/>
    <n v="0"/>
  </r>
  <r>
    <s v="USR00700"/>
    <s v="APP100"/>
    <s v="MediCloud"/>
    <x v="8"/>
    <x v="4"/>
    <s v="Male"/>
    <s v="Germany"/>
    <s v="Smartphone"/>
    <n v="31"/>
    <n v="23.6"/>
    <s v="Yes"/>
    <s v="Yes"/>
    <s v="No"/>
    <n v="0"/>
  </r>
  <r>
    <s v="USR00701"/>
    <s v="APP001"/>
    <s v="InvestPro"/>
    <x v="0"/>
    <x v="2"/>
    <s v="Male"/>
    <s v="United Kingdom"/>
    <s v="Smartphone"/>
    <n v="26"/>
    <n v="21.9"/>
    <s v="No"/>
    <s v="Yes"/>
    <s v="No"/>
    <n v="0"/>
  </r>
  <r>
    <s v="USR00702"/>
    <s v="APP002"/>
    <s v="BankPro"/>
    <x v="0"/>
    <x v="2"/>
    <s v="Male"/>
    <s v="United States"/>
    <s v="Smartphone"/>
    <n v="62"/>
    <n v="16.3"/>
    <s v="Yes"/>
    <s v="No"/>
    <s v="No"/>
    <n v="0"/>
  </r>
  <r>
    <s v="USR00703"/>
    <s v="APP003"/>
    <s v="BankX"/>
    <x v="0"/>
    <x v="0"/>
    <s v="Male"/>
    <s v="Singapore"/>
    <s v="Smartphone"/>
    <n v="60"/>
    <n v="15.8"/>
    <s v="Yes"/>
    <s v="Yes"/>
    <s v="No"/>
    <n v="0"/>
  </r>
  <r>
    <s v="USR00704"/>
    <s v="APP004"/>
    <s v="BankNow"/>
    <x v="0"/>
    <x v="2"/>
    <s v="Female"/>
    <s v="Australia"/>
    <s v="Smartphone"/>
    <n v="26"/>
    <n v="6"/>
    <s v="No"/>
    <s v="No"/>
    <s v="No"/>
    <n v="0"/>
  </r>
  <r>
    <s v="USR00705"/>
    <s v="APP005"/>
    <s v="CreditHub"/>
    <x v="0"/>
    <x v="0"/>
    <s v="Female"/>
    <s v="Germany"/>
    <s v="Smartphone"/>
    <n v="2"/>
    <n v="6.7"/>
    <s v="No"/>
    <s v="Yes"/>
    <s v="No"/>
    <n v="0"/>
  </r>
  <r>
    <s v="USR00706"/>
    <s v="APP006"/>
    <s v="PayPlus"/>
    <x v="0"/>
    <x v="4"/>
    <s v="Female"/>
    <s v="UAE"/>
    <s v="Tablet"/>
    <n v="2"/>
    <n v="16.7"/>
    <s v="No"/>
    <s v="No"/>
    <s v="No"/>
    <n v="70.400000000000006"/>
  </r>
  <r>
    <s v="USR00707"/>
    <s v="APP007"/>
    <s v="BankPlus"/>
    <x v="0"/>
    <x v="1"/>
    <s v="Male"/>
    <s v="Germany"/>
    <s v="Smartphone"/>
    <n v="77"/>
    <n v="15.8"/>
    <s v="Yes"/>
    <s v="Yes"/>
    <s v="No"/>
    <n v="40.31"/>
  </r>
  <r>
    <s v="USR00708"/>
    <s v="APP008"/>
    <s v="CoinPlus"/>
    <x v="0"/>
    <x v="2"/>
    <s v="Male"/>
    <s v="Singapore"/>
    <s v="Smartphone"/>
    <n v="3"/>
    <n v="23.7"/>
    <s v="No"/>
    <s v="No"/>
    <s v="No"/>
    <n v="0"/>
  </r>
  <r>
    <s v="USR00709"/>
    <s v="APP009"/>
    <s v="CreditOne"/>
    <x v="0"/>
    <x v="2"/>
    <s v="Female"/>
    <s v="Australia"/>
    <s v="Smartphone"/>
    <n v="27"/>
    <n v="14"/>
    <s v="No"/>
    <s v="No"/>
    <s v="No"/>
    <n v="0"/>
  </r>
  <r>
    <s v="USR00710"/>
    <s v="APP010"/>
    <s v="PayPro"/>
    <x v="0"/>
    <x v="1"/>
    <s v="Female"/>
    <s v="United Kingdom"/>
    <s v="Smartphone"/>
    <n v="38"/>
    <n v="23.7"/>
    <s v="Yes"/>
    <s v="Yes"/>
    <s v="No"/>
    <n v="26.24"/>
  </r>
  <r>
    <s v="USR00711"/>
    <s v="APP011"/>
    <s v="Creditly"/>
    <x v="0"/>
    <x v="2"/>
    <s v="Female"/>
    <s v="Germany"/>
    <s v="Smartphone"/>
    <n v="3"/>
    <n v="16.5"/>
    <s v="No"/>
    <s v="Yes"/>
    <s v="No"/>
    <n v="0"/>
  </r>
  <r>
    <s v="USR00712"/>
    <s v="APP012"/>
    <s v="PayX"/>
    <x v="0"/>
    <x v="0"/>
    <s v="Female"/>
    <s v="United States"/>
    <s v="Smartphone"/>
    <n v="48"/>
    <n v="20"/>
    <s v="Yes"/>
    <s v="Yes"/>
    <s v="No"/>
    <n v="0"/>
  </r>
  <r>
    <s v="USR00713"/>
    <s v="APP013"/>
    <s v="DealGo"/>
    <x v="1"/>
    <x v="2"/>
    <s v="Female"/>
    <s v="UAE"/>
    <s v="Tablet"/>
    <n v="26"/>
    <n v="23.5"/>
    <s v="No"/>
    <s v="No"/>
    <s v="Yes"/>
    <n v="0"/>
  </r>
  <r>
    <s v="USR00714"/>
    <s v="APP014"/>
    <s v="MallNow"/>
    <x v="1"/>
    <x v="2"/>
    <s v="Male"/>
    <s v="United Kingdom"/>
    <s v="Smartphone"/>
    <n v="11"/>
    <n v="18.399999999999999"/>
    <s v="No"/>
    <s v="Yes"/>
    <s v="No"/>
    <n v="0"/>
  </r>
  <r>
    <s v="USR00715"/>
    <s v="APP015"/>
    <s v="DealPro"/>
    <x v="1"/>
    <x v="1"/>
    <s v="Female"/>
    <s v="Canada"/>
    <s v="Smartphone"/>
    <n v="24"/>
    <n v="7.2"/>
    <s v="Yes"/>
    <s v="Yes"/>
    <s v="No"/>
    <n v="0"/>
  </r>
  <r>
    <s v="USR00716"/>
    <s v="APP016"/>
    <s v="StyleNow"/>
    <x v="1"/>
    <x v="0"/>
    <s v="Female"/>
    <s v="United Kingdom"/>
    <s v="Smartphone"/>
    <n v="60"/>
    <n v="7.8"/>
    <s v="Yes"/>
    <s v="Yes"/>
    <s v="No"/>
    <n v="0"/>
  </r>
  <r>
    <s v="USR00717"/>
    <s v="APP017"/>
    <s v="DealCloud"/>
    <x v="1"/>
    <x v="2"/>
    <s v="Female"/>
    <s v="United Kingdom"/>
    <s v="Smartphone"/>
    <n v="14"/>
    <n v="11.9"/>
    <s v="No"/>
    <s v="No"/>
    <s v="Yes"/>
    <n v="0"/>
  </r>
  <r>
    <s v="USR00718"/>
    <s v="APP018"/>
    <s v="CartCloud"/>
    <x v="1"/>
    <x v="0"/>
    <s v="Female"/>
    <s v="India"/>
    <s v="Smartphone"/>
    <n v="10"/>
    <n v="19.5"/>
    <s v="No"/>
    <s v="No"/>
    <s v="Yes"/>
    <n v="0"/>
  </r>
  <r>
    <s v="USR00719"/>
    <s v="APP019"/>
    <s v="CartMate"/>
    <x v="1"/>
    <x v="2"/>
    <s v="Male"/>
    <s v="Germany"/>
    <s v="Smartphone"/>
    <n v="13"/>
    <n v="17.7"/>
    <s v="No"/>
    <s v="Yes"/>
    <s v="No"/>
    <n v="22.39"/>
  </r>
  <r>
    <s v="USR00720"/>
    <s v="APP020"/>
    <s v="BazaarOne"/>
    <x v="1"/>
    <x v="2"/>
    <s v="Male"/>
    <s v="Australia"/>
    <s v="Smartphone"/>
    <n v="92"/>
    <n v="21.1"/>
    <s v="Yes"/>
    <s v="Yes"/>
    <s v="No"/>
    <n v="0"/>
  </r>
  <r>
    <s v="USR00721"/>
    <s v="APP021"/>
    <s v="StyleOne"/>
    <x v="1"/>
    <x v="0"/>
    <s v="Male"/>
    <s v="India"/>
    <s v="Smartphone"/>
    <n v="22"/>
    <n v="3.3"/>
    <s v="No"/>
    <s v="Yes"/>
    <s v="No"/>
    <n v="0"/>
  </r>
  <r>
    <s v="USR00722"/>
    <s v="APP022"/>
    <s v="Cartly"/>
    <x v="1"/>
    <x v="0"/>
    <s v="Female"/>
    <s v="United Kingdom"/>
    <s v="Smartphone"/>
    <n v="24"/>
    <n v="3.1"/>
    <s v="Yes"/>
    <s v="Yes"/>
    <s v="No"/>
    <n v="93.94"/>
  </r>
  <r>
    <s v="USR00723"/>
    <s v="APP023"/>
    <s v="BazaarCloud"/>
    <x v="1"/>
    <x v="0"/>
    <s v="Female"/>
    <s v="Singapore"/>
    <s v="Smartphone"/>
    <n v="23"/>
    <n v="4.5999999999999996"/>
    <s v="No"/>
    <s v="No"/>
    <s v="No"/>
    <n v="0"/>
  </r>
  <r>
    <s v="USR00724"/>
    <s v="APP024"/>
    <s v="CartPro"/>
    <x v="1"/>
    <x v="0"/>
    <s v="Female"/>
    <s v="United Kingdom"/>
    <s v="Smartphone"/>
    <n v="11"/>
    <n v="16.2"/>
    <s v="No"/>
    <s v="No"/>
    <s v="No"/>
    <n v="0"/>
  </r>
  <r>
    <s v="USR00725"/>
    <s v="APP025"/>
    <s v="RunPlus"/>
    <x v="2"/>
    <x v="3"/>
    <s v="Female"/>
    <s v="UAE"/>
    <s v="Smartphone"/>
    <n v="2"/>
    <n v="21.7"/>
    <s v="No"/>
    <s v="Yes"/>
    <s v="No"/>
    <n v="0"/>
  </r>
  <r>
    <s v="USR00726"/>
    <s v="APP026"/>
    <s v="TrainCloud"/>
    <x v="2"/>
    <x v="1"/>
    <s v="Female"/>
    <s v="United Kingdom"/>
    <s v="Smartphone"/>
    <n v="11"/>
    <n v="15.3"/>
    <s v="No"/>
    <s v="No"/>
    <s v="Yes"/>
    <n v="0"/>
  </r>
  <r>
    <s v="USR00727"/>
    <s v="APP027"/>
    <s v="Trainly"/>
    <x v="2"/>
    <x v="0"/>
    <s v="Male"/>
    <s v="Australia"/>
    <s v="Smartphone"/>
    <n v="19"/>
    <n v="35.4"/>
    <s v="No"/>
    <s v="No"/>
    <s v="No"/>
    <n v="0"/>
  </r>
  <r>
    <s v="USR00728"/>
    <s v="APP028"/>
    <s v="LiftCloud"/>
    <x v="2"/>
    <x v="2"/>
    <s v="Female"/>
    <s v="India"/>
    <s v="Smartphone"/>
    <n v="79"/>
    <n v="34.200000000000003"/>
    <s v="Yes"/>
    <s v="No"/>
    <s v="No"/>
    <n v="0"/>
  </r>
  <r>
    <s v="USR00729"/>
    <s v="APP029"/>
    <s v="MoveNow"/>
    <x v="2"/>
    <x v="1"/>
    <s v="Male"/>
    <s v="Singapore"/>
    <s v="Smartphone"/>
    <n v="92"/>
    <n v="11.1"/>
    <s v="Yes"/>
    <s v="No"/>
    <s v="No"/>
    <n v="0"/>
  </r>
  <r>
    <s v="USR00730"/>
    <s v="APP030"/>
    <s v="ActiveMate"/>
    <x v="2"/>
    <x v="2"/>
    <s v="Male"/>
    <s v="United Kingdom"/>
    <s v="Smartphone"/>
    <n v="76"/>
    <n v="17.7"/>
    <s v="Yes"/>
    <s v="Yes"/>
    <s v="No"/>
    <n v="0"/>
  </r>
  <r>
    <s v="USR00731"/>
    <s v="APP031"/>
    <s v="RunGo"/>
    <x v="2"/>
    <x v="0"/>
    <s v="Male"/>
    <s v="Germany"/>
    <s v="Smartphone"/>
    <n v="45"/>
    <n v="15.7"/>
    <s v="Yes"/>
    <s v="Yes"/>
    <s v="No"/>
    <n v="0"/>
  </r>
  <r>
    <s v="USR00732"/>
    <s v="APP032"/>
    <s v="LiftPro"/>
    <x v="2"/>
    <x v="2"/>
    <s v="Female"/>
    <s v="UAE"/>
    <s v="Smartphone"/>
    <n v="62"/>
    <n v="13.1"/>
    <s v="Yes"/>
    <s v="No"/>
    <s v="No"/>
    <n v="31.3"/>
  </r>
  <r>
    <s v="USR00733"/>
    <s v="APP033"/>
    <s v="LiftPro"/>
    <x v="2"/>
    <x v="2"/>
    <s v="Prefer not to say"/>
    <s v="United States"/>
    <s v="Smartphone"/>
    <n v="53"/>
    <n v="24.1"/>
    <s v="Yes"/>
    <s v="No"/>
    <s v="No"/>
    <n v="0"/>
  </r>
  <r>
    <s v="USR00734"/>
    <s v="APP034"/>
    <s v="Liftly"/>
    <x v="2"/>
    <x v="2"/>
    <s v="Female"/>
    <s v="Germany"/>
    <s v="Smartphone"/>
    <n v="42"/>
    <n v="18.2"/>
    <s v="Yes"/>
    <s v="No"/>
    <s v="No"/>
    <n v="0"/>
  </r>
  <r>
    <s v="USR00735"/>
    <s v="APP035"/>
    <s v="YogaHub"/>
    <x v="2"/>
    <x v="3"/>
    <s v="Female"/>
    <s v="India"/>
    <s v="Smartphone"/>
    <n v="14"/>
    <n v="35.299999999999997"/>
    <s v="No"/>
    <s v="No"/>
    <s v="No"/>
    <n v="0"/>
  </r>
  <r>
    <s v="USR00736"/>
    <s v="APP036"/>
    <s v="MoveGo"/>
    <x v="2"/>
    <x v="1"/>
    <s v="Male"/>
    <s v="United States"/>
    <s v="Smartphone"/>
    <n v="7"/>
    <n v="35.700000000000003"/>
    <s v="No"/>
    <s v="No"/>
    <s v="No"/>
    <n v="6.12"/>
  </r>
  <r>
    <s v="USR00737"/>
    <s v="APP037"/>
    <s v="BrightNow"/>
    <x v="3"/>
    <x v="1"/>
    <s v="Male"/>
    <s v="Australia"/>
    <s v="Smartphone"/>
    <n v="46"/>
    <n v="14.3"/>
    <s v="Yes"/>
    <s v="Yes"/>
    <s v="No"/>
    <n v="16.91"/>
  </r>
  <r>
    <s v="USR00738"/>
    <s v="APP038"/>
    <s v="StudyCloud"/>
    <x v="3"/>
    <x v="3"/>
    <s v="Female"/>
    <s v="United Kingdom"/>
    <s v="Smartphone"/>
    <n v="45"/>
    <n v="40.5"/>
    <s v="Yes"/>
    <s v="Yes"/>
    <s v="No"/>
    <n v="0"/>
  </r>
  <r>
    <s v="USR00739"/>
    <s v="APP039"/>
    <s v="SkillNow"/>
    <x v="3"/>
    <x v="4"/>
    <s v="Male"/>
    <s v="Australia"/>
    <s v="Smartphone"/>
    <n v="19"/>
    <n v="14.5"/>
    <s v="No"/>
    <s v="Yes"/>
    <s v="Yes"/>
    <n v="0"/>
  </r>
  <r>
    <s v="USR00740"/>
    <s v="APP040"/>
    <s v="LearnMate"/>
    <x v="3"/>
    <x v="1"/>
    <s v="Male"/>
    <s v="Singapore"/>
    <s v="Smartphone"/>
    <n v="16"/>
    <n v="22.3"/>
    <s v="No"/>
    <s v="No"/>
    <s v="No"/>
    <n v="0"/>
  </r>
  <r>
    <s v="USR00741"/>
    <s v="APP041"/>
    <s v="QuestNow"/>
    <x v="3"/>
    <x v="2"/>
    <s v="Female"/>
    <s v="Australia"/>
    <s v="Smartphone"/>
    <n v="95"/>
    <n v="27.7"/>
    <s v="Yes"/>
    <s v="Yes"/>
    <s v="No"/>
    <n v="2.76"/>
  </r>
  <r>
    <s v="USR00742"/>
    <s v="APP042"/>
    <s v="SkillHub"/>
    <x v="3"/>
    <x v="2"/>
    <s v="Male"/>
    <s v="United Kingdom"/>
    <s v="Smartphone"/>
    <n v="21"/>
    <n v="32.9"/>
    <s v="No"/>
    <s v="Yes"/>
    <s v="No"/>
    <n v="0"/>
  </r>
  <r>
    <s v="USR00743"/>
    <s v="APP043"/>
    <s v="TutorCloud"/>
    <x v="3"/>
    <x v="1"/>
    <s v="Male"/>
    <s v="Australia"/>
    <s v="Smartphone"/>
    <n v="26"/>
    <n v="23"/>
    <s v="No"/>
    <s v="No"/>
    <s v="Yes"/>
    <n v="0"/>
  </r>
  <r>
    <s v="USR00744"/>
    <s v="APP044"/>
    <s v="SkillOne"/>
    <x v="3"/>
    <x v="4"/>
    <s v="Female"/>
    <s v="United States"/>
    <s v="Smartphone"/>
    <n v="13"/>
    <n v="16.399999999999999"/>
    <s v="No"/>
    <s v="Yes"/>
    <s v="No"/>
    <n v="0"/>
  </r>
  <r>
    <s v="USR00745"/>
    <s v="APP045"/>
    <s v="LearnOne"/>
    <x v="3"/>
    <x v="0"/>
    <s v="Male"/>
    <s v="Canada"/>
    <s v="Tablet"/>
    <n v="45"/>
    <n v="24.8"/>
    <s v="Yes"/>
    <s v="Yes"/>
    <s v="No"/>
    <n v="0"/>
  </r>
  <r>
    <s v="USR00746"/>
    <s v="APP046"/>
    <s v="LearnPlus"/>
    <x v="3"/>
    <x v="1"/>
    <s v="Male"/>
    <s v="Germany"/>
    <s v="Smartphone"/>
    <n v="36"/>
    <n v="34.6"/>
    <s v="Yes"/>
    <s v="No"/>
    <s v="Yes"/>
    <n v="0"/>
  </r>
  <r>
    <s v="USR00747"/>
    <s v="APP047"/>
    <s v="StudyPlus"/>
    <x v="3"/>
    <x v="2"/>
    <s v="Female"/>
    <s v="Canada"/>
    <s v="Smartphone"/>
    <n v="21"/>
    <n v="41"/>
    <s v="No"/>
    <s v="No"/>
    <s v="No"/>
    <n v="0"/>
  </r>
  <r>
    <s v="USR00748"/>
    <s v="APP048"/>
    <s v="StudyX"/>
    <x v="3"/>
    <x v="1"/>
    <s v="Female"/>
    <s v="Germany"/>
    <s v="Tablet"/>
    <n v="14"/>
    <n v="12.2"/>
    <s v="No"/>
    <s v="Yes"/>
    <s v="No"/>
    <n v="0"/>
  </r>
  <r>
    <s v="USR00749"/>
    <s v="APP049"/>
    <s v="PlayPlus"/>
    <x v="4"/>
    <x v="0"/>
    <s v="Female"/>
    <s v="Canada"/>
    <s v="Smartphone"/>
    <n v="16"/>
    <n v="14.1"/>
    <s v="No"/>
    <s v="No"/>
    <s v="Yes"/>
    <n v="0"/>
  </r>
  <r>
    <s v="USR00750"/>
    <s v="APP050"/>
    <s v="ShowMate"/>
    <x v="4"/>
    <x v="2"/>
    <s v="Male"/>
    <s v="Canada"/>
    <s v="Smartphone"/>
    <n v="82"/>
    <n v="27.8"/>
    <s v="Yes"/>
    <s v="Yes"/>
    <s v="Yes"/>
    <n v="0"/>
  </r>
  <r>
    <s v="USR00751"/>
    <s v="APP051"/>
    <s v="VibeX"/>
    <x v="4"/>
    <x v="1"/>
    <s v="Female"/>
    <s v="Canada"/>
    <s v="Tablet"/>
    <n v="7"/>
    <n v="25.9"/>
    <s v="No"/>
    <s v="No"/>
    <s v="Yes"/>
    <n v="0"/>
  </r>
  <r>
    <s v="USR00752"/>
    <s v="APP052"/>
    <s v="BuzzNow"/>
    <x v="4"/>
    <x v="2"/>
    <s v="Male"/>
    <s v="United Kingdom"/>
    <s v="Smartphone"/>
    <n v="64"/>
    <n v="14"/>
    <s v="Yes"/>
    <s v="No"/>
    <s v="Yes"/>
    <n v="0"/>
  </r>
  <r>
    <s v="USR00753"/>
    <s v="APP053"/>
    <s v="StreamPlus"/>
    <x v="4"/>
    <x v="0"/>
    <s v="Female"/>
    <s v="Canada"/>
    <s v="Smartphone"/>
    <n v="23"/>
    <n v="21.9"/>
    <s v="No"/>
    <s v="No"/>
    <s v="No"/>
    <n v="45.03"/>
  </r>
  <r>
    <s v="USR00754"/>
    <s v="APP054"/>
    <s v="Showly"/>
    <x v="4"/>
    <x v="3"/>
    <s v="Male"/>
    <s v="Singapore"/>
    <s v="Smartphone"/>
    <n v="80"/>
    <n v="34.5"/>
    <s v="Yes"/>
    <s v="Yes"/>
    <s v="No"/>
    <n v="0"/>
  </r>
  <r>
    <s v="USR00755"/>
    <s v="APP055"/>
    <s v="BuzzOne"/>
    <x v="4"/>
    <x v="0"/>
    <s v="Female"/>
    <s v="UAE"/>
    <s v="Smartphone"/>
    <n v="19"/>
    <n v="34.299999999999997"/>
    <s v="Yes"/>
    <s v="No"/>
    <s v="No"/>
    <n v="0"/>
  </r>
  <r>
    <s v="USR00756"/>
    <s v="APP056"/>
    <s v="PlayHub"/>
    <x v="4"/>
    <x v="2"/>
    <s v="Female"/>
    <s v="Germany"/>
    <s v="Smartphone"/>
    <n v="17"/>
    <n v="36.700000000000003"/>
    <s v="No"/>
    <s v="Yes"/>
    <s v="No"/>
    <n v="4.71"/>
  </r>
  <r>
    <s v="USR00757"/>
    <s v="APP057"/>
    <s v="CinemaGo"/>
    <x v="4"/>
    <x v="4"/>
    <s v="Female"/>
    <s v="Australia"/>
    <s v="Smartphone"/>
    <n v="59"/>
    <n v="9.6999999999999993"/>
    <s v="Yes"/>
    <s v="Yes"/>
    <s v="No"/>
    <n v="78.03"/>
  </r>
  <r>
    <s v="USR00758"/>
    <s v="APP058"/>
    <s v="LaughX"/>
    <x v="4"/>
    <x v="1"/>
    <s v="Female"/>
    <s v="Singapore"/>
    <s v="Tablet"/>
    <n v="20"/>
    <n v="23"/>
    <s v="No"/>
    <s v="No"/>
    <s v="Yes"/>
    <n v="0"/>
  </r>
  <r>
    <s v="USR00759"/>
    <s v="APP059"/>
    <s v="CinemaHub"/>
    <x v="4"/>
    <x v="0"/>
    <s v="Female"/>
    <s v="Germany"/>
    <s v="Smartphone"/>
    <n v="18"/>
    <n v="26.8"/>
    <s v="No"/>
    <s v="No"/>
    <s v="Yes"/>
    <n v="0"/>
  </r>
  <r>
    <s v="USR00760"/>
    <s v="APP060"/>
    <s v="ShowPro"/>
    <x v="4"/>
    <x v="2"/>
    <s v="Male"/>
    <s v="Australia"/>
    <s v="Smartphone"/>
    <n v="16"/>
    <n v="11.4"/>
    <s v="No"/>
    <s v="No"/>
    <s v="No"/>
    <n v="0"/>
  </r>
  <r>
    <s v="USR00761"/>
    <s v="APP061"/>
    <s v="FoodPlus"/>
    <x v="5"/>
    <x v="2"/>
    <s v="Male"/>
    <s v="United States"/>
    <s v="Smartphone"/>
    <n v="34"/>
    <n v="19.399999999999999"/>
    <s v="Yes"/>
    <s v="Yes"/>
    <s v="No"/>
    <n v="0"/>
  </r>
  <r>
    <s v="USR00762"/>
    <s v="APP062"/>
    <s v="BiteGo"/>
    <x v="5"/>
    <x v="1"/>
    <s v="Female"/>
    <s v="Singapore"/>
    <s v="Smartphone"/>
    <n v="89"/>
    <n v="5.4"/>
    <s v="Yes"/>
    <s v="Yes"/>
    <s v="No"/>
    <n v="0"/>
  </r>
  <r>
    <s v="USR00763"/>
    <s v="APP063"/>
    <s v="OrderCloud"/>
    <x v="5"/>
    <x v="3"/>
    <s v="Female"/>
    <s v="United Kingdom"/>
    <s v="Smartphone"/>
    <n v="28"/>
    <n v="9.8000000000000007"/>
    <s v="Yes"/>
    <s v="No"/>
    <s v="No"/>
    <n v="0"/>
  </r>
  <r>
    <s v="USR00764"/>
    <s v="APP064"/>
    <s v="DinePlus"/>
    <x v="5"/>
    <x v="1"/>
    <s v="Female"/>
    <s v="Canada"/>
    <s v="Tablet"/>
    <n v="25"/>
    <n v="4.7"/>
    <s v="No"/>
    <s v="Yes"/>
    <s v="No"/>
    <n v="0"/>
  </r>
  <r>
    <s v="USR00765"/>
    <s v="APP065"/>
    <s v="SnackX"/>
    <x v="5"/>
    <x v="0"/>
    <s v="Female"/>
    <s v="Germany"/>
    <s v="Smartphone"/>
    <n v="27"/>
    <n v="12.1"/>
    <s v="No"/>
    <s v="Yes"/>
    <s v="No"/>
    <n v="0"/>
  </r>
  <r>
    <s v="USR00766"/>
    <s v="APP066"/>
    <s v="FoodOne"/>
    <x v="5"/>
    <x v="0"/>
    <s v="Female"/>
    <s v="Germany"/>
    <s v="Smartphone"/>
    <n v="4"/>
    <n v="3.8"/>
    <s v="No"/>
    <s v="No"/>
    <s v="No"/>
    <n v="0"/>
  </r>
  <r>
    <s v="USR00767"/>
    <s v="APP067"/>
    <s v="MealMate"/>
    <x v="5"/>
    <x v="1"/>
    <s v="Female"/>
    <s v="Canada"/>
    <s v="Smartphone"/>
    <n v="56"/>
    <n v="13.9"/>
    <s v="Yes"/>
    <s v="Yes"/>
    <s v="No"/>
    <n v="0"/>
  </r>
  <r>
    <s v="USR00768"/>
    <s v="APP068"/>
    <s v="SnackHub"/>
    <x v="5"/>
    <x v="2"/>
    <s v="Male"/>
    <s v="United Kingdom"/>
    <s v="Tablet"/>
    <n v="41"/>
    <n v="15.6"/>
    <s v="Yes"/>
    <s v="Yes"/>
    <s v="No"/>
    <n v="0"/>
  </r>
  <r>
    <s v="USR00769"/>
    <s v="APP069"/>
    <s v="BiteCloud"/>
    <x v="5"/>
    <x v="4"/>
    <s v="Male"/>
    <s v="India"/>
    <s v="Smartphone"/>
    <n v="7"/>
    <n v="23.8"/>
    <s v="No"/>
    <s v="No"/>
    <s v="No"/>
    <n v="0"/>
  </r>
  <r>
    <s v="USR00770"/>
    <s v="APP070"/>
    <s v="PlatePlus"/>
    <x v="5"/>
    <x v="0"/>
    <s v="Male"/>
    <s v="United States"/>
    <s v="Smartphone"/>
    <n v="16"/>
    <n v="22.4"/>
    <s v="Yes"/>
    <s v="Yes"/>
    <s v="No"/>
    <n v="0"/>
  </r>
  <r>
    <s v="USR00771"/>
    <s v="APP071"/>
    <s v="VoyageGo"/>
    <x v="6"/>
    <x v="2"/>
    <s v="Male"/>
    <s v="Australia"/>
    <s v="Smartphone"/>
    <n v="13"/>
    <n v="13.7"/>
    <s v="No"/>
    <s v="Yes"/>
    <s v="No"/>
    <n v="0"/>
  </r>
  <r>
    <s v="USR00772"/>
    <s v="APP072"/>
    <s v="TripOne"/>
    <x v="6"/>
    <x v="0"/>
    <s v="Male"/>
    <s v="Singapore"/>
    <s v="Smartphone"/>
    <n v="82"/>
    <n v="10.199999999999999"/>
    <s v="Yes"/>
    <s v="Yes"/>
    <s v="No"/>
    <n v="0"/>
  </r>
  <r>
    <s v="USR00773"/>
    <s v="APP073"/>
    <s v="FlyGo"/>
    <x v="6"/>
    <x v="0"/>
    <s v="Male"/>
    <s v="Canada"/>
    <s v="Smartphone"/>
    <n v="23"/>
    <n v="7.5"/>
    <s v="No"/>
    <s v="Yes"/>
    <s v="No"/>
    <n v="0"/>
  </r>
  <r>
    <s v="USR00774"/>
    <s v="APP074"/>
    <s v="MapX"/>
    <x v="6"/>
    <x v="3"/>
    <s v="Prefer not to say"/>
    <s v="United Kingdom"/>
    <s v="Smartphone"/>
    <n v="85"/>
    <n v="18.899999999999999"/>
    <s v="Yes"/>
    <s v="Yes"/>
    <s v="No"/>
    <n v="0"/>
  </r>
  <r>
    <s v="USR00775"/>
    <s v="APP075"/>
    <s v="StayX"/>
    <x v="6"/>
    <x v="2"/>
    <s v="Male"/>
    <s v="Germany"/>
    <s v="Smartphone"/>
    <n v="2"/>
    <n v="14.1"/>
    <s v="No"/>
    <s v="No"/>
    <s v="No"/>
    <n v="0"/>
  </r>
  <r>
    <s v="USR00776"/>
    <s v="APP076"/>
    <s v="GoNow"/>
    <x v="6"/>
    <x v="2"/>
    <s v="Male"/>
    <s v="Australia"/>
    <s v="Smartphone"/>
    <n v="9"/>
    <n v="4.4000000000000004"/>
    <s v="No"/>
    <s v="No"/>
    <s v="No"/>
    <n v="0"/>
  </r>
  <r>
    <s v="USR00777"/>
    <s v="APP077"/>
    <s v="RouteGo"/>
    <x v="6"/>
    <x v="2"/>
    <s v="Male"/>
    <s v="Canada"/>
    <s v="Smartphone"/>
    <n v="61"/>
    <n v="23.1"/>
    <s v="Yes"/>
    <s v="Yes"/>
    <s v="No"/>
    <n v="36.92"/>
  </r>
  <r>
    <s v="USR00778"/>
    <s v="APP078"/>
    <s v="TripGo"/>
    <x v="6"/>
    <x v="1"/>
    <s v="Male"/>
    <s v="United States"/>
    <s v="Tablet"/>
    <n v="37"/>
    <n v="20.399999999999999"/>
    <s v="Yes"/>
    <s v="No"/>
    <s v="No"/>
    <n v="0"/>
  </r>
  <r>
    <s v="USR00779"/>
    <s v="APP079"/>
    <s v="Flyly"/>
    <x v="6"/>
    <x v="1"/>
    <s v="Female"/>
    <s v="United States"/>
    <s v="Tablet"/>
    <n v="43"/>
    <n v="15.7"/>
    <s v="Yes"/>
    <s v="No"/>
    <s v="Yes"/>
    <n v="0"/>
  </r>
  <r>
    <s v="USR00780"/>
    <s v="APP080"/>
    <s v="TripPro"/>
    <x v="6"/>
    <x v="2"/>
    <s v="Male"/>
    <s v="Germany"/>
    <s v="Smartphone"/>
    <n v="22"/>
    <n v="7.6"/>
    <s v="Yes"/>
    <s v="Yes"/>
    <s v="No"/>
    <n v="0"/>
  </r>
  <r>
    <s v="USR00781"/>
    <s v="APP081"/>
    <s v="Focusly"/>
    <x v="7"/>
    <x v="4"/>
    <s v="Prefer not to say"/>
    <s v="Canada"/>
    <s v="Smartphone"/>
    <n v="30"/>
    <n v="23.8"/>
    <s v="Yes"/>
    <s v="No"/>
    <s v="No"/>
    <n v="0"/>
  </r>
  <r>
    <s v="USR00782"/>
    <s v="APP082"/>
    <s v="DeskX"/>
    <x v="7"/>
    <x v="0"/>
    <s v="Female"/>
    <s v="UAE"/>
    <s v="Tablet"/>
    <n v="2"/>
    <n v="6.3"/>
    <s v="No"/>
    <s v="No"/>
    <s v="No"/>
    <n v="0"/>
  </r>
  <r>
    <s v="USR00783"/>
    <s v="APP083"/>
    <s v="DonePro"/>
    <x v="7"/>
    <x v="0"/>
    <s v="Male"/>
    <s v="Australia"/>
    <s v="Smartphone"/>
    <n v="2"/>
    <n v="16.8"/>
    <s v="No"/>
    <s v="No"/>
    <s v="Yes"/>
    <n v="0"/>
  </r>
  <r>
    <s v="USR00784"/>
    <s v="APP084"/>
    <s v="NotePlus"/>
    <x v="7"/>
    <x v="2"/>
    <s v="Female"/>
    <s v="United Kingdom"/>
    <s v="Smartphone"/>
    <n v="81"/>
    <n v="20.9"/>
    <s v="Yes"/>
    <s v="No"/>
    <s v="Yes"/>
    <n v="24.63"/>
  </r>
  <r>
    <s v="USR00785"/>
    <s v="APP085"/>
    <s v="SyncPlus"/>
    <x v="7"/>
    <x v="1"/>
    <s v="Male"/>
    <s v="India"/>
    <s v="Smartphone"/>
    <n v="63"/>
    <n v="19.5"/>
    <s v="Yes"/>
    <s v="Yes"/>
    <s v="Yes"/>
    <n v="0"/>
  </r>
  <r>
    <s v="USR00786"/>
    <s v="APP086"/>
    <s v="NoteOne"/>
    <x v="7"/>
    <x v="0"/>
    <s v="Female"/>
    <s v="Singapore"/>
    <s v="Smartphone"/>
    <n v="18"/>
    <n v="18.3"/>
    <s v="No"/>
    <s v="No"/>
    <s v="Yes"/>
    <n v="23.28"/>
  </r>
  <r>
    <s v="USR00787"/>
    <s v="APP087"/>
    <s v="NoteMate"/>
    <x v="7"/>
    <x v="0"/>
    <s v="Male"/>
    <s v="UAE"/>
    <s v="Smartphone"/>
    <n v="53"/>
    <n v="20.100000000000001"/>
    <s v="Yes"/>
    <s v="No"/>
    <s v="No"/>
    <n v="0"/>
  </r>
  <r>
    <s v="USR00788"/>
    <s v="APP088"/>
    <s v="PlanPlus"/>
    <x v="7"/>
    <x v="0"/>
    <s v="Male"/>
    <s v="India"/>
    <s v="Smartphone"/>
    <n v="15"/>
    <n v="5.7"/>
    <s v="No"/>
    <s v="Yes"/>
    <s v="No"/>
    <n v="0"/>
  </r>
  <r>
    <s v="USR00789"/>
    <s v="APP089"/>
    <s v="PlanMate"/>
    <x v="7"/>
    <x v="2"/>
    <s v="Male"/>
    <s v="Germany"/>
    <s v="Tablet"/>
    <n v="91"/>
    <n v="18.399999999999999"/>
    <s v="Yes"/>
    <s v="No"/>
    <s v="Yes"/>
    <n v="48.45"/>
  </r>
  <r>
    <s v="USR00790"/>
    <s v="APP090"/>
    <s v="SyncPlus"/>
    <x v="7"/>
    <x v="2"/>
    <s v="Female"/>
    <s v="United States"/>
    <s v="Smartphone"/>
    <n v="14"/>
    <n v="12.7"/>
    <s v="No"/>
    <s v="No"/>
    <s v="No"/>
    <n v="0"/>
  </r>
  <r>
    <s v="USR00791"/>
    <s v="APP091"/>
    <s v="ClinicPro"/>
    <x v="8"/>
    <x v="1"/>
    <s v="Female"/>
    <s v="Australia"/>
    <s v="Smartphone"/>
    <n v="24"/>
    <n v="16"/>
    <s v="Yes"/>
    <s v="No"/>
    <s v="No"/>
    <n v="43.1"/>
  </r>
  <r>
    <s v="USR00792"/>
    <s v="APP092"/>
    <s v="MindMate"/>
    <x v="8"/>
    <x v="0"/>
    <s v="Female"/>
    <s v="Canada"/>
    <s v="Smartphone"/>
    <n v="18"/>
    <n v="5.3"/>
    <s v="No"/>
    <s v="Yes"/>
    <s v="No"/>
    <n v="13.67"/>
  </r>
  <r>
    <s v="USR00793"/>
    <s v="APP093"/>
    <s v="ClinicOne"/>
    <x v="8"/>
    <x v="4"/>
    <s v="Female"/>
    <s v="Germany"/>
    <s v="Tablet"/>
    <n v="30"/>
    <n v="13.3"/>
    <s v="Yes"/>
    <s v="Yes"/>
    <s v="No"/>
    <n v="0"/>
  </r>
  <r>
    <s v="USR00794"/>
    <s v="APP094"/>
    <s v="WellMate"/>
    <x v="8"/>
    <x v="0"/>
    <s v="Female"/>
    <s v="UAE"/>
    <s v="Smartphone"/>
    <n v="52"/>
    <n v="18.399999999999999"/>
    <s v="Yes"/>
    <s v="Yes"/>
    <s v="No"/>
    <n v="0"/>
  </r>
  <r>
    <s v="USR00795"/>
    <s v="APP095"/>
    <s v="MediMate"/>
    <x v="8"/>
    <x v="1"/>
    <s v="Male"/>
    <s v="United Kingdom"/>
    <s v="Smartphone"/>
    <n v="17"/>
    <n v="13.2"/>
    <s v="No"/>
    <s v="No"/>
    <s v="No"/>
    <n v="0"/>
  </r>
  <r>
    <s v="USR00796"/>
    <s v="APP096"/>
    <s v="WellNow"/>
    <x v="8"/>
    <x v="2"/>
    <s v="Other"/>
    <s v="India"/>
    <s v="Tablet"/>
    <n v="53"/>
    <n v="8.6"/>
    <s v="Yes"/>
    <s v="Yes"/>
    <s v="No"/>
    <n v="0"/>
  </r>
  <r>
    <s v="USR00797"/>
    <s v="APP097"/>
    <s v="CareCloud"/>
    <x v="8"/>
    <x v="2"/>
    <s v="Male"/>
    <s v="Germany"/>
    <s v="Smartphone"/>
    <n v="43"/>
    <n v="3.5"/>
    <s v="Yes"/>
    <s v="Yes"/>
    <s v="No"/>
    <n v="0"/>
  </r>
  <r>
    <s v="USR00798"/>
    <s v="APP098"/>
    <s v="MediNow"/>
    <x v="8"/>
    <x v="1"/>
    <s v="Male"/>
    <s v="Canada"/>
    <s v="Smartphone"/>
    <n v="90"/>
    <n v="21.5"/>
    <s v="Yes"/>
    <s v="No"/>
    <s v="Yes"/>
    <n v="0"/>
  </r>
  <r>
    <s v="USR00799"/>
    <s v="APP099"/>
    <s v="MindPlus"/>
    <x v="8"/>
    <x v="4"/>
    <s v="Female"/>
    <s v="India"/>
    <s v="Smartphone"/>
    <n v="7"/>
    <n v="4.9000000000000004"/>
    <s v="No"/>
    <s v="No"/>
    <s v="No"/>
    <n v="0"/>
  </r>
  <r>
    <s v="USR00800"/>
    <s v="APP100"/>
    <s v="MediCloud"/>
    <x v="8"/>
    <x v="0"/>
    <s v="Female"/>
    <s v="India"/>
    <s v="Smartphone"/>
    <n v="23"/>
    <n v="20.6"/>
    <s v="No"/>
    <s v="No"/>
    <s v="Yes"/>
    <n v="0"/>
  </r>
  <r>
    <s v="USR00801"/>
    <s v="APP001"/>
    <s v="InvestPro"/>
    <x v="0"/>
    <x v="2"/>
    <s v="Female"/>
    <s v="India"/>
    <s v="Tablet"/>
    <n v="26"/>
    <n v="13.4"/>
    <s v="No"/>
    <s v="Yes"/>
    <s v="No"/>
    <n v="0"/>
  </r>
  <r>
    <s v="USR00802"/>
    <s v="APP002"/>
    <s v="BankPro"/>
    <x v="0"/>
    <x v="1"/>
    <s v="Female"/>
    <s v="Germany"/>
    <s v="Smartphone"/>
    <n v="5"/>
    <n v="7"/>
    <s v="No"/>
    <s v="No"/>
    <s v="No"/>
    <n v="0"/>
  </r>
  <r>
    <s v="USR00803"/>
    <s v="APP003"/>
    <s v="BankX"/>
    <x v="0"/>
    <x v="4"/>
    <s v="Female"/>
    <s v="United Kingdom"/>
    <s v="Smartphone"/>
    <n v="13"/>
    <n v="19.3"/>
    <s v="No"/>
    <s v="No"/>
    <s v="Yes"/>
    <n v="0"/>
  </r>
  <r>
    <s v="USR00804"/>
    <s v="APP004"/>
    <s v="BankNow"/>
    <x v="0"/>
    <x v="2"/>
    <s v="Female"/>
    <s v="Canada"/>
    <s v="Smartphone"/>
    <n v="17"/>
    <n v="8.8000000000000007"/>
    <s v="No"/>
    <s v="No"/>
    <s v="No"/>
    <n v="0"/>
  </r>
  <r>
    <s v="USR00805"/>
    <s v="APP005"/>
    <s v="CreditHub"/>
    <x v="0"/>
    <x v="0"/>
    <s v="Prefer not to say"/>
    <s v="UAE"/>
    <s v="Smartphone"/>
    <n v="90"/>
    <n v="15.8"/>
    <s v="Yes"/>
    <s v="Yes"/>
    <s v="Yes"/>
    <n v="0"/>
  </r>
  <r>
    <s v="USR00806"/>
    <s v="APP006"/>
    <s v="PayPlus"/>
    <x v="0"/>
    <x v="4"/>
    <s v="Female"/>
    <s v="Canada"/>
    <s v="Smartphone"/>
    <n v="14"/>
    <n v="11.3"/>
    <s v="No"/>
    <s v="Yes"/>
    <s v="No"/>
    <n v="83.96"/>
  </r>
  <r>
    <s v="USR00807"/>
    <s v="APP007"/>
    <s v="BankPlus"/>
    <x v="0"/>
    <x v="4"/>
    <s v="Male"/>
    <s v="India"/>
    <s v="Smartphone"/>
    <n v="21"/>
    <n v="3.9"/>
    <s v="No"/>
    <s v="Yes"/>
    <s v="No"/>
    <n v="0"/>
  </r>
  <r>
    <s v="USR00808"/>
    <s v="APP008"/>
    <s v="CoinPlus"/>
    <x v="0"/>
    <x v="4"/>
    <s v="Female"/>
    <s v="United States"/>
    <s v="Smartphone"/>
    <n v="85"/>
    <n v="5.7"/>
    <s v="Yes"/>
    <s v="No"/>
    <s v="No"/>
    <n v="0"/>
  </r>
  <r>
    <s v="USR00809"/>
    <s v="APP009"/>
    <s v="CreditOne"/>
    <x v="0"/>
    <x v="1"/>
    <s v="Male"/>
    <s v="UAE"/>
    <s v="Smartphone"/>
    <n v="79"/>
    <n v="6"/>
    <s v="Yes"/>
    <s v="Yes"/>
    <s v="No"/>
    <n v="0"/>
  </r>
  <r>
    <s v="USR00810"/>
    <s v="APP010"/>
    <s v="PayPro"/>
    <x v="0"/>
    <x v="2"/>
    <s v="Male"/>
    <s v="Australia"/>
    <s v="Smartphone"/>
    <n v="81"/>
    <n v="3.2"/>
    <s v="Yes"/>
    <s v="Yes"/>
    <s v="No"/>
    <n v="0"/>
  </r>
  <r>
    <s v="USR00811"/>
    <s v="APP011"/>
    <s v="Creditly"/>
    <x v="0"/>
    <x v="2"/>
    <s v="Male"/>
    <s v="Germany"/>
    <s v="Smartphone"/>
    <n v="18"/>
    <n v="23.9"/>
    <s v="No"/>
    <s v="Yes"/>
    <s v="No"/>
    <n v="0"/>
  </r>
  <r>
    <s v="USR00812"/>
    <s v="APP012"/>
    <s v="PayX"/>
    <x v="0"/>
    <x v="1"/>
    <s v="Female"/>
    <s v="Germany"/>
    <s v="Smartphone"/>
    <n v="17"/>
    <n v="7.7"/>
    <s v="No"/>
    <s v="Yes"/>
    <s v="No"/>
    <n v="0"/>
  </r>
  <r>
    <s v="USR00813"/>
    <s v="APP013"/>
    <s v="DealGo"/>
    <x v="1"/>
    <x v="0"/>
    <s v="Prefer not to say"/>
    <s v="United Kingdom"/>
    <s v="Smartphone"/>
    <n v="24"/>
    <n v="7.8"/>
    <s v="No"/>
    <s v="Yes"/>
    <s v="No"/>
    <n v="0"/>
  </r>
  <r>
    <s v="USR00814"/>
    <s v="APP014"/>
    <s v="MallNow"/>
    <x v="1"/>
    <x v="0"/>
    <s v="Male"/>
    <s v="India"/>
    <s v="Tablet"/>
    <n v="19"/>
    <n v="23.1"/>
    <s v="No"/>
    <s v="No"/>
    <s v="No"/>
    <n v="31.51"/>
  </r>
  <r>
    <s v="USR00815"/>
    <s v="APP015"/>
    <s v="DealPro"/>
    <x v="1"/>
    <x v="1"/>
    <s v="Male"/>
    <s v="UAE"/>
    <s v="Smartphone"/>
    <n v="16"/>
    <n v="16.3"/>
    <s v="No"/>
    <s v="Yes"/>
    <s v="No"/>
    <n v="0"/>
  </r>
  <r>
    <s v="USR00816"/>
    <s v="APP016"/>
    <s v="StyleNow"/>
    <x v="1"/>
    <x v="2"/>
    <s v="Female"/>
    <s v="United States"/>
    <s v="Tablet"/>
    <n v="23"/>
    <n v="16.5"/>
    <s v="No"/>
    <s v="No"/>
    <s v="No"/>
    <n v="0"/>
  </r>
  <r>
    <s v="USR00817"/>
    <s v="APP017"/>
    <s v="DealCloud"/>
    <x v="1"/>
    <x v="2"/>
    <s v="Female"/>
    <s v="Germany"/>
    <s v="Smartphone"/>
    <n v="16"/>
    <n v="10.9"/>
    <s v="No"/>
    <s v="No"/>
    <s v="Yes"/>
    <n v="84.09"/>
  </r>
  <r>
    <s v="USR00818"/>
    <s v="APP018"/>
    <s v="CartCloud"/>
    <x v="1"/>
    <x v="0"/>
    <s v="Other"/>
    <s v="Singapore"/>
    <s v="Smartphone"/>
    <n v="43"/>
    <n v="16.5"/>
    <s v="Yes"/>
    <s v="Yes"/>
    <s v="No"/>
    <n v="26.27"/>
  </r>
  <r>
    <s v="USR00819"/>
    <s v="APP019"/>
    <s v="CartMate"/>
    <x v="1"/>
    <x v="2"/>
    <s v="Male"/>
    <s v="United Kingdom"/>
    <s v="Smartphone"/>
    <n v="23"/>
    <n v="16.8"/>
    <s v="No"/>
    <s v="No"/>
    <s v="Yes"/>
    <n v="23.2"/>
  </r>
  <r>
    <s v="USR00820"/>
    <s v="APP020"/>
    <s v="BazaarOne"/>
    <x v="1"/>
    <x v="2"/>
    <s v="Male"/>
    <s v="Germany"/>
    <s v="Smartphone"/>
    <n v="17"/>
    <n v="5.0999999999999996"/>
    <s v="No"/>
    <s v="Yes"/>
    <s v="No"/>
    <n v="0"/>
  </r>
  <r>
    <s v="USR00821"/>
    <s v="APP021"/>
    <s v="StyleOne"/>
    <x v="1"/>
    <x v="2"/>
    <s v="Female"/>
    <s v="UAE"/>
    <s v="Tablet"/>
    <n v="87"/>
    <n v="18.2"/>
    <s v="Yes"/>
    <s v="Yes"/>
    <s v="No"/>
    <n v="0"/>
  </r>
  <r>
    <s v="USR00822"/>
    <s v="APP022"/>
    <s v="Cartly"/>
    <x v="1"/>
    <x v="0"/>
    <s v="Female"/>
    <s v="UAE"/>
    <s v="Smartphone"/>
    <n v="22"/>
    <n v="23.4"/>
    <s v="No"/>
    <s v="Yes"/>
    <s v="No"/>
    <n v="61.77"/>
  </r>
  <r>
    <s v="USR00823"/>
    <s v="APP023"/>
    <s v="BazaarCloud"/>
    <x v="1"/>
    <x v="1"/>
    <s v="Male"/>
    <s v="UAE"/>
    <s v="Smartphone"/>
    <n v="17"/>
    <n v="6.4"/>
    <s v="No"/>
    <s v="No"/>
    <s v="No"/>
    <n v="0"/>
  </r>
  <r>
    <s v="USR00824"/>
    <s v="APP024"/>
    <s v="CartPro"/>
    <x v="1"/>
    <x v="1"/>
    <s v="Female"/>
    <s v="Germany"/>
    <s v="Smartphone"/>
    <n v="29"/>
    <n v="6"/>
    <s v="Yes"/>
    <s v="No"/>
    <s v="No"/>
    <n v="0"/>
  </r>
  <r>
    <s v="USR00825"/>
    <s v="APP025"/>
    <s v="RunPlus"/>
    <x v="2"/>
    <x v="4"/>
    <s v="Male"/>
    <s v="Australia"/>
    <s v="Smartphone"/>
    <n v="72"/>
    <n v="25.1"/>
    <s v="Yes"/>
    <s v="Yes"/>
    <s v="No"/>
    <n v="0"/>
  </r>
  <r>
    <s v="USR00826"/>
    <s v="APP026"/>
    <s v="TrainCloud"/>
    <x v="2"/>
    <x v="1"/>
    <s v="Male"/>
    <s v="United Kingdom"/>
    <s v="Smartphone"/>
    <n v="76"/>
    <n v="24.3"/>
    <s v="Yes"/>
    <s v="Yes"/>
    <s v="No"/>
    <n v="0"/>
  </r>
  <r>
    <s v="USR00827"/>
    <s v="APP027"/>
    <s v="Trainly"/>
    <x v="2"/>
    <x v="2"/>
    <s v="Male"/>
    <s v="Australia"/>
    <s v="Smartphone"/>
    <n v="93"/>
    <n v="22"/>
    <s v="Yes"/>
    <s v="Yes"/>
    <s v="No"/>
    <n v="0"/>
  </r>
  <r>
    <s v="USR00828"/>
    <s v="APP028"/>
    <s v="LiftCloud"/>
    <x v="2"/>
    <x v="3"/>
    <s v="Male"/>
    <s v="UAE"/>
    <s v="Smartphone"/>
    <n v="6"/>
    <n v="18.399999999999999"/>
    <s v="No"/>
    <s v="Yes"/>
    <s v="No"/>
    <n v="0"/>
  </r>
  <r>
    <s v="USR00829"/>
    <s v="APP029"/>
    <s v="MoveNow"/>
    <x v="2"/>
    <x v="2"/>
    <s v="Male"/>
    <s v="Germany"/>
    <s v="Smartphone"/>
    <n v="12"/>
    <n v="36"/>
    <s v="No"/>
    <s v="No"/>
    <s v="Yes"/>
    <n v="0"/>
  </r>
  <r>
    <s v="USR00830"/>
    <s v="APP030"/>
    <s v="ActiveMate"/>
    <x v="2"/>
    <x v="1"/>
    <s v="Female"/>
    <s v="United States"/>
    <s v="Smartphone"/>
    <n v="56"/>
    <n v="20.399999999999999"/>
    <s v="Yes"/>
    <s v="No"/>
    <s v="Yes"/>
    <n v="11.44"/>
  </r>
  <r>
    <s v="USR00831"/>
    <s v="APP031"/>
    <s v="RunGo"/>
    <x v="2"/>
    <x v="0"/>
    <s v="Male"/>
    <s v="United States"/>
    <s v="Smartphone"/>
    <n v="12"/>
    <n v="18.100000000000001"/>
    <s v="No"/>
    <s v="Yes"/>
    <s v="No"/>
    <n v="0"/>
  </r>
  <r>
    <s v="USR00832"/>
    <s v="APP032"/>
    <s v="LiftPro"/>
    <x v="2"/>
    <x v="3"/>
    <s v="Female"/>
    <s v="United States"/>
    <s v="Smartphone"/>
    <n v="10"/>
    <n v="26.2"/>
    <s v="No"/>
    <s v="No"/>
    <s v="Yes"/>
    <n v="0"/>
  </r>
  <r>
    <s v="USR00833"/>
    <s v="APP033"/>
    <s v="LiftPro"/>
    <x v="2"/>
    <x v="1"/>
    <s v="Female"/>
    <s v="India"/>
    <s v="Smartphone"/>
    <n v="67"/>
    <n v="25.7"/>
    <s v="Yes"/>
    <s v="Yes"/>
    <s v="Yes"/>
    <n v="0"/>
  </r>
  <r>
    <s v="USR00834"/>
    <s v="APP034"/>
    <s v="Liftly"/>
    <x v="2"/>
    <x v="2"/>
    <s v="Male"/>
    <s v="United States"/>
    <s v="Smartphone"/>
    <n v="39"/>
    <n v="29.6"/>
    <s v="Yes"/>
    <s v="No"/>
    <s v="No"/>
    <n v="47.67"/>
  </r>
  <r>
    <s v="USR00835"/>
    <s v="APP035"/>
    <s v="YogaHub"/>
    <x v="2"/>
    <x v="2"/>
    <s v="Male"/>
    <s v="UAE"/>
    <s v="Smartphone"/>
    <n v="13"/>
    <n v="40.1"/>
    <s v="No"/>
    <s v="Yes"/>
    <s v="No"/>
    <n v="0"/>
  </r>
  <r>
    <s v="USR00836"/>
    <s v="APP036"/>
    <s v="MoveGo"/>
    <x v="2"/>
    <x v="2"/>
    <s v="Female"/>
    <s v="India"/>
    <s v="Smartphone"/>
    <n v="29"/>
    <n v="38.700000000000003"/>
    <s v="Yes"/>
    <s v="Yes"/>
    <s v="No"/>
    <n v="0"/>
  </r>
  <r>
    <s v="USR00837"/>
    <s v="APP037"/>
    <s v="BrightNow"/>
    <x v="3"/>
    <x v="0"/>
    <s v="Male"/>
    <s v="India"/>
    <s v="Smartphone"/>
    <n v="22"/>
    <n v="8.6"/>
    <s v="No"/>
    <s v="No"/>
    <s v="No"/>
    <n v="0"/>
  </r>
  <r>
    <s v="USR00838"/>
    <s v="APP038"/>
    <s v="StudyCloud"/>
    <x v="3"/>
    <x v="0"/>
    <s v="Female"/>
    <s v="Germany"/>
    <s v="Smartphone"/>
    <n v="68"/>
    <n v="25.4"/>
    <s v="Yes"/>
    <s v="Yes"/>
    <s v="Yes"/>
    <n v="18.38"/>
  </r>
  <r>
    <s v="USR00839"/>
    <s v="APP039"/>
    <s v="SkillNow"/>
    <x v="3"/>
    <x v="1"/>
    <s v="Prefer not to say"/>
    <s v="Canada"/>
    <s v="Smartphone"/>
    <n v="6"/>
    <n v="30"/>
    <s v="No"/>
    <s v="Yes"/>
    <s v="No"/>
    <n v="0"/>
  </r>
  <r>
    <s v="USR00840"/>
    <s v="APP040"/>
    <s v="LearnMate"/>
    <x v="3"/>
    <x v="2"/>
    <s v="Female"/>
    <s v="Australia"/>
    <s v="Smartphone"/>
    <n v="83"/>
    <n v="35.299999999999997"/>
    <s v="Yes"/>
    <s v="Yes"/>
    <s v="No"/>
    <n v="0"/>
  </r>
  <r>
    <s v="USR00841"/>
    <s v="APP041"/>
    <s v="QuestNow"/>
    <x v="3"/>
    <x v="2"/>
    <s v="Female"/>
    <s v="Canada"/>
    <s v="Smartphone"/>
    <n v="81"/>
    <n v="19.2"/>
    <s v="Yes"/>
    <s v="Yes"/>
    <s v="No"/>
    <n v="29.96"/>
  </r>
  <r>
    <s v="USR00842"/>
    <s v="APP042"/>
    <s v="SkillHub"/>
    <x v="3"/>
    <x v="0"/>
    <s v="Male"/>
    <s v="India"/>
    <s v="Tablet"/>
    <n v="26"/>
    <n v="15.4"/>
    <s v="No"/>
    <s v="No"/>
    <s v="Yes"/>
    <n v="0"/>
  </r>
  <r>
    <s v="USR00843"/>
    <s v="APP043"/>
    <s v="TutorCloud"/>
    <x v="3"/>
    <x v="4"/>
    <s v="Male"/>
    <s v="Canada"/>
    <s v="Smartphone"/>
    <n v="38"/>
    <n v="21.6"/>
    <s v="Yes"/>
    <s v="No"/>
    <s v="Yes"/>
    <n v="4.96"/>
  </r>
  <r>
    <s v="USR00844"/>
    <s v="APP044"/>
    <s v="SkillOne"/>
    <x v="3"/>
    <x v="4"/>
    <s v="Male"/>
    <s v="Singapore"/>
    <s v="Smartphone"/>
    <n v="21"/>
    <n v="29"/>
    <s v="No"/>
    <s v="Yes"/>
    <s v="No"/>
    <n v="0"/>
  </r>
  <r>
    <s v="USR00845"/>
    <s v="APP045"/>
    <s v="LearnOne"/>
    <x v="3"/>
    <x v="0"/>
    <s v="Male"/>
    <s v="Australia"/>
    <s v="Smartphone"/>
    <n v="88"/>
    <n v="36.299999999999997"/>
    <s v="Yes"/>
    <s v="Yes"/>
    <s v="No"/>
    <n v="0"/>
  </r>
  <r>
    <s v="USR00846"/>
    <s v="APP046"/>
    <s v="LearnPlus"/>
    <x v="3"/>
    <x v="2"/>
    <s v="Male"/>
    <s v="India"/>
    <s v="Smartphone"/>
    <n v="92"/>
    <n v="33.9"/>
    <s v="Yes"/>
    <s v="Yes"/>
    <s v="No"/>
    <n v="48.77"/>
  </r>
  <r>
    <s v="USR00847"/>
    <s v="APP047"/>
    <s v="StudyPlus"/>
    <x v="3"/>
    <x v="2"/>
    <s v="Male"/>
    <s v="Singapore"/>
    <s v="Smartphone"/>
    <n v="12"/>
    <n v="16.5"/>
    <s v="No"/>
    <s v="No"/>
    <s v="Yes"/>
    <n v="0"/>
  </r>
  <r>
    <s v="USR00848"/>
    <s v="APP048"/>
    <s v="StudyX"/>
    <x v="3"/>
    <x v="0"/>
    <s v="Male"/>
    <s v="UAE"/>
    <s v="Smartphone"/>
    <n v="18"/>
    <n v="33.299999999999997"/>
    <s v="No"/>
    <s v="Yes"/>
    <s v="No"/>
    <n v="52.32"/>
  </r>
  <r>
    <s v="USR00849"/>
    <s v="APP049"/>
    <s v="PlayPlus"/>
    <x v="4"/>
    <x v="0"/>
    <s v="Male"/>
    <s v="Canada"/>
    <s v="Smartphone"/>
    <n v="28"/>
    <n v="16.2"/>
    <s v="No"/>
    <s v="Yes"/>
    <s v="Yes"/>
    <n v="0"/>
  </r>
  <r>
    <s v="USR00850"/>
    <s v="APP050"/>
    <s v="ShowMate"/>
    <x v="4"/>
    <x v="0"/>
    <s v="Female"/>
    <s v="Australia"/>
    <s v="Smartphone"/>
    <n v="3"/>
    <n v="26.6"/>
    <s v="No"/>
    <s v="Yes"/>
    <s v="No"/>
    <n v="0"/>
  </r>
  <r>
    <s v="USR00851"/>
    <s v="APP051"/>
    <s v="VibeX"/>
    <x v="4"/>
    <x v="1"/>
    <s v="Female"/>
    <s v="United States"/>
    <s v="Smartphone"/>
    <n v="29"/>
    <n v="14.4"/>
    <s v="Yes"/>
    <s v="Yes"/>
    <s v="No"/>
    <n v="10.45"/>
  </r>
  <r>
    <s v="USR00852"/>
    <s v="APP052"/>
    <s v="BuzzNow"/>
    <x v="4"/>
    <x v="1"/>
    <s v="Male"/>
    <s v="Canada"/>
    <s v="Smartphone"/>
    <n v="85"/>
    <n v="26.1"/>
    <s v="Yes"/>
    <s v="Yes"/>
    <s v="No"/>
    <n v="0"/>
  </r>
  <r>
    <s v="USR00853"/>
    <s v="APP053"/>
    <s v="StreamPlus"/>
    <x v="4"/>
    <x v="1"/>
    <s v="Female"/>
    <s v="UAE"/>
    <s v="Smartphone"/>
    <n v="1"/>
    <n v="23.1"/>
    <s v="No"/>
    <s v="Yes"/>
    <s v="No"/>
    <n v="0"/>
  </r>
  <r>
    <s v="USR00854"/>
    <s v="APP054"/>
    <s v="Showly"/>
    <x v="4"/>
    <x v="4"/>
    <s v="Prefer not to say"/>
    <s v="India"/>
    <s v="Smartphone"/>
    <n v="5"/>
    <n v="39.700000000000003"/>
    <s v="No"/>
    <s v="No"/>
    <s v="No"/>
    <n v="0"/>
  </r>
  <r>
    <s v="USR00855"/>
    <s v="APP055"/>
    <s v="BuzzOne"/>
    <x v="4"/>
    <x v="0"/>
    <s v="Female"/>
    <s v="Germany"/>
    <s v="Smartphone"/>
    <n v="12"/>
    <n v="12.3"/>
    <s v="No"/>
    <s v="No"/>
    <s v="Yes"/>
    <n v="0"/>
  </r>
  <r>
    <s v="USR00856"/>
    <s v="APP056"/>
    <s v="PlayHub"/>
    <x v="4"/>
    <x v="1"/>
    <s v="Female"/>
    <s v="Canada"/>
    <s v="Smartphone"/>
    <n v="1"/>
    <n v="19.7"/>
    <s v="No"/>
    <s v="No"/>
    <s v="Yes"/>
    <n v="0"/>
  </r>
  <r>
    <s v="USR00857"/>
    <s v="APP057"/>
    <s v="CinemaGo"/>
    <x v="4"/>
    <x v="0"/>
    <s v="Male"/>
    <s v="Singapore"/>
    <s v="Smartphone"/>
    <n v="50"/>
    <n v="16.7"/>
    <s v="Yes"/>
    <s v="No"/>
    <s v="Yes"/>
    <n v="0"/>
  </r>
  <r>
    <s v="USR00858"/>
    <s v="APP058"/>
    <s v="LaughX"/>
    <x v="4"/>
    <x v="0"/>
    <s v="Male"/>
    <s v="Canada"/>
    <s v="Smartphone"/>
    <n v="25"/>
    <n v="9.3000000000000007"/>
    <s v="Yes"/>
    <s v="No"/>
    <s v="No"/>
    <n v="0"/>
  </r>
  <r>
    <s v="USR00859"/>
    <s v="APP059"/>
    <s v="CinemaHub"/>
    <x v="4"/>
    <x v="1"/>
    <s v="Female"/>
    <s v="India"/>
    <s v="Smartphone"/>
    <n v="25"/>
    <n v="23"/>
    <s v="Yes"/>
    <s v="Yes"/>
    <s v="No"/>
    <n v="0"/>
  </r>
  <r>
    <s v="USR00860"/>
    <s v="APP060"/>
    <s v="ShowPro"/>
    <x v="4"/>
    <x v="0"/>
    <s v="Female"/>
    <s v="Singapore"/>
    <s v="Tablet"/>
    <n v="8"/>
    <n v="22.3"/>
    <s v="No"/>
    <s v="Yes"/>
    <s v="No"/>
    <n v="0"/>
  </r>
  <r>
    <s v="USR00861"/>
    <s v="APP061"/>
    <s v="FoodPlus"/>
    <x v="5"/>
    <x v="0"/>
    <s v="Female"/>
    <s v="India"/>
    <s v="Smartphone"/>
    <n v="10"/>
    <n v="8.1999999999999993"/>
    <s v="No"/>
    <s v="Yes"/>
    <s v="No"/>
    <n v="31.53"/>
  </r>
  <r>
    <s v="USR00862"/>
    <s v="APP062"/>
    <s v="BiteGo"/>
    <x v="5"/>
    <x v="3"/>
    <s v="Male"/>
    <s v="Australia"/>
    <s v="Smartphone"/>
    <n v="52"/>
    <n v="22.8"/>
    <s v="Yes"/>
    <s v="No"/>
    <s v="No"/>
    <n v="0"/>
  </r>
  <r>
    <s v="USR00863"/>
    <s v="APP063"/>
    <s v="OrderCloud"/>
    <x v="5"/>
    <x v="0"/>
    <s v="Male"/>
    <s v="Singapore"/>
    <s v="Smartphone"/>
    <n v="6"/>
    <n v="4.5999999999999996"/>
    <s v="No"/>
    <s v="No"/>
    <s v="Yes"/>
    <n v="0"/>
  </r>
  <r>
    <s v="USR00864"/>
    <s v="APP064"/>
    <s v="DinePlus"/>
    <x v="5"/>
    <x v="2"/>
    <s v="Male"/>
    <s v="Singapore"/>
    <s v="Smartphone"/>
    <n v="19"/>
    <n v="17.8"/>
    <s v="No"/>
    <s v="No"/>
    <s v="No"/>
    <n v="38.79"/>
  </r>
  <r>
    <s v="USR00865"/>
    <s v="APP065"/>
    <s v="SnackX"/>
    <x v="5"/>
    <x v="2"/>
    <s v="Female"/>
    <s v="Australia"/>
    <s v="Smartphone"/>
    <n v="4"/>
    <n v="7.2"/>
    <s v="No"/>
    <s v="Yes"/>
    <s v="No"/>
    <n v="0"/>
  </r>
  <r>
    <s v="USR00866"/>
    <s v="APP066"/>
    <s v="FoodOne"/>
    <x v="5"/>
    <x v="1"/>
    <s v="Female"/>
    <s v="United States"/>
    <s v="Smartphone"/>
    <n v="11"/>
    <n v="16.3"/>
    <s v="No"/>
    <s v="Yes"/>
    <s v="No"/>
    <n v="0"/>
  </r>
  <r>
    <s v="USR00867"/>
    <s v="APP067"/>
    <s v="MealMate"/>
    <x v="5"/>
    <x v="2"/>
    <s v="Male"/>
    <s v="India"/>
    <s v="Smartphone"/>
    <n v="14"/>
    <n v="13.2"/>
    <s v="No"/>
    <s v="No"/>
    <s v="No"/>
    <n v="4.24"/>
  </r>
  <r>
    <s v="USR00868"/>
    <s v="APP068"/>
    <s v="SnackHub"/>
    <x v="5"/>
    <x v="1"/>
    <s v="Female"/>
    <s v="UAE"/>
    <s v="Smartphone"/>
    <n v="78"/>
    <n v="10.7"/>
    <s v="Yes"/>
    <s v="Yes"/>
    <s v="No"/>
    <n v="0"/>
  </r>
  <r>
    <s v="USR00869"/>
    <s v="APP069"/>
    <s v="BiteCloud"/>
    <x v="5"/>
    <x v="0"/>
    <s v="Female"/>
    <s v="Singapore"/>
    <s v="Smartphone"/>
    <n v="16"/>
    <n v="6.4"/>
    <s v="No"/>
    <s v="No"/>
    <s v="No"/>
    <n v="0"/>
  </r>
  <r>
    <s v="USR00870"/>
    <s v="APP070"/>
    <s v="PlatePlus"/>
    <x v="5"/>
    <x v="2"/>
    <s v="Male"/>
    <s v="Germany"/>
    <s v="Smartphone"/>
    <n v="86"/>
    <n v="5.3"/>
    <s v="Yes"/>
    <s v="No"/>
    <s v="No"/>
    <n v="0"/>
  </r>
  <r>
    <s v="USR00871"/>
    <s v="APP071"/>
    <s v="VoyageGo"/>
    <x v="6"/>
    <x v="1"/>
    <s v="Male"/>
    <s v="Canada"/>
    <s v="Smartphone"/>
    <n v="22"/>
    <n v="3.2"/>
    <s v="No"/>
    <s v="Yes"/>
    <s v="Yes"/>
    <n v="0"/>
  </r>
  <r>
    <s v="USR00872"/>
    <s v="APP072"/>
    <s v="TripOne"/>
    <x v="6"/>
    <x v="2"/>
    <s v="Female"/>
    <s v="Singapore"/>
    <s v="Smartphone"/>
    <n v="17"/>
    <n v="22.3"/>
    <s v="No"/>
    <s v="Yes"/>
    <s v="No"/>
    <n v="39.369999999999997"/>
  </r>
  <r>
    <s v="USR00873"/>
    <s v="APP073"/>
    <s v="FlyGo"/>
    <x v="6"/>
    <x v="0"/>
    <s v="Female"/>
    <s v="Germany"/>
    <s v="Smartphone"/>
    <n v="17"/>
    <n v="20.2"/>
    <s v="No"/>
    <s v="Yes"/>
    <s v="No"/>
    <n v="0"/>
  </r>
  <r>
    <s v="USR00874"/>
    <s v="APP074"/>
    <s v="MapX"/>
    <x v="6"/>
    <x v="0"/>
    <s v="Female"/>
    <s v="United Kingdom"/>
    <s v="Smartphone"/>
    <n v="5"/>
    <n v="16.600000000000001"/>
    <s v="No"/>
    <s v="Yes"/>
    <s v="No"/>
    <n v="0"/>
  </r>
  <r>
    <s v="USR00875"/>
    <s v="APP075"/>
    <s v="StayX"/>
    <x v="6"/>
    <x v="1"/>
    <s v="Female"/>
    <s v="India"/>
    <s v="Tablet"/>
    <n v="4"/>
    <n v="18.100000000000001"/>
    <s v="No"/>
    <s v="Yes"/>
    <s v="No"/>
    <n v="9.1"/>
  </r>
  <r>
    <s v="USR00876"/>
    <s v="APP076"/>
    <s v="GoNow"/>
    <x v="6"/>
    <x v="0"/>
    <s v="Female"/>
    <s v="India"/>
    <s v="Tablet"/>
    <n v="44"/>
    <n v="17.899999999999999"/>
    <s v="Yes"/>
    <s v="Yes"/>
    <s v="No"/>
    <n v="0"/>
  </r>
  <r>
    <s v="USR00877"/>
    <s v="APP077"/>
    <s v="RouteGo"/>
    <x v="6"/>
    <x v="0"/>
    <s v="Female"/>
    <s v="United States"/>
    <s v="Smartphone"/>
    <n v="90"/>
    <n v="21.2"/>
    <s v="Yes"/>
    <s v="Yes"/>
    <s v="No"/>
    <n v="0"/>
  </r>
  <r>
    <s v="USR00878"/>
    <s v="APP078"/>
    <s v="TripGo"/>
    <x v="6"/>
    <x v="2"/>
    <s v="Female"/>
    <s v="United Kingdom"/>
    <s v="Tablet"/>
    <n v="22"/>
    <n v="15.8"/>
    <s v="No"/>
    <s v="No"/>
    <s v="No"/>
    <n v="74.12"/>
  </r>
  <r>
    <s v="USR00879"/>
    <s v="APP079"/>
    <s v="Flyly"/>
    <x v="6"/>
    <x v="4"/>
    <s v="Male"/>
    <s v="United Kingdom"/>
    <s v="Smartphone"/>
    <n v="7"/>
    <n v="12.5"/>
    <s v="No"/>
    <s v="Yes"/>
    <s v="No"/>
    <n v="0"/>
  </r>
  <r>
    <s v="USR00880"/>
    <s v="APP080"/>
    <s v="TripPro"/>
    <x v="6"/>
    <x v="0"/>
    <s v="Prefer not to say"/>
    <s v="Germany"/>
    <s v="Smartphone"/>
    <n v="15"/>
    <n v="13.4"/>
    <s v="No"/>
    <s v="No"/>
    <s v="Yes"/>
    <n v="0"/>
  </r>
  <r>
    <s v="USR00881"/>
    <s v="APP081"/>
    <s v="Focusly"/>
    <x v="7"/>
    <x v="0"/>
    <s v="Female"/>
    <s v="United States"/>
    <s v="Smartphone"/>
    <n v="24"/>
    <n v="20.8"/>
    <s v="No"/>
    <s v="No"/>
    <s v="No"/>
    <n v="0"/>
  </r>
  <r>
    <s v="USR00882"/>
    <s v="APP082"/>
    <s v="DeskX"/>
    <x v="7"/>
    <x v="0"/>
    <s v="Female"/>
    <s v="UAE"/>
    <s v="Smartphone"/>
    <n v="17"/>
    <n v="7.6"/>
    <s v="No"/>
    <s v="No"/>
    <s v="No"/>
    <n v="0"/>
  </r>
  <r>
    <s v="USR00883"/>
    <s v="APP083"/>
    <s v="DonePro"/>
    <x v="7"/>
    <x v="1"/>
    <s v="Other"/>
    <s v="India"/>
    <s v="Smartphone"/>
    <n v="9"/>
    <n v="21.3"/>
    <s v="No"/>
    <s v="Yes"/>
    <s v="No"/>
    <n v="0"/>
  </r>
  <r>
    <s v="USR00884"/>
    <s v="APP084"/>
    <s v="NotePlus"/>
    <x v="7"/>
    <x v="1"/>
    <s v="Male"/>
    <s v="Germany"/>
    <s v="Smartphone"/>
    <n v="49"/>
    <n v="15.8"/>
    <s v="Yes"/>
    <s v="Yes"/>
    <s v="No"/>
    <n v="0"/>
  </r>
  <r>
    <s v="USR00885"/>
    <s v="APP085"/>
    <s v="SyncPlus"/>
    <x v="7"/>
    <x v="2"/>
    <s v="Female"/>
    <s v="United Kingdom"/>
    <s v="Smartphone"/>
    <n v="74"/>
    <n v="15.1"/>
    <s v="Yes"/>
    <s v="Yes"/>
    <s v="Yes"/>
    <n v="0"/>
  </r>
  <r>
    <s v="USR00886"/>
    <s v="APP086"/>
    <s v="NoteOne"/>
    <x v="7"/>
    <x v="0"/>
    <s v="Female"/>
    <s v="Australia"/>
    <s v="Smartphone"/>
    <n v="21"/>
    <n v="4.9000000000000004"/>
    <s v="Yes"/>
    <s v="No"/>
    <s v="No"/>
    <n v="0"/>
  </r>
  <r>
    <s v="USR00887"/>
    <s v="APP087"/>
    <s v="NoteMate"/>
    <x v="7"/>
    <x v="2"/>
    <s v="Female"/>
    <s v="United Kingdom"/>
    <s v="Smartphone"/>
    <n v="25"/>
    <n v="7.6"/>
    <s v="Yes"/>
    <s v="Yes"/>
    <s v="No"/>
    <n v="53.66"/>
  </r>
  <r>
    <s v="USR00888"/>
    <s v="APP088"/>
    <s v="PlanPlus"/>
    <x v="7"/>
    <x v="2"/>
    <s v="Male"/>
    <s v="Germany"/>
    <s v="Tablet"/>
    <n v="28"/>
    <n v="6.6"/>
    <s v="No"/>
    <s v="No"/>
    <s v="Yes"/>
    <n v="24.63"/>
  </r>
  <r>
    <s v="USR00889"/>
    <s v="APP089"/>
    <s v="PlanMate"/>
    <x v="7"/>
    <x v="2"/>
    <s v="Female"/>
    <s v="Canada"/>
    <s v="Tablet"/>
    <n v="5"/>
    <n v="8.1"/>
    <s v="No"/>
    <s v="No"/>
    <s v="No"/>
    <n v="0"/>
  </r>
  <r>
    <s v="USR00890"/>
    <s v="APP090"/>
    <s v="SyncPlus"/>
    <x v="7"/>
    <x v="2"/>
    <s v="Male"/>
    <s v="India"/>
    <s v="Smartphone"/>
    <n v="15"/>
    <n v="16.2"/>
    <s v="Yes"/>
    <s v="Yes"/>
    <s v="No"/>
    <n v="0"/>
  </r>
  <r>
    <s v="USR00891"/>
    <s v="APP091"/>
    <s v="ClinicPro"/>
    <x v="8"/>
    <x v="0"/>
    <s v="Female"/>
    <s v="UAE"/>
    <s v="Smartphone"/>
    <n v="21"/>
    <n v="13.2"/>
    <s v="No"/>
    <s v="No"/>
    <s v="Yes"/>
    <n v="0"/>
  </r>
  <r>
    <s v="USR00892"/>
    <s v="APP092"/>
    <s v="MindMate"/>
    <x v="8"/>
    <x v="1"/>
    <s v="Female"/>
    <s v="India"/>
    <s v="Smartphone"/>
    <n v="25"/>
    <n v="23.7"/>
    <s v="Yes"/>
    <s v="Yes"/>
    <s v="No"/>
    <n v="0"/>
  </r>
  <r>
    <s v="USR00893"/>
    <s v="APP093"/>
    <s v="ClinicOne"/>
    <x v="8"/>
    <x v="1"/>
    <s v="Female"/>
    <s v="United States"/>
    <s v="Smartphone"/>
    <n v="15"/>
    <n v="16.7"/>
    <s v="No"/>
    <s v="Yes"/>
    <s v="No"/>
    <n v="0"/>
  </r>
  <r>
    <s v="USR00894"/>
    <s v="APP094"/>
    <s v="WellMate"/>
    <x v="8"/>
    <x v="2"/>
    <s v="Female"/>
    <s v="Canada"/>
    <s v="Smartphone"/>
    <n v="11"/>
    <n v="9.1"/>
    <s v="No"/>
    <s v="Yes"/>
    <s v="No"/>
    <n v="0"/>
  </r>
  <r>
    <s v="USR00895"/>
    <s v="APP095"/>
    <s v="MediMate"/>
    <x v="8"/>
    <x v="2"/>
    <s v="Other"/>
    <s v="Australia"/>
    <s v="Smartphone"/>
    <n v="20"/>
    <n v="5.0999999999999996"/>
    <s v="Yes"/>
    <s v="No"/>
    <s v="No"/>
    <n v="0"/>
  </r>
  <r>
    <s v="USR00896"/>
    <s v="APP096"/>
    <s v="WellNow"/>
    <x v="8"/>
    <x v="0"/>
    <s v="Female"/>
    <s v="United States"/>
    <s v="Smartphone"/>
    <n v="41"/>
    <n v="17.3"/>
    <s v="Yes"/>
    <s v="No"/>
    <s v="Yes"/>
    <n v="40.86"/>
  </r>
  <r>
    <s v="USR00897"/>
    <s v="APP097"/>
    <s v="CareCloud"/>
    <x v="8"/>
    <x v="2"/>
    <s v="Female"/>
    <s v="Canada"/>
    <s v="Smartphone"/>
    <n v="17"/>
    <n v="16.2"/>
    <s v="No"/>
    <s v="Yes"/>
    <s v="No"/>
    <n v="0"/>
  </r>
  <r>
    <s v="USR00898"/>
    <s v="APP098"/>
    <s v="MediNow"/>
    <x v="8"/>
    <x v="0"/>
    <s v="Male"/>
    <s v="United States"/>
    <s v="Smartphone"/>
    <n v="19"/>
    <n v="14.8"/>
    <s v="No"/>
    <s v="No"/>
    <s v="Yes"/>
    <n v="0"/>
  </r>
  <r>
    <s v="USR00899"/>
    <s v="APP099"/>
    <s v="MindPlus"/>
    <x v="8"/>
    <x v="1"/>
    <s v="Male"/>
    <s v="Singapore"/>
    <s v="Smartphone"/>
    <n v="22"/>
    <n v="7.8"/>
    <s v="No"/>
    <s v="Yes"/>
    <s v="No"/>
    <n v="26.26"/>
  </r>
  <r>
    <s v="USR00900"/>
    <s v="APP100"/>
    <s v="MediCloud"/>
    <x v="8"/>
    <x v="1"/>
    <s v="Male"/>
    <s v="United Kingdom"/>
    <s v="Smartphone"/>
    <n v="38"/>
    <n v="8.1"/>
    <s v="Yes"/>
    <s v="Yes"/>
    <s v="No"/>
    <n v="0"/>
  </r>
  <r>
    <s v="USR00901"/>
    <s v="APP001"/>
    <s v="InvestPro"/>
    <x v="0"/>
    <x v="2"/>
    <s v="Female"/>
    <s v="Germany"/>
    <s v="Tablet"/>
    <n v="86"/>
    <n v="11.6"/>
    <s v="Yes"/>
    <s v="No"/>
    <s v="No"/>
    <n v="0"/>
  </r>
  <r>
    <s v="USR00902"/>
    <s v="APP002"/>
    <s v="BankPro"/>
    <x v="0"/>
    <x v="0"/>
    <s v="Male"/>
    <s v="UAE"/>
    <s v="Smartphone"/>
    <n v="53"/>
    <n v="10.5"/>
    <s v="Yes"/>
    <s v="No"/>
    <s v="Yes"/>
    <n v="0"/>
  </r>
  <r>
    <s v="USR00903"/>
    <s v="APP003"/>
    <s v="BankX"/>
    <x v="0"/>
    <x v="2"/>
    <s v="Male"/>
    <s v="Germany"/>
    <s v="Smartphone"/>
    <n v="3"/>
    <n v="18.899999999999999"/>
    <s v="No"/>
    <s v="No"/>
    <s v="No"/>
    <n v="0"/>
  </r>
  <r>
    <s v="USR00904"/>
    <s v="APP004"/>
    <s v="BankNow"/>
    <x v="0"/>
    <x v="1"/>
    <s v="Male"/>
    <s v="Australia"/>
    <s v="Smartphone"/>
    <n v="10"/>
    <n v="21.1"/>
    <s v="No"/>
    <s v="No"/>
    <s v="Yes"/>
    <n v="0"/>
  </r>
  <r>
    <s v="USR00905"/>
    <s v="APP005"/>
    <s v="CreditHub"/>
    <x v="0"/>
    <x v="0"/>
    <s v="Male"/>
    <s v="Canada"/>
    <s v="Smartphone"/>
    <n v="44"/>
    <n v="10.199999999999999"/>
    <s v="Yes"/>
    <s v="No"/>
    <s v="Yes"/>
    <n v="0"/>
  </r>
  <r>
    <s v="USR00906"/>
    <s v="APP006"/>
    <s v="PayPlus"/>
    <x v="0"/>
    <x v="2"/>
    <s v="Prefer not to say"/>
    <s v="UAE"/>
    <s v="Smartphone"/>
    <n v="90"/>
    <n v="21.7"/>
    <s v="Yes"/>
    <s v="Yes"/>
    <s v="No"/>
    <n v="0"/>
  </r>
  <r>
    <s v="USR00907"/>
    <s v="APP007"/>
    <s v="BankPlus"/>
    <x v="0"/>
    <x v="0"/>
    <s v="Female"/>
    <s v="Singapore"/>
    <s v="Smartphone"/>
    <n v="9"/>
    <n v="18.899999999999999"/>
    <s v="No"/>
    <s v="Yes"/>
    <s v="No"/>
    <n v="88.58"/>
  </r>
  <r>
    <s v="USR00908"/>
    <s v="APP008"/>
    <s v="CoinPlus"/>
    <x v="0"/>
    <x v="0"/>
    <s v="Female"/>
    <s v="UAE"/>
    <s v="Smartphone"/>
    <n v="12"/>
    <n v="9.9"/>
    <s v="No"/>
    <s v="Yes"/>
    <s v="Yes"/>
    <n v="0"/>
  </r>
  <r>
    <s v="USR00909"/>
    <s v="APP009"/>
    <s v="CreditOne"/>
    <x v="0"/>
    <x v="1"/>
    <s v="Male"/>
    <s v="UAE"/>
    <s v="Smartphone"/>
    <n v="14"/>
    <n v="3.4"/>
    <s v="Yes"/>
    <s v="Yes"/>
    <s v="No"/>
    <n v="0"/>
  </r>
  <r>
    <s v="USR00910"/>
    <s v="APP010"/>
    <s v="PayPro"/>
    <x v="0"/>
    <x v="3"/>
    <s v="Female"/>
    <s v="UAE"/>
    <s v="Tablet"/>
    <n v="30"/>
    <n v="13"/>
    <s v="Yes"/>
    <s v="No"/>
    <s v="No"/>
    <n v="4.95"/>
  </r>
  <r>
    <s v="USR00911"/>
    <s v="APP011"/>
    <s v="Creditly"/>
    <x v="0"/>
    <x v="2"/>
    <s v="Male"/>
    <s v="India"/>
    <s v="Smartphone"/>
    <n v="47"/>
    <n v="17.2"/>
    <s v="Yes"/>
    <s v="Yes"/>
    <s v="No"/>
    <n v="0"/>
  </r>
  <r>
    <s v="USR00912"/>
    <s v="APP012"/>
    <s v="PayX"/>
    <x v="0"/>
    <x v="2"/>
    <s v="Prefer not to say"/>
    <s v="Singapore"/>
    <s v="Smartphone"/>
    <n v="10"/>
    <n v="4.5999999999999996"/>
    <s v="No"/>
    <s v="No"/>
    <s v="Yes"/>
    <n v="0"/>
  </r>
  <r>
    <s v="USR00913"/>
    <s v="APP013"/>
    <s v="DealGo"/>
    <x v="1"/>
    <x v="2"/>
    <s v="Female"/>
    <s v="United Kingdom"/>
    <s v="Smartphone"/>
    <n v="16"/>
    <n v="14.1"/>
    <s v="Yes"/>
    <s v="Yes"/>
    <s v="No"/>
    <n v="27.1"/>
  </r>
  <r>
    <s v="USR00914"/>
    <s v="APP014"/>
    <s v="MallNow"/>
    <x v="1"/>
    <x v="1"/>
    <s v="Male"/>
    <s v="United Kingdom"/>
    <s v="Smartphone"/>
    <n v="21"/>
    <n v="3.7"/>
    <s v="Yes"/>
    <s v="Yes"/>
    <s v="No"/>
    <n v="0"/>
  </r>
  <r>
    <s v="USR00915"/>
    <s v="APP015"/>
    <s v="DealPro"/>
    <x v="1"/>
    <x v="2"/>
    <s v="Female"/>
    <s v="United States"/>
    <s v="Smartphone"/>
    <n v="22"/>
    <n v="15.4"/>
    <s v="No"/>
    <s v="No"/>
    <s v="No"/>
    <n v="2.09"/>
  </r>
  <r>
    <s v="USR00916"/>
    <s v="APP016"/>
    <s v="StyleNow"/>
    <x v="1"/>
    <x v="2"/>
    <s v="Female"/>
    <s v="Canada"/>
    <s v="Smartphone"/>
    <n v="69"/>
    <n v="12.5"/>
    <s v="Yes"/>
    <s v="Yes"/>
    <s v="No"/>
    <n v="0"/>
  </r>
  <r>
    <s v="USR00917"/>
    <s v="APP017"/>
    <s v="DealCloud"/>
    <x v="1"/>
    <x v="2"/>
    <s v="Female"/>
    <s v="India"/>
    <s v="Smartphone"/>
    <n v="81"/>
    <n v="17.7"/>
    <s v="Yes"/>
    <s v="Yes"/>
    <s v="No"/>
    <n v="51.21"/>
  </r>
  <r>
    <s v="USR00918"/>
    <s v="APP018"/>
    <s v="CartCloud"/>
    <x v="1"/>
    <x v="2"/>
    <s v="Male"/>
    <s v="Germany"/>
    <s v="Smartphone"/>
    <n v="13"/>
    <n v="15.6"/>
    <s v="No"/>
    <s v="Yes"/>
    <s v="No"/>
    <n v="0"/>
  </r>
  <r>
    <s v="USR00919"/>
    <s v="APP019"/>
    <s v="CartMate"/>
    <x v="1"/>
    <x v="0"/>
    <s v="Male"/>
    <s v="Canada"/>
    <s v="Smartphone"/>
    <n v="7"/>
    <n v="23.1"/>
    <s v="No"/>
    <s v="Yes"/>
    <s v="No"/>
    <n v="4.43"/>
  </r>
  <r>
    <s v="USR00920"/>
    <s v="APP020"/>
    <s v="BazaarOne"/>
    <x v="1"/>
    <x v="2"/>
    <s v="Female"/>
    <s v="Germany"/>
    <s v="Smartphone"/>
    <n v="16"/>
    <n v="21.8"/>
    <s v="No"/>
    <s v="No"/>
    <s v="Yes"/>
    <n v="0"/>
  </r>
  <r>
    <s v="USR00921"/>
    <s v="APP021"/>
    <s v="StyleOne"/>
    <x v="1"/>
    <x v="0"/>
    <s v="Female"/>
    <s v="United States"/>
    <s v="Tablet"/>
    <n v="78"/>
    <n v="11.6"/>
    <s v="Yes"/>
    <s v="No"/>
    <s v="No"/>
    <n v="0"/>
  </r>
  <r>
    <s v="USR00922"/>
    <s v="APP022"/>
    <s v="Cartly"/>
    <x v="1"/>
    <x v="0"/>
    <s v="Female"/>
    <s v="United Kingdom"/>
    <s v="Smartphone"/>
    <n v="69"/>
    <n v="18.899999999999999"/>
    <s v="Yes"/>
    <s v="No"/>
    <s v="Yes"/>
    <n v="81.260000000000005"/>
  </r>
  <r>
    <s v="USR00923"/>
    <s v="APP023"/>
    <s v="BazaarCloud"/>
    <x v="1"/>
    <x v="0"/>
    <s v="Female"/>
    <s v="Singapore"/>
    <s v="Smartphone"/>
    <n v="23"/>
    <n v="4.5"/>
    <s v="Yes"/>
    <s v="Yes"/>
    <s v="No"/>
    <n v="69.180000000000007"/>
  </r>
  <r>
    <s v="USR00924"/>
    <s v="APP024"/>
    <s v="CartPro"/>
    <x v="1"/>
    <x v="0"/>
    <s v="Female"/>
    <s v="United States"/>
    <s v="Smartphone"/>
    <n v="44"/>
    <n v="14.4"/>
    <s v="Yes"/>
    <s v="Yes"/>
    <s v="No"/>
    <n v="0"/>
  </r>
  <r>
    <s v="USR00925"/>
    <s v="APP025"/>
    <s v="RunPlus"/>
    <x v="2"/>
    <x v="1"/>
    <s v="Male"/>
    <s v="United Kingdom"/>
    <s v="Smartphone"/>
    <n v="1"/>
    <n v="30.3"/>
    <s v="No"/>
    <s v="Yes"/>
    <s v="No"/>
    <n v="0"/>
  </r>
  <r>
    <s v="USR00926"/>
    <s v="APP026"/>
    <s v="TrainCloud"/>
    <x v="2"/>
    <x v="1"/>
    <s v="Male"/>
    <s v="Australia"/>
    <s v="Smartphone"/>
    <n v="27"/>
    <n v="9.6999999999999993"/>
    <s v="No"/>
    <s v="Yes"/>
    <s v="No"/>
    <n v="90.97"/>
  </r>
  <r>
    <s v="USR00927"/>
    <s v="APP027"/>
    <s v="Trainly"/>
    <x v="2"/>
    <x v="0"/>
    <s v="Female"/>
    <s v="Canada"/>
    <s v="Smartphone"/>
    <n v="13"/>
    <n v="14.5"/>
    <s v="No"/>
    <s v="No"/>
    <s v="No"/>
    <n v="37.36"/>
  </r>
  <r>
    <s v="USR00928"/>
    <s v="APP028"/>
    <s v="LiftCloud"/>
    <x v="2"/>
    <x v="0"/>
    <s v="Male"/>
    <s v="UAE"/>
    <s v="Smartphone"/>
    <n v="37"/>
    <n v="28.9"/>
    <s v="Yes"/>
    <s v="Yes"/>
    <s v="No"/>
    <n v="0"/>
  </r>
  <r>
    <s v="USR00929"/>
    <s v="APP029"/>
    <s v="MoveNow"/>
    <x v="2"/>
    <x v="0"/>
    <s v="Male"/>
    <s v="Germany"/>
    <s v="Smartphone"/>
    <n v="19"/>
    <n v="35.6"/>
    <s v="No"/>
    <s v="No"/>
    <s v="Yes"/>
    <n v="64.44"/>
  </r>
  <r>
    <s v="USR00930"/>
    <s v="APP030"/>
    <s v="ActiveMate"/>
    <x v="2"/>
    <x v="0"/>
    <s v="Female"/>
    <s v="Singapore"/>
    <s v="Smartphone"/>
    <n v="44"/>
    <n v="40.299999999999997"/>
    <s v="Yes"/>
    <s v="Yes"/>
    <s v="No"/>
    <n v="0"/>
  </r>
  <r>
    <s v="USR00931"/>
    <s v="APP031"/>
    <s v="RunGo"/>
    <x v="2"/>
    <x v="3"/>
    <s v="Female"/>
    <s v="UAE"/>
    <s v="Smartphone"/>
    <n v="82"/>
    <n v="36.9"/>
    <s v="Yes"/>
    <s v="Yes"/>
    <s v="No"/>
    <n v="0"/>
  </r>
  <r>
    <s v="USR00932"/>
    <s v="APP032"/>
    <s v="LiftPro"/>
    <x v="2"/>
    <x v="0"/>
    <s v="Male"/>
    <s v="UAE"/>
    <s v="Smartphone"/>
    <n v="67"/>
    <n v="23.6"/>
    <s v="Yes"/>
    <s v="No"/>
    <s v="No"/>
    <n v="49.3"/>
  </r>
  <r>
    <s v="USR00933"/>
    <s v="APP033"/>
    <s v="LiftPro"/>
    <x v="2"/>
    <x v="2"/>
    <s v="Male"/>
    <s v="Canada"/>
    <s v="Smartphone"/>
    <n v="77"/>
    <n v="23.1"/>
    <s v="Yes"/>
    <s v="Yes"/>
    <s v="No"/>
    <n v="0"/>
  </r>
  <r>
    <s v="USR00934"/>
    <s v="APP034"/>
    <s v="Liftly"/>
    <x v="2"/>
    <x v="1"/>
    <s v="Male"/>
    <s v="Germany"/>
    <s v="Smartphone"/>
    <n v="1"/>
    <n v="30.2"/>
    <s v="No"/>
    <s v="Yes"/>
    <s v="Yes"/>
    <n v="0"/>
  </r>
  <r>
    <s v="USR00935"/>
    <s v="APP035"/>
    <s v="YogaHub"/>
    <x v="2"/>
    <x v="0"/>
    <s v="Male"/>
    <s v="Australia"/>
    <s v="Smartphone"/>
    <n v="28"/>
    <n v="23.1"/>
    <s v="No"/>
    <s v="Yes"/>
    <s v="Yes"/>
    <n v="0"/>
  </r>
  <r>
    <s v="USR00936"/>
    <s v="APP036"/>
    <s v="MoveGo"/>
    <x v="2"/>
    <x v="0"/>
    <s v="Male"/>
    <s v="United States"/>
    <s v="Smartphone"/>
    <n v="46"/>
    <n v="29.7"/>
    <s v="Yes"/>
    <s v="Yes"/>
    <s v="No"/>
    <n v="0"/>
  </r>
  <r>
    <s v="USR00937"/>
    <s v="APP037"/>
    <s v="BrightNow"/>
    <x v="3"/>
    <x v="2"/>
    <s v="Male"/>
    <s v="India"/>
    <s v="Smartphone"/>
    <n v="6"/>
    <n v="41.7"/>
    <s v="No"/>
    <s v="Yes"/>
    <s v="No"/>
    <n v="0"/>
  </r>
  <r>
    <s v="USR00938"/>
    <s v="APP038"/>
    <s v="StudyCloud"/>
    <x v="3"/>
    <x v="2"/>
    <s v="Female"/>
    <s v="Canada"/>
    <s v="Smartphone"/>
    <n v="7"/>
    <n v="39.5"/>
    <s v="No"/>
    <s v="No"/>
    <s v="Yes"/>
    <n v="0"/>
  </r>
  <r>
    <s v="USR00939"/>
    <s v="APP039"/>
    <s v="SkillNow"/>
    <x v="3"/>
    <x v="2"/>
    <s v="Female"/>
    <s v="India"/>
    <s v="Smartphone"/>
    <n v="37"/>
    <n v="15.6"/>
    <s v="Yes"/>
    <s v="No"/>
    <s v="Yes"/>
    <n v="42.86"/>
  </r>
  <r>
    <s v="USR00940"/>
    <s v="APP040"/>
    <s v="LearnMate"/>
    <x v="3"/>
    <x v="1"/>
    <s v="Female"/>
    <s v="Canada"/>
    <s v="Smartphone"/>
    <n v="31"/>
    <n v="18.399999999999999"/>
    <s v="Yes"/>
    <s v="Yes"/>
    <s v="No"/>
    <n v="0"/>
  </r>
  <r>
    <s v="USR00941"/>
    <s v="APP041"/>
    <s v="QuestNow"/>
    <x v="3"/>
    <x v="1"/>
    <s v="Male"/>
    <s v="UAE"/>
    <s v="Smartphone"/>
    <n v="7"/>
    <n v="20.9"/>
    <s v="No"/>
    <s v="Yes"/>
    <s v="No"/>
    <n v="0"/>
  </r>
  <r>
    <s v="USR00942"/>
    <s v="APP042"/>
    <s v="SkillHub"/>
    <x v="3"/>
    <x v="2"/>
    <s v="Female"/>
    <s v="United Kingdom"/>
    <s v="Smartphone"/>
    <n v="25"/>
    <n v="40"/>
    <s v="Yes"/>
    <s v="Yes"/>
    <s v="Yes"/>
    <n v="0"/>
  </r>
  <r>
    <s v="USR00943"/>
    <s v="APP043"/>
    <s v="TutorCloud"/>
    <x v="3"/>
    <x v="2"/>
    <s v="Male"/>
    <s v="Germany"/>
    <s v="Smartphone"/>
    <n v="39"/>
    <n v="12.6"/>
    <s v="Yes"/>
    <s v="No"/>
    <s v="No"/>
    <n v="0"/>
  </r>
  <r>
    <s v="USR00944"/>
    <s v="APP044"/>
    <s v="SkillOne"/>
    <x v="3"/>
    <x v="0"/>
    <s v="Male"/>
    <s v="Singapore"/>
    <s v="Tablet"/>
    <n v="7"/>
    <n v="41.9"/>
    <s v="No"/>
    <s v="Yes"/>
    <s v="No"/>
    <n v="0"/>
  </r>
  <r>
    <s v="USR00945"/>
    <s v="APP045"/>
    <s v="LearnOne"/>
    <x v="3"/>
    <x v="1"/>
    <s v="Female"/>
    <s v="United States"/>
    <s v="Smartphone"/>
    <n v="25"/>
    <n v="26.3"/>
    <s v="Yes"/>
    <s v="No"/>
    <s v="No"/>
    <n v="0"/>
  </r>
  <r>
    <s v="USR00946"/>
    <s v="APP046"/>
    <s v="LearnPlus"/>
    <x v="3"/>
    <x v="0"/>
    <s v="Other"/>
    <s v="United States"/>
    <s v="Smartphone"/>
    <n v="2"/>
    <n v="39.6"/>
    <s v="No"/>
    <s v="Yes"/>
    <s v="Yes"/>
    <n v="23.61"/>
  </r>
  <r>
    <s v="USR00947"/>
    <s v="APP047"/>
    <s v="StudyPlus"/>
    <x v="3"/>
    <x v="3"/>
    <s v="Female"/>
    <s v="United States"/>
    <s v="Tablet"/>
    <n v="23"/>
    <n v="10.3"/>
    <s v="Yes"/>
    <s v="Yes"/>
    <s v="No"/>
    <n v="0"/>
  </r>
  <r>
    <s v="USR00948"/>
    <s v="APP048"/>
    <s v="StudyX"/>
    <x v="3"/>
    <x v="0"/>
    <s v="Female"/>
    <s v="United States"/>
    <s v="Smartphone"/>
    <n v="92"/>
    <n v="12.2"/>
    <s v="Yes"/>
    <s v="Yes"/>
    <s v="No"/>
    <n v="0"/>
  </r>
  <r>
    <s v="USR00949"/>
    <s v="APP049"/>
    <s v="PlayPlus"/>
    <x v="4"/>
    <x v="1"/>
    <s v="Female"/>
    <s v="Singapore"/>
    <s v="Smartphone"/>
    <n v="27"/>
    <n v="39.299999999999997"/>
    <s v="No"/>
    <s v="Yes"/>
    <s v="No"/>
    <n v="0"/>
  </r>
  <r>
    <s v="USR00950"/>
    <s v="APP050"/>
    <s v="ShowMate"/>
    <x v="4"/>
    <x v="2"/>
    <s v="Female"/>
    <s v="Singapore"/>
    <s v="Smartphone"/>
    <n v="79"/>
    <n v="33.9"/>
    <s v="Yes"/>
    <s v="Yes"/>
    <s v="No"/>
    <n v="0"/>
  </r>
  <r>
    <s v="USR00951"/>
    <s v="APP051"/>
    <s v="VibeX"/>
    <x v="4"/>
    <x v="1"/>
    <s v="Female"/>
    <s v="United States"/>
    <s v="Smartphone"/>
    <n v="6"/>
    <n v="12.1"/>
    <s v="No"/>
    <s v="No"/>
    <s v="No"/>
    <n v="0"/>
  </r>
  <r>
    <s v="USR00952"/>
    <s v="APP052"/>
    <s v="BuzzNow"/>
    <x v="4"/>
    <x v="1"/>
    <s v="Male"/>
    <s v="India"/>
    <s v="Smartphone"/>
    <n v="36"/>
    <n v="9.6"/>
    <s v="Yes"/>
    <s v="No"/>
    <s v="No"/>
    <n v="0"/>
  </r>
  <r>
    <s v="USR00953"/>
    <s v="APP053"/>
    <s v="StreamPlus"/>
    <x v="4"/>
    <x v="0"/>
    <s v="Female"/>
    <s v="Singapore"/>
    <s v="Smartphone"/>
    <n v="16"/>
    <n v="34.5"/>
    <s v="No"/>
    <s v="Yes"/>
    <s v="No"/>
    <n v="0"/>
  </r>
  <r>
    <s v="USR00954"/>
    <s v="APP054"/>
    <s v="Showly"/>
    <x v="4"/>
    <x v="3"/>
    <s v="Female"/>
    <s v="Singapore"/>
    <s v="Smartphone"/>
    <n v="13"/>
    <n v="17.399999999999999"/>
    <s v="No"/>
    <s v="Yes"/>
    <s v="No"/>
    <n v="0"/>
  </r>
  <r>
    <s v="USR00955"/>
    <s v="APP055"/>
    <s v="BuzzOne"/>
    <x v="4"/>
    <x v="4"/>
    <s v="Prefer not to say"/>
    <s v="Singapore"/>
    <s v="Smartphone"/>
    <n v="10"/>
    <n v="26.7"/>
    <s v="No"/>
    <s v="Yes"/>
    <s v="No"/>
    <n v="0"/>
  </r>
  <r>
    <s v="USR00956"/>
    <s v="APP056"/>
    <s v="PlayHub"/>
    <x v="4"/>
    <x v="0"/>
    <s v="Male"/>
    <s v="Canada"/>
    <s v="Smartphone"/>
    <n v="29"/>
    <n v="16.7"/>
    <s v="Yes"/>
    <s v="Yes"/>
    <s v="No"/>
    <n v="0"/>
  </r>
  <r>
    <s v="USR00957"/>
    <s v="APP057"/>
    <s v="CinemaGo"/>
    <x v="4"/>
    <x v="2"/>
    <s v="Male"/>
    <s v="Germany"/>
    <s v="Smartphone"/>
    <n v="14"/>
    <n v="39.700000000000003"/>
    <s v="No"/>
    <s v="Yes"/>
    <s v="No"/>
    <n v="0"/>
  </r>
  <r>
    <s v="USR00958"/>
    <s v="APP058"/>
    <s v="LaughX"/>
    <x v="4"/>
    <x v="3"/>
    <s v="Female"/>
    <s v="Canada"/>
    <s v="Smartphone"/>
    <n v="6"/>
    <n v="17.2"/>
    <s v="No"/>
    <s v="Yes"/>
    <s v="No"/>
    <n v="0"/>
  </r>
  <r>
    <s v="USR00959"/>
    <s v="APP059"/>
    <s v="CinemaHub"/>
    <x v="4"/>
    <x v="1"/>
    <s v="Female"/>
    <s v="Canada"/>
    <s v="Smartphone"/>
    <n v="37"/>
    <n v="38.700000000000003"/>
    <s v="Yes"/>
    <s v="No"/>
    <s v="No"/>
    <n v="0"/>
  </r>
  <r>
    <s v="USR00960"/>
    <s v="APP060"/>
    <s v="ShowPro"/>
    <x v="4"/>
    <x v="3"/>
    <s v="Male"/>
    <s v="Germany"/>
    <s v="Smartphone"/>
    <n v="39"/>
    <n v="34"/>
    <s v="Yes"/>
    <s v="No"/>
    <s v="Yes"/>
    <n v="0"/>
  </r>
  <r>
    <s v="USR00961"/>
    <s v="APP061"/>
    <s v="FoodPlus"/>
    <x v="5"/>
    <x v="4"/>
    <s v="Female"/>
    <s v="Canada"/>
    <s v="Smartphone"/>
    <n v="25"/>
    <n v="16.600000000000001"/>
    <s v="No"/>
    <s v="Yes"/>
    <s v="No"/>
    <n v="0"/>
  </r>
  <r>
    <s v="USR00962"/>
    <s v="APP062"/>
    <s v="BiteGo"/>
    <x v="5"/>
    <x v="2"/>
    <s v="Female"/>
    <s v="Canada"/>
    <s v="Smartphone"/>
    <n v="11"/>
    <n v="3.4"/>
    <s v="No"/>
    <s v="Yes"/>
    <s v="No"/>
    <n v="0"/>
  </r>
  <r>
    <s v="USR00963"/>
    <s v="APP063"/>
    <s v="OrderCloud"/>
    <x v="5"/>
    <x v="1"/>
    <s v="Female"/>
    <s v="Australia"/>
    <s v="Smartphone"/>
    <n v="24"/>
    <n v="9"/>
    <s v="No"/>
    <s v="No"/>
    <s v="No"/>
    <n v="0"/>
  </r>
  <r>
    <s v="USR00964"/>
    <s v="APP064"/>
    <s v="DinePlus"/>
    <x v="5"/>
    <x v="3"/>
    <s v="Female"/>
    <s v="Canada"/>
    <s v="Tablet"/>
    <n v="24"/>
    <n v="12"/>
    <s v="No"/>
    <s v="Yes"/>
    <s v="No"/>
    <n v="0"/>
  </r>
  <r>
    <s v="USR00965"/>
    <s v="APP065"/>
    <s v="SnackX"/>
    <x v="5"/>
    <x v="0"/>
    <s v="Female"/>
    <s v="Canada"/>
    <s v="Smartphone"/>
    <n v="23"/>
    <n v="3.2"/>
    <s v="No"/>
    <s v="Yes"/>
    <s v="No"/>
    <n v="9.08"/>
  </r>
  <r>
    <s v="USR00966"/>
    <s v="APP066"/>
    <s v="FoodOne"/>
    <x v="5"/>
    <x v="2"/>
    <s v="Male"/>
    <s v="Germany"/>
    <s v="Tablet"/>
    <n v="19"/>
    <n v="23.5"/>
    <s v="No"/>
    <s v="No"/>
    <s v="No"/>
    <n v="9.9600000000000009"/>
  </r>
  <r>
    <s v="USR00967"/>
    <s v="APP067"/>
    <s v="MealMate"/>
    <x v="5"/>
    <x v="0"/>
    <s v="Male"/>
    <s v="UAE"/>
    <s v="Tablet"/>
    <n v="7"/>
    <n v="18.3"/>
    <s v="No"/>
    <s v="Yes"/>
    <s v="No"/>
    <n v="0"/>
  </r>
  <r>
    <s v="USR00968"/>
    <s v="APP068"/>
    <s v="SnackHub"/>
    <x v="5"/>
    <x v="1"/>
    <s v="Female"/>
    <s v="Germany"/>
    <s v="Smartphone"/>
    <n v="20"/>
    <n v="6.6"/>
    <s v="Yes"/>
    <s v="Yes"/>
    <s v="No"/>
    <n v="0"/>
  </r>
  <r>
    <s v="USR00969"/>
    <s v="APP069"/>
    <s v="BiteCloud"/>
    <x v="5"/>
    <x v="0"/>
    <s v="Female"/>
    <s v="United States"/>
    <s v="Smartphone"/>
    <n v="24"/>
    <n v="11.9"/>
    <s v="No"/>
    <s v="Yes"/>
    <s v="Yes"/>
    <n v="40.14"/>
  </r>
  <r>
    <s v="USR00970"/>
    <s v="APP070"/>
    <s v="PlatePlus"/>
    <x v="5"/>
    <x v="1"/>
    <s v="Prefer not to say"/>
    <s v="Germany"/>
    <s v="Smartphone"/>
    <n v="75"/>
    <n v="22.8"/>
    <s v="Yes"/>
    <s v="Yes"/>
    <s v="No"/>
    <n v="0"/>
  </r>
  <r>
    <s v="USR00971"/>
    <s v="APP071"/>
    <s v="VoyageGo"/>
    <x v="6"/>
    <x v="2"/>
    <s v="Other"/>
    <s v="India"/>
    <s v="Smartphone"/>
    <n v="36"/>
    <n v="14.8"/>
    <s v="Yes"/>
    <s v="No"/>
    <s v="No"/>
    <n v="0"/>
  </r>
  <r>
    <s v="USR00972"/>
    <s v="APP072"/>
    <s v="TripOne"/>
    <x v="6"/>
    <x v="1"/>
    <s v="Other"/>
    <s v="Canada"/>
    <s v="Smartphone"/>
    <n v="77"/>
    <n v="21.8"/>
    <s v="Yes"/>
    <s v="Yes"/>
    <s v="No"/>
    <n v="0"/>
  </r>
  <r>
    <s v="USR00973"/>
    <s v="APP073"/>
    <s v="FlyGo"/>
    <x v="6"/>
    <x v="2"/>
    <s v="Male"/>
    <s v="Canada"/>
    <s v="Smartphone"/>
    <n v="9"/>
    <n v="7.8"/>
    <s v="No"/>
    <s v="Yes"/>
    <s v="No"/>
    <n v="0"/>
  </r>
  <r>
    <s v="USR00974"/>
    <s v="APP074"/>
    <s v="MapX"/>
    <x v="6"/>
    <x v="2"/>
    <s v="Female"/>
    <s v="United Kingdom"/>
    <s v="Smartphone"/>
    <n v="18"/>
    <n v="23.6"/>
    <s v="No"/>
    <s v="No"/>
    <s v="Yes"/>
    <n v="0"/>
  </r>
  <r>
    <s v="USR00975"/>
    <s v="APP075"/>
    <s v="StayX"/>
    <x v="6"/>
    <x v="0"/>
    <s v="Female"/>
    <s v="Singapore"/>
    <s v="Smartphone"/>
    <n v="36"/>
    <n v="11.8"/>
    <s v="Yes"/>
    <s v="Yes"/>
    <s v="No"/>
    <n v="48.45"/>
  </r>
  <r>
    <s v="USR00976"/>
    <s v="APP076"/>
    <s v="GoNow"/>
    <x v="6"/>
    <x v="1"/>
    <s v="Female"/>
    <s v="India"/>
    <s v="Smartphone"/>
    <n v="45"/>
    <n v="15.8"/>
    <s v="Yes"/>
    <s v="Yes"/>
    <s v="No"/>
    <n v="0"/>
  </r>
  <r>
    <s v="USR00977"/>
    <s v="APP077"/>
    <s v="RouteGo"/>
    <x v="6"/>
    <x v="4"/>
    <s v="Male"/>
    <s v="United Kingdom"/>
    <s v="Smartphone"/>
    <n v="8"/>
    <n v="3.7"/>
    <s v="No"/>
    <s v="No"/>
    <s v="Yes"/>
    <n v="0"/>
  </r>
  <r>
    <s v="USR00978"/>
    <s v="APP078"/>
    <s v="TripGo"/>
    <x v="6"/>
    <x v="2"/>
    <s v="Male"/>
    <s v="Australia"/>
    <s v="Smartphone"/>
    <n v="23"/>
    <n v="10.6"/>
    <s v="No"/>
    <s v="Yes"/>
    <s v="No"/>
    <n v="95.29"/>
  </r>
  <r>
    <s v="USR00979"/>
    <s v="APP079"/>
    <s v="Flyly"/>
    <x v="6"/>
    <x v="2"/>
    <s v="Female"/>
    <s v="India"/>
    <s v="Smartphone"/>
    <n v="23"/>
    <n v="8.5"/>
    <s v="No"/>
    <s v="Yes"/>
    <s v="No"/>
    <n v="0"/>
  </r>
  <r>
    <s v="USR00980"/>
    <s v="APP080"/>
    <s v="TripPro"/>
    <x v="6"/>
    <x v="1"/>
    <s v="Female"/>
    <s v="UAE"/>
    <s v="Tablet"/>
    <n v="4"/>
    <n v="20.8"/>
    <s v="No"/>
    <s v="No"/>
    <s v="No"/>
    <n v="0"/>
  </r>
  <r>
    <s v="USR00981"/>
    <s v="APP081"/>
    <s v="Focusly"/>
    <x v="7"/>
    <x v="0"/>
    <s v="Female"/>
    <s v="Singapore"/>
    <s v="Smartphone"/>
    <n v="62"/>
    <n v="16.3"/>
    <s v="Yes"/>
    <s v="No"/>
    <s v="Yes"/>
    <n v="0"/>
  </r>
  <r>
    <s v="USR00982"/>
    <s v="APP082"/>
    <s v="DeskX"/>
    <x v="7"/>
    <x v="0"/>
    <s v="Female"/>
    <s v="Canada"/>
    <s v="Smartphone"/>
    <n v="25"/>
    <n v="17.100000000000001"/>
    <s v="No"/>
    <s v="No"/>
    <s v="Yes"/>
    <n v="0"/>
  </r>
  <r>
    <s v="USR00983"/>
    <s v="APP083"/>
    <s v="DonePro"/>
    <x v="7"/>
    <x v="4"/>
    <s v="Female"/>
    <s v="United Kingdom"/>
    <s v="Smartphone"/>
    <n v="23"/>
    <n v="16.899999999999999"/>
    <s v="Yes"/>
    <s v="Yes"/>
    <s v="No"/>
    <n v="0"/>
  </r>
  <r>
    <s v="USR00984"/>
    <s v="APP084"/>
    <s v="NotePlus"/>
    <x v="7"/>
    <x v="2"/>
    <s v="Female"/>
    <s v="Singapore"/>
    <s v="Tablet"/>
    <n v="75"/>
    <n v="15.7"/>
    <s v="Yes"/>
    <s v="Yes"/>
    <s v="No"/>
    <n v="0"/>
  </r>
  <r>
    <s v="USR00985"/>
    <s v="APP085"/>
    <s v="SyncPlus"/>
    <x v="7"/>
    <x v="0"/>
    <s v="Male"/>
    <s v="Singapore"/>
    <s v="Smartphone"/>
    <n v="82"/>
    <n v="15.5"/>
    <s v="Yes"/>
    <s v="No"/>
    <s v="No"/>
    <n v="0"/>
  </r>
  <r>
    <s v="USR00986"/>
    <s v="APP086"/>
    <s v="NoteOne"/>
    <x v="7"/>
    <x v="2"/>
    <s v="Male"/>
    <s v="Germany"/>
    <s v="Smartphone"/>
    <n v="80"/>
    <n v="16.7"/>
    <s v="Yes"/>
    <s v="Yes"/>
    <s v="No"/>
    <n v="0"/>
  </r>
  <r>
    <s v="USR00987"/>
    <s v="APP087"/>
    <s v="NoteMate"/>
    <x v="7"/>
    <x v="1"/>
    <s v="Male"/>
    <s v="Singapore"/>
    <s v="Smartphone"/>
    <n v="35"/>
    <n v="6.2"/>
    <s v="Yes"/>
    <s v="No"/>
    <s v="Yes"/>
    <n v="78.39"/>
  </r>
  <r>
    <s v="USR00988"/>
    <s v="APP088"/>
    <s v="PlanPlus"/>
    <x v="7"/>
    <x v="2"/>
    <s v="Male"/>
    <s v="Germany"/>
    <s v="Smartphone"/>
    <n v="33"/>
    <n v="5.0999999999999996"/>
    <s v="Yes"/>
    <s v="Yes"/>
    <s v="No"/>
    <n v="0"/>
  </r>
  <r>
    <s v="USR00989"/>
    <s v="APP089"/>
    <s v="PlanMate"/>
    <x v="7"/>
    <x v="1"/>
    <s v="Male"/>
    <s v="UAE"/>
    <s v="Smartphone"/>
    <n v="72"/>
    <n v="13.7"/>
    <s v="Yes"/>
    <s v="No"/>
    <s v="Yes"/>
    <n v="0"/>
  </r>
  <r>
    <s v="USR00990"/>
    <s v="APP090"/>
    <s v="SyncPlus"/>
    <x v="7"/>
    <x v="2"/>
    <s v="Female"/>
    <s v="United States"/>
    <s v="Smartphone"/>
    <n v="73"/>
    <n v="18.100000000000001"/>
    <s v="Yes"/>
    <s v="Yes"/>
    <s v="No"/>
    <n v="0"/>
  </r>
  <r>
    <s v="USR00991"/>
    <s v="APP091"/>
    <s v="ClinicPro"/>
    <x v="8"/>
    <x v="0"/>
    <s v="Male"/>
    <s v="UAE"/>
    <s v="Smartphone"/>
    <n v="18"/>
    <n v="9.3000000000000007"/>
    <s v="No"/>
    <s v="No"/>
    <s v="No"/>
    <n v="0"/>
  </r>
  <r>
    <s v="USR00992"/>
    <s v="APP092"/>
    <s v="MindMate"/>
    <x v="8"/>
    <x v="2"/>
    <s v="Other"/>
    <s v="Germany"/>
    <s v="Smartphone"/>
    <n v="49"/>
    <n v="18.600000000000001"/>
    <s v="Yes"/>
    <s v="No"/>
    <s v="No"/>
    <n v="0"/>
  </r>
  <r>
    <s v="USR00993"/>
    <s v="APP093"/>
    <s v="ClinicOne"/>
    <x v="8"/>
    <x v="0"/>
    <s v="Female"/>
    <s v="United Kingdom"/>
    <s v="Smartphone"/>
    <n v="72"/>
    <n v="12"/>
    <s v="Yes"/>
    <s v="Yes"/>
    <s v="No"/>
    <n v="0"/>
  </r>
  <r>
    <s v="USR00994"/>
    <s v="APP094"/>
    <s v="WellMate"/>
    <x v="8"/>
    <x v="0"/>
    <s v="Female"/>
    <s v="India"/>
    <s v="Smartphone"/>
    <n v="22"/>
    <n v="7.1"/>
    <s v="No"/>
    <s v="No"/>
    <s v="No"/>
    <n v="0"/>
  </r>
  <r>
    <s v="USR00995"/>
    <s v="APP095"/>
    <s v="MediMate"/>
    <x v="8"/>
    <x v="0"/>
    <s v="Male"/>
    <s v="Germany"/>
    <s v="Smartphone"/>
    <n v="35"/>
    <n v="15.6"/>
    <s v="Yes"/>
    <s v="Yes"/>
    <s v="No"/>
    <n v="0"/>
  </r>
  <r>
    <s v="USR00996"/>
    <s v="APP096"/>
    <s v="WellNow"/>
    <x v="8"/>
    <x v="1"/>
    <s v="Male"/>
    <s v="Singapore"/>
    <s v="Smartphone"/>
    <n v="27"/>
    <n v="3.3"/>
    <s v="Yes"/>
    <s v="No"/>
    <s v="Yes"/>
    <n v="0"/>
  </r>
  <r>
    <s v="USR00997"/>
    <s v="APP097"/>
    <s v="CareCloud"/>
    <x v="8"/>
    <x v="1"/>
    <s v="Male"/>
    <s v="Canada"/>
    <s v="Smartphone"/>
    <n v="90"/>
    <n v="13.2"/>
    <s v="Yes"/>
    <s v="Yes"/>
    <s v="No"/>
    <n v="0"/>
  </r>
  <r>
    <s v="USR00998"/>
    <s v="APP098"/>
    <s v="MediNow"/>
    <x v="8"/>
    <x v="4"/>
    <s v="Male"/>
    <s v="India"/>
    <s v="Smartphone"/>
    <n v="25"/>
    <n v="8.4"/>
    <s v="No"/>
    <s v="Yes"/>
    <s v="No"/>
    <n v="0"/>
  </r>
  <r>
    <s v="USR00999"/>
    <s v="APP099"/>
    <s v="MindPlus"/>
    <x v="8"/>
    <x v="2"/>
    <s v="Female"/>
    <s v="Singapore"/>
    <s v="Smartphone"/>
    <n v="70"/>
    <n v="7"/>
    <s v="Yes"/>
    <s v="No"/>
    <s v="Yes"/>
    <n v="0"/>
  </r>
  <r>
    <s v="USR01000"/>
    <s v="APP100"/>
    <s v="MediCloud"/>
    <x v="8"/>
    <x v="2"/>
    <s v="Female"/>
    <s v="Singapore"/>
    <s v="Smartphone"/>
    <n v="90"/>
    <n v="7.4"/>
    <s v="Yes"/>
    <s v="Yes"/>
    <s v="Yes"/>
    <n v="0"/>
  </r>
  <r>
    <s v="USR01001"/>
    <s v="APP001"/>
    <s v="InvestPro"/>
    <x v="0"/>
    <x v="0"/>
    <s v="Male"/>
    <s v="Germany"/>
    <s v="Smartphone"/>
    <n v="84"/>
    <n v="23.6"/>
    <s v="Yes"/>
    <s v="Yes"/>
    <s v="No"/>
    <n v="0"/>
  </r>
  <r>
    <s v="USR01002"/>
    <s v="APP002"/>
    <s v="BankPro"/>
    <x v="0"/>
    <x v="0"/>
    <s v="Male"/>
    <s v="United States"/>
    <s v="Smartphone"/>
    <n v="61"/>
    <n v="9"/>
    <s v="Yes"/>
    <s v="Yes"/>
    <s v="No"/>
    <n v="0"/>
  </r>
  <r>
    <s v="USR01003"/>
    <s v="APP003"/>
    <s v="BankX"/>
    <x v="0"/>
    <x v="3"/>
    <s v="Female"/>
    <s v="India"/>
    <s v="Smartphone"/>
    <n v="15"/>
    <n v="16.8"/>
    <s v="Yes"/>
    <s v="Yes"/>
    <s v="No"/>
    <n v="0"/>
  </r>
  <r>
    <s v="USR01004"/>
    <s v="APP004"/>
    <s v="BankNow"/>
    <x v="0"/>
    <x v="0"/>
    <s v="Female"/>
    <s v="United States"/>
    <s v="Smartphone"/>
    <n v="8"/>
    <n v="12.9"/>
    <s v="No"/>
    <s v="No"/>
    <s v="No"/>
    <n v="0"/>
  </r>
  <r>
    <s v="USR01005"/>
    <s v="APP005"/>
    <s v="CreditHub"/>
    <x v="0"/>
    <x v="2"/>
    <s v="Female"/>
    <s v="UAE"/>
    <s v="Smartphone"/>
    <n v="18"/>
    <n v="6.4"/>
    <s v="No"/>
    <s v="No"/>
    <s v="No"/>
    <n v="0"/>
  </r>
  <r>
    <s v="USR01006"/>
    <s v="APP006"/>
    <s v="PayPlus"/>
    <x v="0"/>
    <x v="4"/>
    <s v="Prefer not to say"/>
    <s v="UAE"/>
    <s v="Smartphone"/>
    <n v="70"/>
    <n v="9.3000000000000007"/>
    <s v="Yes"/>
    <s v="No"/>
    <s v="No"/>
    <n v="6.91"/>
  </r>
  <r>
    <s v="USR01007"/>
    <s v="APP007"/>
    <s v="BankPlus"/>
    <x v="0"/>
    <x v="4"/>
    <s v="Female"/>
    <s v="Germany"/>
    <s v="Smartphone"/>
    <n v="5"/>
    <n v="8.6"/>
    <s v="No"/>
    <s v="No"/>
    <s v="No"/>
    <n v="0"/>
  </r>
  <r>
    <s v="USR01008"/>
    <s v="APP008"/>
    <s v="CoinPlus"/>
    <x v="0"/>
    <x v="2"/>
    <s v="Female"/>
    <s v="Canada"/>
    <s v="Smartphone"/>
    <n v="45"/>
    <n v="22.8"/>
    <s v="Yes"/>
    <s v="No"/>
    <s v="No"/>
    <n v="0"/>
  </r>
  <r>
    <s v="USR01009"/>
    <s v="APP009"/>
    <s v="CreditOne"/>
    <x v="0"/>
    <x v="0"/>
    <s v="Female"/>
    <s v="Canada"/>
    <s v="Smartphone"/>
    <n v="36"/>
    <n v="5.0999999999999996"/>
    <s v="Yes"/>
    <s v="Yes"/>
    <s v="No"/>
    <n v="45.16"/>
  </r>
  <r>
    <s v="USR01010"/>
    <s v="APP010"/>
    <s v="PayPro"/>
    <x v="0"/>
    <x v="1"/>
    <s v="Female"/>
    <s v="Singapore"/>
    <s v="Smartphone"/>
    <n v="1"/>
    <n v="12.1"/>
    <s v="No"/>
    <s v="No"/>
    <s v="Yes"/>
    <n v="45.56"/>
  </r>
  <r>
    <s v="USR01011"/>
    <s v="APP011"/>
    <s v="Creditly"/>
    <x v="0"/>
    <x v="0"/>
    <s v="Male"/>
    <s v="UAE"/>
    <s v="Smartphone"/>
    <n v="77"/>
    <n v="6"/>
    <s v="Yes"/>
    <s v="Yes"/>
    <s v="No"/>
    <n v="45.02"/>
  </r>
  <r>
    <s v="USR01012"/>
    <s v="APP012"/>
    <s v="PayX"/>
    <x v="0"/>
    <x v="1"/>
    <s v="Female"/>
    <s v="United States"/>
    <s v="Smartphone"/>
    <n v="7"/>
    <n v="12.2"/>
    <s v="No"/>
    <s v="No"/>
    <s v="No"/>
    <n v="32.21"/>
  </r>
  <r>
    <s v="USR01013"/>
    <s v="APP013"/>
    <s v="DealGo"/>
    <x v="1"/>
    <x v="0"/>
    <s v="Female"/>
    <s v="UAE"/>
    <s v="Smartphone"/>
    <n v="10"/>
    <n v="22.1"/>
    <s v="No"/>
    <s v="No"/>
    <s v="No"/>
    <n v="0"/>
  </r>
  <r>
    <s v="USR01014"/>
    <s v="APP014"/>
    <s v="MallNow"/>
    <x v="1"/>
    <x v="0"/>
    <s v="Female"/>
    <s v="Singapore"/>
    <s v="Smartphone"/>
    <n v="22"/>
    <n v="6.6"/>
    <s v="No"/>
    <s v="No"/>
    <s v="No"/>
    <n v="0"/>
  </r>
  <r>
    <s v="USR01015"/>
    <s v="APP015"/>
    <s v="DealPro"/>
    <x v="1"/>
    <x v="0"/>
    <s v="Female"/>
    <s v="UAE"/>
    <s v="Smartphone"/>
    <n v="7"/>
    <n v="15.9"/>
    <s v="No"/>
    <s v="No"/>
    <s v="Yes"/>
    <n v="0"/>
  </r>
  <r>
    <s v="USR01016"/>
    <s v="APP016"/>
    <s v="StyleNow"/>
    <x v="1"/>
    <x v="2"/>
    <s v="Male"/>
    <s v="Germany"/>
    <s v="Smartphone"/>
    <n v="10"/>
    <n v="14.3"/>
    <s v="No"/>
    <s v="No"/>
    <s v="No"/>
    <n v="0"/>
  </r>
  <r>
    <s v="USR01017"/>
    <s v="APP017"/>
    <s v="DealCloud"/>
    <x v="1"/>
    <x v="1"/>
    <s v="Male"/>
    <s v="Germany"/>
    <s v="Smartphone"/>
    <n v="3"/>
    <n v="18.600000000000001"/>
    <s v="No"/>
    <s v="No"/>
    <s v="Yes"/>
    <n v="0"/>
  </r>
  <r>
    <s v="USR01018"/>
    <s v="APP018"/>
    <s v="CartCloud"/>
    <x v="1"/>
    <x v="0"/>
    <s v="Male"/>
    <s v="Canada"/>
    <s v="Tablet"/>
    <n v="25"/>
    <n v="17.100000000000001"/>
    <s v="No"/>
    <s v="Yes"/>
    <s v="Yes"/>
    <n v="0"/>
  </r>
  <r>
    <s v="USR01019"/>
    <s v="APP019"/>
    <s v="CartMate"/>
    <x v="1"/>
    <x v="1"/>
    <s v="Male"/>
    <s v="Canada"/>
    <s v="Smartphone"/>
    <n v="43"/>
    <n v="6.3"/>
    <s v="Yes"/>
    <s v="No"/>
    <s v="Yes"/>
    <n v="0"/>
  </r>
  <r>
    <s v="USR01020"/>
    <s v="APP020"/>
    <s v="BazaarOne"/>
    <x v="1"/>
    <x v="0"/>
    <s v="Female"/>
    <s v="United Kingdom"/>
    <s v="Smartphone"/>
    <n v="28"/>
    <n v="23.8"/>
    <s v="No"/>
    <s v="Yes"/>
    <s v="Yes"/>
    <n v="0"/>
  </r>
  <r>
    <s v="USR01021"/>
    <s v="APP021"/>
    <s v="StyleOne"/>
    <x v="1"/>
    <x v="3"/>
    <s v="Female"/>
    <s v="UAE"/>
    <s v="Smartphone"/>
    <n v="43"/>
    <n v="23.8"/>
    <s v="Yes"/>
    <s v="No"/>
    <s v="No"/>
    <n v="0"/>
  </r>
  <r>
    <s v="USR01022"/>
    <s v="APP022"/>
    <s v="Cartly"/>
    <x v="1"/>
    <x v="1"/>
    <s v="Female"/>
    <s v="Australia"/>
    <s v="Smartphone"/>
    <n v="7"/>
    <n v="8.4"/>
    <s v="No"/>
    <s v="Yes"/>
    <s v="No"/>
    <n v="0"/>
  </r>
  <r>
    <s v="USR01023"/>
    <s v="APP023"/>
    <s v="BazaarCloud"/>
    <x v="1"/>
    <x v="3"/>
    <s v="Male"/>
    <s v="United States"/>
    <s v="Tablet"/>
    <n v="28"/>
    <n v="23.8"/>
    <s v="No"/>
    <s v="Yes"/>
    <s v="No"/>
    <n v="0"/>
  </r>
  <r>
    <s v="USR01024"/>
    <s v="APP024"/>
    <s v="CartPro"/>
    <x v="1"/>
    <x v="2"/>
    <s v="Male"/>
    <s v="UAE"/>
    <s v="Smartphone"/>
    <n v="43"/>
    <n v="13.3"/>
    <s v="Yes"/>
    <s v="No"/>
    <s v="No"/>
    <n v="0"/>
  </r>
  <r>
    <s v="USR01025"/>
    <s v="APP025"/>
    <s v="RunPlus"/>
    <x v="2"/>
    <x v="1"/>
    <s v="Prefer not to say"/>
    <s v="United States"/>
    <s v="Tablet"/>
    <n v="24"/>
    <n v="8.6"/>
    <s v="No"/>
    <s v="No"/>
    <s v="Yes"/>
    <n v="0"/>
  </r>
  <r>
    <s v="USR01026"/>
    <s v="APP026"/>
    <s v="TrainCloud"/>
    <x v="2"/>
    <x v="3"/>
    <s v="Prefer not to say"/>
    <s v="Germany"/>
    <s v="Tablet"/>
    <n v="19"/>
    <n v="34.200000000000003"/>
    <s v="Yes"/>
    <s v="Yes"/>
    <s v="No"/>
    <n v="52.75"/>
  </r>
  <r>
    <s v="USR01027"/>
    <s v="APP027"/>
    <s v="Trainly"/>
    <x v="2"/>
    <x v="1"/>
    <s v="Female"/>
    <s v="UAE"/>
    <s v="Smartphone"/>
    <n v="4"/>
    <n v="39"/>
    <s v="No"/>
    <s v="Yes"/>
    <s v="No"/>
    <n v="0"/>
  </r>
  <r>
    <s v="USR01028"/>
    <s v="APP028"/>
    <s v="LiftCloud"/>
    <x v="2"/>
    <x v="1"/>
    <s v="Other"/>
    <s v="Germany"/>
    <s v="Smartphone"/>
    <n v="70"/>
    <n v="9"/>
    <s v="Yes"/>
    <s v="Yes"/>
    <s v="No"/>
    <n v="0"/>
  </r>
  <r>
    <s v="USR01029"/>
    <s v="APP029"/>
    <s v="MoveNow"/>
    <x v="2"/>
    <x v="4"/>
    <s v="Female"/>
    <s v="United Kingdom"/>
    <s v="Smartphone"/>
    <n v="67"/>
    <n v="10"/>
    <s v="Yes"/>
    <s v="No"/>
    <s v="No"/>
    <n v="3.19"/>
  </r>
  <r>
    <s v="USR01030"/>
    <s v="APP030"/>
    <s v="ActiveMate"/>
    <x v="2"/>
    <x v="0"/>
    <s v="Female"/>
    <s v="India"/>
    <s v="Smartphone"/>
    <n v="54"/>
    <n v="31"/>
    <s v="Yes"/>
    <s v="No"/>
    <s v="Yes"/>
    <n v="43.26"/>
  </r>
  <r>
    <s v="USR01031"/>
    <s v="APP031"/>
    <s v="RunGo"/>
    <x v="2"/>
    <x v="2"/>
    <s v="Male"/>
    <s v="UAE"/>
    <s v="Smartphone"/>
    <n v="74"/>
    <n v="32.6"/>
    <s v="Yes"/>
    <s v="Yes"/>
    <s v="Yes"/>
    <n v="0"/>
  </r>
  <r>
    <s v="USR01032"/>
    <s v="APP032"/>
    <s v="LiftPro"/>
    <x v="2"/>
    <x v="1"/>
    <s v="Other"/>
    <s v="Germany"/>
    <s v="Smartphone"/>
    <n v="88"/>
    <n v="12.3"/>
    <s v="Yes"/>
    <s v="Yes"/>
    <s v="No"/>
    <n v="0"/>
  </r>
  <r>
    <s v="USR01033"/>
    <s v="APP033"/>
    <s v="LiftPro"/>
    <x v="2"/>
    <x v="2"/>
    <s v="Female"/>
    <s v="United States"/>
    <s v="Smartphone"/>
    <n v="56"/>
    <n v="18.7"/>
    <s v="Yes"/>
    <s v="No"/>
    <s v="No"/>
    <n v="0"/>
  </r>
  <r>
    <s v="USR01034"/>
    <s v="APP034"/>
    <s v="Liftly"/>
    <x v="2"/>
    <x v="0"/>
    <s v="Male"/>
    <s v="Germany"/>
    <s v="Smartphone"/>
    <n v="16"/>
    <n v="10.6"/>
    <s v="Yes"/>
    <s v="No"/>
    <s v="No"/>
    <n v="39.03"/>
  </r>
  <r>
    <s v="USR01035"/>
    <s v="APP035"/>
    <s v="YogaHub"/>
    <x v="2"/>
    <x v="2"/>
    <s v="Female"/>
    <s v="United Kingdom"/>
    <s v="Smartphone"/>
    <n v="34"/>
    <n v="37.4"/>
    <s v="Yes"/>
    <s v="Yes"/>
    <s v="No"/>
    <n v="0"/>
  </r>
  <r>
    <s v="USR01036"/>
    <s v="APP036"/>
    <s v="MoveGo"/>
    <x v="2"/>
    <x v="0"/>
    <s v="Female"/>
    <s v="India"/>
    <s v="Smartphone"/>
    <n v="64"/>
    <n v="11.3"/>
    <s v="Yes"/>
    <s v="No"/>
    <s v="No"/>
    <n v="0"/>
  </r>
  <r>
    <s v="USR01037"/>
    <s v="APP037"/>
    <s v="BrightNow"/>
    <x v="3"/>
    <x v="0"/>
    <s v="Female"/>
    <s v="India"/>
    <s v="Smartphone"/>
    <n v="19"/>
    <n v="27.5"/>
    <s v="No"/>
    <s v="No"/>
    <s v="Yes"/>
    <n v="0"/>
  </r>
  <r>
    <s v="USR01038"/>
    <s v="APP038"/>
    <s v="StudyCloud"/>
    <x v="3"/>
    <x v="2"/>
    <s v="Male"/>
    <s v="UAE"/>
    <s v="Tablet"/>
    <n v="4"/>
    <n v="33"/>
    <s v="No"/>
    <s v="No"/>
    <s v="No"/>
    <n v="0"/>
  </r>
  <r>
    <s v="USR01039"/>
    <s v="APP039"/>
    <s v="SkillNow"/>
    <x v="3"/>
    <x v="0"/>
    <s v="Male"/>
    <s v="Singapore"/>
    <s v="Smartphone"/>
    <n v="20"/>
    <n v="12.1"/>
    <s v="No"/>
    <s v="Yes"/>
    <s v="No"/>
    <n v="42.06"/>
  </r>
  <r>
    <s v="USR01040"/>
    <s v="APP040"/>
    <s v="LearnMate"/>
    <x v="3"/>
    <x v="0"/>
    <s v="Female"/>
    <s v="India"/>
    <s v="Smartphone"/>
    <n v="28"/>
    <n v="41.8"/>
    <s v="No"/>
    <s v="Yes"/>
    <s v="No"/>
    <n v="0"/>
  </r>
  <r>
    <s v="USR01041"/>
    <s v="APP041"/>
    <s v="QuestNow"/>
    <x v="3"/>
    <x v="2"/>
    <s v="Male"/>
    <s v="UAE"/>
    <s v="Smartphone"/>
    <n v="88"/>
    <n v="15.7"/>
    <s v="Yes"/>
    <s v="No"/>
    <s v="No"/>
    <n v="0"/>
  </r>
  <r>
    <s v="USR01042"/>
    <s v="APP042"/>
    <s v="SkillHub"/>
    <x v="3"/>
    <x v="2"/>
    <s v="Female"/>
    <s v="India"/>
    <s v="Smartphone"/>
    <n v="40"/>
    <n v="33.6"/>
    <s v="Yes"/>
    <s v="Yes"/>
    <s v="No"/>
    <n v="0"/>
  </r>
  <r>
    <s v="USR01043"/>
    <s v="APP043"/>
    <s v="TutorCloud"/>
    <x v="3"/>
    <x v="1"/>
    <s v="Male"/>
    <s v="UAE"/>
    <s v="Smartphone"/>
    <n v="67"/>
    <n v="10"/>
    <s v="Yes"/>
    <s v="Yes"/>
    <s v="No"/>
    <n v="0"/>
  </r>
  <r>
    <s v="USR01044"/>
    <s v="APP044"/>
    <s v="SkillOne"/>
    <x v="3"/>
    <x v="2"/>
    <s v="Male"/>
    <s v="UAE"/>
    <s v="Smartphone"/>
    <n v="14"/>
    <n v="10.199999999999999"/>
    <s v="No"/>
    <s v="Yes"/>
    <s v="Yes"/>
    <n v="0"/>
  </r>
  <r>
    <s v="USR01045"/>
    <s v="APP045"/>
    <s v="LearnOne"/>
    <x v="3"/>
    <x v="2"/>
    <s v="Female"/>
    <s v="Singapore"/>
    <s v="Smartphone"/>
    <n v="28"/>
    <n v="18.8"/>
    <s v="No"/>
    <s v="No"/>
    <s v="No"/>
    <n v="0"/>
  </r>
  <r>
    <s v="USR01046"/>
    <s v="APP046"/>
    <s v="LearnPlus"/>
    <x v="3"/>
    <x v="2"/>
    <s v="Prefer not to say"/>
    <s v="United States"/>
    <s v="Smartphone"/>
    <n v="4"/>
    <n v="16.8"/>
    <s v="No"/>
    <s v="Yes"/>
    <s v="No"/>
    <n v="0"/>
  </r>
  <r>
    <s v="USR01047"/>
    <s v="APP047"/>
    <s v="StudyPlus"/>
    <x v="3"/>
    <x v="1"/>
    <s v="Other"/>
    <s v="India"/>
    <s v="Smartphone"/>
    <n v="86"/>
    <n v="40.9"/>
    <s v="Yes"/>
    <s v="Yes"/>
    <s v="No"/>
    <n v="0"/>
  </r>
  <r>
    <s v="USR01048"/>
    <s v="APP048"/>
    <s v="StudyX"/>
    <x v="3"/>
    <x v="0"/>
    <s v="Male"/>
    <s v="India"/>
    <s v="Smartphone"/>
    <n v="93"/>
    <n v="19.399999999999999"/>
    <s v="Yes"/>
    <s v="No"/>
    <s v="Yes"/>
    <n v="32.46"/>
  </r>
  <r>
    <s v="USR01049"/>
    <s v="APP049"/>
    <s v="PlayPlus"/>
    <x v="4"/>
    <x v="4"/>
    <s v="Male"/>
    <s v="Singapore"/>
    <s v="Smartphone"/>
    <n v="58"/>
    <n v="21.8"/>
    <s v="Yes"/>
    <s v="Yes"/>
    <s v="No"/>
    <n v="0"/>
  </r>
  <r>
    <s v="USR01050"/>
    <s v="APP050"/>
    <s v="ShowMate"/>
    <x v="4"/>
    <x v="1"/>
    <s v="Female"/>
    <s v="Germany"/>
    <s v="Smartphone"/>
    <n v="26"/>
    <n v="14.9"/>
    <s v="Yes"/>
    <s v="Yes"/>
    <s v="No"/>
    <n v="0"/>
  </r>
  <r>
    <s v="USR01051"/>
    <s v="APP051"/>
    <s v="VibeX"/>
    <x v="4"/>
    <x v="1"/>
    <s v="Prefer not to say"/>
    <s v="Singapore"/>
    <s v="Smartphone"/>
    <n v="95"/>
    <n v="12.5"/>
    <s v="Yes"/>
    <s v="Yes"/>
    <s v="No"/>
    <n v="0"/>
  </r>
  <r>
    <s v="USR01052"/>
    <s v="APP052"/>
    <s v="BuzzNow"/>
    <x v="4"/>
    <x v="2"/>
    <s v="Male"/>
    <s v="United Kingdom"/>
    <s v="Smartphone"/>
    <n v="6"/>
    <n v="40.200000000000003"/>
    <s v="No"/>
    <s v="No"/>
    <s v="Yes"/>
    <n v="0"/>
  </r>
  <r>
    <s v="USR01053"/>
    <s v="APP053"/>
    <s v="StreamPlus"/>
    <x v="4"/>
    <x v="0"/>
    <s v="Male"/>
    <s v="Germany"/>
    <s v="Smartphone"/>
    <n v="6"/>
    <n v="39.799999999999997"/>
    <s v="No"/>
    <s v="No"/>
    <s v="Yes"/>
    <n v="0"/>
  </r>
  <r>
    <s v="USR01054"/>
    <s v="APP054"/>
    <s v="Showly"/>
    <x v="4"/>
    <x v="2"/>
    <s v="Female"/>
    <s v="Canada"/>
    <s v="Smartphone"/>
    <n v="89"/>
    <n v="36.200000000000003"/>
    <s v="Yes"/>
    <s v="No"/>
    <s v="No"/>
    <n v="0"/>
  </r>
  <r>
    <s v="USR01055"/>
    <s v="APP055"/>
    <s v="BuzzOne"/>
    <x v="4"/>
    <x v="0"/>
    <s v="Female"/>
    <s v="United States"/>
    <s v="Smartphone"/>
    <n v="3"/>
    <n v="32.700000000000003"/>
    <s v="No"/>
    <s v="Yes"/>
    <s v="No"/>
    <n v="33.56"/>
  </r>
  <r>
    <s v="USR01056"/>
    <s v="APP056"/>
    <s v="PlayHub"/>
    <x v="4"/>
    <x v="0"/>
    <s v="Male"/>
    <s v="United States"/>
    <s v="Smartphone"/>
    <n v="76"/>
    <n v="26.1"/>
    <s v="Yes"/>
    <s v="No"/>
    <s v="Yes"/>
    <n v="0"/>
  </r>
  <r>
    <s v="USR01057"/>
    <s v="APP057"/>
    <s v="CinemaGo"/>
    <x v="4"/>
    <x v="0"/>
    <s v="Female"/>
    <s v="Germany"/>
    <s v="Smartphone"/>
    <n v="69"/>
    <n v="15.9"/>
    <s v="Yes"/>
    <s v="No"/>
    <s v="No"/>
    <n v="79.709999999999994"/>
  </r>
  <r>
    <s v="USR01058"/>
    <s v="APP058"/>
    <s v="LaughX"/>
    <x v="4"/>
    <x v="1"/>
    <s v="Female"/>
    <s v="UAE"/>
    <s v="Tablet"/>
    <n v="11"/>
    <n v="24.6"/>
    <s v="No"/>
    <s v="No"/>
    <s v="No"/>
    <n v="0"/>
  </r>
  <r>
    <s v="USR01059"/>
    <s v="APP059"/>
    <s v="CinemaHub"/>
    <x v="4"/>
    <x v="3"/>
    <s v="Male"/>
    <s v="Singapore"/>
    <s v="Smartphone"/>
    <n v="28"/>
    <n v="31.1"/>
    <s v="Yes"/>
    <s v="Yes"/>
    <s v="No"/>
    <n v="0"/>
  </r>
  <r>
    <s v="USR01060"/>
    <s v="APP060"/>
    <s v="ShowPro"/>
    <x v="4"/>
    <x v="0"/>
    <s v="Male"/>
    <s v="United States"/>
    <s v="Smartphone"/>
    <n v="17"/>
    <n v="36.4"/>
    <s v="Yes"/>
    <s v="Yes"/>
    <s v="No"/>
    <n v="0"/>
  </r>
  <r>
    <s v="USR01061"/>
    <s v="APP061"/>
    <s v="FoodPlus"/>
    <x v="5"/>
    <x v="0"/>
    <s v="Male"/>
    <s v="Canada"/>
    <s v="Smartphone"/>
    <n v="63"/>
    <n v="3.1"/>
    <s v="Yes"/>
    <s v="No"/>
    <s v="No"/>
    <n v="0"/>
  </r>
  <r>
    <s v="USR01062"/>
    <s v="APP062"/>
    <s v="BiteGo"/>
    <x v="5"/>
    <x v="2"/>
    <s v="Prefer not to say"/>
    <s v="United Kingdom"/>
    <s v="Tablet"/>
    <n v="2"/>
    <n v="18.5"/>
    <s v="No"/>
    <s v="No"/>
    <s v="No"/>
    <n v="0"/>
  </r>
  <r>
    <s v="USR01063"/>
    <s v="APP063"/>
    <s v="OrderCloud"/>
    <x v="5"/>
    <x v="0"/>
    <s v="Female"/>
    <s v="Canada"/>
    <s v="Smartphone"/>
    <n v="15"/>
    <n v="15.4"/>
    <s v="No"/>
    <s v="No"/>
    <s v="Yes"/>
    <n v="0"/>
  </r>
  <r>
    <s v="USR01064"/>
    <s v="APP064"/>
    <s v="DinePlus"/>
    <x v="5"/>
    <x v="2"/>
    <s v="Male"/>
    <s v="India"/>
    <s v="Smartphone"/>
    <n v="53"/>
    <n v="23.7"/>
    <s v="Yes"/>
    <s v="No"/>
    <s v="Yes"/>
    <n v="9.61"/>
  </r>
  <r>
    <s v="USR01065"/>
    <s v="APP065"/>
    <s v="SnackX"/>
    <x v="5"/>
    <x v="1"/>
    <s v="Female"/>
    <s v="United States"/>
    <s v="Smartphone"/>
    <n v="23"/>
    <n v="17.399999999999999"/>
    <s v="No"/>
    <s v="No"/>
    <s v="No"/>
    <n v="88.02"/>
  </r>
  <r>
    <s v="USR01066"/>
    <s v="APP066"/>
    <s v="FoodOne"/>
    <x v="5"/>
    <x v="2"/>
    <s v="Male"/>
    <s v="Canada"/>
    <s v="Smartphone"/>
    <n v="23"/>
    <n v="6.2"/>
    <s v="No"/>
    <s v="Yes"/>
    <s v="No"/>
    <n v="0"/>
  </r>
  <r>
    <s v="USR01067"/>
    <s v="APP067"/>
    <s v="MealMate"/>
    <x v="5"/>
    <x v="0"/>
    <s v="Male"/>
    <s v="UAE"/>
    <s v="Smartphone"/>
    <n v="25"/>
    <n v="18.600000000000001"/>
    <s v="Yes"/>
    <s v="Yes"/>
    <s v="No"/>
    <n v="0"/>
  </r>
  <r>
    <s v="USR01068"/>
    <s v="APP068"/>
    <s v="SnackHub"/>
    <x v="5"/>
    <x v="0"/>
    <s v="Female"/>
    <s v="Australia"/>
    <s v="Smartphone"/>
    <n v="86"/>
    <n v="16.600000000000001"/>
    <s v="Yes"/>
    <s v="Yes"/>
    <s v="No"/>
    <n v="0"/>
  </r>
  <r>
    <s v="USR01069"/>
    <s v="APP069"/>
    <s v="BiteCloud"/>
    <x v="5"/>
    <x v="0"/>
    <s v="Female"/>
    <s v="Germany"/>
    <s v="Tablet"/>
    <n v="23"/>
    <n v="9.4"/>
    <s v="No"/>
    <s v="Yes"/>
    <s v="No"/>
    <n v="0"/>
  </r>
  <r>
    <s v="USR01070"/>
    <s v="APP070"/>
    <s v="PlatePlus"/>
    <x v="5"/>
    <x v="2"/>
    <s v="Female"/>
    <s v="Canada"/>
    <s v="Smartphone"/>
    <n v="78"/>
    <n v="5.4"/>
    <s v="Yes"/>
    <s v="Yes"/>
    <s v="No"/>
    <n v="0"/>
  </r>
  <r>
    <s v="USR01071"/>
    <s v="APP071"/>
    <s v="VoyageGo"/>
    <x v="6"/>
    <x v="1"/>
    <s v="Male"/>
    <s v="Australia"/>
    <s v="Smartphone"/>
    <n v="81"/>
    <n v="6.5"/>
    <s v="Yes"/>
    <s v="Yes"/>
    <s v="No"/>
    <n v="31.14"/>
  </r>
  <r>
    <s v="USR01072"/>
    <s v="APP072"/>
    <s v="TripOne"/>
    <x v="6"/>
    <x v="0"/>
    <s v="Prefer not to say"/>
    <s v="United States"/>
    <s v="Smartphone"/>
    <n v="85"/>
    <n v="8.6999999999999993"/>
    <s v="Yes"/>
    <s v="Yes"/>
    <s v="No"/>
    <n v="0"/>
  </r>
  <r>
    <s v="USR01073"/>
    <s v="APP073"/>
    <s v="FlyGo"/>
    <x v="6"/>
    <x v="1"/>
    <s v="Female"/>
    <s v="United Kingdom"/>
    <s v="Smartphone"/>
    <n v="19"/>
    <n v="15.7"/>
    <s v="No"/>
    <s v="No"/>
    <s v="No"/>
    <n v="0"/>
  </r>
  <r>
    <s v="USR01074"/>
    <s v="APP074"/>
    <s v="MapX"/>
    <x v="6"/>
    <x v="1"/>
    <s v="Male"/>
    <s v="Singapore"/>
    <s v="Smartphone"/>
    <n v="27"/>
    <n v="18.7"/>
    <s v="No"/>
    <s v="No"/>
    <s v="Yes"/>
    <n v="0"/>
  </r>
  <r>
    <s v="USR01075"/>
    <s v="APP075"/>
    <s v="StayX"/>
    <x v="6"/>
    <x v="0"/>
    <s v="Male"/>
    <s v="Australia"/>
    <s v="Smartphone"/>
    <n v="80"/>
    <n v="5.8"/>
    <s v="Yes"/>
    <s v="No"/>
    <s v="No"/>
    <n v="0"/>
  </r>
  <r>
    <s v="USR01076"/>
    <s v="APP076"/>
    <s v="GoNow"/>
    <x v="6"/>
    <x v="0"/>
    <s v="Female"/>
    <s v="United States"/>
    <s v="Smartphone"/>
    <n v="78"/>
    <n v="11.8"/>
    <s v="Yes"/>
    <s v="Yes"/>
    <s v="No"/>
    <n v="0"/>
  </r>
  <r>
    <s v="USR01077"/>
    <s v="APP077"/>
    <s v="RouteGo"/>
    <x v="6"/>
    <x v="1"/>
    <s v="Male"/>
    <s v="Australia"/>
    <s v="Smartphone"/>
    <n v="21"/>
    <n v="21.9"/>
    <s v="Yes"/>
    <s v="No"/>
    <s v="Yes"/>
    <n v="39.200000000000003"/>
  </r>
  <r>
    <s v="USR01078"/>
    <s v="APP078"/>
    <s v="TripGo"/>
    <x v="6"/>
    <x v="0"/>
    <s v="Female"/>
    <s v="United Kingdom"/>
    <s v="Smartphone"/>
    <n v="9"/>
    <n v="4.3"/>
    <s v="No"/>
    <s v="Yes"/>
    <s v="No"/>
    <n v="0"/>
  </r>
  <r>
    <s v="USR01079"/>
    <s v="APP079"/>
    <s v="Flyly"/>
    <x v="6"/>
    <x v="2"/>
    <s v="Female"/>
    <s v="UAE"/>
    <s v="Smartphone"/>
    <n v="13"/>
    <n v="14.2"/>
    <s v="No"/>
    <s v="No"/>
    <s v="No"/>
    <n v="0"/>
  </r>
  <r>
    <s v="USR01080"/>
    <s v="APP080"/>
    <s v="TripPro"/>
    <x v="6"/>
    <x v="1"/>
    <s v="Female"/>
    <s v="UAE"/>
    <s v="Smartphone"/>
    <n v="16"/>
    <n v="21.5"/>
    <s v="No"/>
    <s v="No"/>
    <s v="No"/>
    <n v="0"/>
  </r>
  <r>
    <s v="USR01081"/>
    <s v="APP081"/>
    <s v="Focusly"/>
    <x v="7"/>
    <x v="1"/>
    <s v="Prefer not to say"/>
    <s v="Germany"/>
    <s v="Smartphone"/>
    <n v="21"/>
    <n v="22.8"/>
    <s v="No"/>
    <s v="Yes"/>
    <s v="No"/>
    <n v="0"/>
  </r>
  <r>
    <s v="USR01082"/>
    <s v="APP082"/>
    <s v="DeskX"/>
    <x v="7"/>
    <x v="2"/>
    <s v="Female"/>
    <s v="United States"/>
    <s v="Smartphone"/>
    <n v="40"/>
    <n v="23.6"/>
    <s v="Yes"/>
    <s v="Yes"/>
    <s v="Yes"/>
    <n v="0"/>
  </r>
  <r>
    <s v="USR01083"/>
    <s v="APP083"/>
    <s v="DonePro"/>
    <x v="7"/>
    <x v="2"/>
    <s v="Female"/>
    <s v="United States"/>
    <s v="Smartphone"/>
    <n v="28"/>
    <n v="8.9"/>
    <s v="No"/>
    <s v="Yes"/>
    <s v="No"/>
    <n v="0"/>
  </r>
  <r>
    <s v="USR01084"/>
    <s v="APP084"/>
    <s v="NotePlus"/>
    <x v="7"/>
    <x v="4"/>
    <s v="Male"/>
    <s v="Canada"/>
    <s v="Smartphone"/>
    <n v="62"/>
    <n v="15"/>
    <s v="Yes"/>
    <s v="No"/>
    <s v="No"/>
    <n v="0"/>
  </r>
  <r>
    <s v="USR01085"/>
    <s v="APP085"/>
    <s v="SyncPlus"/>
    <x v="7"/>
    <x v="0"/>
    <s v="Female"/>
    <s v="United Kingdom"/>
    <s v="Smartphone"/>
    <n v="1"/>
    <n v="23.9"/>
    <s v="No"/>
    <s v="Yes"/>
    <s v="No"/>
    <n v="0"/>
  </r>
  <r>
    <s v="USR01086"/>
    <s v="APP086"/>
    <s v="NoteOne"/>
    <x v="7"/>
    <x v="3"/>
    <s v="Female"/>
    <s v="Canada"/>
    <s v="Tablet"/>
    <n v="23"/>
    <n v="21.1"/>
    <s v="No"/>
    <s v="Yes"/>
    <s v="No"/>
    <n v="0"/>
  </r>
  <r>
    <s v="USR01087"/>
    <s v="APP087"/>
    <s v="NoteMate"/>
    <x v="7"/>
    <x v="1"/>
    <s v="Female"/>
    <s v="United Kingdom"/>
    <s v="Smartphone"/>
    <n v="21"/>
    <n v="8.5"/>
    <s v="No"/>
    <s v="No"/>
    <s v="No"/>
    <n v="10.88"/>
  </r>
  <r>
    <s v="USR01088"/>
    <s v="APP088"/>
    <s v="PlanPlus"/>
    <x v="7"/>
    <x v="0"/>
    <s v="Male"/>
    <s v="Singapore"/>
    <s v="Smartphone"/>
    <n v="23"/>
    <n v="3.1"/>
    <s v="No"/>
    <s v="No"/>
    <s v="No"/>
    <n v="0"/>
  </r>
  <r>
    <s v="USR01089"/>
    <s v="APP089"/>
    <s v="PlanMate"/>
    <x v="7"/>
    <x v="0"/>
    <s v="Female"/>
    <s v="Canada"/>
    <s v="Smartphone"/>
    <n v="24"/>
    <n v="20.3"/>
    <s v="Yes"/>
    <s v="Yes"/>
    <s v="No"/>
    <n v="0"/>
  </r>
  <r>
    <s v="USR01090"/>
    <s v="APP090"/>
    <s v="SyncPlus"/>
    <x v="7"/>
    <x v="1"/>
    <s v="Male"/>
    <s v="UAE"/>
    <s v="Smartphone"/>
    <n v="75"/>
    <n v="16.5"/>
    <s v="Yes"/>
    <s v="Yes"/>
    <s v="No"/>
    <n v="0"/>
  </r>
  <r>
    <s v="USR01091"/>
    <s v="APP091"/>
    <s v="ClinicPro"/>
    <x v="8"/>
    <x v="2"/>
    <s v="Female"/>
    <s v="Australia"/>
    <s v="Smartphone"/>
    <n v="26"/>
    <n v="5"/>
    <s v="No"/>
    <s v="No"/>
    <s v="No"/>
    <n v="0"/>
  </r>
  <r>
    <s v="USR01092"/>
    <s v="APP092"/>
    <s v="MindMate"/>
    <x v="8"/>
    <x v="3"/>
    <s v="Male"/>
    <s v="UAE"/>
    <s v="Smartphone"/>
    <n v="54"/>
    <n v="18"/>
    <s v="Yes"/>
    <s v="No"/>
    <s v="No"/>
    <n v="0"/>
  </r>
  <r>
    <s v="USR01093"/>
    <s v="APP093"/>
    <s v="ClinicOne"/>
    <x v="8"/>
    <x v="0"/>
    <s v="Male"/>
    <s v="Singapore"/>
    <s v="Smartphone"/>
    <n v="41"/>
    <n v="23.4"/>
    <s v="Yes"/>
    <s v="Yes"/>
    <s v="No"/>
    <n v="35.17"/>
  </r>
  <r>
    <s v="USR01094"/>
    <s v="APP094"/>
    <s v="WellMate"/>
    <x v="8"/>
    <x v="2"/>
    <s v="Female"/>
    <s v="India"/>
    <s v="Smartphone"/>
    <n v="28"/>
    <n v="4.0999999999999996"/>
    <s v="No"/>
    <s v="No"/>
    <s v="No"/>
    <n v="0"/>
  </r>
  <r>
    <s v="USR01095"/>
    <s v="APP095"/>
    <s v="MediMate"/>
    <x v="8"/>
    <x v="2"/>
    <s v="Male"/>
    <s v="Singapore"/>
    <s v="Smartphone"/>
    <n v="82"/>
    <n v="8.1999999999999993"/>
    <s v="Yes"/>
    <s v="Yes"/>
    <s v="No"/>
    <n v="0"/>
  </r>
  <r>
    <s v="USR01096"/>
    <s v="APP096"/>
    <s v="WellNow"/>
    <x v="8"/>
    <x v="4"/>
    <s v="Male"/>
    <s v="United States"/>
    <s v="Smartphone"/>
    <n v="74"/>
    <n v="6.5"/>
    <s v="Yes"/>
    <s v="Yes"/>
    <s v="No"/>
    <n v="0"/>
  </r>
  <r>
    <s v="USR01097"/>
    <s v="APP097"/>
    <s v="CareCloud"/>
    <x v="8"/>
    <x v="2"/>
    <s v="Male"/>
    <s v="UAE"/>
    <s v="Tablet"/>
    <n v="88"/>
    <n v="5.2"/>
    <s v="Yes"/>
    <s v="No"/>
    <s v="Yes"/>
    <n v="12.47"/>
  </r>
  <r>
    <s v="USR01098"/>
    <s v="APP098"/>
    <s v="MediNow"/>
    <x v="8"/>
    <x v="1"/>
    <s v="Prefer not to say"/>
    <s v="UAE"/>
    <s v="Smartphone"/>
    <n v="81"/>
    <n v="23.4"/>
    <s v="Yes"/>
    <s v="Yes"/>
    <s v="No"/>
    <n v="0"/>
  </r>
  <r>
    <s v="USR01099"/>
    <s v="APP099"/>
    <s v="MindPlus"/>
    <x v="8"/>
    <x v="1"/>
    <s v="Male"/>
    <s v="Singapore"/>
    <s v="Smartphone"/>
    <n v="83"/>
    <n v="5.9"/>
    <s v="Yes"/>
    <s v="Yes"/>
    <s v="No"/>
    <n v="0"/>
  </r>
  <r>
    <s v="USR01100"/>
    <s v="APP100"/>
    <s v="MediCloud"/>
    <x v="8"/>
    <x v="1"/>
    <s v="Male"/>
    <s v="United States"/>
    <s v="Smartphone"/>
    <n v="47"/>
    <n v="4.5"/>
    <s v="Yes"/>
    <s v="No"/>
    <s v="No"/>
    <n v="0"/>
  </r>
  <r>
    <s v="USR01101"/>
    <s v="APP001"/>
    <s v="InvestPro"/>
    <x v="0"/>
    <x v="0"/>
    <s v="Female"/>
    <s v="Germany"/>
    <s v="Smartphone"/>
    <n v="21"/>
    <n v="18.600000000000001"/>
    <s v="No"/>
    <s v="Yes"/>
    <s v="No"/>
    <n v="29.06"/>
  </r>
  <r>
    <s v="USR01102"/>
    <s v="APP002"/>
    <s v="BankPro"/>
    <x v="0"/>
    <x v="1"/>
    <s v="Male"/>
    <s v="UAE"/>
    <s v="Tablet"/>
    <n v="87"/>
    <n v="11.4"/>
    <s v="Yes"/>
    <s v="Yes"/>
    <s v="Yes"/>
    <n v="5.56"/>
  </r>
  <r>
    <s v="USR01103"/>
    <s v="APP003"/>
    <s v="BankX"/>
    <x v="0"/>
    <x v="0"/>
    <s v="Male"/>
    <s v="Singapore"/>
    <s v="Smartphone"/>
    <n v="21"/>
    <n v="16.5"/>
    <s v="Yes"/>
    <s v="No"/>
    <s v="No"/>
    <n v="0"/>
  </r>
  <r>
    <s v="USR01104"/>
    <s v="APP004"/>
    <s v="BankNow"/>
    <x v="0"/>
    <x v="4"/>
    <s v="Male"/>
    <s v="United States"/>
    <s v="Smartphone"/>
    <n v="67"/>
    <n v="23.3"/>
    <s v="Yes"/>
    <s v="Yes"/>
    <s v="No"/>
    <n v="0"/>
  </r>
  <r>
    <s v="USR01105"/>
    <s v="APP005"/>
    <s v="CreditHub"/>
    <x v="0"/>
    <x v="2"/>
    <s v="Female"/>
    <s v="Germany"/>
    <s v="Smartphone"/>
    <n v="45"/>
    <n v="19"/>
    <s v="Yes"/>
    <s v="Yes"/>
    <s v="No"/>
    <n v="10.47"/>
  </r>
  <r>
    <s v="USR01106"/>
    <s v="APP006"/>
    <s v="PayPlus"/>
    <x v="0"/>
    <x v="1"/>
    <s v="Female"/>
    <s v="India"/>
    <s v="Tablet"/>
    <n v="48"/>
    <n v="12.1"/>
    <s v="Yes"/>
    <s v="Yes"/>
    <s v="Yes"/>
    <n v="0"/>
  </r>
  <r>
    <s v="USR01107"/>
    <s v="APP007"/>
    <s v="BankPlus"/>
    <x v="0"/>
    <x v="2"/>
    <s v="Female"/>
    <s v="UAE"/>
    <s v="Smartphone"/>
    <n v="18"/>
    <n v="20.5"/>
    <s v="No"/>
    <s v="Yes"/>
    <s v="No"/>
    <n v="40.020000000000003"/>
  </r>
  <r>
    <s v="USR01108"/>
    <s v="APP008"/>
    <s v="CoinPlus"/>
    <x v="0"/>
    <x v="1"/>
    <s v="Female"/>
    <s v="UAE"/>
    <s v="Smartphone"/>
    <n v="25"/>
    <n v="20.8"/>
    <s v="Yes"/>
    <s v="Yes"/>
    <s v="No"/>
    <n v="10.78"/>
  </r>
  <r>
    <s v="USR01109"/>
    <s v="APP009"/>
    <s v="CreditOne"/>
    <x v="0"/>
    <x v="3"/>
    <s v="Female"/>
    <s v="India"/>
    <s v="Smartphone"/>
    <n v="47"/>
    <n v="23.1"/>
    <s v="Yes"/>
    <s v="No"/>
    <s v="Yes"/>
    <n v="0"/>
  </r>
  <r>
    <s v="USR01110"/>
    <s v="APP010"/>
    <s v="PayPro"/>
    <x v="0"/>
    <x v="2"/>
    <s v="Female"/>
    <s v="Germany"/>
    <s v="Tablet"/>
    <n v="94"/>
    <n v="10.9"/>
    <s v="Yes"/>
    <s v="Yes"/>
    <s v="No"/>
    <n v="14.07"/>
  </r>
  <r>
    <s v="USR01111"/>
    <s v="APP011"/>
    <s v="Creditly"/>
    <x v="0"/>
    <x v="2"/>
    <s v="Male"/>
    <s v="United Kingdom"/>
    <s v="Smartphone"/>
    <n v="2"/>
    <n v="19.2"/>
    <s v="No"/>
    <s v="No"/>
    <s v="Yes"/>
    <n v="0"/>
  </r>
  <r>
    <s v="USR01112"/>
    <s v="APP012"/>
    <s v="PayX"/>
    <x v="0"/>
    <x v="0"/>
    <s v="Male"/>
    <s v="UAE"/>
    <s v="Smartphone"/>
    <n v="48"/>
    <n v="11.6"/>
    <s v="Yes"/>
    <s v="Yes"/>
    <s v="Yes"/>
    <n v="36.450000000000003"/>
  </r>
  <r>
    <s v="USR01113"/>
    <s v="APP013"/>
    <s v="DealGo"/>
    <x v="1"/>
    <x v="0"/>
    <s v="Female"/>
    <s v="Australia"/>
    <s v="Smartphone"/>
    <n v="40"/>
    <n v="23.9"/>
    <s v="Yes"/>
    <s v="No"/>
    <s v="Yes"/>
    <n v="0"/>
  </r>
  <r>
    <s v="USR01114"/>
    <s v="APP014"/>
    <s v="MallNow"/>
    <x v="1"/>
    <x v="2"/>
    <s v="Male"/>
    <s v="Canada"/>
    <s v="Smartphone"/>
    <n v="13"/>
    <n v="14.8"/>
    <s v="No"/>
    <s v="Yes"/>
    <s v="No"/>
    <n v="49.64"/>
  </r>
  <r>
    <s v="USR01115"/>
    <s v="APP015"/>
    <s v="DealPro"/>
    <x v="1"/>
    <x v="1"/>
    <s v="Male"/>
    <s v="Germany"/>
    <s v="Smartphone"/>
    <n v="18"/>
    <n v="5.8"/>
    <s v="Yes"/>
    <s v="Yes"/>
    <s v="No"/>
    <n v="0"/>
  </r>
  <r>
    <s v="USR01116"/>
    <s v="APP016"/>
    <s v="StyleNow"/>
    <x v="1"/>
    <x v="1"/>
    <s v="Male"/>
    <s v="Germany"/>
    <s v="Smartphone"/>
    <n v="84"/>
    <n v="13.3"/>
    <s v="Yes"/>
    <s v="Yes"/>
    <s v="Yes"/>
    <n v="0"/>
  </r>
  <r>
    <s v="USR01117"/>
    <s v="APP017"/>
    <s v="DealCloud"/>
    <x v="1"/>
    <x v="1"/>
    <s v="Female"/>
    <s v="Germany"/>
    <s v="Smartphone"/>
    <n v="49"/>
    <n v="5.6"/>
    <s v="Yes"/>
    <s v="Yes"/>
    <s v="No"/>
    <n v="32.57"/>
  </r>
  <r>
    <s v="USR01118"/>
    <s v="APP018"/>
    <s v="CartCloud"/>
    <x v="1"/>
    <x v="2"/>
    <s v="Female"/>
    <s v="Australia"/>
    <s v="Smartphone"/>
    <n v="14"/>
    <n v="12.1"/>
    <s v="No"/>
    <s v="Yes"/>
    <s v="Yes"/>
    <n v="0"/>
  </r>
  <r>
    <s v="USR01119"/>
    <s v="APP019"/>
    <s v="CartMate"/>
    <x v="1"/>
    <x v="0"/>
    <s v="Other"/>
    <s v="Canada"/>
    <s v="Smartphone"/>
    <n v="20"/>
    <n v="8.4"/>
    <s v="No"/>
    <s v="Yes"/>
    <s v="No"/>
    <n v="27.07"/>
  </r>
  <r>
    <s v="USR01120"/>
    <s v="APP020"/>
    <s v="BazaarOne"/>
    <x v="1"/>
    <x v="0"/>
    <s v="Female"/>
    <s v="Germany"/>
    <s v="Smartphone"/>
    <n v="22"/>
    <n v="7.6"/>
    <s v="No"/>
    <s v="No"/>
    <s v="Yes"/>
    <n v="0"/>
  </r>
  <r>
    <s v="USR01121"/>
    <s v="APP021"/>
    <s v="StyleOne"/>
    <x v="1"/>
    <x v="0"/>
    <s v="Male"/>
    <s v="Germany"/>
    <s v="Smartphone"/>
    <n v="71"/>
    <n v="6.2"/>
    <s v="Yes"/>
    <s v="Yes"/>
    <s v="No"/>
    <n v="45.1"/>
  </r>
  <r>
    <s v="USR01122"/>
    <s v="APP022"/>
    <s v="Cartly"/>
    <x v="1"/>
    <x v="0"/>
    <s v="Male"/>
    <s v="United Kingdom"/>
    <s v="Smartphone"/>
    <n v="19"/>
    <n v="11.4"/>
    <s v="No"/>
    <s v="No"/>
    <s v="No"/>
    <n v="95.74"/>
  </r>
  <r>
    <s v="USR01123"/>
    <s v="APP023"/>
    <s v="BazaarCloud"/>
    <x v="1"/>
    <x v="0"/>
    <s v="Female"/>
    <s v="United States"/>
    <s v="Smartphone"/>
    <n v="44"/>
    <n v="18.2"/>
    <s v="Yes"/>
    <s v="Yes"/>
    <s v="No"/>
    <n v="0"/>
  </r>
  <r>
    <s v="USR01124"/>
    <s v="APP024"/>
    <s v="CartPro"/>
    <x v="1"/>
    <x v="3"/>
    <s v="Female"/>
    <s v="Australia"/>
    <s v="Tablet"/>
    <n v="21"/>
    <n v="6.9"/>
    <s v="No"/>
    <s v="Yes"/>
    <s v="No"/>
    <n v="0"/>
  </r>
  <r>
    <s v="USR01125"/>
    <s v="APP025"/>
    <s v="RunPlus"/>
    <x v="2"/>
    <x v="2"/>
    <s v="Male"/>
    <s v="Germany"/>
    <s v="Smartphone"/>
    <n v="68"/>
    <n v="36.6"/>
    <s v="Yes"/>
    <s v="Yes"/>
    <s v="No"/>
    <n v="0"/>
  </r>
  <r>
    <s v="USR01126"/>
    <s v="APP026"/>
    <s v="TrainCloud"/>
    <x v="2"/>
    <x v="0"/>
    <s v="Male"/>
    <s v="UAE"/>
    <s v="Smartphone"/>
    <n v="22"/>
    <n v="26.3"/>
    <s v="No"/>
    <s v="Yes"/>
    <s v="No"/>
    <n v="0"/>
  </r>
  <r>
    <s v="USR01127"/>
    <s v="APP027"/>
    <s v="Trainly"/>
    <x v="2"/>
    <x v="0"/>
    <s v="Female"/>
    <s v="Germany"/>
    <s v="Tablet"/>
    <n v="77"/>
    <n v="25.6"/>
    <s v="Yes"/>
    <s v="Yes"/>
    <s v="No"/>
    <n v="0"/>
  </r>
  <r>
    <s v="USR01128"/>
    <s v="APP028"/>
    <s v="LiftCloud"/>
    <x v="2"/>
    <x v="0"/>
    <s v="Male"/>
    <s v="United States"/>
    <s v="Smartphone"/>
    <n v="8"/>
    <n v="33.200000000000003"/>
    <s v="No"/>
    <s v="No"/>
    <s v="Yes"/>
    <n v="0"/>
  </r>
  <r>
    <s v="USR01129"/>
    <s v="APP029"/>
    <s v="MoveNow"/>
    <x v="2"/>
    <x v="2"/>
    <s v="Female"/>
    <s v="Australia"/>
    <s v="Smartphone"/>
    <n v="84"/>
    <n v="35.299999999999997"/>
    <s v="Yes"/>
    <s v="Yes"/>
    <s v="No"/>
    <n v="68.72"/>
  </r>
  <r>
    <s v="USR01130"/>
    <s v="APP030"/>
    <s v="ActiveMate"/>
    <x v="2"/>
    <x v="0"/>
    <s v="Male"/>
    <s v="UAE"/>
    <s v="Smartphone"/>
    <n v="28"/>
    <n v="31.7"/>
    <s v="No"/>
    <s v="Yes"/>
    <s v="No"/>
    <n v="0"/>
  </r>
  <r>
    <s v="USR01131"/>
    <s v="APP031"/>
    <s v="RunGo"/>
    <x v="2"/>
    <x v="0"/>
    <s v="Male"/>
    <s v="Germany"/>
    <s v="Smartphone"/>
    <n v="22"/>
    <n v="17.3"/>
    <s v="No"/>
    <s v="Yes"/>
    <s v="No"/>
    <n v="0"/>
  </r>
  <r>
    <s v="USR01132"/>
    <s v="APP032"/>
    <s v="LiftPro"/>
    <x v="2"/>
    <x v="0"/>
    <s v="Female"/>
    <s v="India"/>
    <s v="Smartphone"/>
    <n v="23"/>
    <n v="38.9"/>
    <s v="No"/>
    <s v="Yes"/>
    <s v="No"/>
    <n v="0"/>
  </r>
  <r>
    <s v="USR01133"/>
    <s v="APP033"/>
    <s v="LiftPro"/>
    <x v="2"/>
    <x v="2"/>
    <s v="Male"/>
    <s v="UAE"/>
    <s v="Smartphone"/>
    <n v="67"/>
    <n v="14.9"/>
    <s v="Yes"/>
    <s v="Yes"/>
    <s v="No"/>
    <n v="0"/>
  </r>
  <r>
    <s v="USR01134"/>
    <s v="APP034"/>
    <s v="Liftly"/>
    <x v="2"/>
    <x v="2"/>
    <s v="Female"/>
    <s v="UAE"/>
    <s v="Smartphone"/>
    <n v="33"/>
    <n v="10.8"/>
    <s v="Yes"/>
    <s v="Yes"/>
    <s v="No"/>
    <n v="0"/>
  </r>
  <r>
    <s v="USR01135"/>
    <s v="APP035"/>
    <s v="YogaHub"/>
    <x v="2"/>
    <x v="2"/>
    <s v="Female"/>
    <s v="Canada"/>
    <s v="Smartphone"/>
    <n v="13"/>
    <n v="25.5"/>
    <s v="No"/>
    <s v="Yes"/>
    <s v="No"/>
    <n v="0"/>
  </r>
  <r>
    <s v="USR01136"/>
    <s v="APP036"/>
    <s v="MoveGo"/>
    <x v="2"/>
    <x v="2"/>
    <s v="Prefer not to say"/>
    <s v="India"/>
    <s v="Smartphone"/>
    <n v="71"/>
    <n v="26.7"/>
    <s v="Yes"/>
    <s v="Yes"/>
    <s v="No"/>
    <n v="0"/>
  </r>
  <r>
    <s v="USR01137"/>
    <s v="APP037"/>
    <s v="BrightNow"/>
    <x v="3"/>
    <x v="3"/>
    <s v="Female"/>
    <s v="India"/>
    <s v="Smartphone"/>
    <n v="20"/>
    <n v="35.799999999999997"/>
    <s v="Yes"/>
    <s v="No"/>
    <s v="No"/>
    <n v="30.07"/>
  </r>
  <r>
    <s v="USR01138"/>
    <s v="APP038"/>
    <s v="StudyCloud"/>
    <x v="3"/>
    <x v="0"/>
    <s v="Female"/>
    <s v="United States"/>
    <s v="Tablet"/>
    <n v="17"/>
    <n v="13.1"/>
    <s v="Yes"/>
    <s v="Yes"/>
    <s v="Yes"/>
    <n v="0"/>
  </r>
  <r>
    <s v="USR01139"/>
    <s v="APP039"/>
    <s v="SkillNow"/>
    <x v="3"/>
    <x v="0"/>
    <s v="Male"/>
    <s v="Singapore"/>
    <s v="Tablet"/>
    <n v="90"/>
    <n v="21.2"/>
    <s v="Yes"/>
    <s v="Yes"/>
    <s v="No"/>
    <n v="0"/>
  </r>
  <r>
    <s v="USR01140"/>
    <s v="APP040"/>
    <s v="LearnMate"/>
    <x v="3"/>
    <x v="0"/>
    <s v="Female"/>
    <s v="Canada"/>
    <s v="Smartphone"/>
    <n v="1"/>
    <n v="41.4"/>
    <s v="No"/>
    <s v="No"/>
    <s v="No"/>
    <n v="18.04"/>
  </r>
  <r>
    <s v="USR01141"/>
    <s v="APP041"/>
    <s v="QuestNow"/>
    <x v="3"/>
    <x v="2"/>
    <s v="Male"/>
    <s v="India"/>
    <s v="Tablet"/>
    <n v="10"/>
    <n v="10.199999999999999"/>
    <s v="No"/>
    <s v="Yes"/>
    <s v="No"/>
    <n v="0"/>
  </r>
  <r>
    <s v="USR01142"/>
    <s v="APP042"/>
    <s v="SkillHub"/>
    <x v="3"/>
    <x v="4"/>
    <s v="Female"/>
    <s v="United Kingdom"/>
    <s v="Smartphone"/>
    <n v="2"/>
    <n v="8.1"/>
    <s v="No"/>
    <s v="No"/>
    <s v="No"/>
    <n v="6.56"/>
  </r>
  <r>
    <s v="USR01143"/>
    <s v="APP043"/>
    <s v="TutorCloud"/>
    <x v="3"/>
    <x v="2"/>
    <s v="Female"/>
    <s v="Singapore"/>
    <s v="Smartphone"/>
    <n v="27"/>
    <n v="23.3"/>
    <s v="No"/>
    <s v="No"/>
    <s v="No"/>
    <n v="46"/>
  </r>
  <r>
    <s v="USR01144"/>
    <s v="APP044"/>
    <s v="SkillOne"/>
    <x v="3"/>
    <x v="0"/>
    <s v="Female"/>
    <s v="Singapore"/>
    <s v="Smartphone"/>
    <n v="19"/>
    <n v="17.5"/>
    <s v="No"/>
    <s v="No"/>
    <s v="No"/>
    <n v="0"/>
  </r>
  <r>
    <s v="USR01145"/>
    <s v="APP045"/>
    <s v="LearnOne"/>
    <x v="3"/>
    <x v="1"/>
    <s v="Male"/>
    <s v="United Kingdom"/>
    <s v="Smartphone"/>
    <n v="24"/>
    <n v="9.8000000000000007"/>
    <s v="No"/>
    <s v="No"/>
    <s v="No"/>
    <n v="0"/>
  </r>
  <r>
    <s v="USR01146"/>
    <s v="APP046"/>
    <s v="LearnPlus"/>
    <x v="3"/>
    <x v="0"/>
    <s v="Male"/>
    <s v="Australia"/>
    <s v="Smartphone"/>
    <n v="2"/>
    <n v="12.9"/>
    <s v="No"/>
    <s v="Yes"/>
    <s v="No"/>
    <n v="22.91"/>
  </r>
  <r>
    <s v="USR01147"/>
    <s v="APP047"/>
    <s v="StudyPlus"/>
    <x v="3"/>
    <x v="2"/>
    <s v="Prefer not to say"/>
    <s v="Singapore"/>
    <s v="Smartphone"/>
    <n v="56"/>
    <n v="29.1"/>
    <s v="Yes"/>
    <s v="Yes"/>
    <s v="No"/>
    <n v="0"/>
  </r>
  <r>
    <s v="USR01148"/>
    <s v="APP048"/>
    <s v="StudyX"/>
    <x v="3"/>
    <x v="0"/>
    <s v="Male"/>
    <s v="Australia"/>
    <s v="Smartphone"/>
    <n v="7"/>
    <n v="33.1"/>
    <s v="No"/>
    <s v="Yes"/>
    <s v="No"/>
    <n v="0"/>
  </r>
  <r>
    <s v="USR01149"/>
    <s v="APP049"/>
    <s v="PlayPlus"/>
    <x v="4"/>
    <x v="2"/>
    <s v="Male"/>
    <s v="United States"/>
    <s v="Smartphone"/>
    <n v="27"/>
    <n v="11.3"/>
    <s v="No"/>
    <s v="Yes"/>
    <s v="No"/>
    <n v="0"/>
  </r>
  <r>
    <s v="USR01150"/>
    <s v="APP050"/>
    <s v="ShowMate"/>
    <x v="4"/>
    <x v="0"/>
    <s v="Female"/>
    <s v="Germany"/>
    <s v="Smartphone"/>
    <n v="25"/>
    <n v="33.9"/>
    <s v="Yes"/>
    <s v="No"/>
    <s v="Yes"/>
    <n v="0"/>
  </r>
  <r>
    <s v="USR01151"/>
    <s v="APP051"/>
    <s v="VibeX"/>
    <x v="4"/>
    <x v="0"/>
    <s v="Male"/>
    <s v="Singapore"/>
    <s v="Tablet"/>
    <n v="15"/>
    <n v="31.4"/>
    <s v="Yes"/>
    <s v="Yes"/>
    <s v="No"/>
    <n v="72.650000000000006"/>
  </r>
  <r>
    <s v="USR01152"/>
    <s v="APP052"/>
    <s v="BuzzNow"/>
    <x v="4"/>
    <x v="1"/>
    <s v="Male"/>
    <s v="Singapore"/>
    <s v="Smartphone"/>
    <n v="8"/>
    <n v="29.1"/>
    <s v="No"/>
    <s v="No"/>
    <s v="No"/>
    <n v="0"/>
  </r>
  <r>
    <s v="USR01153"/>
    <s v="APP053"/>
    <s v="StreamPlus"/>
    <x v="4"/>
    <x v="2"/>
    <s v="Male"/>
    <s v="Singapore"/>
    <s v="Smartphone"/>
    <n v="80"/>
    <n v="30.7"/>
    <s v="Yes"/>
    <s v="No"/>
    <s v="Yes"/>
    <n v="0"/>
  </r>
  <r>
    <s v="USR01154"/>
    <s v="APP054"/>
    <s v="Showly"/>
    <x v="4"/>
    <x v="0"/>
    <s v="Female"/>
    <s v="Germany"/>
    <s v="Smartphone"/>
    <n v="54"/>
    <n v="12.9"/>
    <s v="Yes"/>
    <s v="Yes"/>
    <s v="No"/>
    <n v="23.55"/>
  </r>
  <r>
    <s v="USR01155"/>
    <s v="APP055"/>
    <s v="BuzzOne"/>
    <x v="4"/>
    <x v="0"/>
    <s v="Female"/>
    <s v="UAE"/>
    <s v="Smartphone"/>
    <n v="41"/>
    <n v="15.4"/>
    <s v="Yes"/>
    <s v="Yes"/>
    <s v="Yes"/>
    <n v="0"/>
  </r>
  <r>
    <s v="USR01156"/>
    <s v="APP056"/>
    <s v="PlayHub"/>
    <x v="4"/>
    <x v="0"/>
    <s v="Female"/>
    <s v="UAE"/>
    <s v="Smartphone"/>
    <n v="19"/>
    <n v="16.8"/>
    <s v="No"/>
    <s v="No"/>
    <s v="No"/>
    <n v="0"/>
  </r>
  <r>
    <s v="USR01157"/>
    <s v="APP057"/>
    <s v="CinemaGo"/>
    <x v="4"/>
    <x v="0"/>
    <s v="Male"/>
    <s v="Germany"/>
    <s v="Tablet"/>
    <n v="9"/>
    <n v="31.7"/>
    <s v="No"/>
    <s v="Yes"/>
    <s v="No"/>
    <n v="0"/>
  </r>
  <r>
    <s v="USR01158"/>
    <s v="APP058"/>
    <s v="LaughX"/>
    <x v="4"/>
    <x v="0"/>
    <s v="Male"/>
    <s v="United Kingdom"/>
    <s v="Smartphone"/>
    <n v="14"/>
    <n v="31.2"/>
    <s v="No"/>
    <s v="Yes"/>
    <s v="No"/>
    <n v="0"/>
  </r>
  <r>
    <s v="USR01159"/>
    <s v="APP059"/>
    <s v="CinemaHub"/>
    <x v="4"/>
    <x v="0"/>
    <s v="Female"/>
    <s v="Canada"/>
    <s v="Smartphone"/>
    <n v="16"/>
    <n v="30.5"/>
    <s v="No"/>
    <s v="Yes"/>
    <s v="No"/>
    <n v="0"/>
  </r>
  <r>
    <s v="USR01160"/>
    <s v="APP060"/>
    <s v="ShowPro"/>
    <x v="4"/>
    <x v="0"/>
    <s v="Female"/>
    <s v="United States"/>
    <s v="Smartphone"/>
    <n v="14"/>
    <n v="16"/>
    <s v="No"/>
    <s v="No"/>
    <s v="No"/>
    <n v="0"/>
  </r>
  <r>
    <s v="USR01161"/>
    <s v="APP061"/>
    <s v="FoodPlus"/>
    <x v="5"/>
    <x v="0"/>
    <s v="Female"/>
    <s v="United States"/>
    <s v="Smartphone"/>
    <n v="56"/>
    <n v="16"/>
    <s v="Yes"/>
    <s v="Yes"/>
    <s v="No"/>
    <n v="0"/>
  </r>
  <r>
    <s v="USR01162"/>
    <s v="APP062"/>
    <s v="BiteGo"/>
    <x v="5"/>
    <x v="0"/>
    <s v="Female"/>
    <s v="UAE"/>
    <s v="Smartphone"/>
    <n v="4"/>
    <n v="22.4"/>
    <s v="No"/>
    <s v="No"/>
    <s v="No"/>
    <n v="0"/>
  </r>
  <r>
    <s v="USR01163"/>
    <s v="APP063"/>
    <s v="OrderCloud"/>
    <x v="5"/>
    <x v="1"/>
    <s v="Male"/>
    <s v="United Kingdom"/>
    <s v="Smartphone"/>
    <n v="7"/>
    <n v="14"/>
    <s v="No"/>
    <s v="No"/>
    <s v="Yes"/>
    <n v="0"/>
  </r>
  <r>
    <s v="USR01164"/>
    <s v="APP064"/>
    <s v="DinePlus"/>
    <x v="5"/>
    <x v="4"/>
    <s v="Prefer not to say"/>
    <s v="Germany"/>
    <s v="Tablet"/>
    <n v="21"/>
    <n v="13.4"/>
    <s v="No"/>
    <s v="No"/>
    <s v="No"/>
    <n v="0"/>
  </r>
  <r>
    <s v="USR01165"/>
    <s v="APP065"/>
    <s v="SnackX"/>
    <x v="5"/>
    <x v="0"/>
    <s v="Male"/>
    <s v="Australia"/>
    <s v="Smartphone"/>
    <n v="3"/>
    <n v="5.4"/>
    <s v="No"/>
    <s v="No"/>
    <s v="No"/>
    <n v="0"/>
  </r>
  <r>
    <s v="USR01166"/>
    <s v="APP066"/>
    <s v="FoodOne"/>
    <x v="5"/>
    <x v="0"/>
    <s v="Male"/>
    <s v="United Kingdom"/>
    <s v="Smartphone"/>
    <n v="17"/>
    <n v="9.3000000000000007"/>
    <s v="No"/>
    <s v="No"/>
    <s v="No"/>
    <n v="0"/>
  </r>
  <r>
    <s v="USR01167"/>
    <s v="APP067"/>
    <s v="MealMate"/>
    <x v="5"/>
    <x v="2"/>
    <s v="Male"/>
    <s v="India"/>
    <s v="Smartphone"/>
    <n v="64"/>
    <n v="22.4"/>
    <s v="Yes"/>
    <s v="Yes"/>
    <s v="No"/>
    <n v="0"/>
  </r>
  <r>
    <s v="USR01168"/>
    <s v="APP068"/>
    <s v="SnackHub"/>
    <x v="5"/>
    <x v="2"/>
    <s v="Prefer not to say"/>
    <s v="Germany"/>
    <s v="Smartphone"/>
    <n v="49"/>
    <n v="9.6"/>
    <s v="Yes"/>
    <s v="No"/>
    <s v="No"/>
    <n v="0"/>
  </r>
  <r>
    <s v="USR01169"/>
    <s v="APP069"/>
    <s v="BiteCloud"/>
    <x v="5"/>
    <x v="2"/>
    <s v="Male"/>
    <s v="Canada"/>
    <s v="Smartphone"/>
    <n v="15"/>
    <n v="15"/>
    <s v="No"/>
    <s v="Yes"/>
    <s v="No"/>
    <n v="0"/>
  </r>
  <r>
    <s v="USR01170"/>
    <s v="APP070"/>
    <s v="PlatePlus"/>
    <x v="5"/>
    <x v="2"/>
    <s v="Female"/>
    <s v="Germany"/>
    <s v="Smartphone"/>
    <n v="4"/>
    <n v="15.2"/>
    <s v="No"/>
    <s v="No"/>
    <s v="No"/>
    <n v="0"/>
  </r>
  <r>
    <s v="USR01171"/>
    <s v="APP071"/>
    <s v="VoyageGo"/>
    <x v="6"/>
    <x v="1"/>
    <s v="Female"/>
    <s v="Singapore"/>
    <s v="Smartphone"/>
    <n v="22"/>
    <n v="6.7"/>
    <s v="No"/>
    <s v="No"/>
    <s v="No"/>
    <n v="0"/>
  </r>
  <r>
    <s v="USR01172"/>
    <s v="APP072"/>
    <s v="TripOne"/>
    <x v="6"/>
    <x v="0"/>
    <s v="Female"/>
    <s v="UAE"/>
    <s v="Smartphone"/>
    <n v="22"/>
    <n v="14.2"/>
    <s v="No"/>
    <s v="No"/>
    <s v="Yes"/>
    <n v="0"/>
  </r>
  <r>
    <s v="USR01173"/>
    <s v="APP073"/>
    <s v="FlyGo"/>
    <x v="6"/>
    <x v="1"/>
    <s v="Female"/>
    <s v="Canada"/>
    <s v="Smartphone"/>
    <n v="88"/>
    <n v="3.8"/>
    <s v="Yes"/>
    <s v="Yes"/>
    <s v="No"/>
    <n v="20.76"/>
  </r>
  <r>
    <s v="USR01174"/>
    <s v="APP074"/>
    <s v="MapX"/>
    <x v="6"/>
    <x v="0"/>
    <s v="Male"/>
    <s v="United States"/>
    <s v="Smartphone"/>
    <n v="24"/>
    <n v="16.3"/>
    <s v="No"/>
    <s v="No"/>
    <s v="No"/>
    <n v="0"/>
  </r>
  <r>
    <s v="USR01175"/>
    <s v="APP075"/>
    <s v="StayX"/>
    <x v="6"/>
    <x v="2"/>
    <s v="Male"/>
    <s v="United States"/>
    <s v="Smartphone"/>
    <n v="22"/>
    <n v="6.1"/>
    <s v="Yes"/>
    <s v="Yes"/>
    <s v="No"/>
    <n v="0"/>
  </r>
  <r>
    <s v="USR01176"/>
    <s v="APP076"/>
    <s v="GoNow"/>
    <x v="6"/>
    <x v="2"/>
    <s v="Female"/>
    <s v="Germany"/>
    <s v="Smartphone"/>
    <n v="11"/>
    <n v="9.9"/>
    <s v="No"/>
    <s v="Yes"/>
    <s v="No"/>
    <n v="86.01"/>
  </r>
  <r>
    <s v="USR01177"/>
    <s v="APP077"/>
    <s v="RouteGo"/>
    <x v="6"/>
    <x v="0"/>
    <s v="Female"/>
    <s v="Canada"/>
    <s v="Smartphone"/>
    <n v="21"/>
    <n v="19.2"/>
    <s v="Yes"/>
    <s v="No"/>
    <s v="No"/>
    <n v="0"/>
  </r>
  <r>
    <s v="USR01178"/>
    <s v="APP078"/>
    <s v="TripGo"/>
    <x v="6"/>
    <x v="2"/>
    <s v="Male"/>
    <s v="Canada"/>
    <s v="Smartphone"/>
    <n v="18"/>
    <n v="19.8"/>
    <s v="No"/>
    <s v="No"/>
    <s v="Yes"/>
    <n v="0"/>
  </r>
  <r>
    <s v="USR01179"/>
    <s v="APP079"/>
    <s v="Flyly"/>
    <x v="6"/>
    <x v="0"/>
    <s v="Female"/>
    <s v="UAE"/>
    <s v="Smartphone"/>
    <n v="14"/>
    <n v="19.8"/>
    <s v="No"/>
    <s v="No"/>
    <s v="No"/>
    <n v="0"/>
  </r>
  <r>
    <s v="USR01180"/>
    <s v="APP080"/>
    <s v="TripPro"/>
    <x v="6"/>
    <x v="2"/>
    <s v="Female"/>
    <s v="Germany"/>
    <s v="Smartphone"/>
    <n v="4"/>
    <n v="19"/>
    <s v="No"/>
    <s v="No"/>
    <s v="No"/>
    <n v="0"/>
  </r>
  <r>
    <s v="USR01181"/>
    <s v="APP081"/>
    <s v="Focusly"/>
    <x v="7"/>
    <x v="0"/>
    <s v="Other"/>
    <s v="Australia"/>
    <s v="Smartphone"/>
    <n v="8"/>
    <n v="19.8"/>
    <s v="No"/>
    <s v="No"/>
    <s v="No"/>
    <n v="42.61"/>
  </r>
  <r>
    <s v="USR01182"/>
    <s v="APP082"/>
    <s v="DeskX"/>
    <x v="7"/>
    <x v="0"/>
    <s v="Female"/>
    <s v="Singapore"/>
    <s v="Smartphone"/>
    <n v="77"/>
    <n v="12.1"/>
    <s v="Yes"/>
    <s v="Yes"/>
    <s v="No"/>
    <n v="0"/>
  </r>
  <r>
    <s v="USR01183"/>
    <s v="APP083"/>
    <s v="DonePro"/>
    <x v="7"/>
    <x v="0"/>
    <s v="Female"/>
    <s v="India"/>
    <s v="Smartphone"/>
    <n v="57"/>
    <n v="5.7"/>
    <s v="Yes"/>
    <s v="Yes"/>
    <s v="No"/>
    <n v="0"/>
  </r>
  <r>
    <s v="USR01184"/>
    <s v="APP084"/>
    <s v="NotePlus"/>
    <x v="7"/>
    <x v="2"/>
    <s v="Male"/>
    <s v="UAE"/>
    <s v="Smartphone"/>
    <n v="47"/>
    <n v="18.2"/>
    <s v="Yes"/>
    <s v="Yes"/>
    <s v="No"/>
    <n v="0"/>
  </r>
  <r>
    <s v="USR01185"/>
    <s v="APP085"/>
    <s v="SyncPlus"/>
    <x v="7"/>
    <x v="4"/>
    <s v="Male"/>
    <s v="India"/>
    <s v="Smartphone"/>
    <n v="19"/>
    <n v="15.3"/>
    <s v="Yes"/>
    <s v="Yes"/>
    <s v="Yes"/>
    <n v="0"/>
  </r>
  <r>
    <s v="USR01186"/>
    <s v="APP086"/>
    <s v="NoteOne"/>
    <x v="7"/>
    <x v="0"/>
    <s v="Female"/>
    <s v="UAE"/>
    <s v="Smartphone"/>
    <n v="16"/>
    <n v="18.5"/>
    <s v="Yes"/>
    <s v="Yes"/>
    <s v="No"/>
    <n v="18.559999999999999"/>
  </r>
  <r>
    <s v="USR01187"/>
    <s v="APP087"/>
    <s v="NoteMate"/>
    <x v="7"/>
    <x v="0"/>
    <s v="Male"/>
    <s v="United Kingdom"/>
    <s v="Smartphone"/>
    <n v="5"/>
    <n v="10.7"/>
    <s v="No"/>
    <s v="Yes"/>
    <s v="No"/>
    <n v="57.82"/>
  </r>
  <r>
    <s v="USR01188"/>
    <s v="APP088"/>
    <s v="PlanPlus"/>
    <x v="7"/>
    <x v="0"/>
    <s v="Prefer not to say"/>
    <s v="Canada"/>
    <s v="Smartphone"/>
    <n v="15"/>
    <n v="22.5"/>
    <s v="No"/>
    <s v="No"/>
    <s v="Yes"/>
    <n v="0"/>
  </r>
  <r>
    <s v="USR01189"/>
    <s v="APP089"/>
    <s v="PlanMate"/>
    <x v="7"/>
    <x v="0"/>
    <s v="Female"/>
    <s v="United Kingdom"/>
    <s v="Smartphone"/>
    <n v="30"/>
    <n v="17"/>
    <s v="Yes"/>
    <s v="Yes"/>
    <s v="No"/>
    <n v="0"/>
  </r>
  <r>
    <s v="USR01190"/>
    <s v="APP090"/>
    <s v="SyncPlus"/>
    <x v="7"/>
    <x v="0"/>
    <s v="Male"/>
    <s v="United States"/>
    <s v="Smartphone"/>
    <n v="42"/>
    <n v="16.399999999999999"/>
    <s v="Yes"/>
    <s v="Yes"/>
    <s v="No"/>
    <n v="0"/>
  </r>
  <r>
    <s v="USR01191"/>
    <s v="APP091"/>
    <s v="ClinicPro"/>
    <x v="8"/>
    <x v="3"/>
    <s v="Male"/>
    <s v="Germany"/>
    <s v="Smartphone"/>
    <n v="72"/>
    <n v="16.2"/>
    <s v="Yes"/>
    <s v="Yes"/>
    <s v="No"/>
    <n v="0"/>
  </r>
  <r>
    <s v="USR01192"/>
    <s v="APP092"/>
    <s v="MindMate"/>
    <x v="8"/>
    <x v="2"/>
    <s v="Female"/>
    <s v="Singapore"/>
    <s v="Smartphone"/>
    <n v="30"/>
    <n v="23.4"/>
    <s v="Yes"/>
    <s v="Yes"/>
    <s v="No"/>
    <n v="23.79"/>
  </r>
  <r>
    <s v="USR01193"/>
    <s v="APP093"/>
    <s v="ClinicOne"/>
    <x v="8"/>
    <x v="2"/>
    <s v="Female"/>
    <s v="Canada"/>
    <s v="Smartphone"/>
    <n v="12"/>
    <n v="15"/>
    <s v="No"/>
    <s v="No"/>
    <s v="Yes"/>
    <n v="0"/>
  </r>
  <r>
    <s v="USR01194"/>
    <s v="APP094"/>
    <s v="WellMate"/>
    <x v="8"/>
    <x v="2"/>
    <s v="Male"/>
    <s v="United States"/>
    <s v="Smartphone"/>
    <n v="84"/>
    <n v="9.5"/>
    <s v="Yes"/>
    <s v="Yes"/>
    <s v="No"/>
    <n v="0"/>
  </r>
  <r>
    <s v="USR01195"/>
    <s v="APP095"/>
    <s v="MediMate"/>
    <x v="8"/>
    <x v="1"/>
    <s v="Prefer not to say"/>
    <s v="India"/>
    <s v="Smartphone"/>
    <n v="58"/>
    <n v="21.4"/>
    <s v="Yes"/>
    <s v="Yes"/>
    <s v="Yes"/>
    <n v="0"/>
  </r>
  <r>
    <s v="USR01196"/>
    <s v="APP096"/>
    <s v="WellNow"/>
    <x v="8"/>
    <x v="1"/>
    <s v="Prefer not to say"/>
    <s v="Australia"/>
    <s v="Smartphone"/>
    <n v="18"/>
    <n v="4.8"/>
    <s v="No"/>
    <s v="Yes"/>
    <s v="No"/>
    <n v="0"/>
  </r>
  <r>
    <s v="USR01197"/>
    <s v="APP097"/>
    <s v="CareCloud"/>
    <x v="8"/>
    <x v="4"/>
    <s v="Male"/>
    <s v="Germany"/>
    <s v="Smartphone"/>
    <n v="76"/>
    <n v="6.7"/>
    <s v="Yes"/>
    <s v="Yes"/>
    <s v="No"/>
    <n v="0"/>
  </r>
  <r>
    <s v="USR01198"/>
    <s v="APP098"/>
    <s v="MediNow"/>
    <x v="8"/>
    <x v="4"/>
    <s v="Other"/>
    <s v="United Kingdom"/>
    <s v="Smartphone"/>
    <n v="94"/>
    <n v="18.5"/>
    <s v="Yes"/>
    <s v="Yes"/>
    <s v="No"/>
    <n v="0"/>
  </r>
  <r>
    <s v="USR01199"/>
    <s v="APP099"/>
    <s v="MindPlus"/>
    <x v="8"/>
    <x v="1"/>
    <s v="Female"/>
    <s v="India"/>
    <s v="Tablet"/>
    <n v="16"/>
    <n v="14"/>
    <s v="No"/>
    <s v="No"/>
    <s v="Yes"/>
    <n v="0"/>
  </r>
  <r>
    <s v="USR01200"/>
    <s v="APP100"/>
    <s v="MediCloud"/>
    <x v="8"/>
    <x v="2"/>
    <s v="Male"/>
    <s v="Australia"/>
    <s v="Smartphone"/>
    <n v="1"/>
    <n v="11.8"/>
    <s v="No"/>
    <s v="No"/>
    <s v="Yes"/>
    <n v="0"/>
  </r>
  <r>
    <s v="USR01201"/>
    <s v="APP001"/>
    <s v="InvestPro"/>
    <x v="0"/>
    <x v="2"/>
    <s v="Prefer not to say"/>
    <s v="India"/>
    <s v="Smartphone"/>
    <n v="24"/>
    <n v="12.7"/>
    <s v="No"/>
    <s v="No"/>
    <s v="Yes"/>
    <n v="0"/>
  </r>
  <r>
    <s v="USR01202"/>
    <s v="APP002"/>
    <s v="BankPro"/>
    <x v="0"/>
    <x v="1"/>
    <s v="Male"/>
    <s v="UAE"/>
    <s v="Smartphone"/>
    <n v="15"/>
    <n v="23.9"/>
    <s v="No"/>
    <s v="No"/>
    <s v="Yes"/>
    <n v="0"/>
  </r>
  <r>
    <s v="USR01203"/>
    <s v="APP003"/>
    <s v="BankX"/>
    <x v="0"/>
    <x v="4"/>
    <s v="Male"/>
    <s v="India"/>
    <s v="Smartphone"/>
    <n v="1"/>
    <n v="12.2"/>
    <s v="No"/>
    <s v="Yes"/>
    <s v="No"/>
    <n v="0"/>
  </r>
  <r>
    <s v="USR01204"/>
    <s v="APP004"/>
    <s v="BankNow"/>
    <x v="0"/>
    <x v="1"/>
    <s v="Female"/>
    <s v="United States"/>
    <s v="Smartphone"/>
    <n v="9"/>
    <n v="22.5"/>
    <s v="No"/>
    <s v="No"/>
    <s v="No"/>
    <n v="0"/>
  </r>
  <r>
    <s v="USR01205"/>
    <s v="APP005"/>
    <s v="CreditHub"/>
    <x v="0"/>
    <x v="0"/>
    <s v="Prefer not to say"/>
    <s v="India"/>
    <s v="Smartphone"/>
    <n v="16"/>
    <n v="11.2"/>
    <s v="No"/>
    <s v="Yes"/>
    <s v="No"/>
    <n v="0"/>
  </r>
  <r>
    <s v="USR01206"/>
    <s v="APP006"/>
    <s v="PayPlus"/>
    <x v="0"/>
    <x v="0"/>
    <s v="Female"/>
    <s v="United Kingdom"/>
    <s v="Smartphone"/>
    <n v="29"/>
    <n v="17.2"/>
    <s v="Yes"/>
    <s v="Yes"/>
    <s v="No"/>
    <n v="44.77"/>
  </r>
  <r>
    <s v="USR01207"/>
    <s v="APP007"/>
    <s v="BankPlus"/>
    <x v="0"/>
    <x v="2"/>
    <s v="Male"/>
    <s v="Singapore"/>
    <s v="Smartphone"/>
    <n v="31"/>
    <n v="5.2"/>
    <s v="Yes"/>
    <s v="No"/>
    <s v="No"/>
    <n v="0"/>
  </r>
  <r>
    <s v="USR01208"/>
    <s v="APP008"/>
    <s v="CoinPlus"/>
    <x v="0"/>
    <x v="2"/>
    <s v="Female"/>
    <s v="United Kingdom"/>
    <s v="Smartphone"/>
    <n v="14"/>
    <n v="11.9"/>
    <s v="No"/>
    <s v="No"/>
    <s v="Yes"/>
    <n v="0"/>
  </r>
  <r>
    <s v="USR01209"/>
    <s v="APP009"/>
    <s v="CreditOne"/>
    <x v="0"/>
    <x v="1"/>
    <s v="Female"/>
    <s v="Germany"/>
    <s v="Tablet"/>
    <n v="2"/>
    <n v="20.399999999999999"/>
    <s v="No"/>
    <s v="Yes"/>
    <s v="No"/>
    <n v="0"/>
  </r>
  <r>
    <s v="USR01210"/>
    <s v="APP010"/>
    <s v="PayPro"/>
    <x v="0"/>
    <x v="0"/>
    <s v="Male"/>
    <s v="United States"/>
    <s v="Tablet"/>
    <n v="40"/>
    <n v="4.0999999999999996"/>
    <s v="Yes"/>
    <s v="Yes"/>
    <s v="No"/>
    <n v="30.16"/>
  </r>
  <r>
    <s v="USR01211"/>
    <s v="APP011"/>
    <s v="Creditly"/>
    <x v="0"/>
    <x v="0"/>
    <s v="Prefer not to say"/>
    <s v="United Kingdom"/>
    <s v="Smartphone"/>
    <n v="67"/>
    <n v="18.5"/>
    <s v="Yes"/>
    <s v="Yes"/>
    <s v="No"/>
    <n v="0"/>
  </r>
  <r>
    <s v="USR01212"/>
    <s v="APP012"/>
    <s v="PayX"/>
    <x v="0"/>
    <x v="2"/>
    <s v="Male"/>
    <s v="Australia"/>
    <s v="Smartphone"/>
    <n v="15"/>
    <n v="23.1"/>
    <s v="No"/>
    <s v="No"/>
    <s v="No"/>
    <n v="0"/>
  </r>
  <r>
    <s v="USR01213"/>
    <s v="APP013"/>
    <s v="DealGo"/>
    <x v="1"/>
    <x v="3"/>
    <s v="Female"/>
    <s v="United Kingdom"/>
    <s v="Tablet"/>
    <n v="24"/>
    <n v="19.8"/>
    <s v="No"/>
    <s v="Yes"/>
    <s v="No"/>
    <n v="13.4"/>
  </r>
  <r>
    <s v="USR01214"/>
    <s v="APP014"/>
    <s v="MallNow"/>
    <x v="1"/>
    <x v="0"/>
    <s v="Male"/>
    <s v="Singapore"/>
    <s v="Smartphone"/>
    <n v="30"/>
    <n v="3.1"/>
    <s v="Yes"/>
    <s v="Yes"/>
    <s v="No"/>
    <n v="0"/>
  </r>
  <r>
    <s v="USR01215"/>
    <s v="APP015"/>
    <s v="DealPro"/>
    <x v="1"/>
    <x v="2"/>
    <s v="Female"/>
    <s v="India"/>
    <s v="Smartphone"/>
    <n v="12"/>
    <n v="17.2"/>
    <s v="No"/>
    <s v="Yes"/>
    <s v="No"/>
    <n v="0"/>
  </r>
  <r>
    <s v="USR01216"/>
    <s v="APP016"/>
    <s v="StyleNow"/>
    <x v="1"/>
    <x v="3"/>
    <s v="Male"/>
    <s v="UAE"/>
    <s v="Smartphone"/>
    <n v="83"/>
    <n v="7"/>
    <s v="Yes"/>
    <s v="Yes"/>
    <s v="No"/>
    <n v="0"/>
  </r>
  <r>
    <s v="USR01217"/>
    <s v="APP017"/>
    <s v="DealCloud"/>
    <x v="1"/>
    <x v="2"/>
    <s v="Female"/>
    <s v="United States"/>
    <s v="Smartphone"/>
    <n v="21"/>
    <n v="20"/>
    <s v="No"/>
    <s v="Yes"/>
    <s v="No"/>
    <n v="72.819999999999993"/>
  </r>
  <r>
    <s v="USR01218"/>
    <s v="APP018"/>
    <s v="CartCloud"/>
    <x v="1"/>
    <x v="0"/>
    <s v="Male"/>
    <s v="Canada"/>
    <s v="Smartphone"/>
    <n v="12"/>
    <n v="4.9000000000000004"/>
    <s v="No"/>
    <s v="No"/>
    <s v="No"/>
    <n v="0"/>
  </r>
  <r>
    <s v="USR01219"/>
    <s v="APP019"/>
    <s v="CartMate"/>
    <x v="1"/>
    <x v="2"/>
    <s v="Other"/>
    <s v="India"/>
    <s v="Smartphone"/>
    <n v="13"/>
    <n v="12.5"/>
    <s v="No"/>
    <s v="No"/>
    <s v="No"/>
    <n v="0"/>
  </r>
  <r>
    <s v="USR01220"/>
    <s v="APP020"/>
    <s v="BazaarOne"/>
    <x v="1"/>
    <x v="1"/>
    <s v="Prefer not to say"/>
    <s v="India"/>
    <s v="Smartphone"/>
    <n v="9"/>
    <n v="21.8"/>
    <s v="No"/>
    <s v="No"/>
    <s v="Yes"/>
    <n v="0"/>
  </r>
  <r>
    <s v="USR01221"/>
    <s v="APP021"/>
    <s v="StyleOne"/>
    <x v="1"/>
    <x v="2"/>
    <s v="Female"/>
    <s v="UAE"/>
    <s v="Tablet"/>
    <n v="15"/>
    <n v="13.6"/>
    <s v="Yes"/>
    <s v="No"/>
    <s v="No"/>
    <n v="0"/>
  </r>
  <r>
    <s v="USR01222"/>
    <s v="APP022"/>
    <s v="Cartly"/>
    <x v="1"/>
    <x v="2"/>
    <s v="Male"/>
    <s v="Australia"/>
    <s v="Smartphone"/>
    <n v="4"/>
    <n v="21"/>
    <s v="No"/>
    <s v="Yes"/>
    <s v="No"/>
    <n v="0"/>
  </r>
  <r>
    <s v="USR01223"/>
    <s v="APP023"/>
    <s v="BazaarCloud"/>
    <x v="1"/>
    <x v="3"/>
    <s v="Male"/>
    <s v="Australia"/>
    <s v="Smartphone"/>
    <n v="14"/>
    <n v="21.3"/>
    <s v="No"/>
    <s v="No"/>
    <s v="Yes"/>
    <n v="0"/>
  </r>
  <r>
    <s v="USR01224"/>
    <s v="APP024"/>
    <s v="CartPro"/>
    <x v="1"/>
    <x v="1"/>
    <s v="Male"/>
    <s v="United Kingdom"/>
    <s v="Smartphone"/>
    <n v="84"/>
    <n v="16.3"/>
    <s v="Yes"/>
    <s v="Yes"/>
    <s v="No"/>
    <n v="0"/>
  </r>
  <r>
    <s v="USR01225"/>
    <s v="APP025"/>
    <s v="RunPlus"/>
    <x v="2"/>
    <x v="1"/>
    <s v="Male"/>
    <s v="Germany"/>
    <s v="Smartphone"/>
    <n v="2"/>
    <n v="18"/>
    <s v="No"/>
    <s v="Yes"/>
    <s v="No"/>
    <n v="0"/>
  </r>
  <r>
    <s v="USR01226"/>
    <s v="APP026"/>
    <s v="TrainCloud"/>
    <x v="2"/>
    <x v="0"/>
    <s v="Female"/>
    <s v="United Kingdom"/>
    <s v="Tablet"/>
    <n v="60"/>
    <n v="24.2"/>
    <s v="Yes"/>
    <s v="No"/>
    <s v="Yes"/>
    <n v="18"/>
  </r>
  <r>
    <s v="USR01227"/>
    <s v="APP027"/>
    <s v="Trainly"/>
    <x v="2"/>
    <x v="0"/>
    <s v="Male"/>
    <s v="United States"/>
    <s v="Smartphone"/>
    <n v="69"/>
    <n v="16.899999999999999"/>
    <s v="Yes"/>
    <s v="No"/>
    <s v="Yes"/>
    <n v="0"/>
  </r>
  <r>
    <s v="USR01228"/>
    <s v="APP028"/>
    <s v="LiftCloud"/>
    <x v="2"/>
    <x v="4"/>
    <s v="Male"/>
    <s v="United States"/>
    <s v="Smartphone"/>
    <n v="60"/>
    <n v="18.600000000000001"/>
    <s v="Yes"/>
    <s v="Yes"/>
    <s v="No"/>
    <n v="3"/>
  </r>
  <r>
    <s v="USR01229"/>
    <s v="APP029"/>
    <s v="MoveNow"/>
    <x v="2"/>
    <x v="4"/>
    <s v="Male"/>
    <s v="Canada"/>
    <s v="Smartphone"/>
    <n v="32"/>
    <n v="39.299999999999997"/>
    <s v="Yes"/>
    <s v="Yes"/>
    <s v="No"/>
    <n v="16.899999999999999"/>
  </r>
  <r>
    <s v="USR01230"/>
    <s v="APP030"/>
    <s v="ActiveMate"/>
    <x v="2"/>
    <x v="1"/>
    <s v="Female"/>
    <s v="Germany"/>
    <s v="Smartphone"/>
    <n v="44"/>
    <n v="29.1"/>
    <s v="Yes"/>
    <s v="Yes"/>
    <s v="No"/>
    <n v="0"/>
  </r>
  <r>
    <s v="USR01231"/>
    <s v="APP031"/>
    <s v="RunGo"/>
    <x v="2"/>
    <x v="2"/>
    <s v="Female"/>
    <s v="UAE"/>
    <s v="Smartphone"/>
    <n v="29"/>
    <n v="37.5"/>
    <s v="Yes"/>
    <s v="No"/>
    <s v="Yes"/>
    <n v="0"/>
  </r>
  <r>
    <s v="USR01232"/>
    <s v="APP032"/>
    <s v="LiftPro"/>
    <x v="2"/>
    <x v="2"/>
    <s v="Male"/>
    <s v="UAE"/>
    <s v="Smartphone"/>
    <n v="44"/>
    <n v="33.5"/>
    <s v="Yes"/>
    <s v="Yes"/>
    <s v="No"/>
    <n v="0"/>
  </r>
  <r>
    <s v="USR01233"/>
    <s v="APP033"/>
    <s v="LiftPro"/>
    <x v="2"/>
    <x v="0"/>
    <s v="Male"/>
    <s v="Singapore"/>
    <s v="Smartphone"/>
    <n v="10"/>
    <n v="19.600000000000001"/>
    <s v="No"/>
    <s v="No"/>
    <s v="Yes"/>
    <n v="0"/>
  </r>
  <r>
    <s v="USR01234"/>
    <s v="APP034"/>
    <s v="Liftly"/>
    <x v="2"/>
    <x v="2"/>
    <s v="Male"/>
    <s v="United States"/>
    <s v="Smartphone"/>
    <n v="13"/>
    <n v="17.899999999999999"/>
    <s v="No"/>
    <s v="No"/>
    <s v="No"/>
    <n v="0"/>
  </r>
  <r>
    <s v="USR01235"/>
    <s v="APP035"/>
    <s v="YogaHub"/>
    <x v="2"/>
    <x v="0"/>
    <s v="Male"/>
    <s v="Canada"/>
    <s v="Smartphone"/>
    <n v="9"/>
    <n v="32.1"/>
    <s v="No"/>
    <s v="Yes"/>
    <s v="No"/>
    <n v="0"/>
  </r>
  <r>
    <s v="USR01236"/>
    <s v="APP036"/>
    <s v="MoveGo"/>
    <x v="2"/>
    <x v="2"/>
    <s v="Male"/>
    <s v="India"/>
    <s v="Tablet"/>
    <n v="21"/>
    <n v="17.5"/>
    <s v="No"/>
    <s v="No"/>
    <s v="Yes"/>
    <n v="0"/>
  </r>
  <r>
    <s v="USR01237"/>
    <s v="APP037"/>
    <s v="BrightNow"/>
    <x v="3"/>
    <x v="2"/>
    <s v="Male"/>
    <s v="Canada"/>
    <s v="Smartphone"/>
    <n v="23"/>
    <n v="40"/>
    <s v="No"/>
    <s v="Yes"/>
    <s v="No"/>
    <n v="0"/>
  </r>
  <r>
    <s v="USR01238"/>
    <s v="APP038"/>
    <s v="StudyCloud"/>
    <x v="3"/>
    <x v="0"/>
    <s v="Male"/>
    <s v="Australia"/>
    <s v="Tablet"/>
    <n v="15"/>
    <n v="36.799999999999997"/>
    <s v="No"/>
    <s v="No"/>
    <s v="No"/>
    <n v="0"/>
  </r>
  <r>
    <s v="USR01239"/>
    <s v="APP039"/>
    <s v="SkillNow"/>
    <x v="3"/>
    <x v="2"/>
    <s v="Male"/>
    <s v="Australia"/>
    <s v="Smartphone"/>
    <n v="4"/>
    <n v="36.1"/>
    <s v="No"/>
    <s v="No"/>
    <s v="No"/>
    <n v="0"/>
  </r>
  <r>
    <s v="USR01240"/>
    <s v="APP040"/>
    <s v="LearnMate"/>
    <x v="3"/>
    <x v="4"/>
    <s v="Other"/>
    <s v="United Kingdom"/>
    <s v="Smartphone"/>
    <n v="38"/>
    <n v="21.5"/>
    <s v="Yes"/>
    <s v="Yes"/>
    <s v="No"/>
    <n v="25.71"/>
  </r>
  <r>
    <s v="USR01241"/>
    <s v="APP041"/>
    <s v="QuestNow"/>
    <x v="3"/>
    <x v="0"/>
    <s v="Male"/>
    <s v="India"/>
    <s v="Smartphone"/>
    <n v="47"/>
    <n v="17.3"/>
    <s v="Yes"/>
    <s v="No"/>
    <s v="No"/>
    <n v="0"/>
  </r>
  <r>
    <s v="USR01242"/>
    <s v="APP042"/>
    <s v="SkillHub"/>
    <x v="3"/>
    <x v="0"/>
    <s v="Male"/>
    <s v="UAE"/>
    <s v="Smartphone"/>
    <n v="58"/>
    <n v="25.2"/>
    <s v="Yes"/>
    <s v="Yes"/>
    <s v="Yes"/>
    <n v="24.68"/>
  </r>
  <r>
    <s v="USR01243"/>
    <s v="APP043"/>
    <s v="TutorCloud"/>
    <x v="3"/>
    <x v="2"/>
    <s v="Male"/>
    <s v="Canada"/>
    <s v="Smartphone"/>
    <n v="19"/>
    <n v="18.5"/>
    <s v="Yes"/>
    <s v="No"/>
    <s v="No"/>
    <n v="11.93"/>
  </r>
  <r>
    <s v="USR01244"/>
    <s v="APP044"/>
    <s v="SkillOne"/>
    <x v="3"/>
    <x v="0"/>
    <s v="Male"/>
    <s v="India"/>
    <s v="Smartphone"/>
    <n v="30"/>
    <n v="11.1"/>
    <s v="Yes"/>
    <s v="Yes"/>
    <s v="No"/>
    <n v="0"/>
  </r>
  <r>
    <s v="USR01245"/>
    <s v="APP045"/>
    <s v="LearnOne"/>
    <x v="3"/>
    <x v="0"/>
    <s v="Female"/>
    <s v="United States"/>
    <s v="Smartphone"/>
    <n v="5"/>
    <n v="18.899999999999999"/>
    <s v="No"/>
    <s v="Yes"/>
    <s v="No"/>
    <n v="30.56"/>
  </r>
  <r>
    <s v="USR01246"/>
    <s v="APP046"/>
    <s v="LearnPlus"/>
    <x v="3"/>
    <x v="2"/>
    <s v="Female"/>
    <s v="Singapore"/>
    <s v="Smartphone"/>
    <n v="26"/>
    <n v="12.4"/>
    <s v="No"/>
    <s v="No"/>
    <s v="No"/>
    <n v="41.54"/>
  </r>
  <r>
    <s v="USR01247"/>
    <s v="APP047"/>
    <s v="StudyPlus"/>
    <x v="3"/>
    <x v="1"/>
    <s v="Male"/>
    <s v="United Kingdom"/>
    <s v="Smartphone"/>
    <n v="26"/>
    <n v="38"/>
    <s v="No"/>
    <s v="Yes"/>
    <s v="No"/>
    <n v="0"/>
  </r>
  <r>
    <s v="USR01248"/>
    <s v="APP048"/>
    <s v="StudyX"/>
    <x v="3"/>
    <x v="3"/>
    <s v="Female"/>
    <s v="United States"/>
    <s v="Tablet"/>
    <n v="15"/>
    <n v="11.7"/>
    <s v="No"/>
    <s v="No"/>
    <s v="No"/>
    <n v="66.34"/>
  </r>
  <r>
    <s v="USR01249"/>
    <s v="APP049"/>
    <s v="PlayPlus"/>
    <x v="4"/>
    <x v="2"/>
    <s v="Female"/>
    <s v="India"/>
    <s v="Smartphone"/>
    <n v="60"/>
    <n v="19.8"/>
    <s v="Yes"/>
    <s v="No"/>
    <s v="No"/>
    <n v="0"/>
  </r>
  <r>
    <s v="USR01250"/>
    <s v="APP050"/>
    <s v="ShowMate"/>
    <x v="4"/>
    <x v="0"/>
    <s v="Male"/>
    <s v="Canada"/>
    <s v="Smartphone"/>
    <n v="36"/>
    <n v="41.2"/>
    <s v="Yes"/>
    <s v="Yes"/>
    <s v="No"/>
    <n v="0"/>
  </r>
  <r>
    <s v="USR01251"/>
    <s v="APP051"/>
    <s v="VibeX"/>
    <x v="4"/>
    <x v="4"/>
    <s v="Female"/>
    <s v="Canada"/>
    <s v="Smartphone"/>
    <n v="40"/>
    <n v="18.399999999999999"/>
    <s v="Yes"/>
    <s v="Yes"/>
    <s v="No"/>
    <n v="22.64"/>
  </r>
  <r>
    <s v="USR01252"/>
    <s v="APP052"/>
    <s v="BuzzNow"/>
    <x v="4"/>
    <x v="1"/>
    <s v="Male"/>
    <s v="United Kingdom"/>
    <s v="Smartphone"/>
    <n v="95"/>
    <n v="35.1"/>
    <s v="Yes"/>
    <s v="Yes"/>
    <s v="Yes"/>
    <n v="0"/>
  </r>
  <r>
    <s v="USR01253"/>
    <s v="APP053"/>
    <s v="StreamPlus"/>
    <x v="4"/>
    <x v="2"/>
    <s v="Female"/>
    <s v="Canada"/>
    <s v="Tablet"/>
    <n v="26"/>
    <n v="14.9"/>
    <s v="No"/>
    <s v="Yes"/>
    <s v="No"/>
    <n v="0"/>
  </r>
  <r>
    <s v="USR01254"/>
    <s v="APP054"/>
    <s v="Showly"/>
    <x v="4"/>
    <x v="0"/>
    <s v="Female"/>
    <s v="UAE"/>
    <s v="Smartphone"/>
    <n v="62"/>
    <n v="12.3"/>
    <s v="Yes"/>
    <s v="Yes"/>
    <s v="No"/>
    <n v="0"/>
  </r>
  <r>
    <s v="USR01255"/>
    <s v="APP055"/>
    <s v="BuzzOne"/>
    <x v="4"/>
    <x v="2"/>
    <s v="Female"/>
    <s v="Australia"/>
    <s v="Smartphone"/>
    <n v="19"/>
    <n v="14.9"/>
    <s v="No"/>
    <s v="No"/>
    <s v="Yes"/>
    <n v="0"/>
  </r>
  <r>
    <s v="USR01256"/>
    <s v="APP056"/>
    <s v="PlayHub"/>
    <x v="4"/>
    <x v="2"/>
    <s v="Female"/>
    <s v="Canada"/>
    <s v="Smartphone"/>
    <n v="14"/>
    <n v="17.100000000000001"/>
    <s v="Yes"/>
    <s v="Yes"/>
    <s v="No"/>
    <n v="13.53"/>
  </r>
  <r>
    <s v="USR01257"/>
    <s v="APP057"/>
    <s v="CinemaGo"/>
    <x v="4"/>
    <x v="0"/>
    <s v="Male"/>
    <s v="Australia"/>
    <s v="Smartphone"/>
    <n v="8"/>
    <n v="31.4"/>
    <s v="No"/>
    <s v="No"/>
    <s v="No"/>
    <n v="0"/>
  </r>
  <r>
    <s v="USR01258"/>
    <s v="APP058"/>
    <s v="LaughX"/>
    <x v="4"/>
    <x v="1"/>
    <s v="Male"/>
    <s v="UAE"/>
    <s v="Smartphone"/>
    <n v="38"/>
    <n v="35.200000000000003"/>
    <s v="Yes"/>
    <s v="Yes"/>
    <s v="No"/>
    <n v="0"/>
  </r>
  <r>
    <s v="USR01259"/>
    <s v="APP059"/>
    <s v="CinemaHub"/>
    <x v="4"/>
    <x v="2"/>
    <s v="Male"/>
    <s v="Germany"/>
    <s v="Smartphone"/>
    <n v="86"/>
    <n v="8.4"/>
    <s v="Yes"/>
    <s v="No"/>
    <s v="No"/>
    <n v="0"/>
  </r>
  <r>
    <s v="USR01260"/>
    <s v="APP060"/>
    <s v="ShowPro"/>
    <x v="4"/>
    <x v="0"/>
    <s v="Male"/>
    <s v="UAE"/>
    <s v="Smartphone"/>
    <n v="26"/>
    <n v="40.200000000000003"/>
    <s v="No"/>
    <s v="Yes"/>
    <s v="No"/>
    <n v="0"/>
  </r>
  <r>
    <s v="USR01261"/>
    <s v="APP061"/>
    <s v="FoodPlus"/>
    <x v="5"/>
    <x v="1"/>
    <s v="Female"/>
    <s v="Germany"/>
    <s v="Tablet"/>
    <n v="49"/>
    <n v="19.100000000000001"/>
    <s v="Yes"/>
    <s v="Yes"/>
    <s v="No"/>
    <n v="0"/>
  </r>
  <r>
    <s v="USR01262"/>
    <s v="APP062"/>
    <s v="BiteGo"/>
    <x v="5"/>
    <x v="0"/>
    <s v="Female"/>
    <s v="Canada"/>
    <s v="Smartphone"/>
    <n v="53"/>
    <n v="8.1999999999999993"/>
    <s v="Yes"/>
    <s v="No"/>
    <s v="Yes"/>
    <n v="0"/>
  </r>
  <r>
    <s v="USR01263"/>
    <s v="APP063"/>
    <s v="OrderCloud"/>
    <x v="5"/>
    <x v="3"/>
    <s v="Female"/>
    <s v="Canada"/>
    <s v="Smartphone"/>
    <n v="13"/>
    <n v="20.7"/>
    <s v="No"/>
    <s v="No"/>
    <s v="Yes"/>
    <n v="23.65"/>
  </r>
  <r>
    <s v="USR01264"/>
    <s v="APP064"/>
    <s v="DinePlus"/>
    <x v="5"/>
    <x v="0"/>
    <s v="Prefer not to say"/>
    <s v="United States"/>
    <s v="Smartphone"/>
    <n v="95"/>
    <n v="6.1"/>
    <s v="Yes"/>
    <s v="No"/>
    <s v="No"/>
    <n v="0"/>
  </r>
  <r>
    <s v="USR01265"/>
    <s v="APP065"/>
    <s v="SnackX"/>
    <x v="5"/>
    <x v="2"/>
    <s v="Male"/>
    <s v="India"/>
    <s v="Tablet"/>
    <n v="16"/>
    <n v="5.0999999999999996"/>
    <s v="No"/>
    <s v="No"/>
    <s v="No"/>
    <n v="0"/>
  </r>
  <r>
    <s v="USR01266"/>
    <s v="APP066"/>
    <s v="FoodOne"/>
    <x v="5"/>
    <x v="2"/>
    <s v="Male"/>
    <s v="Germany"/>
    <s v="Smartphone"/>
    <n v="91"/>
    <n v="8.4"/>
    <s v="Yes"/>
    <s v="No"/>
    <s v="No"/>
    <n v="0"/>
  </r>
  <r>
    <s v="USR01267"/>
    <s v="APP067"/>
    <s v="MealMate"/>
    <x v="5"/>
    <x v="2"/>
    <s v="Male"/>
    <s v="UAE"/>
    <s v="Smartphone"/>
    <n v="10"/>
    <n v="11.7"/>
    <s v="No"/>
    <s v="No"/>
    <s v="No"/>
    <n v="19.309999999999999"/>
  </r>
  <r>
    <s v="USR01268"/>
    <s v="APP068"/>
    <s v="SnackHub"/>
    <x v="5"/>
    <x v="0"/>
    <s v="Female"/>
    <s v="Australia"/>
    <s v="Tablet"/>
    <n v="1"/>
    <n v="18.8"/>
    <s v="No"/>
    <s v="No"/>
    <s v="No"/>
    <n v="0"/>
  </r>
  <r>
    <s v="USR01269"/>
    <s v="APP069"/>
    <s v="BiteCloud"/>
    <x v="5"/>
    <x v="2"/>
    <s v="Male"/>
    <s v="Canada"/>
    <s v="Smartphone"/>
    <n v="33"/>
    <n v="6.7"/>
    <s v="Yes"/>
    <s v="No"/>
    <s v="No"/>
    <n v="0"/>
  </r>
  <r>
    <s v="USR01270"/>
    <s v="APP070"/>
    <s v="PlatePlus"/>
    <x v="5"/>
    <x v="1"/>
    <s v="Male"/>
    <s v="India"/>
    <s v="Smartphone"/>
    <n v="26"/>
    <n v="9"/>
    <s v="No"/>
    <s v="Yes"/>
    <s v="No"/>
    <n v="0"/>
  </r>
  <r>
    <s v="USR01271"/>
    <s v="APP071"/>
    <s v="VoyageGo"/>
    <x v="6"/>
    <x v="0"/>
    <s v="Other"/>
    <s v="UAE"/>
    <s v="Tablet"/>
    <n v="13"/>
    <n v="23.1"/>
    <s v="No"/>
    <s v="No"/>
    <s v="Yes"/>
    <n v="0"/>
  </r>
  <r>
    <s v="USR01272"/>
    <s v="APP072"/>
    <s v="TripOne"/>
    <x v="6"/>
    <x v="1"/>
    <s v="Female"/>
    <s v="UAE"/>
    <s v="Tablet"/>
    <n v="20"/>
    <n v="4.5"/>
    <s v="No"/>
    <s v="Yes"/>
    <s v="No"/>
    <n v="46.68"/>
  </r>
  <r>
    <s v="USR01273"/>
    <s v="APP073"/>
    <s v="FlyGo"/>
    <x v="6"/>
    <x v="2"/>
    <s v="Female"/>
    <s v="Germany"/>
    <s v="Smartphone"/>
    <n v="10"/>
    <n v="16"/>
    <s v="No"/>
    <s v="No"/>
    <s v="Yes"/>
    <n v="0"/>
  </r>
  <r>
    <s v="USR01274"/>
    <s v="APP074"/>
    <s v="MapX"/>
    <x v="6"/>
    <x v="0"/>
    <s v="Male"/>
    <s v="United Kingdom"/>
    <s v="Smartphone"/>
    <n v="2"/>
    <n v="10.5"/>
    <s v="No"/>
    <s v="No"/>
    <s v="Yes"/>
    <n v="49.15"/>
  </r>
  <r>
    <s v="USR01275"/>
    <s v="APP075"/>
    <s v="StayX"/>
    <x v="6"/>
    <x v="2"/>
    <s v="Female"/>
    <s v="Australia"/>
    <s v="Smartphone"/>
    <n v="27"/>
    <n v="17.100000000000001"/>
    <s v="No"/>
    <s v="No"/>
    <s v="Yes"/>
    <n v="0"/>
  </r>
  <r>
    <s v="USR01276"/>
    <s v="APP076"/>
    <s v="GoNow"/>
    <x v="6"/>
    <x v="2"/>
    <s v="Male"/>
    <s v="India"/>
    <s v="Smartphone"/>
    <n v="53"/>
    <n v="8.1"/>
    <s v="Yes"/>
    <s v="Yes"/>
    <s v="No"/>
    <n v="0"/>
  </r>
  <r>
    <s v="USR01277"/>
    <s v="APP077"/>
    <s v="RouteGo"/>
    <x v="6"/>
    <x v="1"/>
    <s v="Male"/>
    <s v="United States"/>
    <s v="Smartphone"/>
    <n v="4"/>
    <n v="5.7"/>
    <s v="No"/>
    <s v="No"/>
    <s v="No"/>
    <n v="16.86"/>
  </r>
  <r>
    <s v="USR01278"/>
    <s v="APP078"/>
    <s v="TripGo"/>
    <x v="6"/>
    <x v="2"/>
    <s v="Prefer not to say"/>
    <s v="India"/>
    <s v="Smartphone"/>
    <n v="41"/>
    <n v="5.7"/>
    <s v="Yes"/>
    <s v="Yes"/>
    <s v="No"/>
    <n v="0"/>
  </r>
  <r>
    <s v="USR01279"/>
    <s v="APP079"/>
    <s v="Flyly"/>
    <x v="6"/>
    <x v="2"/>
    <s v="Female"/>
    <s v="Australia"/>
    <s v="Smartphone"/>
    <n v="19"/>
    <n v="17.5"/>
    <s v="No"/>
    <s v="No"/>
    <s v="Yes"/>
    <n v="0"/>
  </r>
  <r>
    <s v="USR01280"/>
    <s v="APP080"/>
    <s v="TripPro"/>
    <x v="6"/>
    <x v="1"/>
    <s v="Female"/>
    <s v="India"/>
    <s v="Smartphone"/>
    <n v="1"/>
    <n v="11.3"/>
    <s v="No"/>
    <s v="No"/>
    <s v="No"/>
    <n v="0"/>
  </r>
  <r>
    <s v="USR01281"/>
    <s v="APP081"/>
    <s v="Focusly"/>
    <x v="7"/>
    <x v="0"/>
    <s v="Female"/>
    <s v="UAE"/>
    <s v="Smartphone"/>
    <n v="63"/>
    <n v="10.7"/>
    <s v="Yes"/>
    <s v="No"/>
    <s v="No"/>
    <n v="0"/>
  </r>
  <r>
    <s v="USR01282"/>
    <s v="APP082"/>
    <s v="DeskX"/>
    <x v="7"/>
    <x v="0"/>
    <s v="Male"/>
    <s v="Canada"/>
    <s v="Tablet"/>
    <n v="5"/>
    <n v="17"/>
    <s v="No"/>
    <s v="Yes"/>
    <s v="No"/>
    <n v="19.86"/>
  </r>
  <r>
    <s v="USR01283"/>
    <s v="APP083"/>
    <s v="DonePro"/>
    <x v="7"/>
    <x v="0"/>
    <s v="Male"/>
    <s v="United Kingdom"/>
    <s v="Tablet"/>
    <n v="2"/>
    <n v="10.3"/>
    <s v="No"/>
    <s v="Yes"/>
    <s v="No"/>
    <n v="0"/>
  </r>
  <r>
    <s v="USR01284"/>
    <s v="APP084"/>
    <s v="NotePlus"/>
    <x v="7"/>
    <x v="0"/>
    <s v="Male"/>
    <s v="Canada"/>
    <s v="Smartphone"/>
    <n v="77"/>
    <n v="5.7"/>
    <s v="Yes"/>
    <s v="Yes"/>
    <s v="No"/>
    <n v="0"/>
  </r>
  <r>
    <s v="USR01285"/>
    <s v="APP085"/>
    <s v="SyncPlus"/>
    <x v="7"/>
    <x v="2"/>
    <s v="Male"/>
    <s v="UAE"/>
    <s v="Smartphone"/>
    <n v="88"/>
    <n v="3.6"/>
    <s v="Yes"/>
    <s v="Yes"/>
    <s v="Yes"/>
    <n v="0"/>
  </r>
  <r>
    <s v="USR01286"/>
    <s v="APP086"/>
    <s v="NoteOne"/>
    <x v="7"/>
    <x v="1"/>
    <s v="Female"/>
    <s v="Australia"/>
    <s v="Tablet"/>
    <n v="9"/>
    <n v="9.9"/>
    <s v="No"/>
    <s v="Yes"/>
    <s v="No"/>
    <n v="68.67"/>
  </r>
  <r>
    <s v="USR01287"/>
    <s v="APP087"/>
    <s v="NoteMate"/>
    <x v="7"/>
    <x v="0"/>
    <s v="Female"/>
    <s v="Canada"/>
    <s v="Smartphone"/>
    <n v="14"/>
    <n v="3.3"/>
    <s v="No"/>
    <s v="Yes"/>
    <s v="No"/>
    <n v="0"/>
  </r>
  <r>
    <s v="USR01288"/>
    <s v="APP088"/>
    <s v="PlanPlus"/>
    <x v="7"/>
    <x v="1"/>
    <s v="Male"/>
    <s v="Australia"/>
    <s v="Smartphone"/>
    <n v="25"/>
    <n v="11.3"/>
    <s v="No"/>
    <s v="No"/>
    <s v="Yes"/>
    <n v="0"/>
  </r>
  <r>
    <s v="USR01289"/>
    <s v="APP089"/>
    <s v="PlanMate"/>
    <x v="7"/>
    <x v="4"/>
    <s v="Other"/>
    <s v="Singapore"/>
    <s v="Smartphone"/>
    <n v="11"/>
    <n v="12.9"/>
    <s v="No"/>
    <s v="Yes"/>
    <s v="No"/>
    <n v="0"/>
  </r>
  <r>
    <s v="USR01290"/>
    <s v="APP090"/>
    <s v="SyncPlus"/>
    <x v="7"/>
    <x v="3"/>
    <s v="Male"/>
    <s v="United States"/>
    <s v="Smartphone"/>
    <n v="67"/>
    <n v="9.3000000000000007"/>
    <s v="Yes"/>
    <s v="Yes"/>
    <s v="No"/>
    <n v="0"/>
  </r>
  <r>
    <s v="USR01291"/>
    <s v="APP091"/>
    <s v="ClinicPro"/>
    <x v="8"/>
    <x v="4"/>
    <s v="Female"/>
    <s v="UAE"/>
    <s v="Smartphone"/>
    <n v="72"/>
    <n v="11.6"/>
    <s v="Yes"/>
    <s v="Yes"/>
    <s v="No"/>
    <n v="0"/>
  </r>
  <r>
    <s v="USR01292"/>
    <s v="APP092"/>
    <s v="MindMate"/>
    <x v="8"/>
    <x v="0"/>
    <s v="Male"/>
    <s v="Australia"/>
    <s v="Smartphone"/>
    <n v="24"/>
    <n v="15.6"/>
    <s v="Yes"/>
    <s v="No"/>
    <s v="No"/>
    <n v="0"/>
  </r>
  <r>
    <s v="USR01293"/>
    <s v="APP093"/>
    <s v="ClinicOne"/>
    <x v="8"/>
    <x v="1"/>
    <s v="Male"/>
    <s v="United Kingdom"/>
    <s v="Smartphone"/>
    <n v="32"/>
    <n v="9.8000000000000007"/>
    <s v="Yes"/>
    <s v="No"/>
    <s v="No"/>
    <n v="0"/>
  </r>
  <r>
    <s v="USR01294"/>
    <s v="APP094"/>
    <s v="WellMate"/>
    <x v="8"/>
    <x v="1"/>
    <s v="Male"/>
    <s v="United Kingdom"/>
    <s v="Smartphone"/>
    <n v="65"/>
    <n v="12.8"/>
    <s v="Yes"/>
    <s v="Yes"/>
    <s v="No"/>
    <n v="0"/>
  </r>
  <r>
    <s v="USR01295"/>
    <s v="APP095"/>
    <s v="MediMate"/>
    <x v="8"/>
    <x v="0"/>
    <s v="Male"/>
    <s v="UAE"/>
    <s v="Smartphone"/>
    <n v="15"/>
    <n v="8.3000000000000007"/>
    <s v="No"/>
    <s v="No"/>
    <s v="Yes"/>
    <n v="0"/>
  </r>
  <r>
    <s v="USR01296"/>
    <s v="APP096"/>
    <s v="WellNow"/>
    <x v="8"/>
    <x v="1"/>
    <s v="Female"/>
    <s v="United Kingdom"/>
    <s v="Smartphone"/>
    <n v="15"/>
    <n v="23.2"/>
    <s v="Yes"/>
    <s v="Yes"/>
    <s v="No"/>
    <n v="0"/>
  </r>
  <r>
    <s v="USR01297"/>
    <s v="APP097"/>
    <s v="CareCloud"/>
    <x v="8"/>
    <x v="0"/>
    <s v="Other"/>
    <s v="India"/>
    <s v="Tablet"/>
    <n v="18"/>
    <n v="22.1"/>
    <s v="Yes"/>
    <s v="Yes"/>
    <s v="No"/>
    <n v="0"/>
  </r>
  <r>
    <s v="USR01298"/>
    <s v="APP098"/>
    <s v="MediNow"/>
    <x v="8"/>
    <x v="0"/>
    <s v="Other"/>
    <s v="Australia"/>
    <s v="Smartphone"/>
    <n v="53"/>
    <n v="17.8"/>
    <s v="Yes"/>
    <s v="No"/>
    <s v="No"/>
    <n v="0"/>
  </r>
  <r>
    <s v="USR01299"/>
    <s v="APP099"/>
    <s v="MindPlus"/>
    <x v="8"/>
    <x v="0"/>
    <s v="Male"/>
    <s v="Australia"/>
    <s v="Smartphone"/>
    <n v="58"/>
    <n v="21"/>
    <s v="Yes"/>
    <s v="Yes"/>
    <s v="No"/>
    <n v="0"/>
  </r>
  <r>
    <s v="USR01300"/>
    <s v="APP100"/>
    <s v="MediCloud"/>
    <x v="8"/>
    <x v="1"/>
    <s v="Male"/>
    <s v="Australia"/>
    <s v="Smartphone"/>
    <n v="13"/>
    <n v="5.4"/>
    <s v="No"/>
    <s v="No"/>
    <s v="Yes"/>
    <n v="0"/>
  </r>
  <r>
    <s v="USR01301"/>
    <s v="APP001"/>
    <s v="InvestPro"/>
    <x v="0"/>
    <x v="0"/>
    <s v="Male"/>
    <s v="United States"/>
    <s v="Smartphone"/>
    <n v="27"/>
    <n v="11.4"/>
    <s v="No"/>
    <s v="No"/>
    <s v="No"/>
    <n v="0"/>
  </r>
  <r>
    <s v="USR01302"/>
    <s v="APP002"/>
    <s v="BankPro"/>
    <x v="0"/>
    <x v="2"/>
    <s v="Female"/>
    <s v="Germany"/>
    <s v="Smartphone"/>
    <n v="2"/>
    <n v="17.899999999999999"/>
    <s v="No"/>
    <s v="Yes"/>
    <s v="No"/>
    <n v="0"/>
  </r>
  <r>
    <s v="USR01303"/>
    <s v="APP003"/>
    <s v="BankX"/>
    <x v="0"/>
    <x v="2"/>
    <s v="Male"/>
    <s v="Canada"/>
    <s v="Smartphone"/>
    <n v="51"/>
    <n v="11.3"/>
    <s v="Yes"/>
    <s v="No"/>
    <s v="No"/>
    <n v="0"/>
  </r>
  <r>
    <s v="USR01304"/>
    <s v="APP004"/>
    <s v="BankNow"/>
    <x v="0"/>
    <x v="1"/>
    <s v="Female"/>
    <s v="UAE"/>
    <s v="Smartphone"/>
    <n v="46"/>
    <n v="6.8"/>
    <s v="Yes"/>
    <s v="Yes"/>
    <s v="No"/>
    <n v="0"/>
  </r>
  <r>
    <s v="USR01305"/>
    <s v="APP005"/>
    <s v="CreditHub"/>
    <x v="0"/>
    <x v="2"/>
    <s v="Male"/>
    <s v="UAE"/>
    <s v="Smartphone"/>
    <n v="12"/>
    <n v="8"/>
    <s v="No"/>
    <s v="No"/>
    <s v="No"/>
    <n v="0"/>
  </r>
  <r>
    <s v="USR01306"/>
    <s v="APP006"/>
    <s v="PayPlus"/>
    <x v="0"/>
    <x v="1"/>
    <s v="Male"/>
    <s v="UAE"/>
    <s v="Tablet"/>
    <n v="23"/>
    <n v="3.3"/>
    <s v="Yes"/>
    <s v="No"/>
    <s v="No"/>
    <n v="52.62"/>
  </r>
  <r>
    <s v="USR01307"/>
    <s v="APP007"/>
    <s v="BankPlus"/>
    <x v="0"/>
    <x v="3"/>
    <s v="Female"/>
    <s v="Canada"/>
    <s v="Smartphone"/>
    <n v="12"/>
    <n v="22.9"/>
    <s v="No"/>
    <s v="No"/>
    <s v="Yes"/>
    <n v="61.81"/>
  </r>
  <r>
    <s v="USR01308"/>
    <s v="APP008"/>
    <s v="CoinPlus"/>
    <x v="0"/>
    <x v="0"/>
    <s v="Female"/>
    <s v="Canada"/>
    <s v="Smartphone"/>
    <n v="37"/>
    <n v="3.4"/>
    <s v="Yes"/>
    <s v="Yes"/>
    <s v="No"/>
    <n v="0"/>
  </r>
  <r>
    <s v="USR01309"/>
    <s v="APP009"/>
    <s v="CreditOne"/>
    <x v="0"/>
    <x v="0"/>
    <s v="Prefer not to say"/>
    <s v="Singapore"/>
    <s v="Smartphone"/>
    <n v="17"/>
    <n v="18.8"/>
    <s v="Yes"/>
    <s v="Yes"/>
    <s v="No"/>
    <n v="0"/>
  </r>
  <r>
    <s v="USR01310"/>
    <s v="APP010"/>
    <s v="PayPro"/>
    <x v="0"/>
    <x v="0"/>
    <s v="Female"/>
    <s v="India"/>
    <s v="Smartphone"/>
    <n v="56"/>
    <n v="20.3"/>
    <s v="Yes"/>
    <s v="Yes"/>
    <s v="No"/>
    <n v="0"/>
  </r>
  <r>
    <s v="USR01311"/>
    <s v="APP011"/>
    <s v="Creditly"/>
    <x v="0"/>
    <x v="4"/>
    <s v="Prefer not to say"/>
    <s v="United States"/>
    <s v="Smartphone"/>
    <n v="27"/>
    <n v="18.5"/>
    <s v="No"/>
    <s v="Yes"/>
    <s v="No"/>
    <n v="0"/>
  </r>
  <r>
    <s v="USR01312"/>
    <s v="APP012"/>
    <s v="PayX"/>
    <x v="0"/>
    <x v="2"/>
    <s v="Male"/>
    <s v="UAE"/>
    <s v="Tablet"/>
    <n v="48"/>
    <n v="22.4"/>
    <s v="Yes"/>
    <s v="No"/>
    <s v="Yes"/>
    <n v="0"/>
  </r>
  <r>
    <s v="USR01313"/>
    <s v="APP013"/>
    <s v="DealGo"/>
    <x v="1"/>
    <x v="0"/>
    <s v="Male"/>
    <s v="Singapore"/>
    <s v="Smartphone"/>
    <n v="2"/>
    <n v="18.8"/>
    <s v="No"/>
    <s v="Yes"/>
    <s v="No"/>
    <n v="15.19"/>
  </r>
  <r>
    <s v="USR01314"/>
    <s v="APP014"/>
    <s v="MallNow"/>
    <x v="1"/>
    <x v="2"/>
    <s v="Male"/>
    <s v="Germany"/>
    <s v="Smartphone"/>
    <n v="92"/>
    <n v="18"/>
    <s v="Yes"/>
    <s v="Yes"/>
    <s v="No"/>
    <n v="25.9"/>
  </r>
  <r>
    <s v="USR01315"/>
    <s v="APP015"/>
    <s v="DealPro"/>
    <x v="1"/>
    <x v="2"/>
    <s v="Female"/>
    <s v="United States"/>
    <s v="Smartphone"/>
    <n v="19"/>
    <n v="22.4"/>
    <s v="No"/>
    <s v="Yes"/>
    <s v="Yes"/>
    <n v="54.2"/>
  </r>
  <r>
    <s v="USR01316"/>
    <s v="APP016"/>
    <s v="StyleNow"/>
    <x v="1"/>
    <x v="2"/>
    <s v="Male"/>
    <s v="United States"/>
    <s v="Smartphone"/>
    <n v="5"/>
    <n v="9.6999999999999993"/>
    <s v="No"/>
    <s v="Yes"/>
    <s v="No"/>
    <n v="45.89"/>
  </r>
  <r>
    <s v="USR01317"/>
    <s v="APP017"/>
    <s v="DealCloud"/>
    <x v="1"/>
    <x v="4"/>
    <s v="Male"/>
    <s v="Singapore"/>
    <s v="Smartphone"/>
    <n v="18"/>
    <n v="23.5"/>
    <s v="No"/>
    <s v="Yes"/>
    <s v="Yes"/>
    <n v="0"/>
  </r>
  <r>
    <s v="USR01318"/>
    <s v="APP018"/>
    <s v="CartCloud"/>
    <x v="1"/>
    <x v="3"/>
    <s v="Male"/>
    <s v="Singapore"/>
    <s v="Smartphone"/>
    <n v="42"/>
    <n v="8.1999999999999993"/>
    <s v="Yes"/>
    <s v="Yes"/>
    <s v="No"/>
    <n v="0"/>
  </r>
  <r>
    <s v="USR01319"/>
    <s v="APP019"/>
    <s v="CartMate"/>
    <x v="1"/>
    <x v="0"/>
    <s v="Male"/>
    <s v="India"/>
    <s v="Smartphone"/>
    <n v="27"/>
    <n v="9.8000000000000007"/>
    <s v="No"/>
    <s v="Yes"/>
    <s v="No"/>
    <n v="0"/>
  </r>
  <r>
    <s v="USR01320"/>
    <s v="APP020"/>
    <s v="BazaarOne"/>
    <x v="1"/>
    <x v="0"/>
    <s v="Male"/>
    <s v="UAE"/>
    <s v="Smartphone"/>
    <n v="77"/>
    <n v="8"/>
    <s v="Yes"/>
    <s v="Yes"/>
    <s v="Yes"/>
    <n v="0"/>
  </r>
  <r>
    <s v="USR01321"/>
    <s v="APP021"/>
    <s v="StyleOne"/>
    <x v="1"/>
    <x v="0"/>
    <s v="Male"/>
    <s v="United States"/>
    <s v="Smartphone"/>
    <n v="15"/>
    <n v="22"/>
    <s v="No"/>
    <s v="Yes"/>
    <s v="No"/>
    <n v="0"/>
  </r>
  <r>
    <s v="USR01322"/>
    <s v="APP022"/>
    <s v="Cartly"/>
    <x v="1"/>
    <x v="1"/>
    <s v="Prefer not to say"/>
    <s v="Singapore"/>
    <s v="Smartphone"/>
    <n v="14"/>
    <n v="22.7"/>
    <s v="No"/>
    <s v="No"/>
    <s v="No"/>
    <n v="0"/>
  </r>
  <r>
    <s v="USR01323"/>
    <s v="APP023"/>
    <s v="BazaarCloud"/>
    <x v="1"/>
    <x v="0"/>
    <s v="Female"/>
    <s v="UAE"/>
    <s v="Tablet"/>
    <n v="12"/>
    <n v="4"/>
    <s v="No"/>
    <s v="No"/>
    <s v="Yes"/>
    <n v="68.260000000000005"/>
  </r>
  <r>
    <s v="USR01324"/>
    <s v="APP024"/>
    <s v="CartPro"/>
    <x v="1"/>
    <x v="4"/>
    <s v="Female"/>
    <s v="Germany"/>
    <s v="Smartphone"/>
    <n v="71"/>
    <n v="23.8"/>
    <s v="Yes"/>
    <s v="No"/>
    <s v="Yes"/>
    <n v="0"/>
  </r>
  <r>
    <s v="USR01325"/>
    <s v="APP025"/>
    <s v="RunPlus"/>
    <x v="2"/>
    <x v="2"/>
    <s v="Male"/>
    <s v="Canada"/>
    <s v="Smartphone"/>
    <n v="28"/>
    <n v="23.5"/>
    <s v="No"/>
    <s v="No"/>
    <s v="No"/>
    <n v="0"/>
  </r>
  <r>
    <s v="USR01326"/>
    <s v="APP026"/>
    <s v="TrainCloud"/>
    <x v="2"/>
    <x v="0"/>
    <s v="Female"/>
    <s v="United Kingdom"/>
    <s v="Smartphone"/>
    <n v="9"/>
    <n v="39.6"/>
    <s v="No"/>
    <s v="Yes"/>
    <s v="No"/>
    <n v="0"/>
  </r>
  <r>
    <s v="USR01327"/>
    <s v="APP027"/>
    <s v="Trainly"/>
    <x v="2"/>
    <x v="3"/>
    <s v="Female"/>
    <s v="United States"/>
    <s v="Smartphone"/>
    <n v="83"/>
    <n v="8.4"/>
    <s v="Yes"/>
    <s v="Yes"/>
    <s v="No"/>
    <n v="0"/>
  </r>
  <r>
    <s v="USR01328"/>
    <s v="APP028"/>
    <s v="LiftCloud"/>
    <x v="2"/>
    <x v="0"/>
    <s v="Male"/>
    <s v="Australia"/>
    <s v="Smartphone"/>
    <n v="18"/>
    <n v="22"/>
    <s v="No"/>
    <s v="No"/>
    <s v="No"/>
    <n v="0"/>
  </r>
  <r>
    <s v="USR01329"/>
    <s v="APP029"/>
    <s v="MoveNow"/>
    <x v="2"/>
    <x v="2"/>
    <s v="Male"/>
    <s v="United Kingdom"/>
    <s v="Smartphone"/>
    <n v="19"/>
    <n v="23.5"/>
    <s v="No"/>
    <s v="No"/>
    <s v="No"/>
    <n v="67.86"/>
  </r>
  <r>
    <s v="USR01330"/>
    <s v="APP030"/>
    <s v="ActiveMate"/>
    <x v="2"/>
    <x v="1"/>
    <s v="Female"/>
    <s v="Australia"/>
    <s v="Smartphone"/>
    <n v="24"/>
    <n v="12"/>
    <s v="No"/>
    <s v="Yes"/>
    <s v="No"/>
    <n v="0"/>
  </r>
  <r>
    <s v="USR01331"/>
    <s v="APP031"/>
    <s v="RunGo"/>
    <x v="2"/>
    <x v="0"/>
    <s v="Female"/>
    <s v="United Kingdom"/>
    <s v="Smartphone"/>
    <n v="39"/>
    <n v="15.8"/>
    <s v="Yes"/>
    <s v="Yes"/>
    <s v="No"/>
    <n v="0"/>
  </r>
  <r>
    <s v="USR01332"/>
    <s v="APP032"/>
    <s v="LiftPro"/>
    <x v="2"/>
    <x v="4"/>
    <s v="Prefer not to say"/>
    <s v="Singapore"/>
    <s v="Smartphone"/>
    <n v="86"/>
    <n v="32.299999999999997"/>
    <s v="Yes"/>
    <s v="Yes"/>
    <s v="No"/>
    <n v="0"/>
  </r>
  <r>
    <s v="USR01333"/>
    <s v="APP033"/>
    <s v="LiftPro"/>
    <x v="2"/>
    <x v="1"/>
    <s v="Male"/>
    <s v="United Kingdom"/>
    <s v="Smartphone"/>
    <n v="18"/>
    <n v="35.5"/>
    <s v="No"/>
    <s v="No"/>
    <s v="No"/>
    <n v="0"/>
  </r>
  <r>
    <s v="USR01334"/>
    <s v="APP034"/>
    <s v="Liftly"/>
    <x v="2"/>
    <x v="0"/>
    <s v="Male"/>
    <s v="UAE"/>
    <s v="Smartphone"/>
    <n v="22"/>
    <n v="17.8"/>
    <s v="No"/>
    <s v="No"/>
    <s v="No"/>
    <n v="19.260000000000002"/>
  </r>
  <r>
    <s v="USR01335"/>
    <s v="APP035"/>
    <s v="YogaHub"/>
    <x v="2"/>
    <x v="4"/>
    <s v="Male"/>
    <s v="India"/>
    <s v="Smartphone"/>
    <n v="20"/>
    <n v="9.5"/>
    <s v="No"/>
    <s v="No"/>
    <s v="No"/>
    <n v="0"/>
  </r>
  <r>
    <s v="USR01336"/>
    <s v="APP036"/>
    <s v="MoveGo"/>
    <x v="2"/>
    <x v="0"/>
    <s v="Female"/>
    <s v="Singapore"/>
    <s v="Smartphone"/>
    <n v="15"/>
    <n v="10.4"/>
    <s v="No"/>
    <s v="Yes"/>
    <s v="No"/>
    <n v="0"/>
  </r>
  <r>
    <s v="USR01337"/>
    <s v="APP037"/>
    <s v="BrightNow"/>
    <x v="3"/>
    <x v="4"/>
    <s v="Male"/>
    <s v="United Kingdom"/>
    <s v="Smartphone"/>
    <n v="7"/>
    <n v="19.899999999999999"/>
    <s v="No"/>
    <s v="Yes"/>
    <s v="No"/>
    <n v="0"/>
  </r>
  <r>
    <s v="USR01338"/>
    <s v="APP038"/>
    <s v="StudyCloud"/>
    <x v="3"/>
    <x v="4"/>
    <s v="Male"/>
    <s v="Australia"/>
    <s v="Smartphone"/>
    <n v="23"/>
    <n v="20.5"/>
    <s v="No"/>
    <s v="Yes"/>
    <s v="No"/>
    <n v="26.53"/>
  </r>
  <r>
    <s v="USR01339"/>
    <s v="APP039"/>
    <s v="SkillNow"/>
    <x v="3"/>
    <x v="0"/>
    <s v="Male"/>
    <s v="Canada"/>
    <s v="Smartphone"/>
    <n v="15"/>
    <n v="15.5"/>
    <s v="No"/>
    <s v="Yes"/>
    <s v="No"/>
    <n v="0"/>
  </r>
  <r>
    <s v="USR01340"/>
    <s v="APP040"/>
    <s v="LearnMate"/>
    <x v="3"/>
    <x v="2"/>
    <s v="Prefer not to say"/>
    <s v="India"/>
    <s v="Smartphone"/>
    <n v="15"/>
    <n v="8.4"/>
    <s v="Yes"/>
    <s v="Yes"/>
    <s v="No"/>
    <n v="0"/>
  </r>
  <r>
    <s v="USR01341"/>
    <s v="APP041"/>
    <s v="QuestNow"/>
    <x v="3"/>
    <x v="0"/>
    <s v="Female"/>
    <s v="Canada"/>
    <s v="Smartphone"/>
    <n v="27"/>
    <n v="8.3000000000000007"/>
    <s v="Yes"/>
    <s v="Yes"/>
    <s v="No"/>
    <n v="0"/>
  </r>
  <r>
    <s v="USR01342"/>
    <s v="APP042"/>
    <s v="SkillHub"/>
    <x v="3"/>
    <x v="2"/>
    <s v="Female"/>
    <s v="Canada"/>
    <s v="Smartphone"/>
    <n v="9"/>
    <n v="29.6"/>
    <s v="No"/>
    <s v="No"/>
    <s v="Yes"/>
    <n v="2.2799999999999998"/>
  </r>
  <r>
    <s v="USR01343"/>
    <s v="APP043"/>
    <s v="TutorCloud"/>
    <x v="3"/>
    <x v="0"/>
    <s v="Female"/>
    <s v="United States"/>
    <s v="Smartphone"/>
    <n v="36"/>
    <n v="37.200000000000003"/>
    <s v="Yes"/>
    <s v="No"/>
    <s v="Yes"/>
    <n v="46.84"/>
  </r>
  <r>
    <s v="USR01344"/>
    <s v="APP044"/>
    <s v="SkillOne"/>
    <x v="3"/>
    <x v="0"/>
    <s v="Male"/>
    <s v="United States"/>
    <s v="Smartphone"/>
    <n v="12"/>
    <n v="20.8"/>
    <s v="No"/>
    <s v="Yes"/>
    <s v="No"/>
    <n v="0"/>
  </r>
  <r>
    <s v="USR01345"/>
    <s v="APP045"/>
    <s v="LearnOne"/>
    <x v="3"/>
    <x v="2"/>
    <s v="Female"/>
    <s v="United States"/>
    <s v="Smartphone"/>
    <n v="10"/>
    <n v="39.6"/>
    <s v="No"/>
    <s v="No"/>
    <s v="Yes"/>
    <n v="0"/>
  </r>
  <r>
    <s v="USR01346"/>
    <s v="APP046"/>
    <s v="LearnPlus"/>
    <x v="3"/>
    <x v="0"/>
    <s v="Male"/>
    <s v="United States"/>
    <s v="Tablet"/>
    <n v="21"/>
    <n v="36.700000000000003"/>
    <s v="Yes"/>
    <s v="No"/>
    <s v="No"/>
    <n v="0"/>
  </r>
  <r>
    <s v="USR01347"/>
    <s v="APP047"/>
    <s v="StudyPlus"/>
    <x v="3"/>
    <x v="0"/>
    <s v="Male"/>
    <s v="United Kingdom"/>
    <s v="Smartphone"/>
    <n v="18"/>
    <n v="10.5"/>
    <s v="No"/>
    <s v="No"/>
    <s v="No"/>
    <n v="0"/>
  </r>
  <r>
    <s v="USR01348"/>
    <s v="APP048"/>
    <s v="StudyX"/>
    <x v="3"/>
    <x v="0"/>
    <s v="Male"/>
    <s v="UAE"/>
    <s v="Smartphone"/>
    <n v="12"/>
    <n v="30.6"/>
    <s v="No"/>
    <s v="No"/>
    <s v="No"/>
    <n v="50.67"/>
  </r>
  <r>
    <s v="USR01349"/>
    <s v="APP049"/>
    <s v="PlayPlus"/>
    <x v="4"/>
    <x v="2"/>
    <s v="Female"/>
    <s v="UAE"/>
    <s v="Smartphone"/>
    <n v="70"/>
    <n v="40.299999999999997"/>
    <s v="Yes"/>
    <s v="Yes"/>
    <s v="No"/>
    <n v="0"/>
  </r>
  <r>
    <s v="USR01350"/>
    <s v="APP050"/>
    <s v="ShowMate"/>
    <x v="4"/>
    <x v="1"/>
    <s v="Female"/>
    <s v="Canada"/>
    <s v="Smartphone"/>
    <n v="7"/>
    <n v="31.2"/>
    <s v="No"/>
    <s v="No"/>
    <s v="No"/>
    <n v="0"/>
  </r>
  <r>
    <s v="USR01351"/>
    <s v="APP051"/>
    <s v="VibeX"/>
    <x v="4"/>
    <x v="2"/>
    <s v="Male"/>
    <s v="Canada"/>
    <s v="Smartphone"/>
    <n v="17"/>
    <n v="28.1"/>
    <s v="No"/>
    <s v="No"/>
    <s v="No"/>
    <n v="32.75"/>
  </r>
  <r>
    <s v="USR01352"/>
    <s v="APP052"/>
    <s v="BuzzNow"/>
    <x v="4"/>
    <x v="2"/>
    <s v="Prefer not to say"/>
    <s v="Australia"/>
    <s v="Smartphone"/>
    <n v="30"/>
    <n v="35.799999999999997"/>
    <s v="Yes"/>
    <s v="Yes"/>
    <s v="No"/>
    <n v="0"/>
  </r>
  <r>
    <s v="USR01353"/>
    <s v="APP053"/>
    <s v="StreamPlus"/>
    <x v="4"/>
    <x v="2"/>
    <s v="Female"/>
    <s v="Australia"/>
    <s v="Smartphone"/>
    <n v="24"/>
    <n v="9.9"/>
    <s v="No"/>
    <s v="No"/>
    <s v="No"/>
    <n v="18.63"/>
  </r>
  <r>
    <s v="USR01354"/>
    <s v="APP054"/>
    <s v="Showly"/>
    <x v="4"/>
    <x v="2"/>
    <s v="Female"/>
    <s v="Canada"/>
    <s v="Tablet"/>
    <n v="38"/>
    <n v="29.1"/>
    <s v="Yes"/>
    <s v="Yes"/>
    <s v="Yes"/>
    <n v="6.52"/>
  </r>
  <r>
    <s v="USR01355"/>
    <s v="APP055"/>
    <s v="BuzzOne"/>
    <x v="4"/>
    <x v="0"/>
    <s v="Female"/>
    <s v="Singapore"/>
    <s v="Smartphone"/>
    <n v="26"/>
    <n v="41.1"/>
    <s v="No"/>
    <s v="Yes"/>
    <s v="No"/>
    <n v="0"/>
  </r>
  <r>
    <s v="USR01356"/>
    <s v="APP056"/>
    <s v="PlayHub"/>
    <x v="4"/>
    <x v="0"/>
    <s v="Female"/>
    <s v="United Kingdom"/>
    <s v="Smartphone"/>
    <n v="20"/>
    <n v="33.5"/>
    <s v="No"/>
    <s v="No"/>
    <s v="Yes"/>
    <n v="38.72"/>
  </r>
  <r>
    <s v="USR01357"/>
    <s v="APP057"/>
    <s v="CinemaGo"/>
    <x v="4"/>
    <x v="4"/>
    <s v="Female"/>
    <s v="United Kingdom"/>
    <s v="Smartphone"/>
    <n v="69"/>
    <n v="37.799999999999997"/>
    <s v="Yes"/>
    <s v="Yes"/>
    <s v="Yes"/>
    <n v="4.1500000000000004"/>
  </r>
  <r>
    <s v="USR01358"/>
    <s v="APP058"/>
    <s v="LaughX"/>
    <x v="4"/>
    <x v="0"/>
    <s v="Male"/>
    <s v="Canada"/>
    <s v="Smartphone"/>
    <n v="41"/>
    <n v="28.8"/>
    <s v="Yes"/>
    <s v="No"/>
    <s v="Yes"/>
    <n v="0"/>
  </r>
  <r>
    <s v="USR01359"/>
    <s v="APP059"/>
    <s v="CinemaHub"/>
    <x v="4"/>
    <x v="2"/>
    <s v="Prefer not to say"/>
    <s v="Australia"/>
    <s v="Smartphone"/>
    <n v="87"/>
    <n v="26.3"/>
    <s v="Yes"/>
    <s v="No"/>
    <s v="No"/>
    <n v="0"/>
  </r>
  <r>
    <s v="USR01360"/>
    <s v="APP060"/>
    <s v="ShowPro"/>
    <x v="4"/>
    <x v="1"/>
    <s v="Female"/>
    <s v="Germany"/>
    <s v="Smartphone"/>
    <n v="15"/>
    <n v="21.1"/>
    <s v="No"/>
    <s v="No"/>
    <s v="No"/>
    <n v="0"/>
  </r>
  <r>
    <s v="USR01361"/>
    <s v="APP061"/>
    <s v="FoodPlus"/>
    <x v="5"/>
    <x v="1"/>
    <s v="Male"/>
    <s v="UAE"/>
    <s v="Smartphone"/>
    <n v="6"/>
    <n v="22.5"/>
    <s v="No"/>
    <s v="No"/>
    <s v="No"/>
    <n v="0"/>
  </r>
  <r>
    <s v="USR01362"/>
    <s v="APP062"/>
    <s v="BiteGo"/>
    <x v="5"/>
    <x v="1"/>
    <s v="Male"/>
    <s v="Germany"/>
    <s v="Smartphone"/>
    <n v="16"/>
    <n v="8.6"/>
    <s v="No"/>
    <s v="Yes"/>
    <s v="No"/>
    <n v="0"/>
  </r>
  <r>
    <s v="USR01363"/>
    <s v="APP063"/>
    <s v="OrderCloud"/>
    <x v="5"/>
    <x v="0"/>
    <s v="Female"/>
    <s v="India"/>
    <s v="Smartphone"/>
    <n v="5"/>
    <n v="7.8"/>
    <s v="No"/>
    <s v="Yes"/>
    <s v="No"/>
    <n v="0"/>
  </r>
  <r>
    <s v="USR01364"/>
    <s v="APP064"/>
    <s v="DinePlus"/>
    <x v="5"/>
    <x v="4"/>
    <s v="Prefer not to say"/>
    <s v="Germany"/>
    <s v="Smartphone"/>
    <n v="43"/>
    <n v="22.8"/>
    <s v="Yes"/>
    <s v="No"/>
    <s v="Yes"/>
    <n v="35.78"/>
  </r>
  <r>
    <s v="USR01365"/>
    <s v="APP065"/>
    <s v="SnackX"/>
    <x v="5"/>
    <x v="0"/>
    <s v="Female"/>
    <s v="Germany"/>
    <s v="Smartphone"/>
    <n v="86"/>
    <n v="8.5"/>
    <s v="Yes"/>
    <s v="Yes"/>
    <s v="No"/>
    <n v="62.01"/>
  </r>
  <r>
    <s v="USR01366"/>
    <s v="APP066"/>
    <s v="FoodOne"/>
    <x v="5"/>
    <x v="2"/>
    <s v="Female"/>
    <s v="UAE"/>
    <s v="Smartphone"/>
    <n v="25"/>
    <n v="19.100000000000001"/>
    <s v="No"/>
    <s v="No"/>
    <s v="Yes"/>
    <n v="0"/>
  </r>
  <r>
    <s v="USR01367"/>
    <s v="APP067"/>
    <s v="MealMate"/>
    <x v="5"/>
    <x v="4"/>
    <s v="Female"/>
    <s v="Germany"/>
    <s v="Smartphone"/>
    <n v="22"/>
    <n v="12.1"/>
    <s v="No"/>
    <s v="Yes"/>
    <s v="Yes"/>
    <n v="8.92"/>
  </r>
  <r>
    <s v="USR01368"/>
    <s v="APP068"/>
    <s v="SnackHub"/>
    <x v="5"/>
    <x v="0"/>
    <s v="Male"/>
    <s v="India"/>
    <s v="Smartphone"/>
    <n v="1"/>
    <n v="17.8"/>
    <s v="No"/>
    <s v="Yes"/>
    <s v="No"/>
    <n v="0"/>
  </r>
  <r>
    <s v="USR01369"/>
    <s v="APP069"/>
    <s v="BiteCloud"/>
    <x v="5"/>
    <x v="2"/>
    <s v="Male"/>
    <s v="UAE"/>
    <s v="Tablet"/>
    <n v="9"/>
    <n v="11.3"/>
    <s v="No"/>
    <s v="No"/>
    <s v="Yes"/>
    <n v="90.54"/>
  </r>
  <r>
    <s v="USR01370"/>
    <s v="APP070"/>
    <s v="PlatePlus"/>
    <x v="5"/>
    <x v="0"/>
    <s v="Female"/>
    <s v="Singapore"/>
    <s v="Smartphone"/>
    <n v="27"/>
    <n v="10.6"/>
    <s v="No"/>
    <s v="Yes"/>
    <s v="No"/>
    <n v="0"/>
  </r>
  <r>
    <s v="USR01371"/>
    <s v="APP071"/>
    <s v="VoyageGo"/>
    <x v="6"/>
    <x v="3"/>
    <s v="Male"/>
    <s v="Australia"/>
    <s v="Smartphone"/>
    <n v="7"/>
    <n v="12.6"/>
    <s v="No"/>
    <s v="Yes"/>
    <s v="No"/>
    <n v="0"/>
  </r>
  <r>
    <s v="USR01372"/>
    <s v="APP072"/>
    <s v="TripOne"/>
    <x v="6"/>
    <x v="0"/>
    <s v="Female"/>
    <s v="United Kingdom"/>
    <s v="Smartphone"/>
    <n v="2"/>
    <n v="6.3"/>
    <s v="No"/>
    <s v="Yes"/>
    <s v="No"/>
    <n v="0"/>
  </r>
  <r>
    <s v="USR01373"/>
    <s v="APP073"/>
    <s v="FlyGo"/>
    <x v="6"/>
    <x v="2"/>
    <s v="Male"/>
    <s v="Australia"/>
    <s v="Smartphone"/>
    <n v="2"/>
    <n v="4.4000000000000004"/>
    <s v="No"/>
    <s v="Yes"/>
    <s v="No"/>
    <n v="0"/>
  </r>
  <r>
    <s v="USR01374"/>
    <s v="APP074"/>
    <s v="MapX"/>
    <x v="6"/>
    <x v="2"/>
    <s v="Female"/>
    <s v="Germany"/>
    <s v="Smartphone"/>
    <n v="88"/>
    <n v="20.9"/>
    <s v="Yes"/>
    <s v="No"/>
    <s v="Yes"/>
    <n v="0"/>
  </r>
  <r>
    <s v="USR01375"/>
    <s v="APP075"/>
    <s v="StayX"/>
    <x v="6"/>
    <x v="1"/>
    <s v="Male"/>
    <s v="UAE"/>
    <s v="Smartphone"/>
    <n v="86"/>
    <n v="8.5"/>
    <s v="Yes"/>
    <s v="Yes"/>
    <s v="No"/>
    <n v="0"/>
  </r>
  <r>
    <s v="USR01376"/>
    <s v="APP076"/>
    <s v="GoNow"/>
    <x v="6"/>
    <x v="3"/>
    <s v="Female"/>
    <s v="Singapore"/>
    <s v="Smartphone"/>
    <n v="13"/>
    <n v="12"/>
    <s v="No"/>
    <s v="No"/>
    <s v="Yes"/>
    <n v="94.97"/>
  </r>
  <r>
    <s v="USR01377"/>
    <s v="APP077"/>
    <s v="RouteGo"/>
    <x v="6"/>
    <x v="2"/>
    <s v="Female"/>
    <s v="Singapore"/>
    <s v="Smartphone"/>
    <n v="72"/>
    <n v="14.2"/>
    <s v="Yes"/>
    <s v="Yes"/>
    <s v="No"/>
    <n v="0"/>
  </r>
  <r>
    <s v="USR01378"/>
    <s v="APP078"/>
    <s v="TripGo"/>
    <x v="6"/>
    <x v="2"/>
    <s v="Female"/>
    <s v="India"/>
    <s v="Smartphone"/>
    <n v="13"/>
    <n v="16.2"/>
    <s v="No"/>
    <s v="No"/>
    <s v="No"/>
    <n v="45.32"/>
  </r>
  <r>
    <s v="USR01379"/>
    <s v="APP079"/>
    <s v="Flyly"/>
    <x v="6"/>
    <x v="2"/>
    <s v="Male"/>
    <s v="Germany"/>
    <s v="Smartphone"/>
    <n v="16"/>
    <n v="18.2"/>
    <s v="No"/>
    <s v="Yes"/>
    <s v="Yes"/>
    <n v="0"/>
  </r>
  <r>
    <s v="USR01380"/>
    <s v="APP080"/>
    <s v="TripPro"/>
    <x v="6"/>
    <x v="0"/>
    <s v="Female"/>
    <s v="Canada"/>
    <s v="Smartphone"/>
    <n v="16"/>
    <n v="12.9"/>
    <s v="No"/>
    <s v="No"/>
    <s v="No"/>
    <n v="0"/>
  </r>
  <r>
    <s v="USR01381"/>
    <s v="APP081"/>
    <s v="Focusly"/>
    <x v="7"/>
    <x v="2"/>
    <s v="Female"/>
    <s v="UAE"/>
    <s v="Smartphone"/>
    <n v="24"/>
    <n v="20.100000000000001"/>
    <s v="No"/>
    <s v="Yes"/>
    <s v="No"/>
    <n v="32.76"/>
  </r>
  <r>
    <s v="USR01382"/>
    <s v="APP082"/>
    <s v="DeskX"/>
    <x v="7"/>
    <x v="4"/>
    <s v="Male"/>
    <s v="Germany"/>
    <s v="Smartphone"/>
    <n v="66"/>
    <n v="9.5"/>
    <s v="Yes"/>
    <s v="Yes"/>
    <s v="No"/>
    <n v="0"/>
  </r>
  <r>
    <s v="USR01383"/>
    <s v="APP083"/>
    <s v="DonePro"/>
    <x v="7"/>
    <x v="4"/>
    <s v="Female"/>
    <s v="India"/>
    <s v="Smartphone"/>
    <n v="9"/>
    <n v="18.600000000000001"/>
    <s v="No"/>
    <s v="Yes"/>
    <s v="No"/>
    <n v="0"/>
  </r>
  <r>
    <s v="USR01384"/>
    <s v="APP084"/>
    <s v="NotePlus"/>
    <x v="7"/>
    <x v="4"/>
    <s v="Female"/>
    <s v="India"/>
    <s v="Smartphone"/>
    <n v="29"/>
    <n v="5.4"/>
    <s v="Yes"/>
    <s v="Yes"/>
    <s v="No"/>
    <n v="23.42"/>
  </r>
  <r>
    <s v="USR01385"/>
    <s v="APP085"/>
    <s v="SyncPlus"/>
    <x v="7"/>
    <x v="2"/>
    <s v="Prefer not to say"/>
    <s v="Germany"/>
    <s v="Smartphone"/>
    <n v="12"/>
    <n v="8.1999999999999993"/>
    <s v="No"/>
    <s v="No"/>
    <s v="No"/>
    <n v="92.4"/>
  </r>
  <r>
    <s v="USR01386"/>
    <s v="APP086"/>
    <s v="NoteOne"/>
    <x v="7"/>
    <x v="0"/>
    <s v="Female"/>
    <s v="United States"/>
    <s v="Smartphone"/>
    <n v="68"/>
    <n v="22.5"/>
    <s v="Yes"/>
    <s v="No"/>
    <s v="Yes"/>
    <n v="0"/>
  </r>
  <r>
    <s v="USR01387"/>
    <s v="APP087"/>
    <s v="NoteMate"/>
    <x v="7"/>
    <x v="1"/>
    <s v="Female"/>
    <s v="India"/>
    <s v="Smartphone"/>
    <n v="9"/>
    <n v="4.5999999999999996"/>
    <s v="No"/>
    <s v="Yes"/>
    <s v="No"/>
    <n v="0"/>
  </r>
  <r>
    <s v="USR01388"/>
    <s v="APP088"/>
    <s v="PlanPlus"/>
    <x v="7"/>
    <x v="0"/>
    <s v="Male"/>
    <s v="Singapore"/>
    <s v="Smartphone"/>
    <n v="94"/>
    <n v="5.3"/>
    <s v="Yes"/>
    <s v="Yes"/>
    <s v="No"/>
    <n v="0"/>
  </r>
  <r>
    <s v="USR01389"/>
    <s v="APP089"/>
    <s v="PlanMate"/>
    <x v="7"/>
    <x v="2"/>
    <s v="Male"/>
    <s v="UAE"/>
    <s v="Smartphone"/>
    <n v="23"/>
    <n v="10.5"/>
    <s v="No"/>
    <s v="Yes"/>
    <s v="No"/>
    <n v="41.74"/>
  </r>
  <r>
    <s v="USR01390"/>
    <s v="APP090"/>
    <s v="SyncPlus"/>
    <x v="7"/>
    <x v="4"/>
    <s v="Male"/>
    <s v="UAE"/>
    <s v="Smartphone"/>
    <n v="12"/>
    <n v="19.7"/>
    <s v="No"/>
    <s v="No"/>
    <s v="Yes"/>
    <n v="0"/>
  </r>
  <r>
    <s v="USR01391"/>
    <s v="APP091"/>
    <s v="ClinicPro"/>
    <x v="8"/>
    <x v="1"/>
    <s v="Female"/>
    <s v="United States"/>
    <s v="Smartphone"/>
    <n v="15"/>
    <n v="4.2"/>
    <s v="No"/>
    <s v="Yes"/>
    <s v="No"/>
    <n v="0"/>
  </r>
  <r>
    <s v="USR01392"/>
    <s v="APP092"/>
    <s v="MindMate"/>
    <x v="8"/>
    <x v="4"/>
    <s v="Male"/>
    <s v="United Kingdom"/>
    <s v="Smartphone"/>
    <n v="61"/>
    <n v="3.8"/>
    <s v="Yes"/>
    <s v="Yes"/>
    <s v="No"/>
    <n v="0"/>
  </r>
  <r>
    <s v="USR01393"/>
    <s v="APP093"/>
    <s v="ClinicOne"/>
    <x v="8"/>
    <x v="4"/>
    <s v="Male"/>
    <s v="Australia"/>
    <s v="Tablet"/>
    <n v="20"/>
    <n v="7.5"/>
    <s v="No"/>
    <s v="Yes"/>
    <s v="No"/>
    <n v="0"/>
  </r>
  <r>
    <s v="USR01394"/>
    <s v="APP094"/>
    <s v="WellMate"/>
    <x v="8"/>
    <x v="0"/>
    <s v="Female"/>
    <s v="United Kingdom"/>
    <s v="Smartphone"/>
    <n v="38"/>
    <n v="13.1"/>
    <s v="Yes"/>
    <s v="Yes"/>
    <s v="No"/>
    <n v="0"/>
  </r>
  <r>
    <s v="USR01395"/>
    <s v="APP095"/>
    <s v="MediMate"/>
    <x v="8"/>
    <x v="0"/>
    <s v="Female"/>
    <s v="Singapore"/>
    <s v="Smartphone"/>
    <n v="60"/>
    <n v="23.6"/>
    <s v="Yes"/>
    <s v="Yes"/>
    <s v="No"/>
    <n v="0"/>
  </r>
  <r>
    <s v="USR01396"/>
    <s v="APP096"/>
    <s v="WellNow"/>
    <x v="8"/>
    <x v="3"/>
    <s v="Male"/>
    <s v="United Kingdom"/>
    <s v="Smartphone"/>
    <n v="2"/>
    <n v="22.6"/>
    <s v="No"/>
    <s v="No"/>
    <s v="Yes"/>
    <n v="0"/>
  </r>
  <r>
    <s v="USR01397"/>
    <s v="APP097"/>
    <s v="CareCloud"/>
    <x v="8"/>
    <x v="2"/>
    <s v="Female"/>
    <s v="Singapore"/>
    <s v="Smartphone"/>
    <n v="31"/>
    <n v="14.7"/>
    <s v="Yes"/>
    <s v="No"/>
    <s v="No"/>
    <n v="0"/>
  </r>
  <r>
    <s v="USR01398"/>
    <s v="APP098"/>
    <s v="MediNow"/>
    <x v="8"/>
    <x v="0"/>
    <s v="Female"/>
    <s v="Singapore"/>
    <s v="Smartphone"/>
    <n v="15"/>
    <n v="21.2"/>
    <s v="Yes"/>
    <s v="Yes"/>
    <s v="Yes"/>
    <n v="0"/>
  </r>
  <r>
    <s v="USR01399"/>
    <s v="APP099"/>
    <s v="MindPlus"/>
    <x v="8"/>
    <x v="2"/>
    <s v="Female"/>
    <s v="Australia"/>
    <s v="Tablet"/>
    <n v="33"/>
    <n v="16.2"/>
    <s v="Yes"/>
    <s v="Yes"/>
    <s v="No"/>
    <n v="0"/>
  </r>
  <r>
    <s v="USR01400"/>
    <s v="APP100"/>
    <s v="MediCloud"/>
    <x v="8"/>
    <x v="1"/>
    <s v="Male"/>
    <s v="UAE"/>
    <s v="Smartphone"/>
    <n v="83"/>
    <n v="14.9"/>
    <s v="Yes"/>
    <s v="Yes"/>
    <s v="No"/>
    <n v="0"/>
  </r>
  <r>
    <s v="USR01401"/>
    <s v="APP001"/>
    <s v="InvestPro"/>
    <x v="0"/>
    <x v="2"/>
    <s v="Female"/>
    <s v="Singapore"/>
    <s v="Smartphone"/>
    <n v="27"/>
    <n v="5.0999999999999996"/>
    <s v="No"/>
    <s v="No"/>
    <s v="No"/>
    <n v="0"/>
  </r>
  <r>
    <s v="USR01402"/>
    <s v="APP002"/>
    <s v="BankPro"/>
    <x v="0"/>
    <x v="0"/>
    <s v="Male"/>
    <s v="India"/>
    <s v="Smartphone"/>
    <n v="40"/>
    <n v="23.7"/>
    <s v="Yes"/>
    <s v="Yes"/>
    <s v="No"/>
    <n v="0"/>
  </r>
  <r>
    <s v="USR01403"/>
    <s v="APP003"/>
    <s v="BankX"/>
    <x v="0"/>
    <x v="0"/>
    <s v="Male"/>
    <s v="UAE"/>
    <s v="Smartphone"/>
    <n v="28"/>
    <n v="13.2"/>
    <s v="Yes"/>
    <s v="Yes"/>
    <s v="No"/>
    <n v="0"/>
  </r>
  <r>
    <s v="USR01404"/>
    <s v="APP004"/>
    <s v="BankNow"/>
    <x v="0"/>
    <x v="4"/>
    <s v="Male"/>
    <s v="UAE"/>
    <s v="Smartphone"/>
    <n v="7"/>
    <n v="7.9"/>
    <s v="No"/>
    <s v="No"/>
    <s v="No"/>
    <n v="0"/>
  </r>
  <r>
    <s v="USR01405"/>
    <s v="APP005"/>
    <s v="CreditHub"/>
    <x v="0"/>
    <x v="4"/>
    <s v="Male"/>
    <s v="Singapore"/>
    <s v="Smartphone"/>
    <n v="95"/>
    <n v="13.4"/>
    <s v="Yes"/>
    <s v="No"/>
    <s v="No"/>
    <n v="0"/>
  </r>
  <r>
    <s v="USR01406"/>
    <s v="APP006"/>
    <s v="PayPlus"/>
    <x v="0"/>
    <x v="2"/>
    <s v="Female"/>
    <s v="Canada"/>
    <s v="Smartphone"/>
    <n v="21"/>
    <n v="21.9"/>
    <s v="No"/>
    <s v="No"/>
    <s v="Yes"/>
    <n v="0"/>
  </r>
  <r>
    <s v="USR01407"/>
    <s v="APP007"/>
    <s v="BankPlus"/>
    <x v="0"/>
    <x v="4"/>
    <s v="Female"/>
    <s v="United Kingdom"/>
    <s v="Tablet"/>
    <n v="7"/>
    <n v="16.5"/>
    <s v="No"/>
    <s v="Yes"/>
    <s v="No"/>
    <n v="0"/>
  </r>
  <r>
    <s v="USR01408"/>
    <s v="APP008"/>
    <s v="CoinPlus"/>
    <x v="0"/>
    <x v="2"/>
    <s v="Prefer not to say"/>
    <s v="Singapore"/>
    <s v="Smartphone"/>
    <n v="41"/>
    <n v="17.3"/>
    <s v="Yes"/>
    <s v="Yes"/>
    <s v="No"/>
    <n v="0"/>
  </r>
  <r>
    <s v="USR01409"/>
    <s v="APP009"/>
    <s v="CreditOne"/>
    <x v="0"/>
    <x v="4"/>
    <s v="Female"/>
    <s v="Singapore"/>
    <s v="Smartphone"/>
    <n v="8"/>
    <n v="3.3"/>
    <s v="No"/>
    <s v="No"/>
    <s v="Yes"/>
    <n v="0"/>
  </r>
  <r>
    <s v="USR01410"/>
    <s v="APP010"/>
    <s v="PayPro"/>
    <x v="0"/>
    <x v="2"/>
    <s v="Male"/>
    <s v="Canada"/>
    <s v="Tablet"/>
    <n v="2"/>
    <n v="17.899999999999999"/>
    <s v="No"/>
    <s v="No"/>
    <s v="No"/>
    <n v="20.67"/>
  </r>
  <r>
    <s v="USR01411"/>
    <s v="APP011"/>
    <s v="Creditly"/>
    <x v="0"/>
    <x v="0"/>
    <s v="Male"/>
    <s v="Canada"/>
    <s v="Smartphone"/>
    <n v="51"/>
    <n v="9.6999999999999993"/>
    <s v="Yes"/>
    <s v="No"/>
    <s v="Yes"/>
    <n v="0"/>
  </r>
  <r>
    <s v="USR01412"/>
    <s v="APP012"/>
    <s v="PayX"/>
    <x v="0"/>
    <x v="0"/>
    <s v="Female"/>
    <s v="Germany"/>
    <s v="Smartphone"/>
    <n v="73"/>
    <n v="5.4"/>
    <s v="Yes"/>
    <s v="Yes"/>
    <s v="No"/>
    <n v="75.180000000000007"/>
  </r>
  <r>
    <s v="USR01413"/>
    <s v="APP013"/>
    <s v="DealGo"/>
    <x v="1"/>
    <x v="2"/>
    <s v="Prefer not to say"/>
    <s v="United Kingdom"/>
    <s v="Tablet"/>
    <n v="30"/>
    <n v="18.399999999999999"/>
    <s v="Yes"/>
    <s v="No"/>
    <s v="No"/>
    <n v="0"/>
  </r>
  <r>
    <s v="USR01414"/>
    <s v="APP014"/>
    <s v="MallNow"/>
    <x v="1"/>
    <x v="1"/>
    <s v="Male"/>
    <s v="United Kingdom"/>
    <s v="Smartphone"/>
    <n v="12"/>
    <n v="3.1"/>
    <s v="No"/>
    <s v="Yes"/>
    <s v="No"/>
    <n v="0"/>
  </r>
  <r>
    <s v="USR01415"/>
    <s v="APP015"/>
    <s v="DealPro"/>
    <x v="1"/>
    <x v="1"/>
    <s v="Female"/>
    <s v="Australia"/>
    <s v="Tablet"/>
    <n v="19"/>
    <n v="7.4"/>
    <s v="Yes"/>
    <s v="Yes"/>
    <s v="No"/>
    <n v="0"/>
  </r>
  <r>
    <s v="USR01416"/>
    <s v="APP016"/>
    <s v="StyleNow"/>
    <x v="1"/>
    <x v="1"/>
    <s v="Female"/>
    <s v="Canada"/>
    <s v="Smartphone"/>
    <n v="78"/>
    <n v="9.1"/>
    <s v="Yes"/>
    <s v="Yes"/>
    <s v="No"/>
    <n v="94.67"/>
  </r>
  <r>
    <s v="USR01417"/>
    <s v="APP017"/>
    <s v="DealCloud"/>
    <x v="1"/>
    <x v="2"/>
    <s v="Female"/>
    <s v="India"/>
    <s v="Tablet"/>
    <n v="17"/>
    <n v="17.7"/>
    <s v="No"/>
    <s v="No"/>
    <s v="No"/>
    <n v="71.45"/>
  </r>
  <r>
    <s v="USR01418"/>
    <s v="APP018"/>
    <s v="CartCloud"/>
    <x v="1"/>
    <x v="0"/>
    <s v="Prefer not to say"/>
    <s v="India"/>
    <s v="Smartphone"/>
    <n v="21"/>
    <n v="14.5"/>
    <s v="Yes"/>
    <s v="Yes"/>
    <s v="No"/>
    <n v="0"/>
  </r>
  <r>
    <s v="USR01419"/>
    <s v="APP019"/>
    <s v="CartMate"/>
    <x v="1"/>
    <x v="3"/>
    <s v="Female"/>
    <s v="United Kingdom"/>
    <s v="Smartphone"/>
    <n v="7"/>
    <n v="13.9"/>
    <s v="No"/>
    <s v="Yes"/>
    <s v="No"/>
    <n v="0"/>
  </r>
  <r>
    <s v="USR01420"/>
    <s v="APP020"/>
    <s v="BazaarOne"/>
    <x v="1"/>
    <x v="0"/>
    <s v="Female"/>
    <s v="UAE"/>
    <s v="Smartphone"/>
    <n v="43"/>
    <n v="18.7"/>
    <s v="Yes"/>
    <s v="No"/>
    <s v="No"/>
    <n v="0"/>
  </r>
  <r>
    <s v="USR01421"/>
    <s v="APP021"/>
    <s v="StyleOne"/>
    <x v="1"/>
    <x v="0"/>
    <s v="Male"/>
    <s v="UAE"/>
    <s v="Smartphone"/>
    <n v="94"/>
    <n v="7.6"/>
    <s v="Yes"/>
    <s v="Yes"/>
    <s v="No"/>
    <n v="0"/>
  </r>
  <r>
    <s v="USR01422"/>
    <s v="APP022"/>
    <s v="Cartly"/>
    <x v="1"/>
    <x v="2"/>
    <s v="Male"/>
    <s v="Canada"/>
    <s v="Smartphone"/>
    <n v="6"/>
    <n v="11.3"/>
    <s v="No"/>
    <s v="No"/>
    <s v="No"/>
    <n v="0"/>
  </r>
  <r>
    <s v="USR01423"/>
    <s v="APP023"/>
    <s v="BazaarCloud"/>
    <x v="1"/>
    <x v="0"/>
    <s v="Other"/>
    <s v="UAE"/>
    <s v="Smartphone"/>
    <n v="10"/>
    <n v="20.3"/>
    <s v="No"/>
    <s v="Yes"/>
    <s v="No"/>
    <n v="0"/>
  </r>
  <r>
    <s v="USR01424"/>
    <s v="APP024"/>
    <s v="CartPro"/>
    <x v="1"/>
    <x v="0"/>
    <s v="Female"/>
    <s v="Germany"/>
    <s v="Smartphone"/>
    <n v="12"/>
    <n v="7.2"/>
    <s v="No"/>
    <s v="No"/>
    <s v="Yes"/>
    <n v="0"/>
  </r>
  <r>
    <s v="USR01425"/>
    <s v="APP025"/>
    <s v="RunPlus"/>
    <x v="2"/>
    <x v="4"/>
    <s v="Male"/>
    <s v="Germany"/>
    <s v="Smartphone"/>
    <n v="27"/>
    <n v="12"/>
    <s v="Yes"/>
    <s v="No"/>
    <s v="No"/>
    <n v="34.200000000000003"/>
  </r>
  <r>
    <s v="USR01426"/>
    <s v="APP026"/>
    <s v="TrainCloud"/>
    <x v="2"/>
    <x v="4"/>
    <s v="Male"/>
    <s v="UAE"/>
    <s v="Smartphone"/>
    <n v="95"/>
    <n v="24.8"/>
    <s v="Yes"/>
    <s v="Yes"/>
    <s v="No"/>
    <n v="0"/>
  </r>
  <r>
    <s v="USR01427"/>
    <s v="APP027"/>
    <s v="Trainly"/>
    <x v="2"/>
    <x v="0"/>
    <s v="Male"/>
    <s v="Germany"/>
    <s v="Smartphone"/>
    <n v="6"/>
    <n v="14.4"/>
    <s v="No"/>
    <s v="No"/>
    <s v="No"/>
    <n v="0"/>
  </r>
  <r>
    <s v="USR01428"/>
    <s v="APP028"/>
    <s v="LiftCloud"/>
    <x v="2"/>
    <x v="0"/>
    <s v="Male"/>
    <s v="Canada"/>
    <s v="Smartphone"/>
    <n v="27"/>
    <n v="23.9"/>
    <s v="No"/>
    <s v="No"/>
    <s v="No"/>
    <n v="0"/>
  </r>
  <r>
    <s v="USR01429"/>
    <s v="APP029"/>
    <s v="MoveNow"/>
    <x v="2"/>
    <x v="2"/>
    <s v="Female"/>
    <s v="Germany"/>
    <s v="Smartphone"/>
    <n v="30"/>
    <n v="31.5"/>
    <s v="Yes"/>
    <s v="Yes"/>
    <s v="No"/>
    <n v="0"/>
  </r>
  <r>
    <s v="USR01430"/>
    <s v="APP030"/>
    <s v="ActiveMate"/>
    <x v="2"/>
    <x v="0"/>
    <s v="Female"/>
    <s v="India"/>
    <s v="Tablet"/>
    <n v="91"/>
    <n v="29.7"/>
    <s v="Yes"/>
    <s v="Yes"/>
    <s v="No"/>
    <n v="0"/>
  </r>
  <r>
    <s v="USR01431"/>
    <s v="APP031"/>
    <s v="RunGo"/>
    <x v="2"/>
    <x v="1"/>
    <s v="Other"/>
    <s v="Australia"/>
    <s v="Smartphone"/>
    <n v="95"/>
    <n v="11.3"/>
    <s v="Yes"/>
    <s v="Yes"/>
    <s v="No"/>
    <n v="0"/>
  </r>
  <r>
    <s v="USR01432"/>
    <s v="APP032"/>
    <s v="LiftPro"/>
    <x v="2"/>
    <x v="0"/>
    <s v="Male"/>
    <s v="Canada"/>
    <s v="Smartphone"/>
    <n v="93"/>
    <n v="19.2"/>
    <s v="Yes"/>
    <s v="Yes"/>
    <s v="No"/>
    <n v="0"/>
  </r>
  <r>
    <s v="USR01433"/>
    <s v="APP033"/>
    <s v="LiftPro"/>
    <x v="2"/>
    <x v="4"/>
    <s v="Female"/>
    <s v="Australia"/>
    <s v="Smartphone"/>
    <n v="50"/>
    <n v="37.700000000000003"/>
    <s v="Yes"/>
    <s v="Yes"/>
    <s v="No"/>
    <n v="0"/>
  </r>
  <r>
    <s v="USR01434"/>
    <s v="APP034"/>
    <s v="Liftly"/>
    <x v="2"/>
    <x v="1"/>
    <s v="Female"/>
    <s v="Canada"/>
    <s v="Smartphone"/>
    <n v="3"/>
    <n v="31.6"/>
    <s v="No"/>
    <s v="Yes"/>
    <s v="No"/>
    <n v="0"/>
  </r>
  <r>
    <s v="USR01435"/>
    <s v="APP035"/>
    <s v="YogaHub"/>
    <x v="2"/>
    <x v="2"/>
    <s v="Male"/>
    <s v="Australia"/>
    <s v="Smartphone"/>
    <n v="91"/>
    <n v="17.100000000000001"/>
    <s v="Yes"/>
    <s v="Yes"/>
    <s v="No"/>
    <n v="0"/>
  </r>
  <r>
    <s v="USR01436"/>
    <s v="APP036"/>
    <s v="MoveGo"/>
    <x v="2"/>
    <x v="2"/>
    <s v="Prefer not to say"/>
    <s v="United States"/>
    <s v="Smartphone"/>
    <n v="16"/>
    <n v="33.700000000000003"/>
    <s v="No"/>
    <s v="Yes"/>
    <s v="Yes"/>
    <n v="32.01"/>
  </r>
  <r>
    <s v="USR01437"/>
    <s v="APP037"/>
    <s v="BrightNow"/>
    <x v="3"/>
    <x v="1"/>
    <s v="Female"/>
    <s v="United States"/>
    <s v="Smartphone"/>
    <n v="16"/>
    <n v="33.6"/>
    <s v="Yes"/>
    <s v="Yes"/>
    <s v="No"/>
    <n v="0"/>
  </r>
  <r>
    <s v="USR01438"/>
    <s v="APP038"/>
    <s v="StudyCloud"/>
    <x v="3"/>
    <x v="1"/>
    <s v="Male"/>
    <s v="Singapore"/>
    <s v="Smartphone"/>
    <n v="89"/>
    <n v="15.2"/>
    <s v="Yes"/>
    <s v="Yes"/>
    <s v="No"/>
    <n v="0"/>
  </r>
  <r>
    <s v="USR01439"/>
    <s v="APP039"/>
    <s v="SkillNow"/>
    <x v="3"/>
    <x v="0"/>
    <s v="Other"/>
    <s v="Australia"/>
    <s v="Tablet"/>
    <n v="5"/>
    <n v="30.5"/>
    <s v="No"/>
    <s v="No"/>
    <s v="No"/>
    <n v="0"/>
  </r>
  <r>
    <s v="USR01440"/>
    <s v="APP040"/>
    <s v="LearnMate"/>
    <x v="3"/>
    <x v="0"/>
    <s v="Female"/>
    <s v="Canada"/>
    <s v="Smartphone"/>
    <n v="20"/>
    <n v="27.6"/>
    <s v="No"/>
    <s v="No"/>
    <s v="No"/>
    <n v="0"/>
  </r>
  <r>
    <s v="USR01441"/>
    <s v="APP041"/>
    <s v="QuestNow"/>
    <x v="3"/>
    <x v="0"/>
    <s v="Female"/>
    <s v="Singapore"/>
    <s v="Smartphone"/>
    <n v="21"/>
    <n v="34.1"/>
    <s v="No"/>
    <s v="No"/>
    <s v="Yes"/>
    <n v="0"/>
  </r>
  <r>
    <s v="USR01442"/>
    <s v="APP042"/>
    <s v="SkillHub"/>
    <x v="3"/>
    <x v="2"/>
    <s v="Prefer not to say"/>
    <s v="Canada"/>
    <s v="Smartphone"/>
    <n v="6"/>
    <n v="18.5"/>
    <s v="No"/>
    <s v="No"/>
    <s v="No"/>
    <n v="26.62"/>
  </r>
  <r>
    <s v="USR01443"/>
    <s v="APP043"/>
    <s v="TutorCloud"/>
    <x v="3"/>
    <x v="0"/>
    <s v="Prefer not to say"/>
    <s v="Australia"/>
    <s v="Smartphone"/>
    <n v="15"/>
    <n v="10.1"/>
    <s v="No"/>
    <s v="Yes"/>
    <s v="Yes"/>
    <n v="0"/>
  </r>
  <r>
    <s v="USR01444"/>
    <s v="APP044"/>
    <s v="SkillOne"/>
    <x v="3"/>
    <x v="1"/>
    <s v="Female"/>
    <s v="UAE"/>
    <s v="Smartphone"/>
    <n v="8"/>
    <n v="10.5"/>
    <s v="No"/>
    <s v="Yes"/>
    <s v="No"/>
    <n v="0"/>
  </r>
  <r>
    <s v="USR01445"/>
    <s v="APP045"/>
    <s v="LearnOne"/>
    <x v="3"/>
    <x v="3"/>
    <s v="Female"/>
    <s v="United Kingdom"/>
    <s v="Smartphone"/>
    <n v="7"/>
    <n v="30.2"/>
    <s v="No"/>
    <s v="No"/>
    <s v="No"/>
    <n v="0"/>
  </r>
  <r>
    <s v="USR01446"/>
    <s v="APP046"/>
    <s v="LearnPlus"/>
    <x v="3"/>
    <x v="0"/>
    <s v="Male"/>
    <s v="Canada"/>
    <s v="Smartphone"/>
    <n v="19"/>
    <n v="36.700000000000003"/>
    <s v="No"/>
    <s v="Yes"/>
    <s v="No"/>
    <n v="41.14"/>
  </r>
  <r>
    <s v="USR01447"/>
    <s v="APP047"/>
    <s v="StudyPlus"/>
    <x v="3"/>
    <x v="2"/>
    <s v="Male"/>
    <s v="India"/>
    <s v="Smartphone"/>
    <n v="90"/>
    <n v="40.200000000000003"/>
    <s v="Yes"/>
    <s v="Yes"/>
    <s v="No"/>
    <n v="0"/>
  </r>
  <r>
    <s v="USR01448"/>
    <s v="APP048"/>
    <s v="StudyX"/>
    <x v="3"/>
    <x v="1"/>
    <s v="Female"/>
    <s v="Germany"/>
    <s v="Smartphone"/>
    <n v="87"/>
    <n v="38.5"/>
    <s v="Yes"/>
    <s v="No"/>
    <s v="No"/>
    <n v="27.19"/>
  </r>
  <r>
    <s v="USR01449"/>
    <s v="APP049"/>
    <s v="PlayPlus"/>
    <x v="4"/>
    <x v="3"/>
    <s v="Male"/>
    <s v="UAE"/>
    <s v="Smartphone"/>
    <n v="12"/>
    <n v="34.799999999999997"/>
    <s v="No"/>
    <s v="No"/>
    <s v="Yes"/>
    <n v="0"/>
  </r>
  <r>
    <s v="USR01450"/>
    <s v="APP050"/>
    <s v="ShowMate"/>
    <x v="4"/>
    <x v="4"/>
    <s v="Male"/>
    <s v="Singapore"/>
    <s v="Smartphone"/>
    <n v="15"/>
    <n v="12.9"/>
    <s v="No"/>
    <s v="No"/>
    <s v="Yes"/>
    <n v="0"/>
  </r>
  <r>
    <s v="USR01451"/>
    <s v="APP051"/>
    <s v="VibeX"/>
    <x v="4"/>
    <x v="4"/>
    <s v="Prefer not to say"/>
    <s v="Australia"/>
    <s v="Smartphone"/>
    <n v="66"/>
    <n v="13.1"/>
    <s v="Yes"/>
    <s v="Yes"/>
    <s v="No"/>
    <n v="44.18"/>
  </r>
  <r>
    <s v="USR01452"/>
    <s v="APP052"/>
    <s v="BuzzNow"/>
    <x v="4"/>
    <x v="0"/>
    <s v="Male"/>
    <s v="UAE"/>
    <s v="Tablet"/>
    <n v="81"/>
    <n v="19.899999999999999"/>
    <s v="Yes"/>
    <s v="Yes"/>
    <s v="No"/>
    <n v="17.71"/>
  </r>
  <r>
    <s v="USR01453"/>
    <s v="APP053"/>
    <s v="StreamPlus"/>
    <x v="4"/>
    <x v="2"/>
    <s v="Male"/>
    <s v="United States"/>
    <s v="Smartphone"/>
    <n v="47"/>
    <n v="19.100000000000001"/>
    <s v="Yes"/>
    <s v="Yes"/>
    <s v="No"/>
    <n v="0"/>
  </r>
  <r>
    <s v="USR01454"/>
    <s v="APP054"/>
    <s v="Showly"/>
    <x v="4"/>
    <x v="0"/>
    <s v="Female"/>
    <s v="United Kingdom"/>
    <s v="Tablet"/>
    <n v="83"/>
    <n v="15.6"/>
    <s v="Yes"/>
    <s v="No"/>
    <s v="Yes"/>
    <n v="0"/>
  </r>
  <r>
    <s v="USR01455"/>
    <s v="APP055"/>
    <s v="BuzzOne"/>
    <x v="4"/>
    <x v="0"/>
    <s v="Female"/>
    <s v="United Kingdom"/>
    <s v="Smartphone"/>
    <n v="17"/>
    <n v="33.700000000000003"/>
    <s v="Yes"/>
    <s v="Yes"/>
    <s v="No"/>
    <n v="0"/>
  </r>
  <r>
    <s v="USR01456"/>
    <s v="APP056"/>
    <s v="PlayHub"/>
    <x v="4"/>
    <x v="2"/>
    <s v="Prefer not to say"/>
    <s v="India"/>
    <s v="Smartphone"/>
    <n v="18"/>
    <n v="13"/>
    <s v="No"/>
    <s v="No"/>
    <s v="No"/>
    <n v="0"/>
  </r>
  <r>
    <s v="USR01457"/>
    <s v="APP057"/>
    <s v="CinemaGo"/>
    <x v="4"/>
    <x v="0"/>
    <s v="Male"/>
    <s v="Australia"/>
    <s v="Smartphone"/>
    <n v="5"/>
    <n v="16.899999999999999"/>
    <s v="No"/>
    <s v="Yes"/>
    <s v="Yes"/>
    <n v="0"/>
  </r>
  <r>
    <s v="USR01458"/>
    <s v="APP058"/>
    <s v="LaughX"/>
    <x v="4"/>
    <x v="2"/>
    <s v="Female"/>
    <s v="United States"/>
    <s v="Tablet"/>
    <n v="23"/>
    <n v="34.299999999999997"/>
    <s v="No"/>
    <s v="No"/>
    <s v="Yes"/>
    <n v="0"/>
  </r>
  <r>
    <s v="USR01459"/>
    <s v="APP059"/>
    <s v="CinemaHub"/>
    <x v="4"/>
    <x v="3"/>
    <s v="Female"/>
    <s v="Australia"/>
    <s v="Tablet"/>
    <n v="1"/>
    <n v="8.5"/>
    <s v="No"/>
    <s v="Yes"/>
    <s v="No"/>
    <n v="0"/>
  </r>
  <r>
    <s v="USR01460"/>
    <s v="APP060"/>
    <s v="ShowPro"/>
    <x v="4"/>
    <x v="4"/>
    <s v="Female"/>
    <s v="UAE"/>
    <s v="Tablet"/>
    <n v="1"/>
    <n v="32.200000000000003"/>
    <s v="No"/>
    <s v="No"/>
    <s v="No"/>
    <n v="0"/>
  </r>
  <r>
    <s v="USR01461"/>
    <s v="APP061"/>
    <s v="FoodPlus"/>
    <x v="5"/>
    <x v="0"/>
    <s v="Female"/>
    <s v="Canada"/>
    <s v="Smartphone"/>
    <n v="20"/>
    <n v="6.5"/>
    <s v="No"/>
    <s v="Yes"/>
    <s v="No"/>
    <n v="0"/>
  </r>
  <r>
    <s v="USR01462"/>
    <s v="APP062"/>
    <s v="BiteGo"/>
    <x v="5"/>
    <x v="4"/>
    <s v="Prefer not to say"/>
    <s v="United States"/>
    <s v="Smartphone"/>
    <n v="23"/>
    <n v="11.3"/>
    <s v="No"/>
    <s v="No"/>
    <s v="Yes"/>
    <n v="7.78"/>
  </r>
  <r>
    <s v="USR01463"/>
    <s v="APP063"/>
    <s v="OrderCloud"/>
    <x v="5"/>
    <x v="0"/>
    <s v="Male"/>
    <s v="Canada"/>
    <s v="Tablet"/>
    <n v="55"/>
    <n v="11.2"/>
    <s v="Yes"/>
    <s v="Yes"/>
    <s v="No"/>
    <n v="0"/>
  </r>
  <r>
    <s v="USR01464"/>
    <s v="APP064"/>
    <s v="DinePlus"/>
    <x v="5"/>
    <x v="1"/>
    <s v="Prefer not to say"/>
    <s v="Australia"/>
    <s v="Smartphone"/>
    <n v="13"/>
    <n v="6.9"/>
    <s v="No"/>
    <s v="No"/>
    <s v="No"/>
    <n v="0"/>
  </r>
  <r>
    <s v="USR01465"/>
    <s v="APP065"/>
    <s v="SnackX"/>
    <x v="5"/>
    <x v="4"/>
    <s v="Female"/>
    <s v="United Kingdom"/>
    <s v="Tablet"/>
    <n v="24"/>
    <n v="9.4"/>
    <s v="Yes"/>
    <s v="Yes"/>
    <s v="No"/>
    <n v="0"/>
  </r>
  <r>
    <s v="USR01466"/>
    <s v="APP066"/>
    <s v="FoodOne"/>
    <x v="5"/>
    <x v="0"/>
    <s v="Female"/>
    <s v="Germany"/>
    <s v="Tablet"/>
    <n v="1"/>
    <n v="21.9"/>
    <s v="No"/>
    <s v="No"/>
    <s v="No"/>
    <n v="0"/>
  </r>
  <r>
    <s v="USR01467"/>
    <s v="APP067"/>
    <s v="MealMate"/>
    <x v="5"/>
    <x v="2"/>
    <s v="Male"/>
    <s v="Singapore"/>
    <s v="Smartphone"/>
    <n v="10"/>
    <n v="7.8"/>
    <s v="No"/>
    <s v="No"/>
    <s v="No"/>
    <n v="0"/>
  </r>
  <r>
    <s v="USR01468"/>
    <s v="APP068"/>
    <s v="SnackHub"/>
    <x v="5"/>
    <x v="0"/>
    <s v="Male"/>
    <s v="UAE"/>
    <s v="Tablet"/>
    <n v="7"/>
    <n v="9.1"/>
    <s v="No"/>
    <s v="No"/>
    <s v="Yes"/>
    <n v="0"/>
  </r>
  <r>
    <s v="USR01469"/>
    <s v="APP069"/>
    <s v="BiteCloud"/>
    <x v="5"/>
    <x v="0"/>
    <s v="Male"/>
    <s v="UAE"/>
    <s v="Smartphone"/>
    <n v="18"/>
    <n v="13.4"/>
    <s v="No"/>
    <s v="No"/>
    <s v="No"/>
    <n v="59.96"/>
  </r>
  <r>
    <s v="USR01470"/>
    <s v="APP070"/>
    <s v="PlatePlus"/>
    <x v="5"/>
    <x v="2"/>
    <s v="Female"/>
    <s v="United Kingdom"/>
    <s v="Smartphone"/>
    <n v="24"/>
    <n v="9.9"/>
    <s v="No"/>
    <s v="Yes"/>
    <s v="No"/>
    <n v="0"/>
  </r>
  <r>
    <s v="USR01471"/>
    <s v="APP071"/>
    <s v="VoyageGo"/>
    <x v="6"/>
    <x v="2"/>
    <s v="Other"/>
    <s v="Canada"/>
    <s v="Smartphone"/>
    <n v="26"/>
    <n v="22.6"/>
    <s v="Yes"/>
    <s v="Yes"/>
    <s v="No"/>
    <n v="0"/>
  </r>
  <r>
    <s v="USR01472"/>
    <s v="APP072"/>
    <s v="TripOne"/>
    <x v="6"/>
    <x v="1"/>
    <s v="Prefer not to say"/>
    <s v="Canada"/>
    <s v="Smartphone"/>
    <n v="14"/>
    <n v="14.8"/>
    <s v="No"/>
    <s v="No"/>
    <s v="No"/>
    <n v="39.39"/>
  </r>
  <r>
    <s v="USR01473"/>
    <s v="APP073"/>
    <s v="FlyGo"/>
    <x v="6"/>
    <x v="3"/>
    <s v="Female"/>
    <s v="Germany"/>
    <s v="Tablet"/>
    <n v="45"/>
    <n v="22.7"/>
    <s v="Yes"/>
    <s v="No"/>
    <s v="Yes"/>
    <n v="0"/>
  </r>
  <r>
    <s v="USR01474"/>
    <s v="APP074"/>
    <s v="MapX"/>
    <x v="6"/>
    <x v="1"/>
    <s v="Female"/>
    <s v="Australia"/>
    <s v="Smartphone"/>
    <n v="4"/>
    <n v="20"/>
    <s v="No"/>
    <s v="Yes"/>
    <s v="No"/>
    <n v="6.21"/>
  </r>
  <r>
    <s v="USR01475"/>
    <s v="APP075"/>
    <s v="StayX"/>
    <x v="6"/>
    <x v="2"/>
    <s v="Male"/>
    <s v="UAE"/>
    <s v="Tablet"/>
    <n v="7"/>
    <n v="18"/>
    <s v="No"/>
    <s v="Yes"/>
    <s v="No"/>
    <n v="0"/>
  </r>
  <r>
    <s v="USR01476"/>
    <s v="APP076"/>
    <s v="GoNow"/>
    <x v="6"/>
    <x v="2"/>
    <s v="Male"/>
    <s v="United Kingdom"/>
    <s v="Smartphone"/>
    <n v="23"/>
    <n v="15.4"/>
    <s v="No"/>
    <s v="Yes"/>
    <s v="No"/>
    <n v="0"/>
  </r>
  <r>
    <s v="USR01477"/>
    <s v="APP077"/>
    <s v="RouteGo"/>
    <x v="6"/>
    <x v="1"/>
    <s v="Male"/>
    <s v="Australia"/>
    <s v="Smartphone"/>
    <n v="22"/>
    <n v="19.100000000000001"/>
    <s v="No"/>
    <s v="Yes"/>
    <s v="No"/>
    <n v="0"/>
  </r>
  <r>
    <s v="USR01478"/>
    <s v="APP078"/>
    <s v="TripGo"/>
    <x v="6"/>
    <x v="0"/>
    <s v="Female"/>
    <s v="Germany"/>
    <s v="Smartphone"/>
    <n v="69"/>
    <n v="23.6"/>
    <s v="Yes"/>
    <s v="No"/>
    <s v="No"/>
    <n v="0"/>
  </r>
  <r>
    <s v="USR01479"/>
    <s v="APP079"/>
    <s v="Flyly"/>
    <x v="6"/>
    <x v="0"/>
    <s v="Male"/>
    <s v="Canada"/>
    <s v="Smartphone"/>
    <n v="12"/>
    <n v="15.3"/>
    <s v="No"/>
    <s v="Yes"/>
    <s v="No"/>
    <n v="0"/>
  </r>
  <r>
    <s v="USR01480"/>
    <s v="APP080"/>
    <s v="TripPro"/>
    <x v="6"/>
    <x v="0"/>
    <s v="Male"/>
    <s v="Germany"/>
    <s v="Smartphone"/>
    <n v="16"/>
    <n v="4.4000000000000004"/>
    <s v="No"/>
    <s v="No"/>
    <s v="No"/>
    <n v="0"/>
  </r>
  <r>
    <s v="USR01481"/>
    <s v="APP081"/>
    <s v="Focusly"/>
    <x v="7"/>
    <x v="4"/>
    <s v="Male"/>
    <s v="Canada"/>
    <s v="Smartphone"/>
    <n v="23"/>
    <n v="8.4"/>
    <s v="Yes"/>
    <s v="Yes"/>
    <s v="No"/>
    <n v="0"/>
  </r>
  <r>
    <s v="USR01482"/>
    <s v="APP082"/>
    <s v="DeskX"/>
    <x v="7"/>
    <x v="1"/>
    <s v="Female"/>
    <s v="UAE"/>
    <s v="Smartphone"/>
    <n v="13"/>
    <n v="6.9"/>
    <s v="No"/>
    <s v="No"/>
    <s v="No"/>
    <n v="0"/>
  </r>
  <r>
    <s v="USR01483"/>
    <s v="APP083"/>
    <s v="DonePro"/>
    <x v="7"/>
    <x v="4"/>
    <s v="Male"/>
    <s v="Germany"/>
    <s v="Smartphone"/>
    <n v="75"/>
    <n v="14.6"/>
    <s v="Yes"/>
    <s v="No"/>
    <s v="Yes"/>
    <n v="0"/>
  </r>
  <r>
    <s v="USR01484"/>
    <s v="APP084"/>
    <s v="NotePlus"/>
    <x v="7"/>
    <x v="0"/>
    <s v="Female"/>
    <s v="Canada"/>
    <s v="Smartphone"/>
    <n v="43"/>
    <n v="21"/>
    <s v="Yes"/>
    <s v="Yes"/>
    <s v="Yes"/>
    <n v="32.58"/>
  </r>
  <r>
    <s v="USR01485"/>
    <s v="APP085"/>
    <s v="SyncPlus"/>
    <x v="7"/>
    <x v="0"/>
    <s v="Male"/>
    <s v="UAE"/>
    <s v="Smartphone"/>
    <n v="4"/>
    <n v="13.9"/>
    <s v="No"/>
    <s v="Yes"/>
    <s v="No"/>
    <n v="0"/>
  </r>
  <r>
    <s v="USR01486"/>
    <s v="APP086"/>
    <s v="NoteOne"/>
    <x v="7"/>
    <x v="0"/>
    <s v="Prefer not to say"/>
    <s v="Australia"/>
    <s v="Smartphone"/>
    <n v="26"/>
    <n v="3.5"/>
    <s v="No"/>
    <s v="Yes"/>
    <s v="No"/>
    <n v="6.41"/>
  </r>
  <r>
    <s v="USR01487"/>
    <s v="APP087"/>
    <s v="NoteMate"/>
    <x v="7"/>
    <x v="0"/>
    <s v="Male"/>
    <s v="United States"/>
    <s v="Smartphone"/>
    <n v="43"/>
    <n v="7.8"/>
    <s v="Yes"/>
    <s v="Yes"/>
    <s v="No"/>
    <n v="80.77"/>
  </r>
  <r>
    <s v="USR01488"/>
    <s v="APP088"/>
    <s v="PlanPlus"/>
    <x v="7"/>
    <x v="0"/>
    <s v="Male"/>
    <s v="United States"/>
    <s v="Smartphone"/>
    <n v="16"/>
    <n v="11.1"/>
    <s v="No"/>
    <s v="No"/>
    <s v="No"/>
    <n v="0"/>
  </r>
  <r>
    <s v="USR01489"/>
    <s v="APP089"/>
    <s v="PlanMate"/>
    <x v="7"/>
    <x v="0"/>
    <s v="Female"/>
    <s v="United Kingdom"/>
    <s v="Smartphone"/>
    <n v="26"/>
    <n v="19.8"/>
    <s v="No"/>
    <s v="No"/>
    <s v="No"/>
    <n v="0"/>
  </r>
  <r>
    <s v="USR01490"/>
    <s v="APP090"/>
    <s v="SyncPlus"/>
    <x v="7"/>
    <x v="2"/>
    <s v="Other"/>
    <s v="Germany"/>
    <s v="Smartphone"/>
    <n v="68"/>
    <n v="5"/>
    <s v="Yes"/>
    <s v="Yes"/>
    <s v="No"/>
    <n v="0"/>
  </r>
  <r>
    <s v="USR01491"/>
    <s v="APP091"/>
    <s v="ClinicPro"/>
    <x v="8"/>
    <x v="0"/>
    <s v="Female"/>
    <s v="Germany"/>
    <s v="Tablet"/>
    <n v="92"/>
    <n v="3.6"/>
    <s v="Yes"/>
    <s v="Yes"/>
    <s v="No"/>
    <n v="0"/>
  </r>
  <r>
    <s v="USR01492"/>
    <s v="APP092"/>
    <s v="MindMate"/>
    <x v="8"/>
    <x v="0"/>
    <s v="Male"/>
    <s v="Canada"/>
    <s v="Smartphone"/>
    <n v="65"/>
    <n v="17.899999999999999"/>
    <s v="Yes"/>
    <s v="No"/>
    <s v="No"/>
    <n v="0"/>
  </r>
  <r>
    <s v="USR01493"/>
    <s v="APP093"/>
    <s v="ClinicOne"/>
    <x v="8"/>
    <x v="1"/>
    <s v="Male"/>
    <s v="UAE"/>
    <s v="Smartphone"/>
    <n v="22"/>
    <n v="8.1999999999999993"/>
    <s v="Yes"/>
    <s v="No"/>
    <s v="No"/>
    <n v="0"/>
  </r>
  <r>
    <s v="USR01494"/>
    <s v="APP094"/>
    <s v="WellMate"/>
    <x v="8"/>
    <x v="4"/>
    <s v="Female"/>
    <s v="Singapore"/>
    <s v="Smartphone"/>
    <n v="54"/>
    <n v="7.5"/>
    <s v="Yes"/>
    <s v="Yes"/>
    <s v="No"/>
    <n v="0"/>
  </r>
  <r>
    <s v="USR01495"/>
    <s v="APP095"/>
    <s v="MediMate"/>
    <x v="8"/>
    <x v="2"/>
    <s v="Female"/>
    <s v="Australia"/>
    <s v="Smartphone"/>
    <n v="17"/>
    <n v="10.199999999999999"/>
    <s v="Yes"/>
    <s v="Yes"/>
    <s v="Yes"/>
    <n v="0"/>
  </r>
  <r>
    <s v="USR01496"/>
    <s v="APP096"/>
    <s v="WellNow"/>
    <x v="8"/>
    <x v="2"/>
    <s v="Prefer not to say"/>
    <s v="Australia"/>
    <s v="Smartphone"/>
    <n v="27"/>
    <n v="5.9"/>
    <s v="No"/>
    <s v="No"/>
    <s v="Yes"/>
    <n v="0"/>
  </r>
  <r>
    <s v="USR01497"/>
    <s v="APP097"/>
    <s v="CareCloud"/>
    <x v="8"/>
    <x v="1"/>
    <s v="Male"/>
    <s v="Germany"/>
    <s v="Smartphone"/>
    <n v="13"/>
    <n v="5.4"/>
    <s v="No"/>
    <s v="Yes"/>
    <s v="No"/>
    <n v="0"/>
  </r>
  <r>
    <s v="USR01498"/>
    <s v="APP098"/>
    <s v="MediNow"/>
    <x v="8"/>
    <x v="3"/>
    <s v="Male"/>
    <s v="Singapore"/>
    <s v="Smartphone"/>
    <n v="30"/>
    <n v="18.3"/>
    <s v="Yes"/>
    <s v="Yes"/>
    <s v="No"/>
    <n v="0"/>
  </r>
  <r>
    <s v="USR01499"/>
    <s v="APP099"/>
    <s v="MindPlus"/>
    <x v="8"/>
    <x v="1"/>
    <s v="Female"/>
    <s v="United Kingdom"/>
    <s v="Smartphone"/>
    <n v="65"/>
    <n v="14.1"/>
    <s v="Yes"/>
    <s v="Yes"/>
    <s v="No"/>
    <n v="0"/>
  </r>
  <r>
    <s v="USR01500"/>
    <s v="APP100"/>
    <s v="MediCloud"/>
    <x v="8"/>
    <x v="1"/>
    <s v="Male"/>
    <s v="United Kingdom"/>
    <s v="Smartphone"/>
    <n v="26"/>
    <n v="22.8"/>
    <s v="No"/>
    <s v="Yes"/>
    <s v="No"/>
    <n v="17.39"/>
  </r>
  <r>
    <s v="USR01501"/>
    <s v="APP001"/>
    <s v="InvestPro"/>
    <x v="0"/>
    <x v="1"/>
    <s v="Male"/>
    <s v="Singapore"/>
    <s v="Smartphone"/>
    <n v="18"/>
    <n v="21.5"/>
    <s v="No"/>
    <s v="Yes"/>
    <s v="No"/>
    <n v="0"/>
  </r>
  <r>
    <s v="USR01502"/>
    <s v="APP002"/>
    <s v="BankPro"/>
    <x v="0"/>
    <x v="2"/>
    <s v="Female"/>
    <s v="United States"/>
    <s v="Smartphone"/>
    <n v="8"/>
    <n v="4.7"/>
    <s v="No"/>
    <s v="No"/>
    <s v="Yes"/>
    <n v="0"/>
  </r>
  <r>
    <s v="USR01503"/>
    <s v="APP003"/>
    <s v="BankX"/>
    <x v="0"/>
    <x v="0"/>
    <s v="Female"/>
    <s v="UAE"/>
    <s v="Smartphone"/>
    <n v="93"/>
    <n v="21.5"/>
    <s v="Yes"/>
    <s v="No"/>
    <s v="No"/>
    <n v="0"/>
  </r>
  <r>
    <s v="USR01504"/>
    <s v="APP004"/>
    <s v="BankNow"/>
    <x v="0"/>
    <x v="1"/>
    <s v="Male"/>
    <s v="UAE"/>
    <s v="Smartphone"/>
    <n v="80"/>
    <n v="21.3"/>
    <s v="Yes"/>
    <s v="Yes"/>
    <s v="No"/>
    <n v="0"/>
  </r>
  <r>
    <s v="USR01505"/>
    <s v="APP005"/>
    <s v="CreditHub"/>
    <x v="0"/>
    <x v="0"/>
    <s v="Male"/>
    <s v="UAE"/>
    <s v="Smartphone"/>
    <n v="25"/>
    <n v="9.4"/>
    <s v="No"/>
    <s v="Yes"/>
    <s v="No"/>
    <n v="0"/>
  </r>
  <r>
    <s v="USR01506"/>
    <s v="APP006"/>
    <s v="PayPlus"/>
    <x v="0"/>
    <x v="1"/>
    <s v="Male"/>
    <s v="Singapore"/>
    <s v="Smartphone"/>
    <n v="89"/>
    <n v="17.600000000000001"/>
    <s v="Yes"/>
    <s v="No"/>
    <s v="No"/>
    <n v="0"/>
  </r>
  <r>
    <s v="USR01507"/>
    <s v="APP007"/>
    <s v="BankPlus"/>
    <x v="0"/>
    <x v="1"/>
    <s v="Female"/>
    <s v="UAE"/>
    <s v="Smartphone"/>
    <n v="26"/>
    <n v="22.8"/>
    <s v="Yes"/>
    <s v="Yes"/>
    <s v="No"/>
    <n v="99.49"/>
  </r>
  <r>
    <s v="USR01508"/>
    <s v="APP008"/>
    <s v="CoinPlus"/>
    <x v="0"/>
    <x v="1"/>
    <s v="Other"/>
    <s v="United Kingdom"/>
    <s v="Tablet"/>
    <n v="15"/>
    <n v="5.2"/>
    <s v="Yes"/>
    <s v="Yes"/>
    <s v="No"/>
    <n v="10.78"/>
  </r>
  <r>
    <s v="USR01509"/>
    <s v="APP009"/>
    <s v="CreditOne"/>
    <x v="0"/>
    <x v="2"/>
    <s v="Male"/>
    <s v="UAE"/>
    <s v="Smartphone"/>
    <n v="11"/>
    <n v="23.2"/>
    <s v="No"/>
    <s v="Yes"/>
    <s v="No"/>
    <n v="0"/>
  </r>
  <r>
    <s v="USR01510"/>
    <s v="APP010"/>
    <s v="PayPro"/>
    <x v="0"/>
    <x v="3"/>
    <s v="Female"/>
    <s v="United Kingdom"/>
    <s v="Smartphone"/>
    <n v="35"/>
    <n v="13.9"/>
    <s v="Yes"/>
    <s v="No"/>
    <s v="Yes"/>
    <n v="41.86"/>
  </r>
  <r>
    <s v="USR01511"/>
    <s v="APP011"/>
    <s v="Creditly"/>
    <x v="0"/>
    <x v="0"/>
    <s v="Female"/>
    <s v="Singapore"/>
    <s v="Smartphone"/>
    <n v="30"/>
    <n v="20.8"/>
    <s v="Yes"/>
    <s v="No"/>
    <s v="No"/>
    <n v="0"/>
  </r>
  <r>
    <s v="USR01512"/>
    <s v="APP012"/>
    <s v="PayX"/>
    <x v="0"/>
    <x v="1"/>
    <s v="Male"/>
    <s v="United Kingdom"/>
    <s v="Smartphone"/>
    <n v="63"/>
    <n v="13.1"/>
    <s v="Yes"/>
    <s v="No"/>
    <s v="No"/>
    <n v="6.16"/>
  </r>
  <r>
    <s v="USR01513"/>
    <s v="APP013"/>
    <s v="DealGo"/>
    <x v="1"/>
    <x v="2"/>
    <s v="Female"/>
    <s v="Singapore"/>
    <s v="Smartphone"/>
    <n v="14"/>
    <n v="10.6"/>
    <s v="No"/>
    <s v="No"/>
    <s v="No"/>
    <n v="0"/>
  </r>
  <r>
    <s v="USR01514"/>
    <s v="APP014"/>
    <s v="MallNow"/>
    <x v="1"/>
    <x v="2"/>
    <s v="Male"/>
    <s v="Singapore"/>
    <s v="Smartphone"/>
    <n v="12"/>
    <n v="4.3"/>
    <s v="No"/>
    <s v="Yes"/>
    <s v="No"/>
    <n v="20.34"/>
  </r>
  <r>
    <s v="USR01515"/>
    <s v="APP015"/>
    <s v="DealPro"/>
    <x v="1"/>
    <x v="2"/>
    <s v="Male"/>
    <s v="UAE"/>
    <s v="Smartphone"/>
    <n v="66"/>
    <n v="3.1"/>
    <s v="Yes"/>
    <s v="Yes"/>
    <s v="No"/>
    <n v="0"/>
  </r>
  <r>
    <s v="USR01516"/>
    <s v="APP016"/>
    <s v="StyleNow"/>
    <x v="1"/>
    <x v="0"/>
    <s v="Male"/>
    <s v="UAE"/>
    <s v="Smartphone"/>
    <n v="21"/>
    <n v="14.5"/>
    <s v="No"/>
    <s v="Yes"/>
    <s v="Yes"/>
    <n v="40.75"/>
  </r>
  <r>
    <s v="USR01517"/>
    <s v="APP017"/>
    <s v="DealCloud"/>
    <x v="1"/>
    <x v="2"/>
    <s v="Female"/>
    <s v="United States"/>
    <s v="Tablet"/>
    <n v="20"/>
    <n v="23.6"/>
    <s v="No"/>
    <s v="Yes"/>
    <s v="Yes"/>
    <n v="0"/>
  </r>
  <r>
    <s v="USR01518"/>
    <s v="APP018"/>
    <s v="CartCloud"/>
    <x v="1"/>
    <x v="1"/>
    <s v="Male"/>
    <s v="Germany"/>
    <s v="Smartphone"/>
    <n v="27"/>
    <n v="23.5"/>
    <s v="No"/>
    <s v="No"/>
    <s v="No"/>
    <n v="0"/>
  </r>
  <r>
    <s v="USR01519"/>
    <s v="APP019"/>
    <s v="CartMate"/>
    <x v="1"/>
    <x v="0"/>
    <s v="Male"/>
    <s v="Germany"/>
    <s v="Smartphone"/>
    <n v="3"/>
    <n v="7.8"/>
    <s v="No"/>
    <s v="No"/>
    <s v="Yes"/>
    <n v="0"/>
  </r>
  <r>
    <s v="USR01520"/>
    <s v="APP020"/>
    <s v="BazaarOne"/>
    <x v="1"/>
    <x v="1"/>
    <s v="Male"/>
    <s v="Germany"/>
    <s v="Smartphone"/>
    <n v="36"/>
    <n v="13.1"/>
    <s v="Yes"/>
    <s v="Yes"/>
    <s v="No"/>
    <n v="0"/>
  </r>
  <r>
    <s v="USR01521"/>
    <s v="APP021"/>
    <s v="StyleOne"/>
    <x v="1"/>
    <x v="1"/>
    <s v="Prefer not to say"/>
    <s v="India"/>
    <s v="Smartphone"/>
    <n v="6"/>
    <n v="16.5"/>
    <s v="No"/>
    <s v="Yes"/>
    <s v="No"/>
    <n v="41.88"/>
  </r>
  <r>
    <s v="USR01522"/>
    <s v="APP022"/>
    <s v="Cartly"/>
    <x v="1"/>
    <x v="2"/>
    <s v="Male"/>
    <s v="Canada"/>
    <s v="Smartphone"/>
    <n v="38"/>
    <n v="19.5"/>
    <s v="Yes"/>
    <s v="No"/>
    <s v="No"/>
    <n v="75.989999999999995"/>
  </r>
  <r>
    <s v="USR01523"/>
    <s v="APP023"/>
    <s v="BazaarCloud"/>
    <x v="1"/>
    <x v="0"/>
    <s v="Male"/>
    <s v="Germany"/>
    <s v="Smartphone"/>
    <n v="66"/>
    <n v="21.4"/>
    <s v="Yes"/>
    <s v="No"/>
    <s v="No"/>
    <n v="0"/>
  </r>
  <r>
    <s v="USR01524"/>
    <s v="APP024"/>
    <s v="CartPro"/>
    <x v="1"/>
    <x v="2"/>
    <s v="Female"/>
    <s v="UAE"/>
    <s v="Smartphone"/>
    <n v="1"/>
    <n v="17"/>
    <s v="No"/>
    <s v="No"/>
    <s v="No"/>
    <n v="8.77"/>
  </r>
  <r>
    <s v="USR01525"/>
    <s v="APP025"/>
    <s v="RunPlus"/>
    <x v="2"/>
    <x v="0"/>
    <s v="Male"/>
    <s v="United Kingdom"/>
    <s v="Smartphone"/>
    <n v="11"/>
    <n v="13.2"/>
    <s v="No"/>
    <s v="Yes"/>
    <s v="No"/>
    <n v="0"/>
  </r>
  <r>
    <s v="USR01526"/>
    <s v="APP026"/>
    <s v="TrainCloud"/>
    <x v="2"/>
    <x v="0"/>
    <s v="Female"/>
    <s v="India"/>
    <s v="Smartphone"/>
    <n v="17"/>
    <n v="27.2"/>
    <s v="No"/>
    <s v="No"/>
    <s v="No"/>
    <n v="0"/>
  </r>
  <r>
    <s v="USR01527"/>
    <s v="APP027"/>
    <s v="Trainly"/>
    <x v="2"/>
    <x v="1"/>
    <s v="Male"/>
    <s v="India"/>
    <s v="Smartphone"/>
    <n v="1"/>
    <n v="34.200000000000003"/>
    <s v="No"/>
    <s v="Yes"/>
    <s v="No"/>
    <n v="27.01"/>
  </r>
  <r>
    <s v="USR01528"/>
    <s v="APP028"/>
    <s v="LiftCloud"/>
    <x v="2"/>
    <x v="2"/>
    <s v="Male"/>
    <s v="United Kingdom"/>
    <s v="Smartphone"/>
    <n v="1"/>
    <n v="23.2"/>
    <s v="No"/>
    <s v="No"/>
    <s v="No"/>
    <n v="0"/>
  </r>
  <r>
    <s v="USR01529"/>
    <s v="APP029"/>
    <s v="MoveNow"/>
    <x v="2"/>
    <x v="4"/>
    <s v="Male"/>
    <s v="United States"/>
    <s v="Smartphone"/>
    <n v="14"/>
    <n v="21.6"/>
    <s v="No"/>
    <s v="No"/>
    <s v="No"/>
    <n v="0"/>
  </r>
  <r>
    <s v="USR01530"/>
    <s v="APP030"/>
    <s v="ActiveMate"/>
    <x v="2"/>
    <x v="2"/>
    <s v="Male"/>
    <s v="Australia"/>
    <s v="Smartphone"/>
    <n v="21"/>
    <n v="15.9"/>
    <s v="Yes"/>
    <s v="Yes"/>
    <s v="No"/>
    <n v="43.57"/>
  </r>
  <r>
    <s v="USR01531"/>
    <s v="APP031"/>
    <s v="RunGo"/>
    <x v="2"/>
    <x v="0"/>
    <s v="Female"/>
    <s v="UAE"/>
    <s v="Tablet"/>
    <n v="14"/>
    <n v="37.1"/>
    <s v="No"/>
    <s v="No"/>
    <s v="No"/>
    <n v="0"/>
  </r>
  <r>
    <s v="USR01532"/>
    <s v="APP032"/>
    <s v="LiftPro"/>
    <x v="2"/>
    <x v="1"/>
    <s v="Male"/>
    <s v="India"/>
    <s v="Smartphone"/>
    <n v="11"/>
    <n v="31.1"/>
    <s v="No"/>
    <s v="No"/>
    <s v="Yes"/>
    <n v="12.14"/>
  </r>
  <r>
    <s v="USR01533"/>
    <s v="APP033"/>
    <s v="LiftPro"/>
    <x v="2"/>
    <x v="2"/>
    <s v="Male"/>
    <s v="Singapore"/>
    <s v="Smartphone"/>
    <n v="14"/>
    <n v="34.200000000000003"/>
    <s v="No"/>
    <s v="Yes"/>
    <s v="No"/>
    <n v="0"/>
  </r>
  <r>
    <s v="USR01534"/>
    <s v="APP034"/>
    <s v="Liftly"/>
    <x v="2"/>
    <x v="1"/>
    <s v="Male"/>
    <s v="Singapore"/>
    <s v="Smartphone"/>
    <n v="66"/>
    <n v="24.7"/>
    <s v="Yes"/>
    <s v="No"/>
    <s v="No"/>
    <n v="0"/>
  </r>
  <r>
    <s v="USR01535"/>
    <s v="APP035"/>
    <s v="YogaHub"/>
    <x v="2"/>
    <x v="1"/>
    <s v="Male"/>
    <s v="India"/>
    <s v="Smartphone"/>
    <n v="68"/>
    <n v="24.6"/>
    <s v="Yes"/>
    <s v="Yes"/>
    <s v="Yes"/>
    <n v="0"/>
  </r>
  <r>
    <s v="USR01536"/>
    <s v="APP036"/>
    <s v="MoveGo"/>
    <x v="2"/>
    <x v="0"/>
    <s v="Female"/>
    <s v="Australia"/>
    <s v="Smartphone"/>
    <n v="15"/>
    <n v="17.5"/>
    <s v="No"/>
    <s v="No"/>
    <s v="Yes"/>
    <n v="0"/>
  </r>
  <r>
    <s v="USR01537"/>
    <s v="APP037"/>
    <s v="BrightNow"/>
    <x v="3"/>
    <x v="4"/>
    <s v="Female"/>
    <s v="Germany"/>
    <s v="Smartphone"/>
    <n v="21"/>
    <n v="34.299999999999997"/>
    <s v="No"/>
    <s v="Yes"/>
    <s v="No"/>
    <n v="0"/>
  </r>
  <r>
    <s v="USR01538"/>
    <s v="APP038"/>
    <s v="StudyCloud"/>
    <x v="3"/>
    <x v="1"/>
    <s v="Male"/>
    <s v="UAE"/>
    <s v="Smartphone"/>
    <n v="24"/>
    <n v="40.6"/>
    <s v="No"/>
    <s v="Yes"/>
    <s v="No"/>
    <n v="7.8"/>
  </r>
  <r>
    <s v="USR01539"/>
    <s v="APP039"/>
    <s v="SkillNow"/>
    <x v="3"/>
    <x v="4"/>
    <s v="Female"/>
    <s v="Canada"/>
    <s v="Tablet"/>
    <n v="24"/>
    <n v="33.700000000000003"/>
    <s v="No"/>
    <s v="Yes"/>
    <s v="No"/>
    <n v="0"/>
  </r>
  <r>
    <s v="USR01540"/>
    <s v="APP040"/>
    <s v="LearnMate"/>
    <x v="3"/>
    <x v="2"/>
    <s v="Female"/>
    <s v="Germany"/>
    <s v="Smartphone"/>
    <n v="85"/>
    <n v="21.4"/>
    <s v="Yes"/>
    <s v="Yes"/>
    <s v="No"/>
    <n v="30.4"/>
  </r>
  <r>
    <s v="USR01541"/>
    <s v="APP041"/>
    <s v="QuestNow"/>
    <x v="3"/>
    <x v="0"/>
    <s v="Other"/>
    <s v="Canada"/>
    <s v="Smartphone"/>
    <n v="13"/>
    <n v="29.2"/>
    <s v="No"/>
    <s v="Yes"/>
    <s v="No"/>
    <n v="46.87"/>
  </r>
  <r>
    <s v="USR01542"/>
    <s v="APP042"/>
    <s v="SkillHub"/>
    <x v="3"/>
    <x v="3"/>
    <s v="Male"/>
    <s v="United Kingdom"/>
    <s v="Smartphone"/>
    <n v="13"/>
    <n v="39.9"/>
    <s v="No"/>
    <s v="Yes"/>
    <s v="No"/>
    <n v="0"/>
  </r>
  <r>
    <s v="USR01543"/>
    <s v="APP043"/>
    <s v="TutorCloud"/>
    <x v="3"/>
    <x v="2"/>
    <s v="Prefer not to say"/>
    <s v="Canada"/>
    <s v="Smartphone"/>
    <n v="5"/>
    <n v="28.4"/>
    <s v="No"/>
    <s v="No"/>
    <s v="No"/>
    <n v="6.52"/>
  </r>
  <r>
    <s v="USR01544"/>
    <s v="APP044"/>
    <s v="SkillOne"/>
    <x v="3"/>
    <x v="1"/>
    <s v="Male"/>
    <s v="Canada"/>
    <s v="Smartphone"/>
    <n v="77"/>
    <n v="22.5"/>
    <s v="Yes"/>
    <s v="Yes"/>
    <s v="No"/>
    <n v="29.76"/>
  </r>
  <r>
    <s v="USR01545"/>
    <s v="APP045"/>
    <s v="LearnOne"/>
    <x v="3"/>
    <x v="1"/>
    <s v="Male"/>
    <s v="United Kingdom"/>
    <s v="Smartphone"/>
    <n v="17"/>
    <n v="17.399999999999999"/>
    <s v="No"/>
    <s v="Yes"/>
    <s v="No"/>
    <n v="0"/>
  </r>
  <r>
    <s v="USR01546"/>
    <s v="APP046"/>
    <s v="LearnPlus"/>
    <x v="3"/>
    <x v="1"/>
    <s v="Male"/>
    <s v="Singapore"/>
    <s v="Smartphone"/>
    <n v="26"/>
    <n v="18.7"/>
    <s v="No"/>
    <s v="No"/>
    <s v="No"/>
    <n v="0"/>
  </r>
  <r>
    <s v="USR01547"/>
    <s v="APP047"/>
    <s v="StudyPlus"/>
    <x v="3"/>
    <x v="2"/>
    <s v="Female"/>
    <s v="Australia"/>
    <s v="Smartphone"/>
    <n v="83"/>
    <n v="21.1"/>
    <s v="Yes"/>
    <s v="Yes"/>
    <s v="No"/>
    <n v="0"/>
  </r>
  <r>
    <s v="USR01548"/>
    <s v="APP048"/>
    <s v="StudyX"/>
    <x v="3"/>
    <x v="1"/>
    <s v="Female"/>
    <s v="United Kingdom"/>
    <s v="Smartphone"/>
    <n v="7"/>
    <n v="20.2"/>
    <s v="No"/>
    <s v="No"/>
    <s v="Yes"/>
    <n v="0"/>
  </r>
  <r>
    <s v="USR01549"/>
    <s v="APP049"/>
    <s v="PlayPlus"/>
    <x v="4"/>
    <x v="0"/>
    <s v="Male"/>
    <s v="India"/>
    <s v="Smartphone"/>
    <n v="14"/>
    <n v="17.3"/>
    <s v="Yes"/>
    <s v="Yes"/>
    <s v="No"/>
    <n v="0"/>
  </r>
  <r>
    <s v="USR01550"/>
    <s v="APP050"/>
    <s v="ShowMate"/>
    <x v="4"/>
    <x v="3"/>
    <s v="Female"/>
    <s v="Singapore"/>
    <s v="Smartphone"/>
    <n v="8"/>
    <n v="28.3"/>
    <s v="No"/>
    <s v="Yes"/>
    <s v="No"/>
    <n v="0"/>
  </r>
  <r>
    <s v="USR01551"/>
    <s v="APP051"/>
    <s v="VibeX"/>
    <x v="4"/>
    <x v="4"/>
    <s v="Female"/>
    <s v="Australia"/>
    <s v="Smartphone"/>
    <n v="53"/>
    <n v="28"/>
    <s v="Yes"/>
    <s v="No"/>
    <s v="Yes"/>
    <n v="0"/>
  </r>
  <r>
    <s v="USR01552"/>
    <s v="APP052"/>
    <s v="BuzzNow"/>
    <x v="4"/>
    <x v="0"/>
    <s v="Male"/>
    <s v="UAE"/>
    <s v="Smartphone"/>
    <n v="8"/>
    <n v="39.9"/>
    <s v="No"/>
    <s v="No"/>
    <s v="No"/>
    <n v="0"/>
  </r>
  <r>
    <s v="USR01553"/>
    <s v="APP053"/>
    <s v="StreamPlus"/>
    <x v="4"/>
    <x v="1"/>
    <s v="Female"/>
    <s v="Australia"/>
    <s v="Smartphone"/>
    <n v="72"/>
    <n v="41.6"/>
    <s v="Yes"/>
    <s v="Yes"/>
    <s v="No"/>
    <n v="0"/>
  </r>
  <r>
    <s v="USR01554"/>
    <s v="APP054"/>
    <s v="Showly"/>
    <x v="4"/>
    <x v="3"/>
    <s v="Male"/>
    <s v="UAE"/>
    <s v="Smartphone"/>
    <n v="57"/>
    <n v="14.7"/>
    <s v="Yes"/>
    <s v="Yes"/>
    <s v="Yes"/>
    <n v="19.32"/>
  </r>
  <r>
    <s v="USR01555"/>
    <s v="APP055"/>
    <s v="BuzzOne"/>
    <x v="4"/>
    <x v="1"/>
    <s v="Male"/>
    <s v="Germany"/>
    <s v="Smartphone"/>
    <n v="53"/>
    <n v="9.6999999999999993"/>
    <s v="Yes"/>
    <s v="Yes"/>
    <s v="No"/>
    <n v="29.99"/>
  </r>
  <r>
    <s v="USR01556"/>
    <s v="APP056"/>
    <s v="PlayHub"/>
    <x v="4"/>
    <x v="1"/>
    <s v="Male"/>
    <s v="India"/>
    <s v="Smartphone"/>
    <n v="90"/>
    <n v="31.5"/>
    <s v="Yes"/>
    <s v="No"/>
    <s v="No"/>
    <n v="0"/>
  </r>
  <r>
    <s v="USR01557"/>
    <s v="APP057"/>
    <s v="CinemaGo"/>
    <x v="4"/>
    <x v="4"/>
    <s v="Male"/>
    <s v="Singapore"/>
    <s v="Smartphone"/>
    <n v="28"/>
    <n v="32.299999999999997"/>
    <s v="Yes"/>
    <s v="Yes"/>
    <s v="No"/>
    <n v="0"/>
  </r>
  <r>
    <s v="USR01558"/>
    <s v="APP058"/>
    <s v="LaughX"/>
    <x v="4"/>
    <x v="0"/>
    <s v="Female"/>
    <s v="Canada"/>
    <s v="Smartphone"/>
    <n v="28"/>
    <n v="29.9"/>
    <s v="Yes"/>
    <s v="No"/>
    <s v="Yes"/>
    <n v="0"/>
  </r>
  <r>
    <s v="USR01559"/>
    <s v="APP059"/>
    <s v="CinemaHub"/>
    <x v="4"/>
    <x v="2"/>
    <s v="Female"/>
    <s v="UAE"/>
    <s v="Tablet"/>
    <n v="4"/>
    <n v="21.2"/>
    <s v="No"/>
    <s v="Yes"/>
    <s v="No"/>
    <n v="0"/>
  </r>
  <r>
    <s v="USR01560"/>
    <s v="APP060"/>
    <s v="ShowPro"/>
    <x v="4"/>
    <x v="2"/>
    <s v="Male"/>
    <s v="UAE"/>
    <s v="Smartphone"/>
    <n v="7"/>
    <n v="31.3"/>
    <s v="No"/>
    <s v="Yes"/>
    <s v="No"/>
    <n v="39.03"/>
  </r>
  <r>
    <s v="USR01561"/>
    <s v="APP061"/>
    <s v="FoodPlus"/>
    <x v="5"/>
    <x v="0"/>
    <s v="Female"/>
    <s v="India"/>
    <s v="Smartphone"/>
    <n v="44"/>
    <n v="13.5"/>
    <s v="Yes"/>
    <s v="Yes"/>
    <s v="No"/>
    <n v="0"/>
  </r>
  <r>
    <s v="USR01562"/>
    <s v="APP062"/>
    <s v="BiteGo"/>
    <x v="5"/>
    <x v="1"/>
    <s v="Male"/>
    <s v="UAE"/>
    <s v="Smartphone"/>
    <n v="23"/>
    <n v="5.7"/>
    <s v="No"/>
    <s v="No"/>
    <s v="No"/>
    <n v="31.02"/>
  </r>
  <r>
    <s v="USR01563"/>
    <s v="APP063"/>
    <s v="OrderCloud"/>
    <x v="5"/>
    <x v="1"/>
    <s v="Female"/>
    <s v="Australia"/>
    <s v="Smartphone"/>
    <n v="2"/>
    <n v="14"/>
    <s v="No"/>
    <s v="No"/>
    <s v="Yes"/>
    <n v="0"/>
  </r>
  <r>
    <s v="USR01564"/>
    <s v="APP064"/>
    <s v="DinePlus"/>
    <x v="5"/>
    <x v="1"/>
    <s v="Other"/>
    <s v="Germany"/>
    <s v="Smartphone"/>
    <n v="5"/>
    <n v="3.5"/>
    <s v="No"/>
    <s v="No"/>
    <s v="Yes"/>
    <n v="8.6199999999999992"/>
  </r>
  <r>
    <s v="USR01565"/>
    <s v="APP065"/>
    <s v="SnackX"/>
    <x v="5"/>
    <x v="2"/>
    <s v="Male"/>
    <s v="UAE"/>
    <s v="Smartphone"/>
    <n v="18"/>
    <n v="7.5"/>
    <s v="No"/>
    <s v="Yes"/>
    <s v="No"/>
    <n v="79.36"/>
  </r>
  <r>
    <s v="USR01566"/>
    <s v="APP066"/>
    <s v="FoodOne"/>
    <x v="5"/>
    <x v="0"/>
    <s v="Prefer not to say"/>
    <s v="Germany"/>
    <s v="Smartphone"/>
    <n v="24"/>
    <n v="5.7"/>
    <s v="No"/>
    <s v="No"/>
    <s v="No"/>
    <n v="0"/>
  </r>
  <r>
    <s v="USR01567"/>
    <s v="APP067"/>
    <s v="MealMate"/>
    <x v="5"/>
    <x v="2"/>
    <s v="Female"/>
    <s v="Singapore"/>
    <s v="Smartphone"/>
    <n v="6"/>
    <n v="14.7"/>
    <s v="No"/>
    <s v="No"/>
    <s v="No"/>
    <n v="0"/>
  </r>
  <r>
    <s v="USR01568"/>
    <s v="APP068"/>
    <s v="SnackHub"/>
    <x v="5"/>
    <x v="0"/>
    <s v="Female"/>
    <s v="UAE"/>
    <s v="Smartphone"/>
    <n v="23"/>
    <n v="23.9"/>
    <s v="No"/>
    <s v="No"/>
    <s v="No"/>
    <n v="26.61"/>
  </r>
  <r>
    <s v="USR01569"/>
    <s v="APP069"/>
    <s v="BiteCloud"/>
    <x v="5"/>
    <x v="1"/>
    <s v="Female"/>
    <s v="Germany"/>
    <s v="Smartphone"/>
    <n v="16"/>
    <n v="9.9"/>
    <s v="No"/>
    <s v="No"/>
    <s v="Yes"/>
    <n v="0"/>
  </r>
  <r>
    <s v="USR01570"/>
    <s v="APP070"/>
    <s v="PlatePlus"/>
    <x v="5"/>
    <x v="4"/>
    <s v="Male"/>
    <s v="Australia"/>
    <s v="Smartphone"/>
    <n v="14"/>
    <n v="22.7"/>
    <s v="Yes"/>
    <s v="No"/>
    <s v="No"/>
    <n v="0"/>
  </r>
  <r>
    <s v="USR01571"/>
    <s v="APP071"/>
    <s v="VoyageGo"/>
    <x v="6"/>
    <x v="0"/>
    <s v="Male"/>
    <s v="Germany"/>
    <s v="Tablet"/>
    <n v="86"/>
    <n v="19.8"/>
    <s v="Yes"/>
    <s v="No"/>
    <s v="Yes"/>
    <n v="0"/>
  </r>
  <r>
    <s v="USR01572"/>
    <s v="APP072"/>
    <s v="TripOne"/>
    <x v="6"/>
    <x v="2"/>
    <s v="Male"/>
    <s v="Canada"/>
    <s v="Tablet"/>
    <n v="15"/>
    <n v="13.2"/>
    <s v="No"/>
    <s v="No"/>
    <s v="Yes"/>
    <n v="0"/>
  </r>
  <r>
    <s v="USR01573"/>
    <s v="APP073"/>
    <s v="FlyGo"/>
    <x v="6"/>
    <x v="0"/>
    <s v="Male"/>
    <s v="Australia"/>
    <s v="Smartphone"/>
    <n v="17"/>
    <n v="7.9"/>
    <s v="No"/>
    <s v="No"/>
    <s v="Yes"/>
    <n v="32.79"/>
  </r>
  <r>
    <s v="USR01574"/>
    <s v="APP074"/>
    <s v="MapX"/>
    <x v="6"/>
    <x v="2"/>
    <s v="Female"/>
    <s v="UAE"/>
    <s v="Smartphone"/>
    <n v="15"/>
    <n v="17.3"/>
    <s v="No"/>
    <s v="Yes"/>
    <s v="No"/>
    <n v="0"/>
  </r>
  <r>
    <s v="USR01575"/>
    <s v="APP075"/>
    <s v="StayX"/>
    <x v="6"/>
    <x v="0"/>
    <s v="Female"/>
    <s v="Canada"/>
    <s v="Smartphone"/>
    <n v="71"/>
    <n v="18.2"/>
    <s v="Yes"/>
    <s v="Yes"/>
    <s v="No"/>
    <n v="0"/>
  </r>
  <r>
    <s v="USR01576"/>
    <s v="APP076"/>
    <s v="GoNow"/>
    <x v="6"/>
    <x v="4"/>
    <s v="Female"/>
    <s v="United Kingdom"/>
    <s v="Smartphone"/>
    <n v="10"/>
    <n v="18"/>
    <s v="No"/>
    <s v="Yes"/>
    <s v="No"/>
    <n v="0"/>
  </r>
  <r>
    <s v="USR01577"/>
    <s v="APP077"/>
    <s v="RouteGo"/>
    <x v="6"/>
    <x v="1"/>
    <s v="Female"/>
    <s v="Germany"/>
    <s v="Smartphone"/>
    <n v="12"/>
    <n v="18.2"/>
    <s v="No"/>
    <s v="Yes"/>
    <s v="No"/>
    <n v="0"/>
  </r>
  <r>
    <s v="USR01578"/>
    <s v="APP078"/>
    <s v="TripGo"/>
    <x v="6"/>
    <x v="0"/>
    <s v="Female"/>
    <s v="Singapore"/>
    <s v="Smartphone"/>
    <n v="55"/>
    <n v="4.3"/>
    <s v="Yes"/>
    <s v="No"/>
    <s v="Yes"/>
    <n v="9.1300000000000008"/>
  </r>
  <r>
    <s v="USR01579"/>
    <s v="APP079"/>
    <s v="Flyly"/>
    <x v="6"/>
    <x v="4"/>
    <s v="Male"/>
    <s v="Australia"/>
    <s v="Smartphone"/>
    <n v="25"/>
    <n v="13.3"/>
    <s v="No"/>
    <s v="No"/>
    <s v="Yes"/>
    <n v="0"/>
  </r>
  <r>
    <s v="USR01580"/>
    <s v="APP080"/>
    <s v="TripPro"/>
    <x v="6"/>
    <x v="2"/>
    <s v="Female"/>
    <s v="Australia"/>
    <s v="Smartphone"/>
    <n v="27"/>
    <n v="18.2"/>
    <s v="No"/>
    <s v="No"/>
    <s v="No"/>
    <n v="0"/>
  </r>
  <r>
    <s v="USR01581"/>
    <s v="APP081"/>
    <s v="Focusly"/>
    <x v="7"/>
    <x v="0"/>
    <s v="Female"/>
    <s v="Germany"/>
    <s v="Smartphone"/>
    <n v="79"/>
    <n v="12.4"/>
    <s v="Yes"/>
    <s v="Yes"/>
    <s v="No"/>
    <n v="0"/>
  </r>
  <r>
    <s v="USR01582"/>
    <s v="APP082"/>
    <s v="DeskX"/>
    <x v="7"/>
    <x v="2"/>
    <s v="Female"/>
    <s v="India"/>
    <s v="Smartphone"/>
    <n v="13"/>
    <n v="15.2"/>
    <s v="No"/>
    <s v="Yes"/>
    <s v="No"/>
    <n v="0"/>
  </r>
  <r>
    <s v="USR01583"/>
    <s v="APP083"/>
    <s v="DonePro"/>
    <x v="7"/>
    <x v="1"/>
    <s v="Male"/>
    <s v="UAE"/>
    <s v="Smartphone"/>
    <n v="55"/>
    <n v="18"/>
    <s v="Yes"/>
    <s v="Yes"/>
    <s v="No"/>
    <n v="0"/>
  </r>
  <r>
    <s v="USR01584"/>
    <s v="APP084"/>
    <s v="NotePlus"/>
    <x v="7"/>
    <x v="0"/>
    <s v="Male"/>
    <s v="Singapore"/>
    <s v="Smartphone"/>
    <n v="23"/>
    <n v="7.5"/>
    <s v="Yes"/>
    <s v="Yes"/>
    <s v="No"/>
    <n v="46.46"/>
  </r>
  <r>
    <s v="USR01585"/>
    <s v="APP085"/>
    <s v="SyncPlus"/>
    <x v="7"/>
    <x v="4"/>
    <s v="Male"/>
    <s v="Canada"/>
    <s v="Smartphone"/>
    <n v="27"/>
    <n v="3.3"/>
    <s v="No"/>
    <s v="No"/>
    <s v="No"/>
    <n v="0"/>
  </r>
  <r>
    <s v="USR01586"/>
    <s v="APP086"/>
    <s v="NoteOne"/>
    <x v="7"/>
    <x v="2"/>
    <s v="Female"/>
    <s v="United Kingdom"/>
    <s v="Smartphone"/>
    <n v="72"/>
    <n v="19.2"/>
    <s v="Yes"/>
    <s v="Yes"/>
    <s v="No"/>
    <n v="72.44"/>
  </r>
  <r>
    <s v="USR01587"/>
    <s v="APP087"/>
    <s v="NoteMate"/>
    <x v="7"/>
    <x v="1"/>
    <s v="Female"/>
    <s v="India"/>
    <s v="Smartphone"/>
    <n v="25"/>
    <n v="11.8"/>
    <s v="No"/>
    <s v="Yes"/>
    <s v="No"/>
    <n v="0"/>
  </r>
  <r>
    <s v="USR01588"/>
    <s v="APP088"/>
    <s v="PlanPlus"/>
    <x v="7"/>
    <x v="2"/>
    <s v="Male"/>
    <s v="Canada"/>
    <s v="Tablet"/>
    <n v="28"/>
    <n v="15.4"/>
    <s v="No"/>
    <s v="No"/>
    <s v="Yes"/>
    <n v="0"/>
  </r>
  <r>
    <s v="USR01589"/>
    <s v="APP089"/>
    <s v="PlanMate"/>
    <x v="7"/>
    <x v="1"/>
    <s v="Male"/>
    <s v="United States"/>
    <s v="Smartphone"/>
    <n v="18"/>
    <n v="11.2"/>
    <s v="Yes"/>
    <s v="No"/>
    <s v="No"/>
    <n v="0"/>
  </r>
  <r>
    <s v="USR01590"/>
    <s v="APP090"/>
    <s v="SyncPlus"/>
    <x v="7"/>
    <x v="4"/>
    <s v="Female"/>
    <s v="Singapore"/>
    <s v="Smartphone"/>
    <n v="24"/>
    <n v="11.1"/>
    <s v="Yes"/>
    <s v="Yes"/>
    <s v="No"/>
    <n v="36.83"/>
  </r>
  <r>
    <s v="USR01591"/>
    <s v="APP091"/>
    <s v="ClinicPro"/>
    <x v="8"/>
    <x v="1"/>
    <s v="Male"/>
    <s v="India"/>
    <s v="Smartphone"/>
    <n v="62"/>
    <n v="14.2"/>
    <s v="Yes"/>
    <s v="Yes"/>
    <s v="No"/>
    <n v="0"/>
  </r>
  <r>
    <s v="USR01592"/>
    <s v="APP092"/>
    <s v="MindMate"/>
    <x v="8"/>
    <x v="0"/>
    <s v="Male"/>
    <s v="Singapore"/>
    <s v="Smartphone"/>
    <n v="11"/>
    <n v="7.3"/>
    <s v="No"/>
    <s v="No"/>
    <s v="No"/>
    <n v="0"/>
  </r>
  <r>
    <s v="USR01593"/>
    <s v="APP093"/>
    <s v="ClinicOne"/>
    <x v="8"/>
    <x v="1"/>
    <s v="Female"/>
    <s v="Germany"/>
    <s v="Smartphone"/>
    <n v="45"/>
    <n v="22.4"/>
    <s v="Yes"/>
    <s v="No"/>
    <s v="No"/>
    <n v="0"/>
  </r>
  <r>
    <s v="USR01594"/>
    <s v="APP094"/>
    <s v="WellMate"/>
    <x v="8"/>
    <x v="0"/>
    <s v="Female"/>
    <s v="India"/>
    <s v="Smartphone"/>
    <n v="66"/>
    <n v="5.4"/>
    <s v="Yes"/>
    <s v="Yes"/>
    <s v="No"/>
    <n v="0"/>
  </r>
  <r>
    <s v="USR01595"/>
    <s v="APP095"/>
    <s v="MediMate"/>
    <x v="8"/>
    <x v="2"/>
    <s v="Male"/>
    <s v="Singapore"/>
    <s v="Smartphone"/>
    <n v="72"/>
    <n v="4.8"/>
    <s v="Yes"/>
    <s v="Yes"/>
    <s v="No"/>
    <n v="27.69"/>
  </r>
  <r>
    <s v="USR01596"/>
    <s v="APP096"/>
    <s v="WellNow"/>
    <x v="8"/>
    <x v="2"/>
    <s v="Male"/>
    <s v="UAE"/>
    <s v="Smartphone"/>
    <n v="24"/>
    <n v="3.8"/>
    <s v="No"/>
    <s v="Yes"/>
    <s v="No"/>
    <n v="0"/>
  </r>
  <r>
    <s v="USR01597"/>
    <s v="APP097"/>
    <s v="CareCloud"/>
    <x v="8"/>
    <x v="3"/>
    <s v="Female"/>
    <s v="Australia"/>
    <s v="Smartphone"/>
    <n v="83"/>
    <n v="5.2"/>
    <s v="Yes"/>
    <s v="Yes"/>
    <s v="No"/>
    <n v="0"/>
  </r>
  <r>
    <s v="USR01598"/>
    <s v="APP098"/>
    <s v="MediNow"/>
    <x v="8"/>
    <x v="3"/>
    <s v="Female"/>
    <s v="Singapore"/>
    <s v="Smartphone"/>
    <n v="3"/>
    <n v="5.3"/>
    <s v="No"/>
    <s v="No"/>
    <s v="No"/>
    <n v="0"/>
  </r>
  <r>
    <s v="USR01599"/>
    <s v="APP099"/>
    <s v="MindPlus"/>
    <x v="8"/>
    <x v="1"/>
    <s v="Female"/>
    <s v="India"/>
    <s v="Smartphone"/>
    <n v="3"/>
    <n v="15.6"/>
    <s v="No"/>
    <s v="No"/>
    <s v="No"/>
    <n v="17.37"/>
  </r>
  <r>
    <s v="USR01600"/>
    <s v="APP100"/>
    <s v="MediCloud"/>
    <x v="8"/>
    <x v="2"/>
    <s v="Male"/>
    <s v="India"/>
    <s v="Smartphone"/>
    <n v="22"/>
    <n v="19.2"/>
    <s v="No"/>
    <s v="Yes"/>
    <s v="No"/>
    <n v="0"/>
  </r>
  <r>
    <s v="USR01601"/>
    <s v="APP001"/>
    <s v="InvestPro"/>
    <x v="0"/>
    <x v="2"/>
    <s v="Male"/>
    <s v="United Kingdom"/>
    <s v="Smartphone"/>
    <n v="19"/>
    <n v="9.8000000000000007"/>
    <s v="Yes"/>
    <s v="Yes"/>
    <s v="Yes"/>
    <n v="0"/>
  </r>
  <r>
    <s v="USR01602"/>
    <s v="APP002"/>
    <s v="BankPro"/>
    <x v="0"/>
    <x v="4"/>
    <s v="Female"/>
    <s v="Singapore"/>
    <s v="Smartphone"/>
    <n v="84"/>
    <n v="4.0999999999999996"/>
    <s v="Yes"/>
    <s v="Yes"/>
    <s v="No"/>
    <n v="0"/>
  </r>
  <r>
    <s v="USR01603"/>
    <s v="APP003"/>
    <s v="BankX"/>
    <x v="0"/>
    <x v="0"/>
    <s v="Female"/>
    <s v="Australia"/>
    <s v="Smartphone"/>
    <n v="84"/>
    <n v="5.2"/>
    <s v="Yes"/>
    <s v="Yes"/>
    <s v="No"/>
    <n v="0"/>
  </r>
  <r>
    <s v="USR01604"/>
    <s v="APP004"/>
    <s v="BankNow"/>
    <x v="0"/>
    <x v="2"/>
    <s v="Prefer not to say"/>
    <s v="UAE"/>
    <s v="Smartphone"/>
    <n v="11"/>
    <n v="3.3"/>
    <s v="No"/>
    <s v="No"/>
    <s v="No"/>
    <n v="0"/>
  </r>
  <r>
    <s v="USR01605"/>
    <s v="APP005"/>
    <s v="CreditHub"/>
    <x v="0"/>
    <x v="1"/>
    <s v="Male"/>
    <s v="Singapore"/>
    <s v="Smartphone"/>
    <n v="12"/>
    <n v="3.6"/>
    <s v="No"/>
    <s v="Yes"/>
    <s v="No"/>
    <n v="0"/>
  </r>
  <r>
    <s v="USR01606"/>
    <s v="APP006"/>
    <s v="PayPlus"/>
    <x v="0"/>
    <x v="1"/>
    <s v="Prefer not to say"/>
    <s v="Canada"/>
    <s v="Smartphone"/>
    <n v="29"/>
    <n v="11.9"/>
    <s v="Yes"/>
    <s v="Yes"/>
    <s v="No"/>
    <n v="0"/>
  </r>
  <r>
    <s v="USR01607"/>
    <s v="APP007"/>
    <s v="BankPlus"/>
    <x v="0"/>
    <x v="0"/>
    <s v="Female"/>
    <s v="Canada"/>
    <s v="Tablet"/>
    <n v="30"/>
    <n v="15"/>
    <s v="Yes"/>
    <s v="Yes"/>
    <s v="No"/>
    <n v="0"/>
  </r>
  <r>
    <s v="USR01608"/>
    <s v="APP008"/>
    <s v="CoinPlus"/>
    <x v="0"/>
    <x v="0"/>
    <s v="Male"/>
    <s v="Germany"/>
    <s v="Smartphone"/>
    <n v="78"/>
    <n v="3.3"/>
    <s v="Yes"/>
    <s v="Yes"/>
    <s v="No"/>
    <n v="19.149999999999999"/>
  </r>
  <r>
    <s v="USR01609"/>
    <s v="APP009"/>
    <s v="CreditOne"/>
    <x v="0"/>
    <x v="2"/>
    <s v="Male"/>
    <s v="UAE"/>
    <s v="Smartphone"/>
    <n v="24"/>
    <n v="6.8"/>
    <s v="No"/>
    <s v="Yes"/>
    <s v="No"/>
    <n v="0"/>
  </r>
  <r>
    <s v="USR01610"/>
    <s v="APP010"/>
    <s v="PayPro"/>
    <x v="0"/>
    <x v="2"/>
    <s v="Male"/>
    <s v="Australia"/>
    <s v="Smartphone"/>
    <n v="20"/>
    <n v="10.6"/>
    <s v="No"/>
    <s v="No"/>
    <s v="Yes"/>
    <n v="0"/>
  </r>
  <r>
    <s v="USR01611"/>
    <s v="APP011"/>
    <s v="Creditly"/>
    <x v="0"/>
    <x v="2"/>
    <s v="Prefer not to say"/>
    <s v="India"/>
    <s v="Smartphone"/>
    <n v="6"/>
    <n v="5.4"/>
    <s v="No"/>
    <s v="No"/>
    <s v="Yes"/>
    <n v="0"/>
  </r>
  <r>
    <s v="USR01612"/>
    <s v="APP012"/>
    <s v="PayX"/>
    <x v="0"/>
    <x v="0"/>
    <s v="Male"/>
    <s v="Germany"/>
    <s v="Smartphone"/>
    <n v="48"/>
    <n v="13.8"/>
    <s v="Yes"/>
    <s v="Yes"/>
    <s v="Yes"/>
    <n v="0"/>
  </r>
  <r>
    <s v="USR01613"/>
    <s v="APP013"/>
    <s v="DealGo"/>
    <x v="1"/>
    <x v="2"/>
    <s v="Female"/>
    <s v="United Kingdom"/>
    <s v="Smartphone"/>
    <n v="27"/>
    <n v="13.6"/>
    <s v="Yes"/>
    <s v="Yes"/>
    <s v="No"/>
    <n v="0"/>
  </r>
  <r>
    <s v="USR01614"/>
    <s v="APP014"/>
    <s v="MallNow"/>
    <x v="1"/>
    <x v="4"/>
    <s v="Male"/>
    <s v="UAE"/>
    <s v="Smartphone"/>
    <n v="90"/>
    <n v="10.8"/>
    <s v="Yes"/>
    <s v="Yes"/>
    <s v="No"/>
    <n v="7.91"/>
  </r>
  <r>
    <s v="USR01615"/>
    <s v="APP015"/>
    <s v="DealPro"/>
    <x v="1"/>
    <x v="1"/>
    <s v="Female"/>
    <s v="Australia"/>
    <s v="Smartphone"/>
    <n v="94"/>
    <n v="10.7"/>
    <s v="Yes"/>
    <s v="Yes"/>
    <s v="No"/>
    <n v="83.76"/>
  </r>
  <r>
    <s v="USR01616"/>
    <s v="APP016"/>
    <s v="StyleNow"/>
    <x v="1"/>
    <x v="1"/>
    <s v="Female"/>
    <s v="Australia"/>
    <s v="Smartphone"/>
    <n v="28"/>
    <n v="7"/>
    <s v="Yes"/>
    <s v="No"/>
    <s v="Yes"/>
    <n v="60.91"/>
  </r>
  <r>
    <s v="USR01617"/>
    <s v="APP017"/>
    <s v="DealCloud"/>
    <x v="1"/>
    <x v="1"/>
    <s v="Female"/>
    <s v="Canada"/>
    <s v="Smartphone"/>
    <n v="10"/>
    <n v="3.8"/>
    <s v="No"/>
    <s v="No"/>
    <s v="No"/>
    <n v="39.26"/>
  </r>
  <r>
    <s v="USR01618"/>
    <s v="APP018"/>
    <s v="CartCloud"/>
    <x v="1"/>
    <x v="3"/>
    <s v="Female"/>
    <s v="Germany"/>
    <s v="Smartphone"/>
    <n v="55"/>
    <n v="20.100000000000001"/>
    <s v="Yes"/>
    <s v="No"/>
    <s v="Yes"/>
    <n v="0"/>
  </r>
  <r>
    <s v="USR01619"/>
    <s v="APP019"/>
    <s v="CartMate"/>
    <x v="1"/>
    <x v="1"/>
    <s v="Other"/>
    <s v="Australia"/>
    <s v="Smartphone"/>
    <n v="18"/>
    <n v="12.3"/>
    <s v="No"/>
    <s v="Yes"/>
    <s v="No"/>
    <n v="0"/>
  </r>
  <r>
    <s v="USR01620"/>
    <s v="APP020"/>
    <s v="BazaarOne"/>
    <x v="1"/>
    <x v="1"/>
    <s v="Male"/>
    <s v="UAE"/>
    <s v="Smartphone"/>
    <n v="13"/>
    <n v="21.4"/>
    <s v="No"/>
    <s v="No"/>
    <s v="Yes"/>
    <n v="0"/>
  </r>
  <r>
    <s v="USR01621"/>
    <s v="APP021"/>
    <s v="StyleOne"/>
    <x v="1"/>
    <x v="2"/>
    <s v="Male"/>
    <s v="Canada"/>
    <s v="Smartphone"/>
    <n v="23"/>
    <n v="17.899999999999999"/>
    <s v="No"/>
    <s v="No"/>
    <s v="No"/>
    <n v="0"/>
  </r>
  <r>
    <s v="USR01622"/>
    <s v="APP022"/>
    <s v="Cartly"/>
    <x v="1"/>
    <x v="0"/>
    <s v="Male"/>
    <s v="India"/>
    <s v="Smartphone"/>
    <n v="13"/>
    <n v="21.3"/>
    <s v="No"/>
    <s v="Yes"/>
    <s v="No"/>
    <n v="0"/>
  </r>
  <r>
    <s v="USR01623"/>
    <s v="APP023"/>
    <s v="BazaarCloud"/>
    <x v="1"/>
    <x v="0"/>
    <s v="Male"/>
    <s v="Singapore"/>
    <s v="Smartphone"/>
    <n v="38"/>
    <n v="14.9"/>
    <s v="Yes"/>
    <s v="Yes"/>
    <s v="No"/>
    <n v="0"/>
  </r>
  <r>
    <s v="USR01624"/>
    <s v="APP024"/>
    <s v="CartPro"/>
    <x v="1"/>
    <x v="1"/>
    <s v="Male"/>
    <s v="United Kingdom"/>
    <s v="Smartphone"/>
    <n v="12"/>
    <n v="21.4"/>
    <s v="No"/>
    <s v="No"/>
    <s v="Yes"/>
    <n v="0"/>
  </r>
  <r>
    <s v="USR01625"/>
    <s v="APP025"/>
    <s v="RunPlus"/>
    <x v="2"/>
    <x v="0"/>
    <s v="Female"/>
    <s v="Germany"/>
    <s v="Smartphone"/>
    <n v="89"/>
    <n v="24.4"/>
    <s v="Yes"/>
    <s v="Yes"/>
    <s v="No"/>
    <n v="0"/>
  </r>
  <r>
    <s v="USR01626"/>
    <s v="APP026"/>
    <s v="TrainCloud"/>
    <x v="2"/>
    <x v="0"/>
    <s v="Male"/>
    <s v="Germany"/>
    <s v="Smartphone"/>
    <n v="27"/>
    <n v="28.8"/>
    <s v="No"/>
    <s v="No"/>
    <s v="Yes"/>
    <n v="69.62"/>
  </r>
  <r>
    <s v="USR01627"/>
    <s v="APP027"/>
    <s v="Trainly"/>
    <x v="2"/>
    <x v="0"/>
    <s v="Female"/>
    <s v="Germany"/>
    <s v="Smartphone"/>
    <n v="26"/>
    <n v="34.700000000000003"/>
    <s v="Yes"/>
    <s v="Yes"/>
    <s v="No"/>
    <n v="0"/>
  </r>
  <r>
    <s v="USR01628"/>
    <s v="APP028"/>
    <s v="LiftCloud"/>
    <x v="2"/>
    <x v="1"/>
    <s v="Prefer not to say"/>
    <s v="UAE"/>
    <s v="Smartphone"/>
    <n v="79"/>
    <n v="35.1"/>
    <s v="Yes"/>
    <s v="Yes"/>
    <s v="No"/>
    <n v="0"/>
  </r>
  <r>
    <s v="USR01629"/>
    <s v="APP029"/>
    <s v="MoveNow"/>
    <x v="2"/>
    <x v="3"/>
    <s v="Male"/>
    <s v="Singapore"/>
    <s v="Smartphone"/>
    <n v="25"/>
    <n v="23.2"/>
    <s v="No"/>
    <s v="Yes"/>
    <s v="No"/>
    <n v="0"/>
  </r>
  <r>
    <s v="USR01630"/>
    <s v="APP030"/>
    <s v="ActiveMate"/>
    <x v="2"/>
    <x v="2"/>
    <s v="Male"/>
    <s v="Germany"/>
    <s v="Smartphone"/>
    <n v="69"/>
    <n v="38.4"/>
    <s v="Yes"/>
    <s v="No"/>
    <s v="Yes"/>
    <n v="0"/>
  </r>
  <r>
    <s v="USR01631"/>
    <s v="APP031"/>
    <s v="RunGo"/>
    <x v="2"/>
    <x v="1"/>
    <s v="Female"/>
    <s v="United Kingdom"/>
    <s v="Smartphone"/>
    <n v="53"/>
    <n v="28.9"/>
    <s v="Yes"/>
    <s v="Yes"/>
    <s v="No"/>
    <n v="0"/>
  </r>
  <r>
    <s v="USR01632"/>
    <s v="APP032"/>
    <s v="LiftPro"/>
    <x v="2"/>
    <x v="0"/>
    <s v="Female"/>
    <s v="Canada"/>
    <s v="Smartphone"/>
    <n v="68"/>
    <n v="27.8"/>
    <s v="Yes"/>
    <s v="Yes"/>
    <s v="No"/>
    <n v="19.03"/>
  </r>
  <r>
    <s v="USR01633"/>
    <s v="APP033"/>
    <s v="LiftPro"/>
    <x v="2"/>
    <x v="2"/>
    <s v="Female"/>
    <s v="UAE"/>
    <s v="Smartphone"/>
    <n v="59"/>
    <n v="16.7"/>
    <s v="Yes"/>
    <s v="Yes"/>
    <s v="No"/>
    <n v="0"/>
  </r>
  <r>
    <s v="USR01634"/>
    <s v="APP034"/>
    <s v="Liftly"/>
    <x v="2"/>
    <x v="2"/>
    <s v="Male"/>
    <s v="India"/>
    <s v="Smartphone"/>
    <n v="17"/>
    <n v="29.5"/>
    <s v="No"/>
    <s v="No"/>
    <s v="No"/>
    <n v="32.99"/>
  </r>
  <r>
    <s v="USR01635"/>
    <s v="APP035"/>
    <s v="YogaHub"/>
    <x v="2"/>
    <x v="1"/>
    <s v="Female"/>
    <s v="UAE"/>
    <s v="Smartphone"/>
    <n v="74"/>
    <n v="38.299999999999997"/>
    <s v="Yes"/>
    <s v="Yes"/>
    <s v="No"/>
    <n v="0"/>
  </r>
  <r>
    <s v="USR01636"/>
    <s v="APP036"/>
    <s v="MoveGo"/>
    <x v="2"/>
    <x v="4"/>
    <s v="Other"/>
    <s v="Canada"/>
    <s v="Smartphone"/>
    <n v="19"/>
    <n v="26.5"/>
    <s v="Yes"/>
    <s v="Yes"/>
    <s v="No"/>
    <n v="2.19"/>
  </r>
  <r>
    <s v="USR01637"/>
    <s v="APP037"/>
    <s v="BrightNow"/>
    <x v="3"/>
    <x v="1"/>
    <s v="Male"/>
    <s v="Singapore"/>
    <s v="Smartphone"/>
    <n v="9"/>
    <n v="20.7"/>
    <s v="No"/>
    <s v="No"/>
    <s v="No"/>
    <n v="0"/>
  </r>
  <r>
    <s v="USR01638"/>
    <s v="APP038"/>
    <s v="StudyCloud"/>
    <x v="3"/>
    <x v="0"/>
    <s v="Female"/>
    <s v="United States"/>
    <s v="Smartphone"/>
    <n v="8"/>
    <n v="9.4"/>
    <s v="No"/>
    <s v="No"/>
    <s v="No"/>
    <n v="16.309999999999999"/>
  </r>
  <r>
    <s v="USR01639"/>
    <s v="APP039"/>
    <s v="SkillNow"/>
    <x v="3"/>
    <x v="4"/>
    <s v="Prefer not to say"/>
    <s v="UAE"/>
    <s v="Smartphone"/>
    <n v="21"/>
    <n v="13.2"/>
    <s v="No"/>
    <s v="Yes"/>
    <s v="Yes"/>
    <n v="0"/>
  </r>
  <r>
    <s v="USR01640"/>
    <s v="APP040"/>
    <s v="LearnMate"/>
    <x v="3"/>
    <x v="1"/>
    <s v="Female"/>
    <s v="United Kingdom"/>
    <s v="Smartphone"/>
    <n v="5"/>
    <n v="9.3000000000000007"/>
    <s v="No"/>
    <s v="No"/>
    <s v="Yes"/>
    <n v="0"/>
  </r>
  <r>
    <s v="USR01641"/>
    <s v="APP041"/>
    <s v="QuestNow"/>
    <x v="3"/>
    <x v="2"/>
    <s v="Female"/>
    <s v="Canada"/>
    <s v="Smartphone"/>
    <n v="5"/>
    <n v="30"/>
    <s v="No"/>
    <s v="No"/>
    <s v="Yes"/>
    <n v="45.48"/>
  </r>
  <r>
    <s v="USR01642"/>
    <s v="APP042"/>
    <s v="SkillHub"/>
    <x v="3"/>
    <x v="2"/>
    <s v="Female"/>
    <s v="United States"/>
    <s v="Smartphone"/>
    <n v="14"/>
    <n v="35.799999999999997"/>
    <s v="No"/>
    <s v="No"/>
    <s v="Yes"/>
    <n v="0"/>
  </r>
  <r>
    <s v="USR01643"/>
    <s v="APP043"/>
    <s v="TutorCloud"/>
    <x v="3"/>
    <x v="1"/>
    <s v="Prefer not to say"/>
    <s v="Germany"/>
    <s v="Smartphone"/>
    <n v="7"/>
    <n v="38"/>
    <s v="No"/>
    <s v="No"/>
    <s v="Yes"/>
    <n v="31.43"/>
  </r>
  <r>
    <s v="USR01644"/>
    <s v="APP044"/>
    <s v="SkillOne"/>
    <x v="3"/>
    <x v="0"/>
    <s v="Female"/>
    <s v="India"/>
    <s v="Tablet"/>
    <n v="18"/>
    <n v="36.6"/>
    <s v="No"/>
    <s v="No"/>
    <s v="Yes"/>
    <n v="0"/>
  </r>
  <r>
    <s v="USR01645"/>
    <s v="APP045"/>
    <s v="LearnOne"/>
    <x v="3"/>
    <x v="2"/>
    <s v="Female"/>
    <s v="Australia"/>
    <s v="Smartphone"/>
    <n v="23"/>
    <n v="20.9"/>
    <s v="Yes"/>
    <s v="No"/>
    <s v="Yes"/>
    <n v="0"/>
  </r>
  <r>
    <s v="USR01646"/>
    <s v="APP046"/>
    <s v="LearnPlus"/>
    <x v="3"/>
    <x v="0"/>
    <s v="Female"/>
    <s v="UAE"/>
    <s v="Smartphone"/>
    <n v="28"/>
    <n v="39.200000000000003"/>
    <s v="No"/>
    <s v="Yes"/>
    <s v="No"/>
    <n v="7.79"/>
  </r>
  <r>
    <s v="USR01647"/>
    <s v="APP047"/>
    <s v="StudyPlus"/>
    <x v="3"/>
    <x v="4"/>
    <s v="Male"/>
    <s v="India"/>
    <s v="Smartphone"/>
    <n v="37"/>
    <n v="17.2"/>
    <s v="Yes"/>
    <s v="Yes"/>
    <s v="No"/>
    <n v="0"/>
  </r>
  <r>
    <s v="USR01648"/>
    <s v="APP048"/>
    <s v="StudyX"/>
    <x v="3"/>
    <x v="2"/>
    <s v="Female"/>
    <s v="India"/>
    <s v="Smartphone"/>
    <n v="12"/>
    <n v="39.1"/>
    <s v="No"/>
    <s v="Yes"/>
    <s v="No"/>
    <n v="87.31"/>
  </r>
  <r>
    <s v="USR01649"/>
    <s v="APP049"/>
    <s v="PlayPlus"/>
    <x v="4"/>
    <x v="4"/>
    <s v="Female"/>
    <s v="Australia"/>
    <s v="Smartphone"/>
    <n v="62"/>
    <n v="11.2"/>
    <s v="Yes"/>
    <s v="No"/>
    <s v="No"/>
    <n v="0"/>
  </r>
  <r>
    <s v="USR01650"/>
    <s v="APP050"/>
    <s v="ShowMate"/>
    <x v="4"/>
    <x v="0"/>
    <s v="Male"/>
    <s v="Australia"/>
    <s v="Smartphone"/>
    <n v="25"/>
    <n v="28"/>
    <s v="No"/>
    <s v="No"/>
    <s v="Yes"/>
    <n v="0"/>
  </r>
  <r>
    <s v="USR01651"/>
    <s v="APP051"/>
    <s v="VibeX"/>
    <x v="4"/>
    <x v="0"/>
    <s v="Male"/>
    <s v="Australia"/>
    <s v="Smartphone"/>
    <n v="27"/>
    <n v="17.2"/>
    <s v="No"/>
    <s v="No"/>
    <s v="No"/>
    <n v="59.11"/>
  </r>
  <r>
    <s v="USR01652"/>
    <s v="APP052"/>
    <s v="BuzzNow"/>
    <x v="4"/>
    <x v="2"/>
    <s v="Female"/>
    <s v="United States"/>
    <s v="Tablet"/>
    <n v="18"/>
    <n v="17.7"/>
    <s v="No"/>
    <s v="No"/>
    <s v="No"/>
    <n v="46.3"/>
  </r>
  <r>
    <s v="USR01653"/>
    <s v="APP053"/>
    <s v="StreamPlus"/>
    <x v="4"/>
    <x v="2"/>
    <s v="Other"/>
    <s v="Germany"/>
    <s v="Tablet"/>
    <n v="8"/>
    <n v="16.7"/>
    <s v="No"/>
    <s v="Yes"/>
    <s v="No"/>
    <n v="0"/>
  </r>
  <r>
    <s v="USR01654"/>
    <s v="APP054"/>
    <s v="Showly"/>
    <x v="4"/>
    <x v="0"/>
    <s v="Male"/>
    <s v="United Kingdom"/>
    <s v="Smartphone"/>
    <n v="17"/>
    <n v="9.1"/>
    <s v="No"/>
    <s v="Yes"/>
    <s v="No"/>
    <n v="0"/>
  </r>
  <r>
    <s v="USR01655"/>
    <s v="APP055"/>
    <s v="BuzzOne"/>
    <x v="4"/>
    <x v="2"/>
    <s v="Other"/>
    <s v="Canada"/>
    <s v="Smartphone"/>
    <n v="77"/>
    <n v="36"/>
    <s v="Yes"/>
    <s v="Yes"/>
    <s v="No"/>
    <n v="0"/>
  </r>
  <r>
    <s v="USR01656"/>
    <s v="APP056"/>
    <s v="PlayHub"/>
    <x v="4"/>
    <x v="1"/>
    <s v="Female"/>
    <s v="United Kingdom"/>
    <s v="Smartphone"/>
    <n v="24"/>
    <n v="30.6"/>
    <s v="No"/>
    <s v="No"/>
    <s v="No"/>
    <n v="0"/>
  </r>
  <r>
    <s v="USR01657"/>
    <s v="APP057"/>
    <s v="CinemaGo"/>
    <x v="4"/>
    <x v="2"/>
    <s v="Other"/>
    <s v="Canada"/>
    <s v="Smartphone"/>
    <n v="16"/>
    <n v="13"/>
    <s v="No"/>
    <s v="Yes"/>
    <s v="No"/>
    <n v="0"/>
  </r>
  <r>
    <s v="USR01658"/>
    <s v="APP058"/>
    <s v="LaughX"/>
    <x v="4"/>
    <x v="2"/>
    <s v="Female"/>
    <s v="Australia"/>
    <s v="Smartphone"/>
    <n v="12"/>
    <n v="28.9"/>
    <s v="No"/>
    <s v="No"/>
    <s v="Yes"/>
    <n v="0"/>
  </r>
  <r>
    <s v="USR01659"/>
    <s v="APP059"/>
    <s v="CinemaHub"/>
    <x v="4"/>
    <x v="1"/>
    <s v="Female"/>
    <s v="India"/>
    <s v="Smartphone"/>
    <n v="2"/>
    <n v="35.700000000000003"/>
    <s v="No"/>
    <s v="No"/>
    <s v="No"/>
    <n v="0"/>
  </r>
  <r>
    <s v="USR01660"/>
    <s v="APP060"/>
    <s v="ShowPro"/>
    <x v="4"/>
    <x v="1"/>
    <s v="Male"/>
    <s v="Germany"/>
    <s v="Smartphone"/>
    <n v="26"/>
    <n v="27.6"/>
    <s v="No"/>
    <s v="Yes"/>
    <s v="No"/>
    <n v="0"/>
  </r>
  <r>
    <s v="USR01661"/>
    <s v="APP061"/>
    <s v="FoodPlus"/>
    <x v="5"/>
    <x v="1"/>
    <s v="Female"/>
    <s v="UAE"/>
    <s v="Smartphone"/>
    <n v="11"/>
    <n v="15.6"/>
    <s v="No"/>
    <s v="No"/>
    <s v="No"/>
    <n v="0"/>
  </r>
  <r>
    <s v="USR01662"/>
    <s v="APP062"/>
    <s v="BiteGo"/>
    <x v="5"/>
    <x v="4"/>
    <s v="Male"/>
    <s v="United Kingdom"/>
    <s v="Smartphone"/>
    <n v="27"/>
    <n v="12.4"/>
    <s v="No"/>
    <s v="Yes"/>
    <s v="No"/>
    <n v="18.82"/>
  </r>
  <r>
    <s v="USR01663"/>
    <s v="APP063"/>
    <s v="OrderCloud"/>
    <x v="5"/>
    <x v="1"/>
    <s v="Male"/>
    <s v="Singapore"/>
    <s v="Smartphone"/>
    <n v="91"/>
    <n v="18.399999999999999"/>
    <s v="Yes"/>
    <s v="Yes"/>
    <s v="Yes"/>
    <n v="0"/>
  </r>
  <r>
    <s v="USR01664"/>
    <s v="APP064"/>
    <s v="DinePlus"/>
    <x v="5"/>
    <x v="0"/>
    <s v="Female"/>
    <s v="Australia"/>
    <s v="Smartphone"/>
    <n v="24"/>
    <n v="14.2"/>
    <s v="No"/>
    <s v="No"/>
    <s v="No"/>
    <n v="0"/>
  </r>
  <r>
    <s v="USR01665"/>
    <s v="APP065"/>
    <s v="SnackX"/>
    <x v="5"/>
    <x v="1"/>
    <s v="Female"/>
    <s v="United Kingdom"/>
    <s v="Smartphone"/>
    <n v="9"/>
    <n v="3.7"/>
    <s v="No"/>
    <s v="Yes"/>
    <s v="No"/>
    <n v="65.319999999999993"/>
  </r>
  <r>
    <s v="USR01666"/>
    <s v="APP066"/>
    <s v="FoodOne"/>
    <x v="5"/>
    <x v="3"/>
    <s v="Male"/>
    <s v="United States"/>
    <s v="Smartphone"/>
    <n v="18"/>
    <n v="22.6"/>
    <s v="No"/>
    <s v="Yes"/>
    <s v="No"/>
    <n v="0"/>
  </r>
  <r>
    <s v="USR01667"/>
    <s v="APP067"/>
    <s v="MealMate"/>
    <x v="5"/>
    <x v="2"/>
    <s v="Prefer not to say"/>
    <s v="United Kingdom"/>
    <s v="Smartphone"/>
    <n v="24"/>
    <n v="11.5"/>
    <s v="No"/>
    <s v="Yes"/>
    <s v="No"/>
    <n v="13"/>
  </r>
  <r>
    <s v="USR01668"/>
    <s v="APP068"/>
    <s v="SnackHub"/>
    <x v="5"/>
    <x v="4"/>
    <s v="Female"/>
    <s v="UAE"/>
    <s v="Smartphone"/>
    <n v="18"/>
    <n v="8.1999999999999993"/>
    <s v="No"/>
    <s v="No"/>
    <s v="Yes"/>
    <n v="0"/>
  </r>
  <r>
    <s v="USR01669"/>
    <s v="APP069"/>
    <s v="BiteCloud"/>
    <x v="5"/>
    <x v="4"/>
    <s v="Male"/>
    <s v="Germany"/>
    <s v="Smartphone"/>
    <n v="23"/>
    <n v="12.7"/>
    <s v="No"/>
    <s v="Yes"/>
    <s v="No"/>
    <n v="92.79"/>
  </r>
  <r>
    <s v="USR01670"/>
    <s v="APP070"/>
    <s v="PlatePlus"/>
    <x v="5"/>
    <x v="0"/>
    <s v="Male"/>
    <s v="Germany"/>
    <s v="Smartphone"/>
    <n v="26"/>
    <n v="9.9"/>
    <s v="No"/>
    <s v="Yes"/>
    <s v="No"/>
    <n v="0"/>
  </r>
  <r>
    <s v="USR01671"/>
    <s v="APP071"/>
    <s v="VoyageGo"/>
    <x v="6"/>
    <x v="0"/>
    <s v="Female"/>
    <s v="India"/>
    <s v="Tablet"/>
    <n v="90"/>
    <n v="21.9"/>
    <s v="Yes"/>
    <s v="No"/>
    <s v="No"/>
    <n v="0"/>
  </r>
  <r>
    <s v="USR01672"/>
    <s v="APP072"/>
    <s v="TripOne"/>
    <x v="6"/>
    <x v="0"/>
    <s v="Female"/>
    <s v="Canada"/>
    <s v="Smartphone"/>
    <n v="54"/>
    <n v="5.0999999999999996"/>
    <s v="Yes"/>
    <s v="No"/>
    <s v="Yes"/>
    <n v="0"/>
  </r>
  <r>
    <s v="USR01673"/>
    <s v="APP073"/>
    <s v="FlyGo"/>
    <x v="6"/>
    <x v="4"/>
    <s v="Female"/>
    <s v="UAE"/>
    <s v="Smartphone"/>
    <n v="23"/>
    <n v="11"/>
    <s v="No"/>
    <s v="Yes"/>
    <s v="No"/>
    <n v="12.87"/>
  </r>
  <r>
    <s v="USR01674"/>
    <s v="APP074"/>
    <s v="MapX"/>
    <x v="6"/>
    <x v="4"/>
    <s v="Female"/>
    <s v="Singapore"/>
    <s v="Smartphone"/>
    <n v="71"/>
    <n v="7.2"/>
    <s v="Yes"/>
    <s v="Yes"/>
    <s v="No"/>
    <n v="0"/>
  </r>
  <r>
    <s v="USR01675"/>
    <s v="APP075"/>
    <s v="StayX"/>
    <x v="6"/>
    <x v="1"/>
    <s v="Female"/>
    <s v="Singapore"/>
    <s v="Smartphone"/>
    <n v="94"/>
    <n v="4.4000000000000004"/>
    <s v="Yes"/>
    <s v="Yes"/>
    <s v="No"/>
    <n v="0"/>
  </r>
  <r>
    <s v="USR01676"/>
    <s v="APP076"/>
    <s v="GoNow"/>
    <x v="6"/>
    <x v="4"/>
    <s v="Female"/>
    <s v="Australia"/>
    <s v="Smartphone"/>
    <n v="3"/>
    <n v="19.5"/>
    <s v="No"/>
    <s v="Yes"/>
    <s v="No"/>
    <n v="0"/>
  </r>
  <r>
    <s v="USR01677"/>
    <s v="APP077"/>
    <s v="RouteGo"/>
    <x v="6"/>
    <x v="0"/>
    <s v="Female"/>
    <s v="Germany"/>
    <s v="Smartphone"/>
    <n v="16"/>
    <n v="22.6"/>
    <s v="No"/>
    <s v="No"/>
    <s v="No"/>
    <n v="0"/>
  </r>
  <r>
    <s v="USR01678"/>
    <s v="APP078"/>
    <s v="TripGo"/>
    <x v="6"/>
    <x v="2"/>
    <s v="Prefer not to say"/>
    <s v="Canada"/>
    <s v="Smartphone"/>
    <n v="40"/>
    <n v="3.1"/>
    <s v="Yes"/>
    <s v="Yes"/>
    <s v="No"/>
    <n v="88.84"/>
  </r>
  <r>
    <s v="USR01679"/>
    <s v="APP079"/>
    <s v="Flyly"/>
    <x v="6"/>
    <x v="1"/>
    <s v="Male"/>
    <s v="Singapore"/>
    <s v="Smartphone"/>
    <n v="56"/>
    <n v="16.600000000000001"/>
    <s v="Yes"/>
    <s v="Yes"/>
    <s v="No"/>
    <n v="0"/>
  </r>
  <r>
    <s v="USR01680"/>
    <s v="APP080"/>
    <s v="TripPro"/>
    <x v="6"/>
    <x v="1"/>
    <s v="Female"/>
    <s v="United States"/>
    <s v="Smartphone"/>
    <n v="27"/>
    <n v="22.5"/>
    <s v="No"/>
    <s v="Yes"/>
    <s v="No"/>
    <n v="0"/>
  </r>
  <r>
    <s v="USR01681"/>
    <s v="APP081"/>
    <s v="Focusly"/>
    <x v="7"/>
    <x v="2"/>
    <s v="Male"/>
    <s v="UAE"/>
    <s v="Smartphone"/>
    <n v="16"/>
    <n v="17"/>
    <s v="No"/>
    <s v="No"/>
    <s v="Yes"/>
    <n v="0"/>
  </r>
  <r>
    <s v="USR01682"/>
    <s v="APP082"/>
    <s v="DeskX"/>
    <x v="7"/>
    <x v="0"/>
    <s v="Male"/>
    <s v="India"/>
    <s v="Smartphone"/>
    <n v="16"/>
    <n v="13.5"/>
    <s v="Yes"/>
    <s v="No"/>
    <s v="Yes"/>
    <n v="0"/>
  </r>
  <r>
    <s v="USR01683"/>
    <s v="APP083"/>
    <s v="DonePro"/>
    <x v="7"/>
    <x v="1"/>
    <s v="Female"/>
    <s v="India"/>
    <s v="Smartphone"/>
    <n v="28"/>
    <n v="21"/>
    <s v="No"/>
    <s v="No"/>
    <s v="No"/>
    <n v="0"/>
  </r>
  <r>
    <s v="USR01684"/>
    <s v="APP084"/>
    <s v="NotePlus"/>
    <x v="7"/>
    <x v="2"/>
    <s v="Male"/>
    <s v="United Kingdom"/>
    <s v="Smartphone"/>
    <n v="52"/>
    <n v="14.2"/>
    <s v="Yes"/>
    <s v="Yes"/>
    <s v="No"/>
    <n v="0"/>
  </r>
  <r>
    <s v="USR01685"/>
    <s v="APP085"/>
    <s v="SyncPlus"/>
    <x v="7"/>
    <x v="0"/>
    <s v="Male"/>
    <s v="Germany"/>
    <s v="Smartphone"/>
    <n v="59"/>
    <n v="4.5999999999999996"/>
    <s v="Yes"/>
    <s v="Yes"/>
    <s v="No"/>
    <n v="83.56"/>
  </r>
  <r>
    <s v="USR01686"/>
    <s v="APP086"/>
    <s v="NoteOne"/>
    <x v="7"/>
    <x v="4"/>
    <s v="Female"/>
    <s v="Canada"/>
    <s v="Smartphone"/>
    <n v="70"/>
    <n v="16.3"/>
    <s v="Yes"/>
    <s v="Yes"/>
    <s v="No"/>
    <n v="55.14"/>
  </r>
  <r>
    <s v="USR01687"/>
    <s v="APP087"/>
    <s v="NoteMate"/>
    <x v="7"/>
    <x v="2"/>
    <s v="Male"/>
    <s v="Australia"/>
    <s v="Smartphone"/>
    <n v="94"/>
    <n v="15.3"/>
    <s v="Yes"/>
    <s v="Yes"/>
    <s v="Yes"/>
    <n v="11.09"/>
  </r>
  <r>
    <s v="USR01688"/>
    <s v="APP088"/>
    <s v="PlanPlus"/>
    <x v="7"/>
    <x v="0"/>
    <s v="Male"/>
    <s v="Singapore"/>
    <s v="Smartphone"/>
    <n v="11"/>
    <n v="20.6"/>
    <s v="No"/>
    <s v="No"/>
    <s v="No"/>
    <n v="0"/>
  </r>
  <r>
    <s v="USR01689"/>
    <s v="APP089"/>
    <s v="PlanMate"/>
    <x v="7"/>
    <x v="2"/>
    <s v="Female"/>
    <s v="Australia"/>
    <s v="Smartphone"/>
    <n v="53"/>
    <n v="21.3"/>
    <s v="Yes"/>
    <s v="No"/>
    <s v="No"/>
    <n v="0"/>
  </r>
  <r>
    <s v="USR01690"/>
    <s v="APP090"/>
    <s v="SyncPlus"/>
    <x v="7"/>
    <x v="1"/>
    <s v="Female"/>
    <s v="Canada"/>
    <s v="Smartphone"/>
    <n v="49"/>
    <n v="10.3"/>
    <s v="Yes"/>
    <s v="Yes"/>
    <s v="No"/>
    <n v="0"/>
  </r>
  <r>
    <s v="USR01691"/>
    <s v="APP091"/>
    <s v="ClinicPro"/>
    <x v="8"/>
    <x v="2"/>
    <s v="Prefer not to say"/>
    <s v="UAE"/>
    <s v="Smartphone"/>
    <n v="46"/>
    <n v="14.3"/>
    <s v="Yes"/>
    <s v="Yes"/>
    <s v="No"/>
    <n v="0"/>
  </r>
  <r>
    <s v="USR01692"/>
    <s v="APP092"/>
    <s v="MindMate"/>
    <x v="8"/>
    <x v="1"/>
    <s v="Male"/>
    <s v="United States"/>
    <s v="Smartphone"/>
    <n v="21"/>
    <n v="13.6"/>
    <s v="No"/>
    <s v="Yes"/>
    <s v="No"/>
    <n v="0"/>
  </r>
  <r>
    <s v="USR01693"/>
    <s v="APP093"/>
    <s v="ClinicOne"/>
    <x v="8"/>
    <x v="0"/>
    <s v="Prefer not to say"/>
    <s v="Singapore"/>
    <s v="Smartphone"/>
    <n v="22"/>
    <n v="3.4"/>
    <s v="No"/>
    <s v="No"/>
    <s v="No"/>
    <n v="0"/>
  </r>
  <r>
    <s v="USR01694"/>
    <s v="APP094"/>
    <s v="WellMate"/>
    <x v="8"/>
    <x v="2"/>
    <s v="Female"/>
    <s v="Germany"/>
    <s v="Smartphone"/>
    <n v="92"/>
    <n v="11.8"/>
    <s v="Yes"/>
    <s v="No"/>
    <s v="No"/>
    <n v="0"/>
  </r>
  <r>
    <s v="USR01695"/>
    <s v="APP095"/>
    <s v="MediMate"/>
    <x v="8"/>
    <x v="1"/>
    <s v="Male"/>
    <s v="Singapore"/>
    <s v="Smartphone"/>
    <n v="48"/>
    <n v="14.5"/>
    <s v="Yes"/>
    <s v="No"/>
    <s v="No"/>
    <n v="0"/>
  </r>
  <r>
    <s v="USR01696"/>
    <s v="APP096"/>
    <s v="WellNow"/>
    <x v="8"/>
    <x v="2"/>
    <s v="Male"/>
    <s v="United Kingdom"/>
    <s v="Smartphone"/>
    <n v="21"/>
    <n v="14.8"/>
    <s v="No"/>
    <s v="Yes"/>
    <s v="Yes"/>
    <n v="0"/>
  </r>
  <r>
    <s v="USR01697"/>
    <s v="APP097"/>
    <s v="CareCloud"/>
    <x v="8"/>
    <x v="1"/>
    <s v="Female"/>
    <s v="Singapore"/>
    <s v="Smartphone"/>
    <n v="74"/>
    <n v="14.7"/>
    <s v="Yes"/>
    <s v="Yes"/>
    <s v="No"/>
    <n v="0"/>
  </r>
  <r>
    <s v="USR01698"/>
    <s v="APP098"/>
    <s v="MediNow"/>
    <x v="8"/>
    <x v="3"/>
    <s v="Male"/>
    <s v="Australia"/>
    <s v="Smartphone"/>
    <n v="14"/>
    <n v="23.1"/>
    <s v="No"/>
    <s v="Yes"/>
    <s v="No"/>
    <n v="0"/>
  </r>
  <r>
    <s v="USR01699"/>
    <s v="APP099"/>
    <s v="MindPlus"/>
    <x v="8"/>
    <x v="2"/>
    <s v="Male"/>
    <s v="Singapore"/>
    <s v="Smartphone"/>
    <n v="79"/>
    <n v="12.6"/>
    <s v="Yes"/>
    <s v="Yes"/>
    <s v="No"/>
    <n v="0"/>
  </r>
  <r>
    <s v="USR01700"/>
    <s v="APP100"/>
    <s v="MediCloud"/>
    <x v="8"/>
    <x v="0"/>
    <s v="Female"/>
    <s v="Canada"/>
    <s v="Smartphone"/>
    <n v="26"/>
    <n v="17.100000000000001"/>
    <s v="Yes"/>
    <s v="No"/>
    <s v="Yes"/>
    <n v="0"/>
  </r>
  <r>
    <s v="USR01701"/>
    <s v="APP001"/>
    <s v="InvestPro"/>
    <x v="0"/>
    <x v="3"/>
    <s v="Female"/>
    <s v="Australia"/>
    <s v="Smartphone"/>
    <n v="6"/>
    <n v="13.5"/>
    <s v="No"/>
    <s v="Yes"/>
    <s v="No"/>
    <n v="0"/>
  </r>
  <r>
    <s v="USR01702"/>
    <s v="APP002"/>
    <s v="BankPro"/>
    <x v="0"/>
    <x v="0"/>
    <s v="Prefer not to say"/>
    <s v="Germany"/>
    <s v="Smartphone"/>
    <n v="16"/>
    <n v="11.5"/>
    <s v="Yes"/>
    <s v="Yes"/>
    <s v="No"/>
    <n v="0"/>
  </r>
  <r>
    <s v="USR01703"/>
    <s v="APP003"/>
    <s v="BankX"/>
    <x v="0"/>
    <x v="2"/>
    <s v="Other"/>
    <s v="Canada"/>
    <s v="Smartphone"/>
    <n v="20"/>
    <n v="14.2"/>
    <s v="Yes"/>
    <s v="No"/>
    <s v="Yes"/>
    <n v="0"/>
  </r>
  <r>
    <s v="USR01704"/>
    <s v="APP004"/>
    <s v="BankNow"/>
    <x v="0"/>
    <x v="2"/>
    <s v="Other"/>
    <s v="Singapore"/>
    <s v="Smartphone"/>
    <n v="23"/>
    <n v="6.8"/>
    <s v="Yes"/>
    <s v="Yes"/>
    <s v="No"/>
    <n v="0"/>
  </r>
  <r>
    <s v="USR01705"/>
    <s v="APP005"/>
    <s v="CreditHub"/>
    <x v="0"/>
    <x v="3"/>
    <s v="Male"/>
    <s v="United States"/>
    <s v="Smartphone"/>
    <n v="25"/>
    <n v="4.5999999999999996"/>
    <s v="No"/>
    <s v="No"/>
    <s v="No"/>
    <n v="75.72"/>
  </r>
  <r>
    <s v="USR01706"/>
    <s v="APP006"/>
    <s v="PayPlus"/>
    <x v="0"/>
    <x v="0"/>
    <s v="Female"/>
    <s v="India"/>
    <s v="Smartphone"/>
    <n v="16"/>
    <n v="18"/>
    <s v="No"/>
    <s v="No"/>
    <s v="No"/>
    <n v="41.38"/>
  </r>
  <r>
    <s v="USR01707"/>
    <s v="APP007"/>
    <s v="BankPlus"/>
    <x v="0"/>
    <x v="2"/>
    <s v="Female"/>
    <s v="UAE"/>
    <s v="Smartphone"/>
    <n v="25"/>
    <n v="14.6"/>
    <s v="Yes"/>
    <s v="Yes"/>
    <s v="No"/>
    <n v="0"/>
  </r>
  <r>
    <s v="USR01708"/>
    <s v="APP008"/>
    <s v="CoinPlus"/>
    <x v="0"/>
    <x v="1"/>
    <s v="Male"/>
    <s v="Canada"/>
    <s v="Smartphone"/>
    <n v="79"/>
    <n v="11.8"/>
    <s v="Yes"/>
    <s v="Yes"/>
    <s v="No"/>
    <n v="0"/>
  </r>
  <r>
    <s v="USR01709"/>
    <s v="APP009"/>
    <s v="CreditOne"/>
    <x v="0"/>
    <x v="2"/>
    <s v="Female"/>
    <s v="Germany"/>
    <s v="Smartphone"/>
    <n v="21"/>
    <n v="6.6"/>
    <s v="Yes"/>
    <s v="Yes"/>
    <s v="No"/>
    <n v="0"/>
  </r>
  <r>
    <s v="USR01710"/>
    <s v="APP010"/>
    <s v="PayPro"/>
    <x v="0"/>
    <x v="2"/>
    <s v="Male"/>
    <s v="United States"/>
    <s v="Smartphone"/>
    <n v="72"/>
    <n v="18.5"/>
    <s v="Yes"/>
    <s v="Yes"/>
    <s v="No"/>
    <n v="0"/>
  </r>
  <r>
    <s v="USR01711"/>
    <s v="APP011"/>
    <s v="Creditly"/>
    <x v="0"/>
    <x v="0"/>
    <s v="Female"/>
    <s v="Australia"/>
    <s v="Smartphone"/>
    <n v="14"/>
    <n v="23.3"/>
    <s v="No"/>
    <s v="No"/>
    <s v="Yes"/>
    <n v="0"/>
  </r>
  <r>
    <s v="USR01712"/>
    <s v="APP012"/>
    <s v="PayX"/>
    <x v="0"/>
    <x v="0"/>
    <s v="Male"/>
    <s v="Germany"/>
    <s v="Smartphone"/>
    <n v="84"/>
    <n v="23.9"/>
    <s v="Yes"/>
    <s v="Yes"/>
    <s v="No"/>
    <n v="85.55"/>
  </r>
  <r>
    <s v="USR01713"/>
    <s v="APP013"/>
    <s v="DealGo"/>
    <x v="1"/>
    <x v="0"/>
    <s v="Female"/>
    <s v="Australia"/>
    <s v="Smartphone"/>
    <n v="5"/>
    <n v="13.5"/>
    <s v="No"/>
    <s v="No"/>
    <s v="Yes"/>
    <n v="0"/>
  </r>
  <r>
    <s v="USR01714"/>
    <s v="APP014"/>
    <s v="MallNow"/>
    <x v="1"/>
    <x v="2"/>
    <s v="Male"/>
    <s v="Australia"/>
    <s v="Smartphone"/>
    <n v="88"/>
    <n v="11.8"/>
    <s v="Yes"/>
    <s v="No"/>
    <s v="Yes"/>
    <n v="0"/>
  </r>
  <r>
    <s v="USR01715"/>
    <s v="APP015"/>
    <s v="DealPro"/>
    <x v="1"/>
    <x v="0"/>
    <s v="Female"/>
    <s v="UAE"/>
    <s v="Smartphone"/>
    <n v="25"/>
    <n v="8"/>
    <s v="No"/>
    <s v="Yes"/>
    <s v="No"/>
    <n v="0"/>
  </r>
  <r>
    <s v="USR01716"/>
    <s v="APP016"/>
    <s v="StyleNow"/>
    <x v="1"/>
    <x v="1"/>
    <s v="Prefer not to say"/>
    <s v="Canada"/>
    <s v="Smartphone"/>
    <n v="19"/>
    <n v="15.3"/>
    <s v="Yes"/>
    <s v="No"/>
    <s v="No"/>
    <n v="0"/>
  </r>
  <r>
    <s v="USR01717"/>
    <s v="APP017"/>
    <s v="DealCloud"/>
    <x v="1"/>
    <x v="2"/>
    <s v="Other"/>
    <s v="Canada"/>
    <s v="Smartphone"/>
    <n v="14"/>
    <n v="20.2"/>
    <s v="No"/>
    <s v="Yes"/>
    <s v="No"/>
    <n v="0"/>
  </r>
  <r>
    <s v="USR01718"/>
    <s v="APP018"/>
    <s v="CartCloud"/>
    <x v="1"/>
    <x v="2"/>
    <s v="Male"/>
    <s v="Canada"/>
    <s v="Tablet"/>
    <n v="28"/>
    <n v="16.100000000000001"/>
    <s v="No"/>
    <s v="No"/>
    <s v="No"/>
    <n v="0"/>
  </r>
  <r>
    <s v="USR01719"/>
    <s v="APP019"/>
    <s v="CartMate"/>
    <x v="1"/>
    <x v="0"/>
    <s v="Female"/>
    <s v="United States"/>
    <s v="Smartphone"/>
    <n v="19"/>
    <n v="14.4"/>
    <s v="Yes"/>
    <s v="Yes"/>
    <s v="No"/>
    <n v="0"/>
  </r>
  <r>
    <s v="USR01720"/>
    <s v="APP020"/>
    <s v="BazaarOne"/>
    <x v="1"/>
    <x v="1"/>
    <s v="Male"/>
    <s v="United Kingdom"/>
    <s v="Smartphone"/>
    <n v="26"/>
    <n v="5.6"/>
    <s v="No"/>
    <s v="Yes"/>
    <s v="No"/>
    <n v="0"/>
  </r>
  <r>
    <s v="USR01721"/>
    <s v="APP021"/>
    <s v="StyleOne"/>
    <x v="1"/>
    <x v="1"/>
    <s v="Male"/>
    <s v="Germany"/>
    <s v="Smartphone"/>
    <n v="54"/>
    <n v="23"/>
    <s v="Yes"/>
    <s v="Yes"/>
    <s v="No"/>
    <n v="29.62"/>
  </r>
  <r>
    <s v="USR01722"/>
    <s v="APP022"/>
    <s v="Cartly"/>
    <x v="1"/>
    <x v="0"/>
    <s v="Male"/>
    <s v="UAE"/>
    <s v="Smartphone"/>
    <n v="25"/>
    <n v="17.2"/>
    <s v="No"/>
    <s v="Yes"/>
    <s v="No"/>
    <n v="0"/>
  </r>
  <r>
    <s v="USR01723"/>
    <s v="APP023"/>
    <s v="BazaarCloud"/>
    <x v="1"/>
    <x v="0"/>
    <s v="Female"/>
    <s v="Germany"/>
    <s v="Smartphone"/>
    <n v="25"/>
    <n v="20.399999999999999"/>
    <s v="Yes"/>
    <s v="Yes"/>
    <s v="No"/>
    <n v="73.260000000000005"/>
  </r>
  <r>
    <s v="USR01724"/>
    <s v="APP024"/>
    <s v="CartPro"/>
    <x v="1"/>
    <x v="3"/>
    <s v="Male"/>
    <s v="Germany"/>
    <s v="Smartphone"/>
    <n v="18"/>
    <n v="19.600000000000001"/>
    <s v="No"/>
    <s v="No"/>
    <s v="Yes"/>
    <n v="0"/>
  </r>
  <r>
    <s v="USR01725"/>
    <s v="APP025"/>
    <s v="RunPlus"/>
    <x v="2"/>
    <x v="2"/>
    <s v="Female"/>
    <s v="UAE"/>
    <s v="Smartphone"/>
    <n v="40"/>
    <n v="11.6"/>
    <s v="Yes"/>
    <s v="Yes"/>
    <s v="No"/>
    <n v="0"/>
  </r>
  <r>
    <s v="USR01726"/>
    <s v="APP026"/>
    <s v="TrainCloud"/>
    <x v="2"/>
    <x v="2"/>
    <s v="Male"/>
    <s v="UAE"/>
    <s v="Smartphone"/>
    <n v="7"/>
    <n v="37.5"/>
    <s v="No"/>
    <s v="Yes"/>
    <s v="No"/>
    <n v="0"/>
  </r>
  <r>
    <s v="USR01727"/>
    <s v="APP027"/>
    <s v="Trainly"/>
    <x v="2"/>
    <x v="0"/>
    <s v="Female"/>
    <s v="UAE"/>
    <s v="Smartphone"/>
    <n v="95"/>
    <n v="8"/>
    <s v="Yes"/>
    <s v="Yes"/>
    <s v="No"/>
    <n v="0"/>
  </r>
  <r>
    <s v="USR01728"/>
    <s v="APP028"/>
    <s v="LiftCloud"/>
    <x v="2"/>
    <x v="0"/>
    <s v="Male"/>
    <s v="Singapore"/>
    <s v="Smartphone"/>
    <n v="33"/>
    <n v="34.6"/>
    <s v="Yes"/>
    <s v="Yes"/>
    <s v="No"/>
    <n v="0"/>
  </r>
  <r>
    <s v="USR01729"/>
    <s v="APP029"/>
    <s v="MoveNow"/>
    <x v="2"/>
    <x v="3"/>
    <s v="Female"/>
    <s v="Canada"/>
    <s v="Smartphone"/>
    <n v="41"/>
    <n v="33.6"/>
    <s v="Yes"/>
    <s v="Yes"/>
    <s v="No"/>
    <n v="36.42"/>
  </r>
  <r>
    <s v="USR01730"/>
    <s v="APP030"/>
    <s v="ActiveMate"/>
    <x v="2"/>
    <x v="0"/>
    <s v="Male"/>
    <s v="Australia"/>
    <s v="Smartphone"/>
    <n v="10"/>
    <n v="39.9"/>
    <s v="No"/>
    <s v="No"/>
    <s v="No"/>
    <n v="0"/>
  </r>
  <r>
    <s v="USR01731"/>
    <s v="APP031"/>
    <s v="RunGo"/>
    <x v="2"/>
    <x v="2"/>
    <s v="Male"/>
    <s v="Australia"/>
    <s v="Smartphone"/>
    <n v="9"/>
    <n v="20.9"/>
    <s v="No"/>
    <s v="No"/>
    <s v="Yes"/>
    <n v="0"/>
  </r>
  <r>
    <s v="USR01732"/>
    <s v="APP032"/>
    <s v="LiftPro"/>
    <x v="2"/>
    <x v="1"/>
    <s v="Other"/>
    <s v="Australia"/>
    <s v="Smartphone"/>
    <n v="89"/>
    <n v="22"/>
    <s v="Yes"/>
    <s v="Yes"/>
    <s v="No"/>
    <n v="0"/>
  </r>
  <r>
    <s v="USR01733"/>
    <s v="APP033"/>
    <s v="LiftPro"/>
    <x v="2"/>
    <x v="2"/>
    <s v="Female"/>
    <s v="United States"/>
    <s v="Tablet"/>
    <n v="77"/>
    <n v="38.299999999999997"/>
    <s v="Yes"/>
    <s v="No"/>
    <s v="Yes"/>
    <n v="0"/>
  </r>
  <r>
    <s v="USR01734"/>
    <s v="APP034"/>
    <s v="Liftly"/>
    <x v="2"/>
    <x v="3"/>
    <s v="Female"/>
    <s v="Australia"/>
    <s v="Tablet"/>
    <n v="22"/>
    <n v="30.2"/>
    <s v="No"/>
    <s v="Yes"/>
    <s v="No"/>
    <n v="21.35"/>
  </r>
  <r>
    <s v="USR01735"/>
    <s v="APP035"/>
    <s v="YogaHub"/>
    <x v="2"/>
    <x v="4"/>
    <s v="Male"/>
    <s v="United Kingdom"/>
    <s v="Smartphone"/>
    <n v="29"/>
    <n v="18.5"/>
    <s v="Yes"/>
    <s v="Yes"/>
    <s v="No"/>
    <n v="0"/>
  </r>
  <r>
    <s v="USR01736"/>
    <s v="APP036"/>
    <s v="MoveGo"/>
    <x v="2"/>
    <x v="0"/>
    <s v="Female"/>
    <s v="United States"/>
    <s v="Smartphone"/>
    <n v="14"/>
    <n v="20.3"/>
    <s v="No"/>
    <s v="No"/>
    <s v="No"/>
    <n v="37.270000000000003"/>
  </r>
  <r>
    <s v="USR01737"/>
    <s v="APP037"/>
    <s v="BrightNow"/>
    <x v="3"/>
    <x v="3"/>
    <s v="Female"/>
    <s v="India"/>
    <s v="Smartphone"/>
    <n v="84"/>
    <n v="8.9"/>
    <s v="Yes"/>
    <s v="No"/>
    <s v="No"/>
    <n v="0"/>
  </r>
  <r>
    <s v="USR01738"/>
    <s v="APP038"/>
    <s v="StudyCloud"/>
    <x v="3"/>
    <x v="0"/>
    <s v="Male"/>
    <s v="Singapore"/>
    <s v="Smartphone"/>
    <n v="12"/>
    <n v="31.3"/>
    <s v="No"/>
    <s v="No"/>
    <s v="Yes"/>
    <n v="0"/>
  </r>
  <r>
    <s v="USR01739"/>
    <s v="APP039"/>
    <s v="SkillNow"/>
    <x v="3"/>
    <x v="4"/>
    <s v="Female"/>
    <s v="Australia"/>
    <s v="Smartphone"/>
    <n v="15"/>
    <n v="22.7"/>
    <s v="No"/>
    <s v="No"/>
    <s v="No"/>
    <n v="35.26"/>
  </r>
  <r>
    <s v="USR01740"/>
    <s v="APP040"/>
    <s v="LearnMate"/>
    <x v="3"/>
    <x v="0"/>
    <s v="Male"/>
    <s v="United Kingdom"/>
    <s v="Smartphone"/>
    <n v="28"/>
    <n v="19.899999999999999"/>
    <s v="No"/>
    <s v="No"/>
    <s v="No"/>
    <n v="0"/>
  </r>
  <r>
    <s v="USR01741"/>
    <s v="APP041"/>
    <s v="QuestNow"/>
    <x v="3"/>
    <x v="2"/>
    <s v="Male"/>
    <s v="Singapore"/>
    <s v="Smartphone"/>
    <n v="13"/>
    <n v="28.3"/>
    <s v="No"/>
    <s v="Yes"/>
    <s v="Yes"/>
    <n v="25.3"/>
  </r>
  <r>
    <s v="USR01742"/>
    <s v="APP042"/>
    <s v="SkillHub"/>
    <x v="3"/>
    <x v="0"/>
    <s v="Prefer not to say"/>
    <s v="United Kingdom"/>
    <s v="Tablet"/>
    <n v="21"/>
    <n v="21.3"/>
    <s v="No"/>
    <s v="Yes"/>
    <s v="No"/>
    <n v="0"/>
  </r>
  <r>
    <s v="USR01743"/>
    <s v="APP043"/>
    <s v="TutorCloud"/>
    <x v="3"/>
    <x v="1"/>
    <s v="Female"/>
    <s v="Germany"/>
    <s v="Smartphone"/>
    <n v="24"/>
    <n v="22.6"/>
    <s v="No"/>
    <s v="No"/>
    <s v="Yes"/>
    <n v="21.56"/>
  </r>
  <r>
    <s v="USR01744"/>
    <s v="APP044"/>
    <s v="SkillOne"/>
    <x v="3"/>
    <x v="2"/>
    <s v="Prefer not to say"/>
    <s v="United States"/>
    <s v="Tablet"/>
    <n v="44"/>
    <n v="11.9"/>
    <s v="Yes"/>
    <s v="Yes"/>
    <s v="No"/>
    <n v="0"/>
  </r>
  <r>
    <s v="USR01745"/>
    <s v="APP045"/>
    <s v="LearnOne"/>
    <x v="3"/>
    <x v="2"/>
    <s v="Male"/>
    <s v="Germany"/>
    <s v="Smartphone"/>
    <n v="18"/>
    <n v="30.9"/>
    <s v="No"/>
    <s v="Yes"/>
    <s v="No"/>
    <n v="44.08"/>
  </r>
  <r>
    <s v="USR01746"/>
    <s v="APP046"/>
    <s v="LearnPlus"/>
    <x v="3"/>
    <x v="0"/>
    <s v="Female"/>
    <s v="UAE"/>
    <s v="Smartphone"/>
    <n v="23"/>
    <n v="40.5"/>
    <s v="No"/>
    <s v="Yes"/>
    <s v="No"/>
    <n v="0"/>
  </r>
  <r>
    <s v="USR01747"/>
    <s v="APP047"/>
    <s v="StudyPlus"/>
    <x v="3"/>
    <x v="1"/>
    <s v="Female"/>
    <s v="Germany"/>
    <s v="Tablet"/>
    <n v="24"/>
    <n v="24"/>
    <s v="No"/>
    <s v="No"/>
    <s v="No"/>
    <n v="0"/>
  </r>
  <r>
    <s v="USR01748"/>
    <s v="APP048"/>
    <s v="StudyX"/>
    <x v="3"/>
    <x v="0"/>
    <s v="Female"/>
    <s v="Australia"/>
    <s v="Tablet"/>
    <n v="51"/>
    <n v="23.9"/>
    <s v="Yes"/>
    <s v="No"/>
    <s v="Yes"/>
    <n v="30.48"/>
  </r>
  <r>
    <s v="USR01749"/>
    <s v="APP049"/>
    <s v="PlayPlus"/>
    <x v="4"/>
    <x v="0"/>
    <s v="Male"/>
    <s v="Canada"/>
    <s v="Smartphone"/>
    <n v="71"/>
    <n v="15.6"/>
    <s v="Yes"/>
    <s v="No"/>
    <s v="No"/>
    <n v="0"/>
  </r>
  <r>
    <s v="USR01750"/>
    <s v="APP050"/>
    <s v="ShowMate"/>
    <x v="4"/>
    <x v="2"/>
    <s v="Female"/>
    <s v="UAE"/>
    <s v="Smartphone"/>
    <n v="19"/>
    <n v="8.4"/>
    <s v="No"/>
    <s v="Yes"/>
    <s v="Yes"/>
    <n v="48.6"/>
  </r>
  <r>
    <s v="USR01751"/>
    <s v="APP051"/>
    <s v="VibeX"/>
    <x v="4"/>
    <x v="1"/>
    <s v="Female"/>
    <s v="Australia"/>
    <s v="Smartphone"/>
    <n v="8"/>
    <n v="15.2"/>
    <s v="No"/>
    <s v="Yes"/>
    <s v="Yes"/>
    <n v="21.51"/>
  </r>
  <r>
    <s v="USR01752"/>
    <s v="APP052"/>
    <s v="BuzzNow"/>
    <x v="4"/>
    <x v="1"/>
    <s v="Female"/>
    <s v="Singapore"/>
    <s v="Smartphone"/>
    <n v="39"/>
    <n v="26.8"/>
    <s v="Yes"/>
    <s v="Yes"/>
    <s v="No"/>
    <n v="0"/>
  </r>
  <r>
    <s v="USR01753"/>
    <s v="APP053"/>
    <s v="StreamPlus"/>
    <x v="4"/>
    <x v="2"/>
    <s v="Female"/>
    <s v="United Kingdom"/>
    <s v="Smartphone"/>
    <n v="90"/>
    <n v="39.1"/>
    <s v="Yes"/>
    <s v="Yes"/>
    <s v="No"/>
    <n v="0"/>
  </r>
  <r>
    <s v="USR01754"/>
    <s v="APP054"/>
    <s v="Showly"/>
    <x v="4"/>
    <x v="1"/>
    <s v="Male"/>
    <s v="India"/>
    <s v="Tablet"/>
    <n v="39"/>
    <n v="33.799999999999997"/>
    <s v="Yes"/>
    <s v="Yes"/>
    <s v="No"/>
    <n v="0"/>
  </r>
  <r>
    <s v="USR01755"/>
    <s v="APP055"/>
    <s v="BuzzOne"/>
    <x v="4"/>
    <x v="4"/>
    <s v="Male"/>
    <s v="Canada"/>
    <s v="Smartphone"/>
    <n v="91"/>
    <n v="14.5"/>
    <s v="Yes"/>
    <s v="Yes"/>
    <s v="No"/>
    <n v="0"/>
  </r>
  <r>
    <s v="USR01756"/>
    <s v="APP056"/>
    <s v="PlayHub"/>
    <x v="4"/>
    <x v="3"/>
    <s v="Male"/>
    <s v="Canada"/>
    <s v="Smartphone"/>
    <n v="61"/>
    <n v="32.700000000000003"/>
    <s v="Yes"/>
    <s v="Yes"/>
    <s v="No"/>
    <n v="29.16"/>
  </r>
  <r>
    <s v="USR01757"/>
    <s v="APP057"/>
    <s v="CinemaGo"/>
    <x v="4"/>
    <x v="2"/>
    <s v="Female"/>
    <s v="Singapore"/>
    <s v="Smartphone"/>
    <n v="46"/>
    <n v="17.7"/>
    <s v="Yes"/>
    <s v="Yes"/>
    <s v="No"/>
    <n v="0"/>
  </r>
  <r>
    <s v="USR01758"/>
    <s v="APP058"/>
    <s v="LaughX"/>
    <x v="4"/>
    <x v="0"/>
    <s v="Male"/>
    <s v="Canada"/>
    <s v="Smartphone"/>
    <n v="14"/>
    <n v="9.1"/>
    <s v="No"/>
    <s v="Yes"/>
    <s v="Yes"/>
    <n v="0"/>
  </r>
  <r>
    <s v="USR01759"/>
    <s v="APP059"/>
    <s v="CinemaHub"/>
    <x v="4"/>
    <x v="0"/>
    <s v="Male"/>
    <s v="United Kingdom"/>
    <s v="Smartphone"/>
    <n v="52"/>
    <n v="20.9"/>
    <s v="Yes"/>
    <s v="Yes"/>
    <s v="No"/>
    <n v="0"/>
  </r>
  <r>
    <s v="USR01760"/>
    <s v="APP060"/>
    <s v="ShowPro"/>
    <x v="4"/>
    <x v="1"/>
    <s v="Female"/>
    <s v="United States"/>
    <s v="Smartphone"/>
    <n v="28"/>
    <n v="35.200000000000003"/>
    <s v="Yes"/>
    <s v="Yes"/>
    <s v="No"/>
    <n v="0"/>
  </r>
  <r>
    <s v="USR01761"/>
    <s v="APP061"/>
    <s v="FoodPlus"/>
    <x v="5"/>
    <x v="1"/>
    <s v="Female"/>
    <s v="United States"/>
    <s v="Smartphone"/>
    <n v="72"/>
    <n v="4.5999999999999996"/>
    <s v="Yes"/>
    <s v="No"/>
    <s v="Yes"/>
    <n v="0"/>
  </r>
  <r>
    <s v="USR01762"/>
    <s v="APP062"/>
    <s v="BiteGo"/>
    <x v="5"/>
    <x v="0"/>
    <s v="Female"/>
    <s v="Singapore"/>
    <s v="Smartphone"/>
    <n v="11"/>
    <n v="5"/>
    <s v="No"/>
    <s v="Yes"/>
    <s v="Yes"/>
    <n v="0"/>
  </r>
  <r>
    <s v="USR01763"/>
    <s v="APP063"/>
    <s v="OrderCloud"/>
    <x v="5"/>
    <x v="1"/>
    <s v="Male"/>
    <s v="Canada"/>
    <s v="Smartphone"/>
    <n v="14"/>
    <n v="8.4"/>
    <s v="No"/>
    <s v="Yes"/>
    <s v="No"/>
    <n v="0"/>
  </r>
  <r>
    <s v="USR01764"/>
    <s v="APP064"/>
    <s v="DinePlus"/>
    <x v="5"/>
    <x v="2"/>
    <s v="Male"/>
    <s v="India"/>
    <s v="Smartphone"/>
    <n v="14"/>
    <n v="23.8"/>
    <s v="No"/>
    <s v="Yes"/>
    <s v="No"/>
    <n v="2.5499999999999998"/>
  </r>
  <r>
    <s v="USR01765"/>
    <s v="APP065"/>
    <s v="SnackX"/>
    <x v="5"/>
    <x v="0"/>
    <s v="Female"/>
    <s v="Australia"/>
    <s v="Smartphone"/>
    <n v="19"/>
    <n v="9.9"/>
    <s v="Yes"/>
    <s v="Yes"/>
    <s v="No"/>
    <n v="8.94"/>
  </r>
  <r>
    <s v="USR01766"/>
    <s v="APP066"/>
    <s v="FoodOne"/>
    <x v="5"/>
    <x v="0"/>
    <s v="Female"/>
    <s v="Singapore"/>
    <s v="Smartphone"/>
    <n v="73"/>
    <n v="9.1"/>
    <s v="Yes"/>
    <s v="Yes"/>
    <s v="No"/>
    <n v="0"/>
  </r>
  <r>
    <s v="USR01767"/>
    <s v="APP067"/>
    <s v="MealMate"/>
    <x v="5"/>
    <x v="0"/>
    <s v="Female"/>
    <s v="Singapore"/>
    <s v="Smartphone"/>
    <n v="62"/>
    <n v="22.3"/>
    <s v="Yes"/>
    <s v="Yes"/>
    <s v="No"/>
    <n v="0"/>
  </r>
  <r>
    <s v="USR01768"/>
    <s v="APP068"/>
    <s v="SnackHub"/>
    <x v="5"/>
    <x v="0"/>
    <s v="Female"/>
    <s v="Canada"/>
    <s v="Smartphone"/>
    <n v="3"/>
    <n v="12.1"/>
    <s v="No"/>
    <s v="No"/>
    <s v="Yes"/>
    <n v="0"/>
  </r>
  <r>
    <s v="USR01769"/>
    <s v="APP069"/>
    <s v="BiteCloud"/>
    <x v="5"/>
    <x v="0"/>
    <s v="Female"/>
    <s v="Germany"/>
    <s v="Smartphone"/>
    <n v="23"/>
    <n v="6.6"/>
    <s v="No"/>
    <s v="No"/>
    <s v="No"/>
    <n v="37.44"/>
  </r>
  <r>
    <s v="USR01770"/>
    <s v="APP070"/>
    <s v="PlatePlus"/>
    <x v="5"/>
    <x v="0"/>
    <s v="Male"/>
    <s v="UAE"/>
    <s v="Smartphone"/>
    <n v="77"/>
    <n v="11.1"/>
    <s v="Yes"/>
    <s v="Yes"/>
    <s v="No"/>
    <n v="0"/>
  </r>
  <r>
    <s v="USR01771"/>
    <s v="APP071"/>
    <s v="VoyageGo"/>
    <x v="6"/>
    <x v="0"/>
    <s v="Male"/>
    <s v="United Kingdom"/>
    <s v="Smartphone"/>
    <n v="10"/>
    <n v="10.3"/>
    <s v="No"/>
    <s v="Yes"/>
    <s v="No"/>
    <n v="0"/>
  </r>
  <r>
    <s v="USR01772"/>
    <s v="APP072"/>
    <s v="TripOne"/>
    <x v="6"/>
    <x v="2"/>
    <s v="Male"/>
    <s v="United Kingdom"/>
    <s v="Smartphone"/>
    <n v="3"/>
    <n v="4.2"/>
    <s v="No"/>
    <s v="Yes"/>
    <s v="No"/>
    <n v="47.32"/>
  </r>
  <r>
    <s v="USR01773"/>
    <s v="APP073"/>
    <s v="FlyGo"/>
    <x v="6"/>
    <x v="0"/>
    <s v="Male"/>
    <s v="Germany"/>
    <s v="Smartphone"/>
    <n v="26"/>
    <n v="15.6"/>
    <s v="No"/>
    <s v="No"/>
    <s v="No"/>
    <n v="0"/>
  </r>
  <r>
    <s v="USR01774"/>
    <s v="APP074"/>
    <s v="MapX"/>
    <x v="6"/>
    <x v="1"/>
    <s v="Male"/>
    <s v="UAE"/>
    <s v="Smartphone"/>
    <n v="24"/>
    <n v="3.8"/>
    <s v="No"/>
    <s v="Yes"/>
    <s v="No"/>
    <n v="0"/>
  </r>
  <r>
    <s v="USR01775"/>
    <s v="APP075"/>
    <s v="StayX"/>
    <x v="6"/>
    <x v="2"/>
    <s v="Female"/>
    <s v="United Kingdom"/>
    <s v="Smartphone"/>
    <n v="61"/>
    <n v="21.7"/>
    <s v="Yes"/>
    <s v="Yes"/>
    <s v="No"/>
    <n v="0"/>
  </r>
  <r>
    <s v="USR01776"/>
    <s v="APP076"/>
    <s v="GoNow"/>
    <x v="6"/>
    <x v="0"/>
    <s v="Female"/>
    <s v="United States"/>
    <s v="Smartphone"/>
    <n v="70"/>
    <n v="19.399999999999999"/>
    <s v="Yes"/>
    <s v="No"/>
    <s v="Yes"/>
    <n v="0"/>
  </r>
  <r>
    <s v="USR01777"/>
    <s v="APP077"/>
    <s v="RouteGo"/>
    <x v="6"/>
    <x v="0"/>
    <s v="Other"/>
    <s v="India"/>
    <s v="Smartphone"/>
    <n v="61"/>
    <n v="9.1"/>
    <s v="Yes"/>
    <s v="Yes"/>
    <s v="No"/>
    <n v="0"/>
  </r>
  <r>
    <s v="USR01778"/>
    <s v="APP078"/>
    <s v="TripGo"/>
    <x v="6"/>
    <x v="1"/>
    <s v="Male"/>
    <s v="Germany"/>
    <s v="Smartphone"/>
    <n v="1"/>
    <n v="23.6"/>
    <s v="No"/>
    <s v="No"/>
    <s v="No"/>
    <n v="97.24"/>
  </r>
  <r>
    <s v="USR01779"/>
    <s v="APP079"/>
    <s v="Flyly"/>
    <x v="6"/>
    <x v="0"/>
    <s v="Male"/>
    <s v="Singapore"/>
    <s v="Smartphone"/>
    <n v="28"/>
    <n v="19"/>
    <s v="No"/>
    <s v="No"/>
    <s v="Yes"/>
    <n v="0"/>
  </r>
  <r>
    <s v="USR01780"/>
    <s v="APP080"/>
    <s v="TripPro"/>
    <x v="6"/>
    <x v="1"/>
    <s v="Female"/>
    <s v="United States"/>
    <s v="Smartphone"/>
    <n v="14"/>
    <n v="5.9"/>
    <s v="No"/>
    <s v="No"/>
    <s v="Yes"/>
    <n v="0"/>
  </r>
  <r>
    <s v="USR01781"/>
    <s v="APP081"/>
    <s v="Focusly"/>
    <x v="7"/>
    <x v="1"/>
    <s v="Male"/>
    <s v="Singapore"/>
    <s v="Smartphone"/>
    <n v="46"/>
    <n v="4.4000000000000004"/>
    <s v="Yes"/>
    <s v="Yes"/>
    <s v="No"/>
    <n v="44.87"/>
  </r>
  <r>
    <s v="USR01782"/>
    <s v="APP082"/>
    <s v="DeskX"/>
    <x v="7"/>
    <x v="0"/>
    <s v="Male"/>
    <s v="Germany"/>
    <s v="Smartphone"/>
    <n v="5"/>
    <n v="8.1"/>
    <s v="No"/>
    <s v="Yes"/>
    <s v="No"/>
    <n v="0"/>
  </r>
  <r>
    <s v="USR01783"/>
    <s v="APP083"/>
    <s v="DonePro"/>
    <x v="7"/>
    <x v="0"/>
    <s v="Female"/>
    <s v="United Kingdom"/>
    <s v="Smartphone"/>
    <n v="15"/>
    <n v="18.5"/>
    <s v="No"/>
    <s v="No"/>
    <s v="Yes"/>
    <n v="27.18"/>
  </r>
  <r>
    <s v="USR01784"/>
    <s v="APP084"/>
    <s v="NotePlus"/>
    <x v="7"/>
    <x v="1"/>
    <s v="Male"/>
    <s v="Canada"/>
    <s v="Smartphone"/>
    <n v="83"/>
    <n v="16.899999999999999"/>
    <s v="Yes"/>
    <s v="Yes"/>
    <s v="No"/>
    <n v="47.85"/>
  </r>
  <r>
    <s v="USR01785"/>
    <s v="APP085"/>
    <s v="SyncPlus"/>
    <x v="7"/>
    <x v="0"/>
    <s v="Female"/>
    <s v="United States"/>
    <s v="Smartphone"/>
    <n v="28"/>
    <n v="17.8"/>
    <s v="No"/>
    <s v="No"/>
    <s v="No"/>
    <n v="63.46"/>
  </r>
  <r>
    <s v="USR01786"/>
    <s v="APP086"/>
    <s v="NoteOne"/>
    <x v="7"/>
    <x v="0"/>
    <s v="Male"/>
    <s v="UAE"/>
    <s v="Tablet"/>
    <n v="54"/>
    <n v="7"/>
    <s v="Yes"/>
    <s v="Yes"/>
    <s v="No"/>
    <n v="0"/>
  </r>
  <r>
    <s v="USR01787"/>
    <s v="APP087"/>
    <s v="NoteMate"/>
    <x v="7"/>
    <x v="0"/>
    <s v="Female"/>
    <s v="United States"/>
    <s v="Smartphone"/>
    <n v="25"/>
    <n v="12.1"/>
    <s v="No"/>
    <s v="Yes"/>
    <s v="No"/>
    <n v="0"/>
  </r>
  <r>
    <s v="USR01788"/>
    <s v="APP088"/>
    <s v="PlanPlus"/>
    <x v="7"/>
    <x v="4"/>
    <s v="Female"/>
    <s v="India"/>
    <s v="Smartphone"/>
    <n v="69"/>
    <n v="23.2"/>
    <s v="Yes"/>
    <s v="Yes"/>
    <s v="No"/>
    <n v="0"/>
  </r>
  <r>
    <s v="USR01789"/>
    <s v="APP089"/>
    <s v="PlanMate"/>
    <x v="7"/>
    <x v="2"/>
    <s v="Male"/>
    <s v="Germany"/>
    <s v="Tablet"/>
    <n v="12"/>
    <n v="22.9"/>
    <s v="No"/>
    <s v="Yes"/>
    <s v="No"/>
    <n v="0"/>
  </r>
  <r>
    <s v="USR01790"/>
    <s v="APP090"/>
    <s v="SyncPlus"/>
    <x v="7"/>
    <x v="1"/>
    <s v="Male"/>
    <s v="India"/>
    <s v="Smartphone"/>
    <n v="22"/>
    <n v="13.3"/>
    <s v="No"/>
    <s v="Yes"/>
    <s v="No"/>
    <n v="0"/>
  </r>
  <r>
    <s v="USR01791"/>
    <s v="APP091"/>
    <s v="ClinicPro"/>
    <x v="8"/>
    <x v="4"/>
    <s v="Female"/>
    <s v="United States"/>
    <s v="Smartphone"/>
    <n v="3"/>
    <n v="15"/>
    <s v="No"/>
    <s v="Yes"/>
    <s v="No"/>
    <n v="47.83"/>
  </r>
  <r>
    <s v="USR01792"/>
    <s v="APP092"/>
    <s v="MindMate"/>
    <x v="8"/>
    <x v="2"/>
    <s v="Other"/>
    <s v="United States"/>
    <s v="Smartphone"/>
    <n v="16"/>
    <n v="14.9"/>
    <s v="No"/>
    <s v="No"/>
    <s v="Yes"/>
    <n v="20.329999999999998"/>
  </r>
  <r>
    <s v="USR01793"/>
    <s v="APP093"/>
    <s v="ClinicOne"/>
    <x v="8"/>
    <x v="4"/>
    <s v="Other"/>
    <s v="India"/>
    <s v="Smartphone"/>
    <n v="5"/>
    <n v="8.3000000000000007"/>
    <s v="No"/>
    <s v="Yes"/>
    <s v="No"/>
    <n v="0"/>
  </r>
  <r>
    <s v="USR01794"/>
    <s v="APP094"/>
    <s v="WellMate"/>
    <x v="8"/>
    <x v="2"/>
    <s v="Male"/>
    <s v="Germany"/>
    <s v="Smartphone"/>
    <n v="18"/>
    <n v="7.5"/>
    <s v="No"/>
    <s v="No"/>
    <s v="Yes"/>
    <n v="0"/>
  </r>
  <r>
    <s v="USR01795"/>
    <s v="APP095"/>
    <s v="MediMate"/>
    <x v="8"/>
    <x v="0"/>
    <s v="Prefer not to say"/>
    <s v="Canada"/>
    <s v="Smartphone"/>
    <n v="20"/>
    <n v="19.600000000000001"/>
    <s v="No"/>
    <s v="No"/>
    <s v="No"/>
    <n v="0"/>
  </r>
  <r>
    <s v="USR01796"/>
    <s v="APP096"/>
    <s v="WellNow"/>
    <x v="8"/>
    <x v="2"/>
    <s v="Male"/>
    <s v="Australia"/>
    <s v="Smartphone"/>
    <n v="16"/>
    <n v="9.1999999999999993"/>
    <s v="No"/>
    <s v="No"/>
    <s v="No"/>
    <n v="0"/>
  </r>
  <r>
    <s v="USR01797"/>
    <s v="APP097"/>
    <s v="CareCloud"/>
    <x v="8"/>
    <x v="1"/>
    <s v="Prefer not to say"/>
    <s v="Singapore"/>
    <s v="Smartphone"/>
    <n v="1"/>
    <n v="3.3"/>
    <s v="No"/>
    <s v="Yes"/>
    <s v="No"/>
    <n v="0"/>
  </r>
  <r>
    <s v="USR01798"/>
    <s v="APP098"/>
    <s v="MediNow"/>
    <x v="8"/>
    <x v="1"/>
    <s v="Male"/>
    <s v="India"/>
    <s v="Smartphone"/>
    <n v="27"/>
    <n v="20.5"/>
    <s v="No"/>
    <s v="No"/>
    <s v="No"/>
    <n v="0"/>
  </r>
  <r>
    <s v="USR01799"/>
    <s v="APP099"/>
    <s v="MindPlus"/>
    <x v="8"/>
    <x v="1"/>
    <s v="Male"/>
    <s v="Germany"/>
    <s v="Smartphone"/>
    <n v="31"/>
    <n v="12.2"/>
    <s v="Yes"/>
    <s v="Yes"/>
    <s v="No"/>
    <n v="0"/>
  </r>
  <r>
    <s v="USR01800"/>
    <s v="APP100"/>
    <s v="MediCloud"/>
    <x v="8"/>
    <x v="1"/>
    <s v="Other"/>
    <s v="Australia"/>
    <s v="Smartphone"/>
    <n v="87"/>
    <n v="11.9"/>
    <s v="Yes"/>
    <s v="Yes"/>
    <s v="No"/>
    <n v="0"/>
  </r>
  <r>
    <s v="USR01801"/>
    <s v="APP001"/>
    <s v="InvestPro"/>
    <x v="0"/>
    <x v="0"/>
    <s v="Female"/>
    <s v="United Kingdom"/>
    <s v="Smartphone"/>
    <n v="10"/>
    <n v="5.8"/>
    <s v="No"/>
    <s v="Yes"/>
    <s v="No"/>
    <n v="0"/>
  </r>
  <r>
    <s v="USR01802"/>
    <s v="APP002"/>
    <s v="BankPro"/>
    <x v="0"/>
    <x v="0"/>
    <s v="Other"/>
    <s v="United States"/>
    <s v="Smartphone"/>
    <n v="31"/>
    <n v="9"/>
    <s v="Yes"/>
    <s v="Yes"/>
    <s v="No"/>
    <n v="0"/>
  </r>
  <r>
    <s v="USR01803"/>
    <s v="APP003"/>
    <s v="BankX"/>
    <x v="0"/>
    <x v="0"/>
    <s v="Male"/>
    <s v="Germany"/>
    <s v="Tablet"/>
    <n v="25"/>
    <n v="3.8"/>
    <s v="No"/>
    <s v="No"/>
    <s v="Yes"/>
    <n v="0"/>
  </r>
  <r>
    <s v="USR01804"/>
    <s v="APP004"/>
    <s v="BankNow"/>
    <x v="0"/>
    <x v="4"/>
    <s v="Female"/>
    <s v="Canada"/>
    <s v="Smartphone"/>
    <n v="10"/>
    <n v="13.8"/>
    <s v="No"/>
    <s v="No"/>
    <s v="Yes"/>
    <n v="0"/>
  </r>
  <r>
    <s v="USR01805"/>
    <s v="APP005"/>
    <s v="CreditHub"/>
    <x v="0"/>
    <x v="4"/>
    <s v="Female"/>
    <s v="United Kingdom"/>
    <s v="Smartphone"/>
    <n v="27"/>
    <n v="17.399999999999999"/>
    <s v="No"/>
    <s v="No"/>
    <s v="Yes"/>
    <n v="18.71"/>
  </r>
  <r>
    <s v="USR01806"/>
    <s v="APP006"/>
    <s v="PayPlus"/>
    <x v="0"/>
    <x v="0"/>
    <s v="Female"/>
    <s v="United Kingdom"/>
    <s v="Tablet"/>
    <n v="20"/>
    <n v="6.7"/>
    <s v="Yes"/>
    <s v="No"/>
    <s v="No"/>
    <n v="0"/>
  </r>
  <r>
    <s v="USR01807"/>
    <s v="APP007"/>
    <s v="BankPlus"/>
    <x v="0"/>
    <x v="2"/>
    <s v="Female"/>
    <s v="United Kingdom"/>
    <s v="Tablet"/>
    <n v="31"/>
    <n v="10.3"/>
    <s v="Yes"/>
    <s v="No"/>
    <s v="No"/>
    <n v="47.26"/>
  </r>
  <r>
    <s v="USR01808"/>
    <s v="APP008"/>
    <s v="CoinPlus"/>
    <x v="0"/>
    <x v="2"/>
    <s v="Male"/>
    <s v="United States"/>
    <s v="Smartphone"/>
    <n v="33"/>
    <n v="5.5"/>
    <s v="Yes"/>
    <s v="Yes"/>
    <s v="No"/>
    <n v="0"/>
  </r>
  <r>
    <s v="USR01809"/>
    <s v="APP009"/>
    <s v="CreditOne"/>
    <x v="0"/>
    <x v="0"/>
    <s v="Male"/>
    <s v="United Kingdom"/>
    <s v="Smartphone"/>
    <n v="18"/>
    <n v="16.3"/>
    <s v="No"/>
    <s v="Yes"/>
    <s v="No"/>
    <n v="0"/>
  </r>
  <r>
    <s v="USR01810"/>
    <s v="APP010"/>
    <s v="PayPro"/>
    <x v="0"/>
    <x v="0"/>
    <s v="Male"/>
    <s v="Australia"/>
    <s v="Smartphone"/>
    <n v="23"/>
    <n v="22.3"/>
    <s v="No"/>
    <s v="No"/>
    <s v="No"/>
    <n v="0"/>
  </r>
  <r>
    <s v="USR01811"/>
    <s v="APP011"/>
    <s v="Creditly"/>
    <x v="0"/>
    <x v="3"/>
    <s v="Male"/>
    <s v="Canada"/>
    <s v="Smartphone"/>
    <n v="53"/>
    <n v="20.6"/>
    <s v="Yes"/>
    <s v="No"/>
    <s v="No"/>
    <n v="0"/>
  </r>
  <r>
    <s v="USR01812"/>
    <s v="APP012"/>
    <s v="PayX"/>
    <x v="0"/>
    <x v="2"/>
    <s v="Male"/>
    <s v="United States"/>
    <s v="Smartphone"/>
    <n v="22"/>
    <n v="21.7"/>
    <s v="Yes"/>
    <s v="Yes"/>
    <s v="No"/>
    <n v="0"/>
  </r>
  <r>
    <s v="USR01813"/>
    <s v="APP013"/>
    <s v="DealGo"/>
    <x v="1"/>
    <x v="0"/>
    <s v="Other"/>
    <s v="UAE"/>
    <s v="Tablet"/>
    <n v="8"/>
    <n v="12.5"/>
    <s v="No"/>
    <s v="No"/>
    <s v="Yes"/>
    <n v="0"/>
  </r>
  <r>
    <s v="USR01814"/>
    <s v="APP014"/>
    <s v="MallNow"/>
    <x v="1"/>
    <x v="2"/>
    <s v="Male"/>
    <s v="United States"/>
    <s v="Smartphone"/>
    <n v="45"/>
    <n v="23.6"/>
    <s v="Yes"/>
    <s v="No"/>
    <s v="No"/>
    <n v="41.72"/>
  </r>
  <r>
    <s v="USR01815"/>
    <s v="APP015"/>
    <s v="DealPro"/>
    <x v="1"/>
    <x v="1"/>
    <s v="Female"/>
    <s v="UAE"/>
    <s v="Smartphone"/>
    <n v="19"/>
    <n v="11.9"/>
    <s v="No"/>
    <s v="Yes"/>
    <s v="No"/>
    <n v="0"/>
  </r>
  <r>
    <s v="USR01816"/>
    <s v="APP016"/>
    <s v="StyleNow"/>
    <x v="1"/>
    <x v="2"/>
    <s v="Female"/>
    <s v="United Kingdom"/>
    <s v="Smartphone"/>
    <n v="19"/>
    <n v="6.8"/>
    <s v="No"/>
    <s v="Yes"/>
    <s v="No"/>
    <n v="0"/>
  </r>
  <r>
    <s v="USR01817"/>
    <s v="APP017"/>
    <s v="DealCloud"/>
    <x v="1"/>
    <x v="4"/>
    <s v="Male"/>
    <s v="United States"/>
    <s v="Smartphone"/>
    <n v="38"/>
    <n v="11.6"/>
    <s v="Yes"/>
    <s v="Yes"/>
    <s v="No"/>
    <n v="0"/>
  </r>
  <r>
    <s v="USR01818"/>
    <s v="APP018"/>
    <s v="CartCloud"/>
    <x v="1"/>
    <x v="1"/>
    <s v="Other"/>
    <s v="UAE"/>
    <s v="Tablet"/>
    <n v="85"/>
    <n v="18.600000000000001"/>
    <s v="Yes"/>
    <s v="No"/>
    <s v="No"/>
    <n v="0"/>
  </r>
  <r>
    <s v="USR01819"/>
    <s v="APP019"/>
    <s v="CartMate"/>
    <x v="1"/>
    <x v="2"/>
    <s v="Female"/>
    <s v="Germany"/>
    <s v="Smartphone"/>
    <n v="26"/>
    <n v="23.9"/>
    <s v="No"/>
    <s v="No"/>
    <s v="No"/>
    <n v="26.35"/>
  </r>
  <r>
    <s v="USR01820"/>
    <s v="APP020"/>
    <s v="BazaarOne"/>
    <x v="1"/>
    <x v="0"/>
    <s v="Male"/>
    <s v="India"/>
    <s v="Smartphone"/>
    <n v="18"/>
    <n v="3.7"/>
    <s v="No"/>
    <s v="No"/>
    <s v="No"/>
    <n v="0"/>
  </r>
  <r>
    <s v="USR01821"/>
    <s v="APP021"/>
    <s v="StyleOne"/>
    <x v="1"/>
    <x v="2"/>
    <s v="Female"/>
    <s v="UAE"/>
    <s v="Tablet"/>
    <n v="15"/>
    <n v="9.1999999999999993"/>
    <s v="No"/>
    <s v="No"/>
    <s v="Yes"/>
    <n v="0"/>
  </r>
  <r>
    <s v="USR01822"/>
    <s v="APP022"/>
    <s v="Cartly"/>
    <x v="1"/>
    <x v="4"/>
    <s v="Male"/>
    <s v="United States"/>
    <s v="Smartphone"/>
    <n v="16"/>
    <n v="4.0999999999999996"/>
    <s v="Yes"/>
    <s v="Yes"/>
    <s v="No"/>
    <n v="50.13"/>
  </r>
  <r>
    <s v="USR01823"/>
    <s v="APP023"/>
    <s v="BazaarCloud"/>
    <x v="1"/>
    <x v="2"/>
    <s v="Male"/>
    <s v="Australia"/>
    <s v="Smartphone"/>
    <n v="17"/>
    <n v="15.5"/>
    <s v="No"/>
    <s v="No"/>
    <s v="No"/>
    <n v="7.53"/>
  </r>
  <r>
    <s v="USR01824"/>
    <s v="APP024"/>
    <s v="CartPro"/>
    <x v="1"/>
    <x v="0"/>
    <s v="Female"/>
    <s v="United States"/>
    <s v="Smartphone"/>
    <n v="80"/>
    <n v="6.3"/>
    <s v="Yes"/>
    <s v="Yes"/>
    <s v="No"/>
    <n v="0"/>
  </r>
  <r>
    <s v="USR01825"/>
    <s v="APP025"/>
    <s v="RunPlus"/>
    <x v="2"/>
    <x v="2"/>
    <s v="Female"/>
    <s v="Australia"/>
    <s v="Smartphone"/>
    <n v="10"/>
    <n v="40.299999999999997"/>
    <s v="No"/>
    <s v="Yes"/>
    <s v="No"/>
    <n v="0"/>
  </r>
  <r>
    <s v="USR01826"/>
    <s v="APP026"/>
    <s v="TrainCloud"/>
    <x v="2"/>
    <x v="1"/>
    <s v="Male"/>
    <s v="Canada"/>
    <s v="Smartphone"/>
    <n v="21"/>
    <n v="11.2"/>
    <s v="No"/>
    <s v="Yes"/>
    <s v="No"/>
    <n v="0"/>
  </r>
  <r>
    <s v="USR01827"/>
    <s v="APP027"/>
    <s v="Trainly"/>
    <x v="2"/>
    <x v="0"/>
    <s v="Female"/>
    <s v="Canada"/>
    <s v="Tablet"/>
    <n v="67"/>
    <n v="11"/>
    <s v="Yes"/>
    <s v="Yes"/>
    <s v="No"/>
    <n v="21.51"/>
  </r>
  <r>
    <s v="USR01828"/>
    <s v="APP028"/>
    <s v="LiftCloud"/>
    <x v="2"/>
    <x v="0"/>
    <s v="Male"/>
    <s v="Germany"/>
    <s v="Smartphone"/>
    <n v="66"/>
    <n v="31.1"/>
    <s v="Yes"/>
    <s v="Yes"/>
    <s v="No"/>
    <n v="0"/>
  </r>
  <r>
    <s v="USR01829"/>
    <s v="APP029"/>
    <s v="MoveNow"/>
    <x v="2"/>
    <x v="2"/>
    <s v="Female"/>
    <s v="UAE"/>
    <s v="Smartphone"/>
    <n v="3"/>
    <n v="12.3"/>
    <s v="No"/>
    <s v="No"/>
    <s v="Yes"/>
    <n v="0"/>
  </r>
  <r>
    <s v="USR01830"/>
    <s v="APP030"/>
    <s v="ActiveMate"/>
    <x v="2"/>
    <x v="2"/>
    <s v="Male"/>
    <s v="United States"/>
    <s v="Tablet"/>
    <n v="29"/>
    <n v="11.2"/>
    <s v="Yes"/>
    <s v="No"/>
    <s v="No"/>
    <n v="0"/>
  </r>
  <r>
    <s v="USR01831"/>
    <s v="APP031"/>
    <s v="RunGo"/>
    <x v="2"/>
    <x v="2"/>
    <s v="Female"/>
    <s v="United States"/>
    <s v="Smartphone"/>
    <n v="69"/>
    <n v="37.299999999999997"/>
    <s v="Yes"/>
    <s v="Yes"/>
    <s v="No"/>
    <n v="0"/>
  </r>
  <r>
    <s v="USR01832"/>
    <s v="APP032"/>
    <s v="LiftPro"/>
    <x v="2"/>
    <x v="4"/>
    <s v="Female"/>
    <s v="Canada"/>
    <s v="Smartphone"/>
    <n v="14"/>
    <n v="32.799999999999997"/>
    <s v="No"/>
    <s v="Yes"/>
    <s v="No"/>
    <n v="41.75"/>
  </r>
  <r>
    <s v="USR01833"/>
    <s v="APP033"/>
    <s v="LiftPro"/>
    <x v="2"/>
    <x v="0"/>
    <s v="Male"/>
    <s v="Germany"/>
    <s v="Tablet"/>
    <n v="28"/>
    <n v="16.600000000000001"/>
    <s v="No"/>
    <s v="Yes"/>
    <s v="No"/>
    <n v="0"/>
  </r>
  <r>
    <s v="USR01834"/>
    <s v="APP034"/>
    <s v="Liftly"/>
    <x v="2"/>
    <x v="2"/>
    <s v="Female"/>
    <s v="Australia"/>
    <s v="Smartphone"/>
    <n v="72"/>
    <n v="32.4"/>
    <s v="Yes"/>
    <s v="No"/>
    <s v="No"/>
    <n v="0"/>
  </r>
  <r>
    <s v="USR01835"/>
    <s v="APP035"/>
    <s v="YogaHub"/>
    <x v="2"/>
    <x v="0"/>
    <s v="Female"/>
    <s v="Germany"/>
    <s v="Smartphone"/>
    <n v="33"/>
    <n v="13.8"/>
    <s v="Yes"/>
    <s v="Yes"/>
    <s v="No"/>
    <n v="43.95"/>
  </r>
  <r>
    <s v="USR01836"/>
    <s v="APP036"/>
    <s v="MoveGo"/>
    <x v="2"/>
    <x v="0"/>
    <s v="Prefer not to say"/>
    <s v="India"/>
    <s v="Smartphone"/>
    <n v="23"/>
    <n v="26.9"/>
    <s v="No"/>
    <s v="No"/>
    <s v="No"/>
    <n v="0"/>
  </r>
  <r>
    <s v="USR01837"/>
    <s v="APP037"/>
    <s v="BrightNow"/>
    <x v="3"/>
    <x v="0"/>
    <s v="Male"/>
    <s v="Singapore"/>
    <s v="Smartphone"/>
    <n v="41"/>
    <n v="20.399999999999999"/>
    <s v="Yes"/>
    <s v="Yes"/>
    <s v="No"/>
    <n v="0"/>
  </r>
  <r>
    <s v="USR01838"/>
    <s v="APP038"/>
    <s v="StudyCloud"/>
    <x v="3"/>
    <x v="4"/>
    <s v="Male"/>
    <s v="Singapore"/>
    <s v="Smartphone"/>
    <n v="8"/>
    <n v="35.6"/>
    <s v="No"/>
    <s v="Yes"/>
    <s v="No"/>
    <n v="0"/>
  </r>
  <r>
    <s v="USR01839"/>
    <s v="APP039"/>
    <s v="SkillNow"/>
    <x v="3"/>
    <x v="0"/>
    <s v="Female"/>
    <s v="Canada"/>
    <s v="Tablet"/>
    <n v="17"/>
    <n v="21.1"/>
    <s v="Yes"/>
    <s v="No"/>
    <s v="No"/>
    <n v="6.38"/>
  </r>
  <r>
    <s v="USR01840"/>
    <s v="APP040"/>
    <s v="LearnMate"/>
    <x v="3"/>
    <x v="2"/>
    <s v="Prefer not to say"/>
    <s v="United States"/>
    <s v="Smartphone"/>
    <n v="2"/>
    <n v="11.1"/>
    <s v="No"/>
    <s v="No"/>
    <s v="No"/>
    <n v="8.76"/>
  </r>
  <r>
    <s v="USR01841"/>
    <s v="APP041"/>
    <s v="QuestNow"/>
    <x v="3"/>
    <x v="1"/>
    <s v="Female"/>
    <s v="Singapore"/>
    <s v="Tablet"/>
    <n v="11"/>
    <n v="23"/>
    <s v="No"/>
    <s v="Yes"/>
    <s v="No"/>
    <n v="0"/>
  </r>
  <r>
    <s v="USR01842"/>
    <s v="APP042"/>
    <s v="SkillHub"/>
    <x v="3"/>
    <x v="1"/>
    <s v="Male"/>
    <s v="India"/>
    <s v="Smartphone"/>
    <n v="11"/>
    <n v="9.8000000000000007"/>
    <s v="No"/>
    <s v="Yes"/>
    <s v="Yes"/>
    <n v="0"/>
  </r>
  <r>
    <s v="USR01843"/>
    <s v="APP043"/>
    <s v="TutorCloud"/>
    <x v="3"/>
    <x v="1"/>
    <s v="Male"/>
    <s v="United Kingdom"/>
    <s v="Smartphone"/>
    <n v="2"/>
    <n v="9.1999999999999993"/>
    <s v="No"/>
    <s v="No"/>
    <s v="Yes"/>
    <n v="4.1500000000000004"/>
  </r>
  <r>
    <s v="USR01844"/>
    <s v="APP044"/>
    <s v="SkillOne"/>
    <x v="3"/>
    <x v="0"/>
    <s v="Female"/>
    <s v="Singapore"/>
    <s v="Smartphone"/>
    <n v="92"/>
    <n v="11.3"/>
    <s v="Yes"/>
    <s v="Yes"/>
    <s v="No"/>
    <n v="0"/>
  </r>
  <r>
    <s v="USR01845"/>
    <s v="APP045"/>
    <s v="LearnOne"/>
    <x v="3"/>
    <x v="2"/>
    <s v="Male"/>
    <s v="United States"/>
    <s v="Smartphone"/>
    <n v="21"/>
    <n v="28.9"/>
    <s v="No"/>
    <s v="No"/>
    <s v="No"/>
    <n v="0"/>
  </r>
  <r>
    <s v="USR01846"/>
    <s v="APP046"/>
    <s v="LearnPlus"/>
    <x v="3"/>
    <x v="0"/>
    <s v="Female"/>
    <s v="Australia"/>
    <s v="Smartphone"/>
    <n v="22"/>
    <n v="35.1"/>
    <s v="No"/>
    <s v="No"/>
    <s v="No"/>
    <n v="0"/>
  </r>
  <r>
    <s v="USR01847"/>
    <s v="APP047"/>
    <s v="StudyPlus"/>
    <x v="3"/>
    <x v="2"/>
    <s v="Prefer not to say"/>
    <s v="Canada"/>
    <s v="Smartphone"/>
    <n v="27"/>
    <n v="20.6"/>
    <s v="No"/>
    <s v="No"/>
    <s v="Yes"/>
    <n v="0"/>
  </r>
  <r>
    <s v="USR01848"/>
    <s v="APP048"/>
    <s v="StudyX"/>
    <x v="3"/>
    <x v="2"/>
    <s v="Female"/>
    <s v="United States"/>
    <s v="Smartphone"/>
    <n v="26"/>
    <n v="33.799999999999997"/>
    <s v="No"/>
    <s v="No"/>
    <s v="Yes"/>
    <n v="0"/>
  </r>
  <r>
    <s v="USR01849"/>
    <s v="APP049"/>
    <s v="PlayPlus"/>
    <x v="4"/>
    <x v="4"/>
    <s v="Female"/>
    <s v="Germany"/>
    <s v="Smartphone"/>
    <n v="18"/>
    <n v="25.8"/>
    <s v="No"/>
    <s v="No"/>
    <s v="Yes"/>
    <n v="0"/>
  </r>
  <r>
    <s v="USR01850"/>
    <s v="APP050"/>
    <s v="ShowMate"/>
    <x v="4"/>
    <x v="1"/>
    <s v="Female"/>
    <s v="United Kingdom"/>
    <s v="Smartphone"/>
    <n v="16"/>
    <n v="35.6"/>
    <s v="No"/>
    <s v="No"/>
    <s v="Yes"/>
    <n v="0"/>
  </r>
  <r>
    <s v="USR01851"/>
    <s v="APP051"/>
    <s v="VibeX"/>
    <x v="4"/>
    <x v="4"/>
    <s v="Male"/>
    <s v="UAE"/>
    <s v="Smartphone"/>
    <n v="22"/>
    <n v="35.200000000000003"/>
    <s v="No"/>
    <s v="No"/>
    <s v="No"/>
    <n v="0"/>
  </r>
  <r>
    <s v="USR01852"/>
    <s v="APP052"/>
    <s v="BuzzNow"/>
    <x v="4"/>
    <x v="1"/>
    <s v="Male"/>
    <s v="Australia"/>
    <s v="Smartphone"/>
    <n v="27"/>
    <n v="22.2"/>
    <s v="Yes"/>
    <s v="No"/>
    <s v="Yes"/>
    <n v="0"/>
  </r>
  <r>
    <s v="USR01853"/>
    <s v="APP053"/>
    <s v="StreamPlus"/>
    <x v="4"/>
    <x v="2"/>
    <s v="Female"/>
    <s v="Germany"/>
    <s v="Smartphone"/>
    <n v="11"/>
    <n v="32.799999999999997"/>
    <s v="No"/>
    <s v="Yes"/>
    <s v="No"/>
    <n v="12.96"/>
  </r>
  <r>
    <s v="USR01854"/>
    <s v="APP054"/>
    <s v="Showly"/>
    <x v="4"/>
    <x v="1"/>
    <s v="Male"/>
    <s v="United States"/>
    <s v="Smartphone"/>
    <n v="15"/>
    <n v="38.200000000000003"/>
    <s v="No"/>
    <s v="No"/>
    <s v="Yes"/>
    <n v="0"/>
  </r>
  <r>
    <s v="USR01855"/>
    <s v="APP055"/>
    <s v="BuzzOne"/>
    <x v="4"/>
    <x v="2"/>
    <s v="Male"/>
    <s v="United States"/>
    <s v="Smartphone"/>
    <n v="33"/>
    <n v="11.9"/>
    <s v="Yes"/>
    <s v="Yes"/>
    <s v="No"/>
    <n v="22.57"/>
  </r>
  <r>
    <s v="USR01856"/>
    <s v="APP056"/>
    <s v="PlayHub"/>
    <x v="4"/>
    <x v="0"/>
    <s v="Female"/>
    <s v="Germany"/>
    <s v="Smartphone"/>
    <n v="21"/>
    <n v="10.1"/>
    <s v="No"/>
    <s v="Yes"/>
    <s v="No"/>
    <n v="47.05"/>
  </r>
  <r>
    <s v="USR01857"/>
    <s v="APP057"/>
    <s v="CinemaGo"/>
    <x v="4"/>
    <x v="2"/>
    <s v="Male"/>
    <s v="Singapore"/>
    <s v="Tablet"/>
    <n v="21"/>
    <n v="9.6999999999999993"/>
    <s v="No"/>
    <s v="Yes"/>
    <s v="No"/>
    <n v="0"/>
  </r>
  <r>
    <s v="USR01858"/>
    <s v="APP058"/>
    <s v="LaughX"/>
    <x v="4"/>
    <x v="0"/>
    <s v="Male"/>
    <s v="United Kingdom"/>
    <s v="Smartphone"/>
    <n v="71"/>
    <n v="30.5"/>
    <s v="Yes"/>
    <s v="Yes"/>
    <s v="Yes"/>
    <n v="0"/>
  </r>
  <r>
    <s v="USR01859"/>
    <s v="APP059"/>
    <s v="CinemaHub"/>
    <x v="4"/>
    <x v="0"/>
    <s v="Male"/>
    <s v="Singapore"/>
    <s v="Smartphone"/>
    <n v="5"/>
    <n v="37.5"/>
    <s v="No"/>
    <s v="No"/>
    <s v="No"/>
    <n v="0"/>
  </r>
  <r>
    <s v="USR01860"/>
    <s v="APP060"/>
    <s v="ShowPro"/>
    <x v="4"/>
    <x v="2"/>
    <s v="Prefer not to say"/>
    <s v="India"/>
    <s v="Smartphone"/>
    <n v="4"/>
    <n v="41.2"/>
    <s v="No"/>
    <s v="Yes"/>
    <s v="No"/>
    <n v="0"/>
  </r>
  <r>
    <s v="USR01861"/>
    <s v="APP061"/>
    <s v="FoodPlus"/>
    <x v="5"/>
    <x v="1"/>
    <s v="Male"/>
    <s v="Canada"/>
    <s v="Smartphone"/>
    <n v="22"/>
    <n v="5.3"/>
    <s v="No"/>
    <s v="No"/>
    <s v="No"/>
    <n v="0"/>
  </r>
  <r>
    <s v="USR01862"/>
    <s v="APP062"/>
    <s v="BiteGo"/>
    <x v="5"/>
    <x v="0"/>
    <s v="Female"/>
    <s v="Germany"/>
    <s v="Tablet"/>
    <n v="19"/>
    <n v="16.7"/>
    <s v="No"/>
    <s v="Yes"/>
    <s v="No"/>
    <n v="0"/>
  </r>
  <r>
    <s v="USR01863"/>
    <s v="APP063"/>
    <s v="OrderCloud"/>
    <x v="5"/>
    <x v="1"/>
    <s v="Male"/>
    <s v="UAE"/>
    <s v="Smartphone"/>
    <n v="15"/>
    <n v="10.3"/>
    <s v="No"/>
    <s v="No"/>
    <s v="No"/>
    <n v="43.5"/>
  </r>
  <r>
    <s v="USR01864"/>
    <s v="APP064"/>
    <s v="DinePlus"/>
    <x v="5"/>
    <x v="0"/>
    <s v="Male"/>
    <s v="Canada"/>
    <s v="Smartphone"/>
    <n v="26"/>
    <n v="14.9"/>
    <s v="No"/>
    <s v="Yes"/>
    <s v="No"/>
    <n v="0"/>
  </r>
  <r>
    <s v="USR01865"/>
    <s v="APP065"/>
    <s v="SnackX"/>
    <x v="5"/>
    <x v="0"/>
    <s v="Male"/>
    <s v="Australia"/>
    <s v="Smartphone"/>
    <n v="21"/>
    <n v="17.7"/>
    <s v="No"/>
    <s v="No"/>
    <s v="No"/>
    <n v="0"/>
  </r>
  <r>
    <s v="USR01866"/>
    <s v="APP066"/>
    <s v="FoodOne"/>
    <x v="5"/>
    <x v="0"/>
    <s v="Male"/>
    <s v="Germany"/>
    <s v="Smartphone"/>
    <n v="60"/>
    <n v="4.7"/>
    <s v="Yes"/>
    <s v="Yes"/>
    <s v="No"/>
    <n v="0"/>
  </r>
  <r>
    <s v="USR01867"/>
    <s v="APP067"/>
    <s v="MealMate"/>
    <x v="5"/>
    <x v="1"/>
    <s v="Female"/>
    <s v="Germany"/>
    <s v="Smartphone"/>
    <n v="11"/>
    <n v="13.3"/>
    <s v="No"/>
    <s v="Yes"/>
    <s v="No"/>
    <n v="0"/>
  </r>
  <r>
    <s v="USR01868"/>
    <s v="APP068"/>
    <s v="SnackHub"/>
    <x v="5"/>
    <x v="0"/>
    <s v="Female"/>
    <s v="Canada"/>
    <s v="Smartphone"/>
    <n v="84"/>
    <n v="13.7"/>
    <s v="Yes"/>
    <s v="No"/>
    <s v="Yes"/>
    <n v="0"/>
  </r>
  <r>
    <s v="USR01869"/>
    <s v="APP069"/>
    <s v="BiteCloud"/>
    <x v="5"/>
    <x v="1"/>
    <s v="Female"/>
    <s v="Singapore"/>
    <s v="Smartphone"/>
    <n v="23"/>
    <n v="19.899999999999999"/>
    <s v="Yes"/>
    <s v="Yes"/>
    <s v="No"/>
    <n v="0"/>
  </r>
  <r>
    <s v="USR01870"/>
    <s v="APP070"/>
    <s v="PlatePlus"/>
    <x v="5"/>
    <x v="2"/>
    <s v="Male"/>
    <s v="United Kingdom"/>
    <s v="Tablet"/>
    <n v="12"/>
    <n v="18.899999999999999"/>
    <s v="No"/>
    <s v="Yes"/>
    <s v="No"/>
    <n v="0"/>
  </r>
  <r>
    <s v="USR01871"/>
    <s v="APP071"/>
    <s v="VoyageGo"/>
    <x v="6"/>
    <x v="1"/>
    <s v="Male"/>
    <s v="Australia"/>
    <s v="Smartphone"/>
    <n v="21"/>
    <n v="4.2"/>
    <s v="No"/>
    <s v="Yes"/>
    <s v="No"/>
    <n v="0"/>
  </r>
  <r>
    <s v="USR01872"/>
    <s v="APP072"/>
    <s v="TripOne"/>
    <x v="6"/>
    <x v="3"/>
    <s v="Male"/>
    <s v="Canada"/>
    <s v="Smartphone"/>
    <n v="9"/>
    <n v="14.4"/>
    <s v="No"/>
    <s v="Yes"/>
    <s v="No"/>
    <n v="46.06"/>
  </r>
  <r>
    <s v="USR01873"/>
    <s v="APP073"/>
    <s v="FlyGo"/>
    <x v="6"/>
    <x v="0"/>
    <s v="Male"/>
    <s v="Canada"/>
    <s v="Smartphone"/>
    <n v="26"/>
    <n v="7.1"/>
    <s v="No"/>
    <s v="Yes"/>
    <s v="No"/>
    <n v="0"/>
  </r>
  <r>
    <s v="USR01874"/>
    <s v="APP074"/>
    <s v="MapX"/>
    <x v="6"/>
    <x v="2"/>
    <s v="Female"/>
    <s v="UAE"/>
    <s v="Smartphone"/>
    <n v="12"/>
    <n v="13.2"/>
    <s v="No"/>
    <s v="No"/>
    <s v="No"/>
    <n v="0"/>
  </r>
  <r>
    <s v="USR01875"/>
    <s v="APP075"/>
    <s v="StayX"/>
    <x v="6"/>
    <x v="2"/>
    <s v="Male"/>
    <s v="UAE"/>
    <s v="Smartphone"/>
    <n v="82"/>
    <n v="21"/>
    <s v="Yes"/>
    <s v="Yes"/>
    <s v="No"/>
    <n v="0"/>
  </r>
  <r>
    <s v="USR01876"/>
    <s v="APP076"/>
    <s v="GoNow"/>
    <x v="6"/>
    <x v="1"/>
    <s v="Male"/>
    <s v="Canada"/>
    <s v="Smartphone"/>
    <n v="32"/>
    <n v="8.8000000000000007"/>
    <s v="Yes"/>
    <s v="No"/>
    <s v="No"/>
    <n v="0"/>
  </r>
  <r>
    <s v="USR01877"/>
    <s v="APP077"/>
    <s v="RouteGo"/>
    <x v="6"/>
    <x v="1"/>
    <s v="Female"/>
    <s v="UAE"/>
    <s v="Tablet"/>
    <n v="44"/>
    <n v="20"/>
    <s v="Yes"/>
    <s v="Yes"/>
    <s v="Yes"/>
    <n v="0"/>
  </r>
  <r>
    <s v="USR01878"/>
    <s v="APP078"/>
    <s v="TripGo"/>
    <x v="6"/>
    <x v="1"/>
    <s v="Male"/>
    <s v="Australia"/>
    <s v="Smartphone"/>
    <n v="20"/>
    <n v="10.1"/>
    <s v="No"/>
    <s v="No"/>
    <s v="No"/>
    <n v="0"/>
  </r>
  <r>
    <s v="USR01879"/>
    <s v="APP079"/>
    <s v="Flyly"/>
    <x v="6"/>
    <x v="4"/>
    <s v="Prefer not to say"/>
    <s v="UAE"/>
    <s v="Smartphone"/>
    <n v="26"/>
    <n v="21"/>
    <s v="No"/>
    <s v="Yes"/>
    <s v="No"/>
    <n v="0"/>
  </r>
  <r>
    <s v="USR01880"/>
    <s v="APP080"/>
    <s v="TripPro"/>
    <x v="6"/>
    <x v="2"/>
    <s v="Female"/>
    <s v="Australia"/>
    <s v="Smartphone"/>
    <n v="24"/>
    <n v="4.7"/>
    <s v="No"/>
    <s v="No"/>
    <s v="No"/>
    <n v="0"/>
  </r>
  <r>
    <s v="USR01881"/>
    <s v="APP081"/>
    <s v="Focusly"/>
    <x v="7"/>
    <x v="4"/>
    <s v="Female"/>
    <s v="Germany"/>
    <s v="Smartphone"/>
    <n v="16"/>
    <n v="6.5"/>
    <s v="Yes"/>
    <s v="Yes"/>
    <s v="No"/>
    <n v="0"/>
  </r>
  <r>
    <s v="USR01882"/>
    <s v="APP082"/>
    <s v="DeskX"/>
    <x v="7"/>
    <x v="2"/>
    <s v="Male"/>
    <s v="United Kingdom"/>
    <s v="Smartphone"/>
    <n v="62"/>
    <n v="3.7"/>
    <s v="Yes"/>
    <s v="No"/>
    <s v="Yes"/>
    <n v="36.36"/>
  </r>
  <r>
    <s v="USR01883"/>
    <s v="APP083"/>
    <s v="DonePro"/>
    <x v="7"/>
    <x v="4"/>
    <s v="Female"/>
    <s v="India"/>
    <s v="Smartphone"/>
    <n v="73"/>
    <n v="21.8"/>
    <s v="Yes"/>
    <s v="No"/>
    <s v="Yes"/>
    <n v="0"/>
  </r>
  <r>
    <s v="USR01884"/>
    <s v="APP084"/>
    <s v="NotePlus"/>
    <x v="7"/>
    <x v="2"/>
    <s v="Male"/>
    <s v="Singapore"/>
    <s v="Smartphone"/>
    <n v="22"/>
    <n v="10.6"/>
    <s v="No"/>
    <s v="Yes"/>
    <s v="No"/>
    <n v="17.36"/>
  </r>
  <r>
    <s v="USR01885"/>
    <s v="APP085"/>
    <s v="SyncPlus"/>
    <x v="7"/>
    <x v="2"/>
    <s v="Female"/>
    <s v="India"/>
    <s v="Smartphone"/>
    <n v="43"/>
    <n v="9"/>
    <s v="Yes"/>
    <s v="Yes"/>
    <s v="No"/>
    <n v="0"/>
  </r>
  <r>
    <s v="USR01886"/>
    <s v="APP086"/>
    <s v="NoteOne"/>
    <x v="7"/>
    <x v="0"/>
    <s v="Female"/>
    <s v="Germany"/>
    <s v="Smartphone"/>
    <n v="16"/>
    <n v="19.399999999999999"/>
    <s v="No"/>
    <s v="No"/>
    <s v="No"/>
    <n v="93.26"/>
  </r>
  <r>
    <s v="USR01887"/>
    <s v="APP087"/>
    <s v="NoteMate"/>
    <x v="7"/>
    <x v="0"/>
    <s v="Male"/>
    <s v="United Kingdom"/>
    <s v="Smartphone"/>
    <n v="12"/>
    <n v="11.6"/>
    <s v="No"/>
    <s v="Yes"/>
    <s v="No"/>
    <n v="0"/>
  </r>
  <r>
    <s v="USR01888"/>
    <s v="APP088"/>
    <s v="PlanPlus"/>
    <x v="7"/>
    <x v="0"/>
    <s v="Other"/>
    <s v="United Kingdom"/>
    <s v="Tablet"/>
    <n v="19"/>
    <n v="8.5"/>
    <s v="No"/>
    <s v="Yes"/>
    <s v="No"/>
    <n v="0"/>
  </r>
  <r>
    <s v="USR01889"/>
    <s v="APP089"/>
    <s v="PlanMate"/>
    <x v="7"/>
    <x v="4"/>
    <s v="Male"/>
    <s v="UAE"/>
    <s v="Smartphone"/>
    <n v="42"/>
    <n v="9.8000000000000007"/>
    <s v="Yes"/>
    <s v="Yes"/>
    <s v="No"/>
    <n v="0"/>
  </r>
  <r>
    <s v="USR01890"/>
    <s v="APP090"/>
    <s v="SyncPlus"/>
    <x v="7"/>
    <x v="3"/>
    <s v="Female"/>
    <s v="Germany"/>
    <s v="Smartphone"/>
    <n v="24"/>
    <n v="23.7"/>
    <s v="Yes"/>
    <s v="Yes"/>
    <s v="No"/>
    <n v="0"/>
  </r>
  <r>
    <s v="USR01891"/>
    <s v="APP091"/>
    <s v="ClinicPro"/>
    <x v="8"/>
    <x v="0"/>
    <s v="Female"/>
    <s v="Germany"/>
    <s v="Smartphone"/>
    <n v="74"/>
    <n v="12.2"/>
    <s v="Yes"/>
    <s v="Yes"/>
    <s v="No"/>
    <n v="0"/>
  </r>
  <r>
    <s v="USR01892"/>
    <s v="APP092"/>
    <s v="MindMate"/>
    <x v="8"/>
    <x v="1"/>
    <s v="Male"/>
    <s v="UAE"/>
    <s v="Smartphone"/>
    <n v="28"/>
    <n v="19.600000000000001"/>
    <s v="No"/>
    <s v="Yes"/>
    <s v="No"/>
    <n v="0"/>
  </r>
  <r>
    <s v="USR01893"/>
    <s v="APP093"/>
    <s v="ClinicOne"/>
    <x v="8"/>
    <x v="0"/>
    <s v="Female"/>
    <s v="Singapore"/>
    <s v="Smartphone"/>
    <n v="3"/>
    <n v="5.7"/>
    <s v="No"/>
    <s v="Yes"/>
    <s v="Yes"/>
    <n v="0"/>
  </r>
  <r>
    <s v="USR01894"/>
    <s v="APP094"/>
    <s v="WellMate"/>
    <x v="8"/>
    <x v="2"/>
    <s v="Male"/>
    <s v="Germany"/>
    <s v="Smartphone"/>
    <n v="18"/>
    <n v="19.600000000000001"/>
    <s v="Yes"/>
    <s v="No"/>
    <s v="No"/>
    <n v="0"/>
  </r>
  <r>
    <s v="USR01895"/>
    <s v="APP095"/>
    <s v="MediMate"/>
    <x v="8"/>
    <x v="2"/>
    <s v="Male"/>
    <s v="Canada"/>
    <s v="Smartphone"/>
    <n v="7"/>
    <n v="10.8"/>
    <s v="No"/>
    <s v="No"/>
    <s v="Yes"/>
    <n v="0"/>
  </r>
  <r>
    <s v="USR01896"/>
    <s v="APP096"/>
    <s v="WellNow"/>
    <x v="8"/>
    <x v="0"/>
    <s v="Female"/>
    <s v="United States"/>
    <s v="Tablet"/>
    <n v="27"/>
    <n v="3.4"/>
    <s v="No"/>
    <s v="Yes"/>
    <s v="No"/>
    <n v="0"/>
  </r>
  <r>
    <s v="USR01897"/>
    <s v="APP097"/>
    <s v="CareCloud"/>
    <x v="8"/>
    <x v="3"/>
    <s v="Male"/>
    <s v="Germany"/>
    <s v="Smartphone"/>
    <n v="56"/>
    <n v="22.5"/>
    <s v="Yes"/>
    <s v="Yes"/>
    <s v="No"/>
    <n v="0"/>
  </r>
  <r>
    <s v="USR01898"/>
    <s v="APP098"/>
    <s v="MediNow"/>
    <x v="8"/>
    <x v="1"/>
    <s v="Male"/>
    <s v="Australia"/>
    <s v="Smartphone"/>
    <n v="89"/>
    <n v="19.399999999999999"/>
    <s v="Yes"/>
    <s v="Yes"/>
    <s v="No"/>
    <n v="30.22"/>
  </r>
  <r>
    <s v="USR01899"/>
    <s v="APP099"/>
    <s v="MindPlus"/>
    <x v="8"/>
    <x v="0"/>
    <s v="Female"/>
    <s v="Canada"/>
    <s v="Smartphone"/>
    <n v="18"/>
    <n v="18.5"/>
    <s v="Yes"/>
    <s v="No"/>
    <s v="Yes"/>
    <n v="0"/>
  </r>
  <r>
    <s v="USR01900"/>
    <s v="APP100"/>
    <s v="MediCloud"/>
    <x v="8"/>
    <x v="4"/>
    <s v="Male"/>
    <s v="Singapore"/>
    <s v="Tablet"/>
    <n v="48"/>
    <n v="21.7"/>
    <s v="Yes"/>
    <s v="Yes"/>
    <s v="No"/>
    <n v="0"/>
  </r>
  <r>
    <s v="USR01901"/>
    <s v="APP001"/>
    <s v="InvestPro"/>
    <x v="0"/>
    <x v="2"/>
    <s v="Male"/>
    <s v="UAE"/>
    <s v="Tablet"/>
    <n v="69"/>
    <n v="9.6999999999999993"/>
    <s v="Yes"/>
    <s v="Yes"/>
    <s v="No"/>
    <n v="42.16"/>
  </r>
  <r>
    <s v="USR01902"/>
    <s v="APP002"/>
    <s v="BankPro"/>
    <x v="0"/>
    <x v="1"/>
    <s v="Female"/>
    <s v="UAE"/>
    <s v="Smartphone"/>
    <n v="68"/>
    <n v="21.9"/>
    <s v="Yes"/>
    <s v="No"/>
    <s v="Yes"/>
    <n v="0"/>
  </r>
  <r>
    <s v="USR01903"/>
    <s v="APP003"/>
    <s v="BankX"/>
    <x v="0"/>
    <x v="0"/>
    <s v="Female"/>
    <s v="Canada"/>
    <s v="Smartphone"/>
    <n v="81"/>
    <n v="3.5"/>
    <s v="Yes"/>
    <s v="No"/>
    <s v="No"/>
    <n v="0"/>
  </r>
  <r>
    <s v="USR01904"/>
    <s v="APP004"/>
    <s v="BankNow"/>
    <x v="0"/>
    <x v="2"/>
    <s v="Female"/>
    <s v="United States"/>
    <s v="Tablet"/>
    <n v="61"/>
    <n v="16.899999999999999"/>
    <s v="Yes"/>
    <s v="Yes"/>
    <s v="No"/>
    <n v="0"/>
  </r>
  <r>
    <s v="USR01905"/>
    <s v="APP005"/>
    <s v="CreditHub"/>
    <x v="0"/>
    <x v="2"/>
    <s v="Prefer not to say"/>
    <s v="Germany"/>
    <s v="Smartphone"/>
    <n v="16"/>
    <n v="11.1"/>
    <s v="No"/>
    <s v="Yes"/>
    <s v="No"/>
    <n v="33.47"/>
  </r>
  <r>
    <s v="USR01906"/>
    <s v="APP006"/>
    <s v="PayPlus"/>
    <x v="0"/>
    <x v="0"/>
    <s v="Male"/>
    <s v="Canada"/>
    <s v="Smartphone"/>
    <n v="17"/>
    <n v="16"/>
    <s v="Yes"/>
    <s v="Yes"/>
    <s v="No"/>
    <n v="72.53"/>
  </r>
  <r>
    <s v="USR01907"/>
    <s v="APP007"/>
    <s v="BankPlus"/>
    <x v="0"/>
    <x v="4"/>
    <s v="Male"/>
    <s v="Singapore"/>
    <s v="Smartphone"/>
    <n v="14"/>
    <n v="10.3"/>
    <s v="Yes"/>
    <s v="Yes"/>
    <s v="No"/>
    <n v="69.599999999999994"/>
  </r>
  <r>
    <s v="USR01908"/>
    <s v="APP008"/>
    <s v="CoinPlus"/>
    <x v="0"/>
    <x v="2"/>
    <s v="Other"/>
    <s v="Singapore"/>
    <s v="Smartphone"/>
    <n v="66"/>
    <n v="19.2"/>
    <s v="Yes"/>
    <s v="Yes"/>
    <s v="No"/>
    <n v="85.1"/>
  </r>
  <r>
    <s v="USR01909"/>
    <s v="APP009"/>
    <s v="CreditOne"/>
    <x v="0"/>
    <x v="1"/>
    <s v="Female"/>
    <s v="UAE"/>
    <s v="Smartphone"/>
    <n v="48"/>
    <n v="21.6"/>
    <s v="Yes"/>
    <s v="No"/>
    <s v="No"/>
    <n v="28.49"/>
  </r>
  <r>
    <s v="USR01910"/>
    <s v="APP010"/>
    <s v="PayPro"/>
    <x v="0"/>
    <x v="0"/>
    <s v="Male"/>
    <s v="Germany"/>
    <s v="Tablet"/>
    <n v="17"/>
    <n v="12.8"/>
    <s v="No"/>
    <s v="No"/>
    <s v="Yes"/>
    <n v="92.25"/>
  </r>
  <r>
    <s v="USR01911"/>
    <s v="APP011"/>
    <s v="Creditly"/>
    <x v="0"/>
    <x v="0"/>
    <s v="Male"/>
    <s v="India"/>
    <s v="Smartphone"/>
    <n v="41"/>
    <n v="9.1"/>
    <s v="Yes"/>
    <s v="No"/>
    <s v="Yes"/>
    <n v="0"/>
  </r>
  <r>
    <s v="USR01912"/>
    <s v="APP012"/>
    <s v="PayX"/>
    <x v="0"/>
    <x v="2"/>
    <s v="Female"/>
    <s v="India"/>
    <s v="Smartphone"/>
    <n v="5"/>
    <n v="7.2"/>
    <s v="No"/>
    <s v="No"/>
    <s v="Yes"/>
    <n v="88.67"/>
  </r>
  <r>
    <s v="USR01913"/>
    <s v="APP013"/>
    <s v="DealGo"/>
    <x v="1"/>
    <x v="0"/>
    <s v="Female"/>
    <s v="Canada"/>
    <s v="Smartphone"/>
    <n v="4"/>
    <n v="18.7"/>
    <s v="No"/>
    <s v="Yes"/>
    <s v="No"/>
    <n v="0"/>
  </r>
  <r>
    <s v="USR01914"/>
    <s v="APP014"/>
    <s v="MallNow"/>
    <x v="1"/>
    <x v="0"/>
    <s v="Female"/>
    <s v="Australia"/>
    <s v="Smartphone"/>
    <n v="5"/>
    <n v="10.7"/>
    <s v="No"/>
    <s v="No"/>
    <s v="No"/>
    <n v="0"/>
  </r>
  <r>
    <s v="USR01915"/>
    <s v="APP015"/>
    <s v="DealPro"/>
    <x v="1"/>
    <x v="2"/>
    <s v="Male"/>
    <s v="United States"/>
    <s v="Smartphone"/>
    <n v="61"/>
    <n v="5.9"/>
    <s v="Yes"/>
    <s v="Yes"/>
    <s v="No"/>
    <n v="0"/>
  </r>
  <r>
    <s v="USR01916"/>
    <s v="APP016"/>
    <s v="StyleNow"/>
    <x v="1"/>
    <x v="4"/>
    <s v="Prefer not to say"/>
    <s v="Singapore"/>
    <s v="Smartphone"/>
    <n v="25"/>
    <n v="8.1999999999999993"/>
    <s v="No"/>
    <s v="Yes"/>
    <s v="No"/>
    <n v="0"/>
  </r>
  <r>
    <s v="USR01917"/>
    <s v="APP017"/>
    <s v="DealCloud"/>
    <x v="1"/>
    <x v="0"/>
    <s v="Male"/>
    <s v="Singapore"/>
    <s v="Smartphone"/>
    <n v="7"/>
    <n v="20.7"/>
    <s v="No"/>
    <s v="No"/>
    <s v="No"/>
    <n v="85.09"/>
  </r>
  <r>
    <s v="USR01918"/>
    <s v="APP018"/>
    <s v="CartCloud"/>
    <x v="1"/>
    <x v="4"/>
    <s v="Male"/>
    <s v="Germany"/>
    <s v="Smartphone"/>
    <n v="70"/>
    <n v="23.7"/>
    <s v="Yes"/>
    <s v="Yes"/>
    <s v="No"/>
    <n v="2.21"/>
  </r>
  <r>
    <s v="USR01919"/>
    <s v="APP019"/>
    <s v="CartMate"/>
    <x v="1"/>
    <x v="1"/>
    <s v="Male"/>
    <s v="India"/>
    <s v="Smartphone"/>
    <n v="55"/>
    <n v="11"/>
    <s v="Yes"/>
    <s v="No"/>
    <s v="Yes"/>
    <n v="12.13"/>
  </r>
  <r>
    <s v="USR01920"/>
    <s v="APP020"/>
    <s v="BazaarOne"/>
    <x v="1"/>
    <x v="1"/>
    <s v="Female"/>
    <s v="United States"/>
    <s v="Smartphone"/>
    <n v="15"/>
    <n v="21.6"/>
    <s v="No"/>
    <s v="Yes"/>
    <s v="No"/>
    <n v="0"/>
  </r>
  <r>
    <s v="USR01921"/>
    <s v="APP021"/>
    <s v="StyleOne"/>
    <x v="1"/>
    <x v="1"/>
    <s v="Male"/>
    <s v="Canada"/>
    <s v="Smartphone"/>
    <n v="72"/>
    <n v="18.899999999999999"/>
    <s v="Yes"/>
    <s v="Yes"/>
    <s v="No"/>
    <n v="0"/>
  </r>
  <r>
    <s v="USR01922"/>
    <s v="APP022"/>
    <s v="Cartly"/>
    <x v="1"/>
    <x v="1"/>
    <s v="Female"/>
    <s v="Singapore"/>
    <s v="Tablet"/>
    <n v="6"/>
    <n v="14.4"/>
    <s v="No"/>
    <s v="Yes"/>
    <s v="Yes"/>
    <n v="0"/>
  </r>
  <r>
    <s v="USR01923"/>
    <s v="APP023"/>
    <s v="BazaarCloud"/>
    <x v="1"/>
    <x v="2"/>
    <s v="Male"/>
    <s v="Australia"/>
    <s v="Smartphone"/>
    <n v="16"/>
    <n v="18.100000000000001"/>
    <s v="No"/>
    <s v="No"/>
    <s v="No"/>
    <n v="48.19"/>
  </r>
  <r>
    <s v="USR01924"/>
    <s v="APP024"/>
    <s v="CartPro"/>
    <x v="1"/>
    <x v="2"/>
    <s v="Male"/>
    <s v="Germany"/>
    <s v="Tablet"/>
    <n v="5"/>
    <n v="23"/>
    <s v="No"/>
    <s v="No"/>
    <s v="Yes"/>
    <n v="34.74"/>
  </r>
  <r>
    <s v="USR01925"/>
    <s v="APP025"/>
    <s v="RunPlus"/>
    <x v="2"/>
    <x v="2"/>
    <s v="Female"/>
    <s v="United Kingdom"/>
    <s v="Smartphone"/>
    <n v="25"/>
    <n v="36.4"/>
    <s v="No"/>
    <s v="Yes"/>
    <s v="Yes"/>
    <n v="0"/>
  </r>
  <r>
    <s v="USR01926"/>
    <s v="APP026"/>
    <s v="TrainCloud"/>
    <x v="2"/>
    <x v="2"/>
    <s v="Male"/>
    <s v="Germany"/>
    <s v="Smartphone"/>
    <n v="10"/>
    <n v="33.4"/>
    <s v="No"/>
    <s v="Yes"/>
    <s v="No"/>
    <n v="0"/>
  </r>
  <r>
    <s v="USR01927"/>
    <s v="APP027"/>
    <s v="Trainly"/>
    <x v="2"/>
    <x v="2"/>
    <s v="Female"/>
    <s v="Australia"/>
    <s v="Smartphone"/>
    <n v="55"/>
    <n v="13.3"/>
    <s v="Yes"/>
    <s v="No"/>
    <s v="Yes"/>
    <n v="0"/>
  </r>
  <r>
    <s v="USR01928"/>
    <s v="APP028"/>
    <s v="LiftCloud"/>
    <x v="2"/>
    <x v="1"/>
    <s v="Female"/>
    <s v="Canada"/>
    <s v="Smartphone"/>
    <n v="46"/>
    <n v="27.1"/>
    <s v="Yes"/>
    <s v="No"/>
    <s v="No"/>
    <n v="0"/>
  </r>
  <r>
    <s v="USR01929"/>
    <s v="APP029"/>
    <s v="MoveNow"/>
    <x v="2"/>
    <x v="4"/>
    <s v="Female"/>
    <s v="Germany"/>
    <s v="Smartphone"/>
    <n v="6"/>
    <n v="25.7"/>
    <s v="No"/>
    <s v="No"/>
    <s v="Yes"/>
    <n v="0"/>
  </r>
  <r>
    <s v="USR01930"/>
    <s v="APP030"/>
    <s v="ActiveMate"/>
    <x v="2"/>
    <x v="0"/>
    <s v="Female"/>
    <s v="Australia"/>
    <s v="Smartphone"/>
    <n v="19"/>
    <n v="37.9"/>
    <s v="No"/>
    <s v="No"/>
    <s v="Yes"/>
    <n v="0"/>
  </r>
  <r>
    <s v="USR01931"/>
    <s v="APP031"/>
    <s v="RunGo"/>
    <x v="2"/>
    <x v="0"/>
    <s v="Male"/>
    <s v="United Kingdom"/>
    <s v="Smartphone"/>
    <n v="71"/>
    <n v="35.1"/>
    <s v="Yes"/>
    <s v="Yes"/>
    <s v="No"/>
    <n v="0"/>
  </r>
  <r>
    <s v="USR01932"/>
    <s v="APP032"/>
    <s v="LiftPro"/>
    <x v="2"/>
    <x v="1"/>
    <s v="Female"/>
    <s v="United States"/>
    <s v="Smartphone"/>
    <n v="72"/>
    <n v="33.700000000000003"/>
    <s v="Yes"/>
    <s v="Yes"/>
    <s v="Yes"/>
    <n v="39.18"/>
  </r>
  <r>
    <s v="USR01933"/>
    <s v="APP033"/>
    <s v="LiftPro"/>
    <x v="2"/>
    <x v="2"/>
    <s v="Female"/>
    <s v="Canada"/>
    <s v="Smartphone"/>
    <n v="28"/>
    <n v="33"/>
    <s v="No"/>
    <s v="No"/>
    <s v="No"/>
    <n v="0"/>
  </r>
  <r>
    <s v="USR01934"/>
    <s v="APP034"/>
    <s v="Liftly"/>
    <x v="2"/>
    <x v="0"/>
    <s v="Male"/>
    <s v="Singapore"/>
    <s v="Smartphone"/>
    <n v="80"/>
    <n v="31.3"/>
    <s v="Yes"/>
    <s v="Yes"/>
    <s v="No"/>
    <n v="0"/>
  </r>
  <r>
    <s v="USR01935"/>
    <s v="APP035"/>
    <s v="YogaHub"/>
    <x v="2"/>
    <x v="4"/>
    <s v="Female"/>
    <s v="India"/>
    <s v="Smartphone"/>
    <n v="84"/>
    <n v="24.7"/>
    <s v="Yes"/>
    <s v="No"/>
    <s v="No"/>
    <n v="26.67"/>
  </r>
  <r>
    <s v="USR01936"/>
    <s v="APP036"/>
    <s v="MoveGo"/>
    <x v="2"/>
    <x v="4"/>
    <s v="Male"/>
    <s v="United Kingdom"/>
    <s v="Smartphone"/>
    <n v="23"/>
    <n v="33.700000000000003"/>
    <s v="Yes"/>
    <s v="Yes"/>
    <s v="No"/>
    <n v="0"/>
  </r>
  <r>
    <s v="USR01937"/>
    <s v="APP037"/>
    <s v="BrightNow"/>
    <x v="3"/>
    <x v="1"/>
    <s v="Male"/>
    <s v="Singapore"/>
    <s v="Smartphone"/>
    <n v="25"/>
    <n v="35.299999999999997"/>
    <s v="No"/>
    <s v="No"/>
    <s v="No"/>
    <n v="0"/>
  </r>
  <r>
    <s v="USR01938"/>
    <s v="APP038"/>
    <s v="StudyCloud"/>
    <x v="3"/>
    <x v="1"/>
    <s v="Female"/>
    <s v="Germany"/>
    <s v="Smartphone"/>
    <n v="9"/>
    <n v="18.3"/>
    <s v="No"/>
    <s v="No"/>
    <s v="Yes"/>
    <n v="0"/>
  </r>
  <r>
    <s v="USR01939"/>
    <s v="APP039"/>
    <s v="SkillNow"/>
    <x v="3"/>
    <x v="2"/>
    <s v="Male"/>
    <s v="Singapore"/>
    <s v="Smartphone"/>
    <n v="7"/>
    <n v="26.6"/>
    <s v="No"/>
    <s v="No"/>
    <s v="No"/>
    <n v="0"/>
  </r>
  <r>
    <s v="USR01940"/>
    <s v="APP040"/>
    <s v="LearnMate"/>
    <x v="3"/>
    <x v="2"/>
    <s v="Male"/>
    <s v="Canada"/>
    <s v="Smartphone"/>
    <n v="2"/>
    <n v="15.3"/>
    <s v="No"/>
    <s v="No"/>
    <s v="No"/>
    <n v="0"/>
  </r>
  <r>
    <s v="USR01941"/>
    <s v="APP041"/>
    <s v="QuestNow"/>
    <x v="3"/>
    <x v="0"/>
    <s v="Male"/>
    <s v="India"/>
    <s v="Tablet"/>
    <n v="17"/>
    <n v="28.3"/>
    <s v="No"/>
    <s v="Yes"/>
    <s v="No"/>
    <n v="42.02"/>
  </r>
  <r>
    <s v="USR01942"/>
    <s v="APP042"/>
    <s v="SkillHub"/>
    <x v="3"/>
    <x v="2"/>
    <s v="Male"/>
    <s v="Germany"/>
    <s v="Smartphone"/>
    <n v="24"/>
    <n v="40.5"/>
    <s v="No"/>
    <s v="Yes"/>
    <s v="No"/>
    <n v="0"/>
  </r>
  <r>
    <s v="USR01943"/>
    <s v="APP043"/>
    <s v="TutorCloud"/>
    <x v="3"/>
    <x v="0"/>
    <s v="Female"/>
    <s v="Singapore"/>
    <s v="Smartphone"/>
    <n v="7"/>
    <n v="23.9"/>
    <s v="No"/>
    <s v="No"/>
    <s v="No"/>
    <n v="0"/>
  </r>
  <r>
    <s v="USR01944"/>
    <s v="APP044"/>
    <s v="SkillOne"/>
    <x v="3"/>
    <x v="2"/>
    <s v="Female"/>
    <s v="Canada"/>
    <s v="Smartphone"/>
    <n v="61"/>
    <n v="19"/>
    <s v="Yes"/>
    <s v="Yes"/>
    <s v="No"/>
    <n v="0"/>
  </r>
  <r>
    <s v="USR01945"/>
    <s v="APP045"/>
    <s v="LearnOne"/>
    <x v="3"/>
    <x v="1"/>
    <s v="Female"/>
    <s v="India"/>
    <s v="Tablet"/>
    <n v="55"/>
    <n v="14.4"/>
    <s v="Yes"/>
    <s v="Yes"/>
    <s v="No"/>
    <n v="0"/>
  </r>
  <r>
    <s v="USR01946"/>
    <s v="APP046"/>
    <s v="LearnPlus"/>
    <x v="3"/>
    <x v="1"/>
    <s v="Male"/>
    <s v="Germany"/>
    <s v="Smartphone"/>
    <n v="10"/>
    <n v="21.6"/>
    <s v="No"/>
    <s v="No"/>
    <s v="No"/>
    <n v="0"/>
  </r>
  <r>
    <s v="USR01947"/>
    <s v="APP047"/>
    <s v="StudyPlus"/>
    <x v="3"/>
    <x v="0"/>
    <s v="Male"/>
    <s v="India"/>
    <s v="Smartphone"/>
    <n v="4"/>
    <n v="22"/>
    <s v="No"/>
    <s v="Yes"/>
    <s v="Yes"/>
    <n v="0"/>
  </r>
  <r>
    <s v="USR01948"/>
    <s v="APP048"/>
    <s v="StudyX"/>
    <x v="3"/>
    <x v="0"/>
    <s v="Male"/>
    <s v="UAE"/>
    <s v="Smartphone"/>
    <n v="20"/>
    <n v="41.4"/>
    <s v="No"/>
    <s v="Yes"/>
    <s v="No"/>
    <n v="0"/>
  </r>
  <r>
    <s v="USR01949"/>
    <s v="APP049"/>
    <s v="PlayPlus"/>
    <x v="4"/>
    <x v="1"/>
    <s v="Female"/>
    <s v="Germany"/>
    <s v="Tablet"/>
    <n v="21"/>
    <n v="35.1"/>
    <s v="No"/>
    <s v="No"/>
    <s v="No"/>
    <n v="0"/>
  </r>
  <r>
    <s v="USR01950"/>
    <s v="APP050"/>
    <s v="ShowMate"/>
    <x v="4"/>
    <x v="1"/>
    <s v="Female"/>
    <s v="Canada"/>
    <s v="Smartphone"/>
    <n v="25"/>
    <n v="36.200000000000003"/>
    <s v="No"/>
    <s v="Yes"/>
    <s v="No"/>
    <n v="0"/>
  </r>
  <r>
    <s v="USR01951"/>
    <s v="APP051"/>
    <s v="VibeX"/>
    <x v="4"/>
    <x v="0"/>
    <s v="Female"/>
    <s v="Germany"/>
    <s v="Smartphone"/>
    <n v="10"/>
    <n v="9.6"/>
    <s v="No"/>
    <s v="Yes"/>
    <s v="No"/>
    <n v="0"/>
  </r>
  <r>
    <s v="USR01952"/>
    <s v="APP052"/>
    <s v="BuzzNow"/>
    <x v="4"/>
    <x v="0"/>
    <s v="Male"/>
    <s v="Singapore"/>
    <s v="Smartphone"/>
    <n v="24"/>
    <n v="38.1"/>
    <s v="No"/>
    <s v="No"/>
    <s v="No"/>
    <n v="44.16"/>
  </r>
  <r>
    <s v="USR01953"/>
    <s v="APP053"/>
    <s v="StreamPlus"/>
    <x v="4"/>
    <x v="2"/>
    <s v="Female"/>
    <s v="UAE"/>
    <s v="Tablet"/>
    <n v="5"/>
    <n v="20.9"/>
    <s v="No"/>
    <s v="Yes"/>
    <s v="No"/>
    <n v="0"/>
  </r>
  <r>
    <s v="USR01954"/>
    <s v="APP054"/>
    <s v="Showly"/>
    <x v="4"/>
    <x v="0"/>
    <s v="Female"/>
    <s v="India"/>
    <s v="Smartphone"/>
    <n v="35"/>
    <n v="41.5"/>
    <s v="Yes"/>
    <s v="No"/>
    <s v="Yes"/>
    <n v="0"/>
  </r>
  <r>
    <s v="USR01955"/>
    <s v="APP055"/>
    <s v="BuzzOne"/>
    <x v="4"/>
    <x v="4"/>
    <s v="Female"/>
    <s v="United States"/>
    <s v="Smartphone"/>
    <n v="12"/>
    <n v="17.600000000000001"/>
    <s v="No"/>
    <s v="No"/>
    <s v="Yes"/>
    <n v="0"/>
  </r>
  <r>
    <s v="USR01956"/>
    <s v="APP056"/>
    <s v="PlayHub"/>
    <x v="4"/>
    <x v="3"/>
    <s v="Female"/>
    <s v="United Kingdom"/>
    <s v="Smartphone"/>
    <n v="12"/>
    <n v="22.4"/>
    <s v="No"/>
    <s v="No"/>
    <s v="No"/>
    <n v="0"/>
  </r>
  <r>
    <s v="USR01957"/>
    <s v="APP057"/>
    <s v="CinemaGo"/>
    <x v="4"/>
    <x v="0"/>
    <s v="Male"/>
    <s v="UAE"/>
    <s v="Smartphone"/>
    <n v="16"/>
    <n v="22.1"/>
    <s v="No"/>
    <s v="Yes"/>
    <s v="No"/>
    <n v="0"/>
  </r>
  <r>
    <s v="USR01958"/>
    <s v="APP058"/>
    <s v="LaughX"/>
    <x v="4"/>
    <x v="4"/>
    <s v="Prefer not to say"/>
    <s v="United Kingdom"/>
    <s v="Smartphone"/>
    <n v="24"/>
    <n v="36.799999999999997"/>
    <s v="No"/>
    <s v="No"/>
    <s v="No"/>
    <n v="0"/>
  </r>
  <r>
    <s v="USR01959"/>
    <s v="APP059"/>
    <s v="CinemaHub"/>
    <x v="4"/>
    <x v="2"/>
    <s v="Male"/>
    <s v="Canada"/>
    <s v="Smartphone"/>
    <n v="7"/>
    <n v="38.5"/>
    <s v="No"/>
    <s v="No"/>
    <s v="No"/>
    <n v="0"/>
  </r>
  <r>
    <s v="USR01960"/>
    <s v="APP060"/>
    <s v="ShowPro"/>
    <x v="4"/>
    <x v="1"/>
    <s v="Female"/>
    <s v="Germany"/>
    <s v="Smartphone"/>
    <n v="71"/>
    <n v="34.9"/>
    <s v="Yes"/>
    <s v="Yes"/>
    <s v="No"/>
    <n v="0"/>
  </r>
  <r>
    <s v="USR01961"/>
    <s v="APP061"/>
    <s v="FoodPlus"/>
    <x v="5"/>
    <x v="2"/>
    <s v="Female"/>
    <s v="United States"/>
    <s v="Tablet"/>
    <n v="20"/>
    <n v="18.899999999999999"/>
    <s v="No"/>
    <s v="No"/>
    <s v="Yes"/>
    <n v="0"/>
  </r>
  <r>
    <s v="USR01962"/>
    <s v="APP062"/>
    <s v="BiteGo"/>
    <x v="5"/>
    <x v="0"/>
    <s v="Male"/>
    <s v="United States"/>
    <s v="Smartphone"/>
    <n v="90"/>
    <n v="21.4"/>
    <s v="Yes"/>
    <s v="Yes"/>
    <s v="No"/>
    <n v="0"/>
  </r>
  <r>
    <s v="USR01963"/>
    <s v="APP063"/>
    <s v="OrderCloud"/>
    <x v="5"/>
    <x v="0"/>
    <s v="Male"/>
    <s v="United Kingdom"/>
    <s v="Smartphone"/>
    <n v="43"/>
    <n v="23.3"/>
    <s v="Yes"/>
    <s v="No"/>
    <s v="Yes"/>
    <n v="0"/>
  </r>
  <r>
    <s v="USR01964"/>
    <s v="APP064"/>
    <s v="DinePlus"/>
    <x v="5"/>
    <x v="1"/>
    <s v="Male"/>
    <s v="Canada"/>
    <s v="Smartphone"/>
    <n v="10"/>
    <n v="6.5"/>
    <s v="No"/>
    <s v="Yes"/>
    <s v="No"/>
    <n v="0"/>
  </r>
  <r>
    <s v="USR01965"/>
    <s v="APP065"/>
    <s v="SnackX"/>
    <x v="5"/>
    <x v="4"/>
    <s v="Prefer not to say"/>
    <s v="Singapore"/>
    <s v="Smartphone"/>
    <n v="53"/>
    <n v="15.7"/>
    <s v="Yes"/>
    <s v="No"/>
    <s v="No"/>
    <n v="0"/>
  </r>
  <r>
    <s v="USR01966"/>
    <s v="APP066"/>
    <s v="FoodOne"/>
    <x v="5"/>
    <x v="1"/>
    <s v="Other"/>
    <s v="United Kingdom"/>
    <s v="Tablet"/>
    <n v="78"/>
    <n v="18.100000000000001"/>
    <s v="Yes"/>
    <s v="Yes"/>
    <s v="No"/>
    <n v="0"/>
  </r>
  <r>
    <s v="USR01967"/>
    <s v="APP067"/>
    <s v="MealMate"/>
    <x v="5"/>
    <x v="1"/>
    <s v="Female"/>
    <s v="UAE"/>
    <s v="Smartphone"/>
    <n v="9"/>
    <n v="17.600000000000001"/>
    <s v="No"/>
    <s v="No"/>
    <s v="Yes"/>
    <n v="0"/>
  </r>
  <r>
    <s v="USR01968"/>
    <s v="APP068"/>
    <s v="SnackHub"/>
    <x v="5"/>
    <x v="2"/>
    <s v="Female"/>
    <s v="India"/>
    <s v="Smartphone"/>
    <n v="12"/>
    <n v="14"/>
    <s v="No"/>
    <s v="No"/>
    <s v="No"/>
    <n v="4.99"/>
  </r>
  <r>
    <s v="USR01969"/>
    <s v="APP069"/>
    <s v="BiteCloud"/>
    <x v="5"/>
    <x v="0"/>
    <s v="Male"/>
    <s v="United States"/>
    <s v="Smartphone"/>
    <n v="19"/>
    <n v="19.5"/>
    <s v="No"/>
    <s v="Yes"/>
    <s v="No"/>
    <n v="0"/>
  </r>
  <r>
    <s v="USR01970"/>
    <s v="APP070"/>
    <s v="PlatePlus"/>
    <x v="5"/>
    <x v="0"/>
    <s v="Female"/>
    <s v="United States"/>
    <s v="Tablet"/>
    <n v="18"/>
    <n v="19.399999999999999"/>
    <s v="No"/>
    <s v="Yes"/>
    <s v="No"/>
    <n v="0"/>
  </r>
  <r>
    <s v="USR01971"/>
    <s v="APP071"/>
    <s v="VoyageGo"/>
    <x v="6"/>
    <x v="2"/>
    <s v="Male"/>
    <s v="Australia"/>
    <s v="Tablet"/>
    <n v="9"/>
    <n v="5"/>
    <s v="No"/>
    <s v="Yes"/>
    <s v="No"/>
    <n v="0"/>
  </r>
  <r>
    <s v="USR01972"/>
    <s v="APP072"/>
    <s v="TripOne"/>
    <x v="6"/>
    <x v="1"/>
    <s v="Female"/>
    <s v="Singapore"/>
    <s v="Smartphone"/>
    <n v="12"/>
    <n v="11.7"/>
    <s v="No"/>
    <s v="Yes"/>
    <s v="No"/>
    <n v="0"/>
  </r>
  <r>
    <s v="USR01973"/>
    <s v="APP073"/>
    <s v="FlyGo"/>
    <x v="6"/>
    <x v="1"/>
    <s v="Female"/>
    <s v="Singapore"/>
    <s v="Smartphone"/>
    <n v="23"/>
    <n v="18.5"/>
    <s v="No"/>
    <s v="Yes"/>
    <s v="No"/>
    <n v="0"/>
  </r>
  <r>
    <s v="USR01974"/>
    <s v="APP074"/>
    <s v="MapX"/>
    <x v="6"/>
    <x v="0"/>
    <s v="Male"/>
    <s v="Singapore"/>
    <s v="Smartphone"/>
    <n v="19"/>
    <n v="17.899999999999999"/>
    <s v="Yes"/>
    <s v="No"/>
    <s v="Yes"/>
    <n v="0"/>
  </r>
  <r>
    <s v="USR01975"/>
    <s v="APP075"/>
    <s v="StayX"/>
    <x v="6"/>
    <x v="1"/>
    <s v="Prefer not to say"/>
    <s v="United Kingdom"/>
    <s v="Smartphone"/>
    <n v="7"/>
    <n v="7.3"/>
    <s v="No"/>
    <s v="No"/>
    <s v="No"/>
    <n v="0"/>
  </r>
  <r>
    <s v="USR01976"/>
    <s v="APP076"/>
    <s v="GoNow"/>
    <x v="6"/>
    <x v="2"/>
    <s v="Female"/>
    <s v="Australia"/>
    <s v="Smartphone"/>
    <n v="27"/>
    <n v="17.5"/>
    <s v="No"/>
    <s v="Yes"/>
    <s v="No"/>
    <n v="52.47"/>
  </r>
  <r>
    <s v="USR01977"/>
    <s v="APP077"/>
    <s v="RouteGo"/>
    <x v="6"/>
    <x v="0"/>
    <s v="Male"/>
    <s v="Canada"/>
    <s v="Smartphone"/>
    <n v="34"/>
    <n v="21.9"/>
    <s v="Yes"/>
    <s v="No"/>
    <s v="No"/>
    <n v="0"/>
  </r>
  <r>
    <s v="USR01978"/>
    <s v="APP078"/>
    <s v="TripGo"/>
    <x v="6"/>
    <x v="0"/>
    <s v="Female"/>
    <s v="UAE"/>
    <s v="Smartphone"/>
    <n v="81"/>
    <n v="3.4"/>
    <s v="Yes"/>
    <s v="Yes"/>
    <s v="Yes"/>
    <n v="0"/>
  </r>
  <r>
    <s v="USR01979"/>
    <s v="APP079"/>
    <s v="Flyly"/>
    <x v="6"/>
    <x v="2"/>
    <s v="Female"/>
    <s v="Singapore"/>
    <s v="Smartphone"/>
    <n v="21"/>
    <n v="11.4"/>
    <s v="No"/>
    <s v="No"/>
    <s v="Yes"/>
    <n v="0"/>
  </r>
  <r>
    <s v="USR01980"/>
    <s v="APP080"/>
    <s v="TripPro"/>
    <x v="6"/>
    <x v="1"/>
    <s v="Female"/>
    <s v="UAE"/>
    <s v="Smartphone"/>
    <n v="2"/>
    <n v="22.3"/>
    <s v="No"/>
    <s v="Yes"/>
    <s v="No"/>
    <n v="0"/>
  </r>
  <r>
    <s v="USR01981"/>
    <s v="APP081"/>
    <s v="Focusly"/>
    <x v="7"/>
    <x v="2"/>
    <s v="Male"/>
    <s v="Canada"/>
    <s v="Smartphone"/>
    <n v="16"/>
    <n v="11"/>
    <s v="No"/>
    <s v="No"/>
    <s v="No"/>
    <n v="47"/>
  </r>
  <r>
    <s v="USR01982"/>
    <s v="APP082"/>
    <s v="DeskX"/>
    <x v="7"/>
    <x v="2"/>
    <s v="Female"/>
    <s v="Australia"/>
    <s v="Smartphone"/>
    <n v="24"/>
    <n v="10.7"/>
    <s v="No"/>
    <s v="No"/>
    <s v="Yes"/>
    <n v="0"/>
  </r>
  <r>
    <s v="USR01983"/>
    <s v="APP083"/>
    <s v="DonePro"/>
    <x v="7"/>
    <x v="3"/>
    <s v="Male"/>
    <s v="United Kingdom"/>
    <s v="Smartphone"/>
    <n v="93"/>
    <n v="6.5"/>
    <s v="Yes"/>
    <s v="Yes"/>
    <s v="No"/>
    <n v="0"/>
  </r>
  <r>
    <s v="USR01984"/>
    <s v="APP084"/>
    <s v="NotePlus"/>
    <x v="7"/>
    <x v="2"/>
    <s v="Female"/>
    <s v="India"/>
    <s v="Tablet"/>
    <n v="7"/>
    <n v="4.8"/>
    <s v="No"/>
    <s v="No"/>
    <s v="No"/>
    <n v="0"/>
  </r>
  <r>
    <s v="USR01985"/>
    <s v="APP085"/>
    <s v="SyncPlus"/>
    <x v="7"/>
    <x v="2"/>
    <s v="Male"/>
    <s v="India"/>
    <s v="Smartphone"/>
    <n v="26"/>
    <n v="22.6"/>
    <s v="No"/>
    <s v="No"/>
    <s v="Yes"/>
    <n v="0"/>
  </r>
  <r>
    <s v="USR01986"/>
    <s v="APP086"/>
    <s v="NoteOne"/>
    <x v="7"/>
    <x v="3"/>
    <s v="Male"/>
    <s v="Germany"/>
    <s v="Smartphone"/>
    <n v="24"/>
    <n v="3.6"/>
    <s v="No"/>
    <s v="No"/>
    <s v="No"/>
    <n v="10.23"/>
  </r>
  <r>
    <s v="USR01987"/>
    <s v="APP087"/>
    <s v="NoteMate"/>
    <x v="7"/>
    <x v="4"/>
    <s v="Prefer not to say"/>
    <s v="India"/>
    <s v="Smartphone"/>
    <n v="28"/>
    <n v="5.2"/>
    <s v="No"/>
    <s v="Yes"/>
    <s v="No"/>
    <n v="0"/>
  </r>
  <r>
    <s v="USR01988"/>
    <s v="APP088"/>
    <s v="PlanPlus"/>
    <x v="7"/>
    <x v="0"/>
    <s v="Female"/>
    <s v="India"/>
    <s v="Smartphone"/>
    <n v="18"/>
    <n v="20.7"/>
    <s v="No"/>
    <s v="Yes"/>
    <s v="No"/>
    <n v="0"/>
  </r>
  <r>
    <s v="USR01989"/>
    <s v="APP089"/>
    <s v="PlanMate"/>
    <x v="7"/>
    <x v="4"/>
    <s v="Female"/>
    <s v="Australia"/>
    <s v="Smartphone"/>
    <n v="16"/>
    <n v="6.1"/>
    <s v="Yes"/>
    <s v="Yes"/>
    <s v="No"/>
    <n v="31.19"/>
  </r>
  <r>
    <s v="USR01990"/>
    <s v="APP090"/>
    <s v="SyncPlus"/>
    <x v="7"/>
    <x v="0"/>
    <s v="Female"/>
    <s v="United Kingdom"/>
    <s v="Smartphone"/>
    <n v="19"/>
    <n v="11.8"/>
    <s v="No"/>
    <s v="No"/>
    <s v="No"/>
    <n v="0"/>
  </r>
  <r>
    <s v="USR01991"/>
    <s v="APP091"/>
    <s v="ClinicPro"/>
    <x v="8"/>
    <x v="1"/>
    <s v="Male"/>
    <s v="Canada"/>
    <s v="Smartphone"/>
    <n v="20"/>
    <n v="13"/>
    <s v="No"/>
    <s v="Yes"/>
    <s v="No"/>
    <n v="0"/>
  </r>
  <r>
    <s v="USR01992"/>
    <s v="APP092"/>
    <s v="MindMate"/>
    <x v="8"/>
    <x v="0"/>
    <s v="Female"/>
    <s v="India"/>
    <s v="Tablet"/>
    <n v="17"/>
    <n v="11.3"/>
    <s v="No"/>
    <s v="Yes"/>
    <s v="No"/>
    <n v="0"/>
  </r>
  <r>
    <s v="USR01993"/>
    <s v="APP093"/>
    <s v="ClinicOne"/>
    <x v="8"/>
    <x v="2"/>
    <s v="Male"/>
    <s v="Canada"/>
    <s v="Smartphone"/>
    <n v="28"/>
    <n v="15.6"/>
    <s v="No"/>
    <s v="No"/>
    <s v="No"/>
    <n v="0"/>
  </r>
  <r>
    <s v="USR01994"/>
    <s v="APP094"/>
    <s v="WellMate"/>
    <x v="8"/>
    <x v="4"/>
    <s v="Male"/>
    <s v="Canada"/>
    <s v="Smartphone"/>
    <n v="11"/>
    <n v="4.0999999999999996"/>
    <s v="No"/>
    <s v="Yes"/>
    <s v="No"/>
    <n v="0"/>
  </r>
  <r>
    <s v="USR01995"/>
    <s v="APP095"/>
    <s v="MediMate"/>
    <x v="8"/>
    <x v="4"/>
    <s v="Female"/>
    <s v="Canada"/>
    <s v="Smartphone"/>
    <n v="33"/>
    <n v="5"/>
    <s v="Yes"/>
    <s v="No"/>
    <s v="Yes"/>
    <n v="0"/>
  </r>
  <r>
    <s v="USR01996"/>
    <s v="APP096"/>
    <s v="WellNow"/>
    <x v="8"/>
    <x v="1"/>
    <s v="Male"/>
    <s v="India"/>
    <s v="Smartphone"/>
    <n v="63"/>
    <n v="4.5"/>
    <s v="Yes"/>
    <s v="Yes"/>
    <s v="No"/>
    <n v="0"/>
  </r>
  <r>
    <s v="USR01997"/>
    <s v="APP097"/>
    <s v="CareCloud"/>
    <x v="8"/>
    <x v="0"/>
    <s v="Prefer not to say"/>
    <s v="Singapore"/>
    <s v="Smartphone"/>
    <n v="91"/>
    <n v="19.100000000000001"/>
    <s v="Yes"/>
    <s v="Yes"/>
    <s v="No"/>
    <n v="0"/>
  </r>
  <r>
    <s v="USR01998"/>
    <s v="APP098"/>
    <s v="MediNow"/>
    <x v="8"/>
    <x v="4"/>
    <s v="Prefer not to say"/>
    <s v="Canada"/>
    <s v="Tablet"/>
    <n v="48"/>
    <n v="19.100000000000001"/>
    <s v="Yes"/>
    <s v="Yes"/>
    <s v="No"/>
    <n v="0"/>
  </r>
  <r>
    <s v="USR01999"/>
    <s v="APP099"/>
    <s v="MindPlus"/>
    <x v="8"/>
    <x v="2"/>
    <s v="Female"/>
    <s v="Germany"/>
    <s v="Smartphone"/>
    <n v="19"/>
    <n v="14.4"/>
    <s v="No"/>
    <s v="No"/>
    <s v="Yes"/>
    <n v="0"/>
  </r>
  <r>
    <s v="USR02000"/>
    <s v="APP100"/>
    <s v="MediCloud"/>
    <x v="8"/>
    <x v="0"/>
    <s v="Male"/>
    <s v="Australia"/>
    <s v="Smartphone"/>
    <n v="3"/>
    <n v="4.5999999999999996"/>
    <s v="No"/>
    <s v="No"/>
    <s v="No"/>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MP001"/>
    <x v="0"/>
    <s v="APP001"/>
    <s v="InvestPro"/>
    <x v="0"/>
    <n v="53"/>
    <x v="0"/>
    <s v="Simple onboarding"/>
    <s v="Slow customer support"/>
    <s v="Social media"/>
    <x v="0"/>
    <s v="Lower cost than alternatives"/>
    <n v="3.1"/>
    <n v="65000"/>
  </r>
  <r>
    <s v="CMP002"/>
    <x v="1"/>
    <s v="APP002"/>
    <s v="BankPro"/>
    <x v="0"/>
    <n v="50"/>
    <x v="1"/>
    <s v="Personalized experience"/>
    <s v="Slow customer support"/>
    <s v="Paid search ads"/>
    <x v="0"/>
    <s v="Easy integration with payments"/>
    <n v="3.9"/>
    <n v="3900"/>
  </r>
  <r>
    <s v="CMP003"/>
    <x v="0"/>
    <s v="APP003"/>
    <s v="BankX"/>
    <x v="0"/>
    <n v="16"/>
    <x v="1"/>
    <s v="Strong brand trust"/>
    <s v="Complex navigation"/>
    <s v="Paid search ads"/>
    <x v="0"/>
    <s v="Secure and private workflow"/>
    <n v="4.7"/>
    <n v="15100"/>
  </r>
  <r>
    <s v="CMP004"/>
    <x v="2"/>
    <s v="APP004"/>
    <s v="BankNow"/>
    <x v="0"/>
    <n v="25"/>
    <x v="2"/>
    <s v="Fast performance"/>
    <s v="Too many ads"/>
    <s v="Organic search"/>
    <x v="1"/>
    <s v="Lower cost than alternatives"/>
    <n v="3"/>
    <n v="65000"/>
  </r>
  <r>
    <s v="CMP005"/>
    <x v="3"/>
    <s v="APP005"/>
    <s v="CreditHub"/>
    <x v="0"/>
    <n v="23"/>
    <x v="3"/>
    <s v="Low pricing"/>
    <s v="Occasional bugs"/>
    <s v="Influencer marketing"/>
    <x v="2"/>
    <s v="Faster task completion"/>
    <n v="4.8"/>
    <n v="2116200"/>
  </r>
  <r>
    <s v="CMP006"/>
    <x v="4"/>
    <s v="APP006"/>
    <s v="PayPlus"/>
    <x v="0"/>
    <n v="51"/>
    <x v="0"/>
    <s v="Wide feature set"/>
    <s v="Occasional bugs"/>
    <s v="Paid search ads"/>
    <x v="2"/>
    <s v="AI-assisted recommendations"/>
    <n v="4.4000000000000004"/>
    <n v="21100"/>
  </r>
  <r>
    <s v="CMP007"/>
    <x v="5"/>
    <s v="APP007"/>
    <s v="BankPlus"/>
    <x v="0"/>
    <n v="44"/>
    <x v="1"/>
    <s v="High security"/>
    <s v="High subscription cost"/>
    <s v="Organic search"/>
    <x v="2"/>
    <s v="AI-assisted recommendations"/>
    <n v="4"/>
    <n v="37700"/>
  </r>
  <r>
    <s v="CMP008"/>
    <x v="6"/>
    <s v="APP008"/>
    <s v="CoinPlus"/>
    <x v="0"/>
    <n v="48"/>
    <x v="3"/>
    <s v="Simple onboarding"/>
    <s v="Slow customer support"/>
    <s v="Influencer marketing"/>
    <x v="2"/>
    <s v="Curated premium content"/>
    <n v="3.2"/>
    <n v="68600"/>
  </r>
  <r>
    <s v="CMP009"/>
    <x v="6"/>
    <s v="APP009"/>
    <s v="CreditOne"/>
    <x v="0"/>
    <n v="11"/>
    <x v="0"/>
    <s v="Large content library"/>
    <s v="Too many ads"/>
    <s v="Email campaigns"/>
    <x v="0"/>
    <s v="Secure and private workflow"/>
    <n v="3.8"/>
    <n v="22800"/>
  </r>
  <r>
    <s v="CMP010"/>
    <x v="4"/>
    <s v="APP010"/>
    <s v="PayPro"/>
    <x v="0"/>
    <n v="42"/>
    <x v="4"/>
    <s v="Simple onboarding"/>
    <s v="High subscription cost"/>
    <s v="Social media"/>
    <x v="2"/>
    <s v="Curated premium content"/>
    <n v="4"/>
    <n v="187600"/>
  </r>
  <r>
    <s v="CMP011"/>
    <x v="6"/>
    <s v="APP011"/>
    <s v="Creditly"/>
    <x v="0"/>
    <n v="66"/>
    <x v="0"/>
    <s v="High security"/>
    <s v="Limited offline access"/>
    <s v="Influencer marketing"/>
    <x v="3"/>
    <s v="Secure and private workflow"/>
    <n v="4.4000000000000004"/>
    <n v="24100"/>
  </r>
  <r>
    <s v="CMP012"/>
    <x v="7"/>
    <s v="APP012"/>
    <s v="PayX"/>
    <x v="0"/>
    <n v="63"/>
    <x v="2"/>
    <s v="Fast performance"/>
    <s v="Large app size"/>
    <s v="Social media"/>
    <x v="2"/>
    <s v="AI-assisted recommendations"/>
    <n v="3.6"/>
    <n v="75200"/>
  </r>
  <r>
    <s v="CMP013"/>
    <x v="8"/>
    <s v="APP013"/>
    <s v="DealGo"/>
    <x v="1"/>
    <n v="81"/>
    <x v="5"/>
    <s v="Simple onboarding"/>
    <s v="Limited offline access"/>
    <s v="Email campaigns"/>
    <x v="4"/>
    <s v="Lower cost than alternatives"/>
    <n v="3.6"/>
    <n v="11100"/>
  </r>
  <r>
    <s v="CMP014"/>
    <x v="8"/>
    <s v="APP014"/>
    <s v="MallNow"/>
    <x v="1"/>
    <n v="18"/>
    <x v="1"/>
    <s v="Simple onboarding"/>
    <s v="Complex navigation"/>
    <s v="Paid search ads"/>
    <x v="3"/>
    <s v="Better local language support"/>
    <n v="4.5"/>
    <n v="11300"/>
  </r>
  <r>
    <s v="CMP015"/>
    <x v="3"/>
    <s v="APP015"/>
    <s v="DealPro"/>
    <x v="1"/>
    <n v="28"/>
    <x v="1"/>
    <s v="Large content library"/>
    <s v="Large app size"/>
    <s v="Social media"/>
    <x v="2"/>
    <s v="Curated premium content"/>
    <n v="3.6"/>
    <n v="146300"/>
  </r>
  <r>
    <s v="CMP016"/>
    <x v="4"/>
    <s v="APP016"/>
    <s v="StyleNow"/>
    <x v="1"/>
    <n v="62"/>
    <x v="2"/>
    <s v="Simple onboarding"/>
    <s v="Too many ads"/>
    <s v="Social media"/>
    <x v="2"/>
    <s v="Secure and private workflow"/>
    <n v="3.2"/>
    <n v="4443900"/>
  </r>
  <r>
    <s v="CMP017"/>
    <x v="6"/>
    <s v="APP017"/>
    <s v="DealCloud"/>
    <x v="1"/>
    <n v="94"/>
    <x v="6"/>
    <s v="Wide feature set"/>
    <s v="Complex navigation"/>
    <s v="Paid search ads"/>
    <x v="2"/>
    <s v="Secure and private workflow"/>
    <n v="4.9000000000000004"/>
    <n v="2056700"/>
  </r>
  <r>
    <s v="CMP018"/>
    <x v="8"/>
    <s v="APP018"/>
    <s v="CartCloud"/>
    <x v="1"/>
    <n v="39"/>
    <x v="7"/>
    <s v="Simple onboarding"/>
    <s v="Limited languages"/>
    <s v="Social media"/>
    <x v="1"/>
    <s v="Better local language support"/>
    <n v="4.5"/>
    <n v="91000"/>
  </r>
  <r>
    <s v="CMP019"/>
    <x v="8"/>
    <s v="APP019"/>
    <s v="CartMate"/>
    <x v="1"/>
    <n v="47"/>
    <x v="7"/>
    <s v="High security"/>
    <s v="Limited languages"/>
    <s v="Influencer marketing"/>
    <x v="5"/>
    <s v="Easy integration with payments"/>
    <n v="3.8"/>
    <n v="399500"/>
  </r>
  <r>
    <s v="CMP020"/>
    <x v="2"/>
    <s v="APP020"/>
    <s v="BazaarOne"/>
    <x v="1"/>
    <n v="61"/>
    <x v="4"/>
    <s v="Fast performance"/>
    <s v="Large app size"/>
    <s v="Email campaigns"/>
    <x v="0"/>
    <s v="AI-assisted recommendations"/>
    <n v="3.6"/>
    <n v="17600"/>
  </r>
  <r>
    <s v="CMP021"/>
    <x v="0"/>
    <s v="APP021"/>
    <s v="StyleOne"/>
    <x v="1"/>
    <n v="28"/>
    <x v="2"/>
    <s v="Low pricing"/>
    <s v="High subscription cost"/>
    <s v="Organic search"/>
    <x v="1"/>
    <s v="Better local language support"/>
    <n v="3.1"/>
    <n v="3100"/>
  </r>
  <r>
    <s v="CMP022"/>
    <x v="9"/>
    <s v="APP022"/>
    <s v="Cartly"/>
    <x v="1"/>
    <n v="13"/>
    <x v="1"/>
    <s v="Fast performance"/>
    <s v="Limited offline access"/>
    <s v="App store optimization"/>
    <x v="2"/>
    <s v="Secure and private workflow"/>
    <n v="4.7"/>
    <n v="11147600"/>
  </r>
  <r>
    <s v="CMP023"/>
    <x v="1"/>
    <s v="APP023"/>
    <s v="BazaarCloud"/>
    <x v="1"/>
    <n v="15"/>
    <x v="7"/>
    <s v="Low pricing"/>
    <s v="Limited languages"/>
    <s v="Paid search ads"/>
    <x v="2"/>
    <s v="Rewards-based engagement"/>
    <n v="3.7"/>
    <n v="790500"/>
  </r>
  <r>
    <s v="CMP024"/>
    <x v="6"/>
    <s v="APP024"/>
    <s v="CartPro"/>
    <x v="1"/>
    <n v="9"/>
    <x v="5"/>
    <s v="High security"/>
    <s v="Limited offline access"/>
    <s v="Referral program"/>
    <x v="4"/>
    <s v="Curated premium content"/>
    <n v="3.7"/>
    <n v="5300"/>
  </r>
  <r>
    <s v="CMP025"/>
    <x v="1"/>
    <s v="APP025"/>
    <s v="RunPlus"/>
    <x v="2"/>
    <n v="75"/>
    <x v="2"/>
    <s v="Large content library"/>
    <s v="Occasional bugs"/>
    <s v="Referral program"/>
    <x v="3"/>
    <s v="AI-assisted recommendations"/>
    <n v="3.4"/>
    <n v="432500"/>
  </r>
  <r>
    <s v="CMP026"/>
    <x v="0"/>
    <s v="APP026"/>
    <s v="TrainCloud"/>
    <x v="2"/>
    <n v="37"/>
    <x v="1"/>
    <s v="Large content library"/>
    <s v="Large app size"/>
    <s v="Social media"/>
    <x v="2"/>
    <s v="Curated premium content"/>
    <n v="4.2"/>
    <n v="1245900"/>
  </r>
  <r>
    <s v="CMP027"/>
    <x v="5"/>
    <s v="APP027"/>
    <s v="Trainly"/>
    <x v="2"/>
    <n v="73"/>
    <x v="4"/>
    <s v="Low pricing"/>
    <s v="Limited languages"/>
    <s v="Email campaigns"/>
    <x v="5"/>
    <s v="Faster task completion"/>
    <n v="3.8"/>
    <n v="11900"/>
  </r>
  <r>
    <s v="CMP028"/>
    <x v="0"/>
    <s v="APP028"/>
    <s v="LiftCloud"/>
    <x v="2"/>
    <n v="20"/>
    <x v="4"/>
    <s v="Low pricing"/>
    <s v="Slow customer support"/>
    <s v="Social media"/>
    <x v="4"/>
    <s v="Rewards-based engagement"/>
    <n v="4"/>
    <n v="63700"/>
  </r>
  <r>
    <s v="CMP029"/>
    <x v="9"/>
    <s v="APP029"/>
    <s v="MoveNow"/>
    <x v="2"/>
    <n v="35"/>
    <x v="2"/>
    <s v="Wide feature set"/>
    <s v="Slow customer support"/>
    <s v="Paid search ads"/>
    <x v="2"/>
    <s v="Lower cost than alternatives"/>
    <n v="3.8"/>
    <n v="1456800"/>
  </r>
  <r>
    <s v="CMP030"/>
    <x v="7"/>
    <s v="APP030"/>
    <s v="ActiveMate"/>
    <x v="2"/>
    <n v="76"/>
    <x v="1"/>
    <s v="High security"/>
    <s v="Complex navigation"/>
    <s v="Organic search"/>
    <x v="4"/>
    <s v="AI-assisted recommendations"/>
    <n v="3.4"/>
    <n v="39500"/>
  </r>
  <r>
    <s v="CMP031"/>
    <x v="6"/>
    <s v="APP031"/>
    <s v="RunGo"/>
    <x v="2"/>
    <n v="20"/>
    <x v="1"/>
    <s v="Strong brand trust"/>
    <s v="Occasional bugs"/>
    <s v="Email campaigns"/>
    <x v="3"/>
    <s v="Curated premium content"/>
    <n v="4"/>
    <n v="25800"/>
  </r>
  <r>
    <s v="CMP032"/>
    <x v="4"/>
    <s v="APP032"/>
    <s v="LiftPro"/>
    <x v="2"/>
    <n v="49"/>
    <x v="1"/>
    <s v="Personalized experience"/>
    <s v="Large app size"/>
    <s v="Email campaigns"/>
    <x v="3"/>
    <s v="Lower cost than alternatives"/>
    <n v="4.0999999999999996"/>
    <n v="3621500"/>
  </r>
  <r>
    <s v="CMP033"/>
    <x v="5"/>
    <s v="APP033"/>
    <s v="LiftPro"/>
    <x v="2"/>
    <n v="97"/>
    <x v="4"/>
    <s v="Personalized experience"/>
    <s v="Slow customer support"/>
    <s v="Paid search ads"/>
    <x v="3"/>
    <s v="AI-assisted recommendations"/>
    <n v="3.6"/>
    <n v="23500"/>
  </r>
  <r>
    <s v="CMP034"/>
    <x v="8"/>
    <s v="APP034"/>
    <s v="Liftly"/>
    <x v="2"/>
    <n v="78"/>
    <x v="3"/>
    <s v="Large content library"/>
    <s v="Occasional bugs"/>
    <s v="Influencer marketing"/>
    <x v="4"/>
    <s v="Curated premium content"/>
    <n v="4.4000000000000004"/>
    <n v="62800"/>
  </r>
  <r>
    <s v="CMP035"/>
    <x v="1"/>
    <s v="APP035"/>
    <s v="YogaHub"/>
    <x v="2"/>
    <n v="17"/>
    <x v="6"/>
    <s v="Wide feature set"/>
    <s v="Too many ads"/>
    <s v="Email campaigns"/>
    <x v="3"/>
    <s v="AI-assisted recommendations"/>
    <n v="4.9000000000000004"/>
    <n v="708400"/>
  </r>
  <r>
    <s v="CMP036"/>
    <x v="1"/>
    <s v="APP036"/>
    <s v="MoveGo"/>
    <x v="2"/>
    <n v="99"/>
    <x v="5"/>
    <s v="Strong brand trust"/>
    <s v="Complex navigation"/>
    <s v="Referral program"/>
    <x v="3"/>
    <s v="Faster task completion"/>
    <n v="4"/>
    <n v="466400"/>
  </r>
  <r>
    <s v="CMP037"/>
    <x v="2"/>
    <s v="APP037"/>
    <s v="BrightNow"/>
    <x v="3"/>
    <n v="70"/>
    <x v="4"/>
    <s v="Fast performance"/>
    <s v="Large app size"/>
    <s v="Paid search ads"/>
    <x v="3"/>
    <s v="Better local language support"/>
    <n v="2.9"/>
    <n v="122000"/>
  </r>
  <r>
    <s v="CMP038"/>
    <x v="5"/>
    <s v="APP038"/>
    <s v="StudyCloud"/>
    <x v="3"/>
    <n v="27"/>
    <x v="1"/>
    <s v="Fast performance"/>
    <s v="Limited offline access"/>
    <s v="Paid search ads"/>
    <x v="2"/>
    <s v="Better local language support"/>
    <n v="3.8"/>
    <n v="21300"/>
  </r>
  <r>
    <s v="CMP039"/>
    <x v="2"/>
    <s v="APP039"/>
    <s v="SkillNow"/>
    <x v="3"/>
    <n v="61"/>
    <x v="7"/>
    <s v="High security"/>
    <s v="Slow customer support"/>
    <s v="Influencer marketing"/>
    <x v="5"/>
    <s v="Easy integration with payments"/>
    <n v="4"/>
    <n v="4316800"/>
  </r>
  <r>
    <s v="CMP040"/>
    <x v="5"/>
    <s v="APP040"/>
    <s v="LearnMate"/>
    <x v="3"/>
    <n v="20"/>
    <x v="0"/>
    <s v="Strong brand trust"/>
    <s v="High subscription cost"/>
    <s v="Paid search ads"/>
    <x v="4"/>
    <s v="AI-assisted recommendations"/>
    <n v="3.5"/>
    <n v="243800"/>
  </r>
  <r>
    <s v="CMP041"/>
    <x v="5"/>
    <s v="APP041"/>
    <s v="QuestNow"/>
    <x v="3"/>
    <n v="39"/>
    <x v="7"/>
    <s v="High security"/>
    <s v="Limited offline access"/>
    <s v="Paid search ads"/>
    <x v="4"/>
    <s v="Rewards-based engagement"/>
    <n v="3.6"/>
    <n v="534700"/>
  </r>
  <r>
    <s v="CMP042"/>
    <x v="7"/>
    <s v="APP042"/>
    <s v="SkillHub"/>
    <x v="3"/>
    <n v="23"/>
    <x v="7"/>
    <s v="High security"/>
    <s v="Too many ads"/>
    <s v="Paid search ads"/>
    <x v="5"/>
    <s v="Easy integration with payments"/>
    <n v="4.3"/>
    <n v="6300"/>
  </r>
  <r>
    <s v="CMP043"/>
    <x v="5"/>
    <s v="APP043"/>
    <s v="TutorCloud"/>
    <x v="3"/>
    <n v="53"/>
    <x v="2"/>
    <s v="Simple onboarding"/>
    <s v="Too many ads"/>
    <s v="Paid search ads"/>
    <x v="5"/>
    <s v="Better local language support"/>
    <n v="3.3"/>
    <n v="117000"/>
  </r>
  <r>
    <s v="CMP044"/>
    <x v="8"/>
    <s v="APP044"/>
    <s v="SkillOne"/>
    <x v="3"/>
    <n v="4"/>
    <x v="5"/>
    <s v="Low pricing"/>
    <s v="Slow customer support"/>
    <s v="Referral program"/>
    <x v="1"/>
    <s v="Better local language support"/>
    <n v="2.9"/>
    <n v="45000"/>
  </r>
  <r>
    <s v="CMP045"/>
    <x v="3"/>
    <s v="APP045"/>
    <s v="LearnOne"/>
    <x v="3"/>
    <n v="55"/>
    <x v="0"/>
    <s v="High security"/>
    <s v="High subscription cost"/>
    <s v="Influencer marketing"/>
    <x v="3"/>
    <s v="Easy integration with payments"/>
    <n v="3.1"/>
    <n v="14800"/>
  </r>
  <r>
    <s v="CMP046"/>
    <x v="0"/>
    <s v="APP046"/>
    <s v="LearnPlus"/>
    <x v="3"/>
    <n v="46"/>
    <x v="5"/>
    <s v="Personalized experience"/>
    <s v="Large app size"/>
    <s v="Organic search"/>
    <x v="5"/>
    <s v="Secure and private workflow"/>
    <n v="3.4"/>
    <n v="71300"/>
  </r>
  <r>
    <s v="CMP047"/>
    <x v="9"/>
    <s v="APP047"/>
    <s v="StudyPlus"/>
    <x v="3"/>
    <n v="100"/>
    <x v="1"/>
    <s v="Large content library"/>
    <s v="Occasional bugs"/>
    <s v="App store optimization"/>
    <x v="0"/>
    <s v="Easy integration with payments"/>
    <n v="3.8"/>
    <n v="124900"/>
  </r>
  <r>
    <s v="CMP048"/>
    <x v="3"/>
    <s v="APP048"/>
    <s v="StudyX"/>
    <x v="3"/>
    <n v="17"/>
    <x v="1"/>
    <s v="Strong brand trust"/>
    <s v="Occasional bugs"/>
    <s v="App store optimization"/>
    <x v="2"/>
    <s v="Lower cost than alternatives"/>
    <n v="4.4000000000000004"/>
    <n v="15200"/>
  </r>
  <r>
    <s v="CMP049"/>
    <x v="5"/>
    <s v="APP049"/>
    <s v="PlayPlus"/>
    <x v="4"/>
    <n v="22"/>
    <x v="3"/>
    <s v="Fast performance"/>
    <s v="Occasional bugs"/>
    <s v="Social media"/>
    <x v="1"/>
    <s v="AI-assisted recommendations"/>
    <n v="4.3"/>
    <n v="1259700"/>
  </r>
  <r>
    <s v="CMP050"/>
    <x v="3"/>
    <s v="APP050"/>
    <s v="ShowMate"/>
    <x v="4"/>
    <n v="22"/>
    <x v="0"/>
    <s v="Fast performance"/>
    <s v="High subscription cost"/>
    <s v="Influencer marketing"/>
    <x v="3"/>
    <s v="Lower cost than alternatives"/>
    <n v="3.3"/>
    <n v="506800"/>
  </r>
  <r>
    <s v="CMP051"/>
    <x v="9"/>
    <s v="APP051"/>
    <s v="VibeX"/>
    <x v="4"/>
    <n v="69"/>
    <x v="6"/>
    <s v="Large content library"/>
    <s v="High subscription cost"/>
    <s v="Organic search"/>
    <x v="2"/>
    <s v="AI-assisted recommendations"/>
    <n v="4"/>
    <n v="15800"/>
  </r>
  <r>
    <s v="CMP052"/>
    <x v="1"/>
    <s v="APP052"/>
    <s v="BuzzNow"/>
    <x v="4"/>
    <n v="51"/>
    <x v="6"/>
    <s v="Wide feature set"/>
    <s v="Slow customer support"/>
    <s v="Influencer marketing"/>
    <x v="3"/>
    <s v="Curated premium content"/>
    <n v="4.5"/>
    <n v="123200"/>
  </r>
  <r>
    <s v="CMP053"/>
    <x v="5"/>
    <s v="APP053"/>
    <s v="StreamPlus"/>
    <x v="4"/>
    <n v="75"/>
    <x v="6"/>
    <s v="Low pricing"/>
    <s v="Complex navigation"/>
    <s v="Email campaigns"/>
    <x v="4"/>
    <s v="Easy integration with payments"/>
    <n v="4.0999999999999996"/>
    <n v="140700"/>
  </r>
  <r>
    <s v="CMP054"/>
    <x v="5"/>
    <s v="APP054"/>
    <s v="Showly"/>
    <x v="4"/>
    <n v="92"/>
    <x v="2"/>
    <s v="Simple onboarding"/>
    <s v="Slow customer support"/>
    <s v="Referral program"/>
    <x v="4"/>
    <s v="Easy integration with payments"/>
    <n v="3.2"/>
    <n v="3400"/>
  </r>
  <r>
    <s v="CMP055"/>
    <x v="8"/>
    <s v="APP055"/>
    <s v="BuzzOne"/>
    <x v="4"/>
    <n v="28"/>
    <x v="7"/>
    <s v="Simple onboarding"/>
    <s v="Limited offline access"/>
    <s v="App store optimization"/>
    <x v="1"/>
    <s v="Easy integration with payments"/>
    <n v="4.2"/>
    <n v="330500"/>
  </r>
  <r>
    <s v="CMP056"/>
    <x v="0"/>
    <s v="APP056"/>
    <s v="PlayHub"/>
    <x v="4"/>
    <n v="63"/>
    <x v="6"/>
    <s v="Personalized experience"/>
    <s v="High subscription cost"/>
    <s v="Referral program"/>
    <x v="5"/>
    <s v="Easy integration with payments"/>
    <n v="4.3"/>
    <n v="46400"/>
  </r>
  <r>
    <s v="CMP057"/>
    <x v="2"/>
    <s v="APP057"/>
    <s v="CinemaGo"/>
    <x v="4"/>
    <n v="37"/>
    <x v="7"/>
    <s v="Low pricing"/>
    <s v="Complex navigation"/>
    <s v="Organic search"/>
    <x v="2"/>
    <s v="Better local language support"/>
    <n v="4.5"/>
    <n v="347400"/>
  </r>
  <r>
    <s v="CMP058"/>
    <x v="4"/>
    <s v="APP058"/>
    <s v="LaughX"/>
    <x v="4"/>
    <n v="43"/>
    <x v="1"/>
    <s v="Low pricing"/>
    <s v="Large app size"/>
    <s v="Email campaigns"/>
    <x v="3"/>
    <s v="Better local language support"/>
    <n v="3.6"/>
    <n v="3336900"/>
  </r>
  <r>
    <s v="CMP059"/>
    <x v="2"/>
    <s v="APP059"/>
    <s v="CinemaHub"/>
    <x v="4"/>
    <n v="90"/>
    <x v="3"/>
    <s v="Fast performance"/>
    <s v="High subscription cost"/>
    <s v="App store optimization"/>
    <x v="0"/>
    <s v="AI-assisted recommendations"/>
    <n v="3.8"/>
    <n v="623000"/>
  </r>
  <r>
    <s v="CMP060"/>
    <x v="9"/>
    <s v="APP060"/>
    <s v="ShowPro"/>
    <x v="4"/>
    <n v="22"/>
    <x v="1"/>
    <s v="Fast performance"/>
    <s v="Complex navigation"/>
    <s v="Email campaigns"/>
    <x v="0"/>
    <s v="Lower cost than alternatives"/>
    <n v="4.5999999999999996"/>
    <n v="748400"/>
  </r>
  <r>
    <s v="CMP061"/>
    <x v="1"/>
    <s v="APP061"/>
    <s v="FoodPlus"/>
    <x v="5"/>
    <n v="27"/>
    <x v="3"/>
    <s v="High security"/>
    <s v="Limited offline access"/>
    <s v="Email campaigns"/>
    <x v="1"/>
    <s v="Faster task completion"/>
    <n v="3.9"/>
    <n v="1136800"/>
  </r>
  <r>
    <s v="CMP062"/>
    <x v="3"/>
    <s v="APP062"/>
    <s v="BiteGo"/>
    <x v="5"/>
    <n v="30"/>
    <x v="2"/>
    <s v="Low pricing"/>
    <s v="Limited offline access"/>
    <s v="Referral program"/>
    <x v="3"/>
    <s v="Secure and private workflow"/>
    <n v="3.3"/>
    <n v="11900"/>
  </r>
  <r>
    <s v="CMP063"/>
    <x v="9"/>
    <s v="APP063"/>
    <s v="OrderCloud"/>
    <x v="5"/>
    <n v="12"/>
    <x v="3"/>
    <s v="Personalized experience"/>
    <s v="Slow customer support"/>
    <s v="Referral program"/>
    <x v="3"/>
    <s v="Secure and private workflow"/>
    <n v="3.5"/>
    <n v="38000"/>
  </r>
  <r>
    <s v="CMP064"/>
    <x v="1"/>
    <s v="APP064"/>
    <s v="DinePlus"/>
    <x v="5"/>
    <n v="53"/>
    <x v="5"/>
    <s v="Strong brand trust"/>
    <s v="Limited offline access"/>
    <s v="Influencer marketing"/>
    <x v="4"/>
    <s v="Secure and private workflow"/>
    <n v="3.9"/>
    <n v="1085400"/>
  </r>
  <r>
    <s v="CMP065"/>
    <x v="4"/>
    <s v="APP065"/>
    <s v="SnackX"/>
    <x v="5"/>
    <n v="13"/>
    <x v="2"/>
    <s v="Large content library"/>
    <s v="Limited languages"/>
    <s v="Referral program"/>
    <x v="2"/>
    <s v="Secure and private workflow"/>
    <n v="4.4000000000000004"/>
    <n v="799000"/>
  </r>
  <r>
    <s v="CMP066"/>
    <x v="0"/>
    <s v="APP066"/>
    <s v="FoodOne"/>
    <x v="5"/>
    <n v="16"/>
    <x v="6"/>
    <s v="Wide feature set"/>
    <s v="Limited offline access"/>
    <s v="Social media"/>
    <x v="3"/>
    <s v="Curated premium content"/>
    <n v="4.3"/>
    <n v="7600"/>
  </r>
  <r>
    <s v="CMP067"/>
    <x v="2"/>
    <s v="APP067"/>
    <s v="MealMate"/>
    <x v="5"/>
    <n v="73"/>
    <x v="4"/>
    <s v="Personalized experience"/>
    <s v="High subscription cost"/>
    <s v="Organic search"/>
    <x v="3"/>
    <s v="Rewards-based engagement"/>
    <n v="3.9"/>
    <n v="180100"/>
  </r>
  <r>
    <s v="CMP068"/>
    <x v="1"/>
    <s v="APP068"/>
    <s v="SnackHub"/>
    <x v="5"/>
    <n v="57"/>
    <x v="5"/>
    <s v="Large content library"/>
    <s v="Occasional bugs"/>
    <s v="Referral program"/>
    <x v="3"/>
    <s v="Lower cost than alternatives"/>
    <n v="3.4"/>
    <n v="14900"/>
  </r>
  <r>
    <s v="CMP069"/>
    <x v="8"/>
    <s v="APP069"/>
    <s v="BiteCloud"/>
    <x v="5"/>
    <n v="35"/>
    <x v="3"/>
    <s v="High security"/>
    <s v="Limited languages"/>
    <s v="Social media"/>
    <x v="2"/>
    <s v="Better local language support"/>
    <n v="4.9000000000000004"/>
    <n v="595500"/>
  </r>
  <r>
    <s v="CMP070"/>
    <x v="1"/>
    <s v="APP070"/>
    <s v="PlatePlus"/>
    <x v="5"/>
    <n v="88"/>
    <x v="7"/>
    <s v="Strong brand trust"/>
    <s v="Occasional bugs"/>
    <s v="Social media"/>
    <x v="3"/>
    <s v="Better local language support"/>
    <n v="3.8"/>
    <n v="16500"/>
  </r>
  <r>
    <s v="CMP071"/>
    <x v="9"/>
    <s v="APP071"/>
    <s v="VoyageGo"/>
    <x v="6"/>
    <n v="11"/>
    <x v="0"/>
    <s v="Fast performance"/>
    <s v="Too many ads"/>
    <s v="Paid search ads"/>
    <x v="3"/>
    <s v="Secure and private workflow"/>
    <n v="4.2"/>
    <n v="1400"/>
  </r>
  <r>
    <s v="CMP072"/>
    <x v="8"/>
    <s v="APP072"/>
    <s v="TripOne"/>
    <x v="6"/>
    <n v="26"/>
    <x v="1"/>
    <s v="Strong brand trust"/>
    <s v="Too many ads"/>
    <s v="Email campaigns"/>
    <x v="4"/>
    <s v="Better local language support"/>
    <n v="3.5"/>
    <n v="61800"/>
  </r>
  <r>
    <s v="CMP073"/>
    <x v="4"/>
    <s v="APP073"/>
    <s v="FlyGo"/>
    <x v="6"/>
    <n v="36"/>
    <x v="3"/>
    <s v="High security"/>
    <s v="Occasional bugs"/>
    <s v="Organic search"/>
    <x v="5"/>
    <s v="Easy integration with payments"/>
    <n v="4.5999999999999996"/>
    <n v="1509500"/>
  </r>
  <r>
    <s v="CMP074"/>
    <x v="7"/>
    <s v="APP074"/>
    <s v="MapX"/>
    <x v="6"/>
    <n v="31"/>
    <x v="0"/>
    <s v="Large content library"/>
    <s v="Slow customer support"/>
    <s v="Email campaigns"/>
    <x v="4"/>
    <s v="Easy integration with payments"/>
    <n v="4.3"/>
    <n v="5800"/>
  </r>
  <r>
    <s v="CMP075"/>
    <x v="2"/>
    <s v="APP075"/>
    <s v="StayX"/>
    <x v="6"/>
    <n v="8"/>
    <x v="1"/>
    <s v="Low pricing"/>
    <s v="Too many ads"/>
    <s v="Organic search"/>
    <x v="5"/>
    <s v="Curated premium content"/>
    <n v="4.3"/>
    <n v="140900"/>
  </r>
  <r>
    <s v="CMP076"/>
    <x v="3"/>
    <s v="APP076"/>
    <s v="GoNow"/>
    <x v="6"/>
    <n v="22"/>
    <x v="6"/>
    <s v="Strong brand trust"/>
    <s v="Too many ads"/>
    <s v="Organic search"/>
    <x v="2"/>
    <s v="Lower cost than alternatives"/>
    <n v="3.7"/>
    <n v="42100"/>
  </r>
  <r>
    <s v="CMP077"/>
    <x v="7"/>
    <s v="APP077"/>
    <s v="RouteGo"/>
    <x v="6"/>
    <n v="86"/>
    <x v="6"/>
    <s v="Wide feature set"/>
    <s v="Too many ads"/>
    <s v="App store optimization"/>
    <x v="1"/>
    <s v="Rewards-based engagement"/>
    <n v="3.4"/>
    <n v="3200"/>
  </r>
  <r>
    <s v="CMP078"/>
    <x v="4"/>
    <s v="APP078"/>
    <s v="TripGo"/>
    <x v="6"/>
    <n v="63"/>
    <x v="7"/>
    <s v="Simple onboarding"/>
    <s v="High subscription cost"/>
    <s v="Organic search"/>
    <x v="2"/>
    <s v="Lower cost than alternatives"/>
    <n v="3.4"/>
    <n v="11000"/>
  </r>
  <r>
    <s v="CMP079"/>
    <x v="3"/>
    <s v="APP079"/>
    <s v="Flyly"/>
    <x v="6"/>
    <n v="31"/>
    <x v="6"/>
    <s v="Large content library"/>
    <s v="Limited offline access"/>
    <s v="Influencer marketing"/>
    <x v="3"/>
    <s v="Secure and private workflow"/>
    <n v="3.7"/>
    <n v="97300"/>
  </r>
  <r>
    <s v="CMP080"/>
    <x v="6"/>
    <s v="APP080"/>
    <s v="TripPro"/>
    <x v="6"/>
    <n v="36"/>
    <x v="5"/>
    <s v="Low pricing"/>
    <s v="Complex navigation"/>
    <s v="App store optimization"/>
    <x v="1"/>
    <s v="Curated premium content"/>
    <n v="3.9"/>
    <n v="147600"/>
  </r>
  <r>
    <s v="CMP081"/>
    <x v="8"/>
    <s v="APP081"/>
    <s v="Focusly"/>
    <x v="7"/>
    <n v="56"/>
    <x v="7"/>
    <s v="Low pricing"/>
    <s v="Occasional bugs"/>
    <s v="Paid search ads"/>
    <x v="3"/>
    <s v="AI-assisted recommendations"/>
    <n v="3.1"/>
    <n v="3360200"/>
  </r>
  <r>
    <s v="CMP082"/>
    <x v="2"/>
    <s v="APP082"/>
    <s v="DeskX"/>
    <x v="7"/>
    <n v="22"/>
    <x v="2"/>
    <s v="Personalized experience"/>
    <s v="High subscription cost"/>
    <s v="Influencer marketing"/>
    <x v="1"/>
    <s v="Faster task completion"/>
    <n v="3.7"/>
    <n v="2000600"/>
  </r>
  <r>
    <s v="CMP083"/>
    <x v="9"/>
    <s v="APP083"/>
    <s v="DonePro"/>
    <x v="7"/>
    <n v="56"/>
    <x v="5"/>
    <s v="High security"/>
    <s v="Too many ads"/>
    <s v="Referral program"/>
    <x v="0"/>
    <s v="Lower cost than alternatives"/>
    <n v="4"/>
    <n v="4175100"/>
  </r>
  <r>
    <s v="CMP084"/>
    <x v="3"/>
    <s v="APP084"/>
    <s v="NotePlus"/>
    <x v="7"/>
    <n v="74"/>
    <x v="0"/>
    <s v="Wide feature set"/>
    <s v="Occasional bugs"/>
    <s v="Paid search ads"/>
    <x v="3"/>
    <s v="Better local language support"/>
    <n v="4.0999999999999996"/>
    <n v="190100"/>
  </r>
  <r>
    <s v="CMP085"/>
    <x v="2"/>
    <s v="APP085"/>
    <s v="SyncPlus"/>
    <x v="7"/>
    <n v="47"/>
    <x v="2"/>
    <s v="Wide feature set"/>
    <s v="Occasional bugs"/>
    <s v="Paid search ads"/>
    <x v="2"/>
    <s v="Lower cost than alternatives"/>
    <n v="3.1"/>
    <n v="4988600"/>
  </r>
  <r>
    <s v="CMP086"/>
    <x v="3"/>
    <s v="APP086"/>
    <s v="NoteOne"/>
    <x v="7"/>
    <n v="42"/>
    <x v="7"/>
    <s v="Large content library"/>
    <s v="Too many ads"/>
    <s v="Organic search"/>
    <x v="2"/>
    <s v="Rewards-based engagement"/>
    <n v="4.4000000000000004"/>
    <n v="56400"/>
  </r>
  <r>
    <s v="CMP087"/>
    <x v="5"/>
    <s v="APP087"/>
    <s v="NoteMate"/>
    <x v="7"/>
    <n v="46"/>
    <x v="6"/>
    <s v="High security"/>
    <s v="Occasional bugs"/>
    <s v="Social media"/>
    <x v="2"/>
    <s v="Curated premium content"/>
    <n v="3.9"/>
    <n v="1154600"/>
  </r>
  <r>
    <s v="CMP088"/>
    <x v="1"/>
    <s v="APP088"/>
    <s v="PlanPlus"/>
    <x v="7"/>
    <n v="73"/>
    <x v="3"/>
    <s v="Low pricing"/>
    <s v="Limited languages"/>
    <s v="Paid search ads"/>
    <x v="1"/>
    <s v="Rewards-based engagement"/>
    <n v="3.7"/>
    <n v="757800"/>
  </r>
  <r>
    <s v="CMP089"/>
    <x v="6"/>
    <s v="APP089"/>
    <s v="PlanMate"/>
    <x v="7"/>
    <n v="97"/>
    <x v="6"/>
    <s v="High security"/>
    <s v="Limited languages"/>
    <s v="Social media"/>
    <x v="3"/>
    <s v="Lower cost than alternatives"/>
    <n v="3.8"/>
    <n v="8100"/>
  </r>
  <r>
    <s v="CMP090"/>
    <x v="2"/>
    <s v="APP090"/>
    <s v="SyncPlus"/>
    <x v="7"/>
    <n v="89"/>
    <x v="2"/>
    <s v="High security"/>
    <s v="Limited offline access"/>
    <s v="Email campaigns"/>
    <x v="3"/>
    <s v="Faster task completion"/>
    <n v="3.9"/>
    <n v="1900"/>
  </r>
  <r>
    <s v="CMP091"/>
    <x v="3"/>
    <s v="APP091"/>
    <s v="ClinicPro"/>
    <x v="8"/>
    <n v="48"/>
    <x v="1"/>
    <s v="Personalized experience"/>
    <s v="Too many ads"/>
    <s v="App store optimization"/>
    <x v="0"/>
    <s v="Lower cost than alternatives"/>
    <n v="4"/>
    <n v="1011000"/>
  </r>
  <r>
    <s v="CMP092"/>
    <x v="0"/>
    <s v="APP092"/>
    <s v="MindMate"/>
    <x v="8"/>
    <n v="35"/>
    <x v="2"/>
    <s v="Wide feature set"/>
    <s v="Complex navigation"/>
    <s v="Referral program"/>
    <x v="5"/>
    <s v="Rewards-based engagement"/>
    <n v="3.4"/>
    <n v="3300"/>
  </r>
  <r>
    <s v="CMP093"/>
    <x v="2"/>
    <s v="APP093"/>
    <s v="ClinicOne"/>
    <x v="8"/>
    <n v="15"/>
    <x v="3"/>
    <s v="Simple onboarding"/>
    <s v="Occasional bugs"/>
    <s v="Paid search ads"/>
    <x v="1"/>
    <s v="AI-assisted recommendations"/>
    <n v="4.4000000000000004"/>
    <n v="306600"/>
  </r>
  <r>
    <s v="CMP094"/>
    <x v="8"/>
    <s v="APP094"/>
    <s v="WellMate"/>
    <x v="8"/>
    <n v="70"/>
    <x v="5"/>
    <s v="Wide feature set"/>
    <s v="Large app size"/>
    <s v="App store optimization"/>
    <x v="3"/>
    <s v="AI-assisted recommendations"/>
    <n v="4.0999999999999996"/>
    <n v="188400"/>
  </r>
  <r>
    <s v="CMP095"/>
    <x v="1"/>
    <s v="APP095"/>
    <s v="MediMate"/>
    <x v="8"/>
    <n v="78"/>
    <x v="4"/>
    <s v="Personalized experience"/>
    <s v="High subscription cost"/>
    <s v="Influencer marketing"/>
    <x v="1"/>
    <s v="Rewards-based engagement"/>
    <n v="4"/>
    <n v="9000"/>
  </r>
  <r>
    <s v="CMP096"/>
    <x v="6"/>
    <s v="APP096"/>
    <s v="WellNow"/>
    <x v="8"/>
    <n v="81"/>
    <x v="3"/>
    <s v="Large content library"/>
    <s v="Large app size"/>
    <s v="App store optimization"/>
    <x v="3"/>
    <s v="Faster task completion"/>
    <n v="4.0999999999999996"/>
    <n v="73600"/>
  </r>
  <r>
    <s v="CMP097"/>
    <x v="6"/>
    <s v="APP097"/>
    <s v="CareCloud"/>
    <x v="8"/>
    <n v="7"/>
    <x v="6"/>
    <s v="Personalized experience"/>
    <s v="Too many ads"/>
    <s v="Paid search ads"/>
    <x v="1"/>
    <s v="Faster task completion"/>
    <n v="3.3"/>
    <n v="3029500"/>
  </r>
  <r>
    <s v="CMP098"/>
    <x v="7"/>
    <s v="APP098"/>
    <s v="MediNow"/>
    <x v="8"/>
    <n v="21"/>
    <x v="7"/>
    <s v="Simple onboarding"/>
    <s v="Complex navigation"/>
    <s v="Influencer marketing"/>
    <x v="4"/>
    <s v="AI-assisted recommendations"/>
    <n v="4.5999999999999996"/>
    <n v="79500"/>
  </r>
  <r>
    <s v="CMP099"/>
    <x v="7"/>
    <s v="APP099"/>
    <s v="MindPlus"/>
    <x v="8"/>
    <n v="34"/>
    <x v="7"/>
    <s v="Wide feature set"/>
    <s v="Complex navigation"/>
    <s v="Organic search"/>
    <x v="3"/>
    <s v="Lower cost than alternatives"/>
    <n v="3.6"/>
    <n v="855900"/>
  </r>
  <r>
    <s v="CMP100"/>
    <x v="5"/>
    <s v="APP100"/>
    <s v="MediCloud"/>
    <x v="8"/>
    <n v="61"/>
    <x v="3"/>
    <s v="Personalized experience"/>
    <s v="High subscription cost"/>
    <s v="Email campaigns"/>
    <x v="3"/>
    <s v="Easy integration with payments"/>
    <n v="4"/>
    <n v="271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C7C14B-B0B1-4966-8B69-8C08D17AE9FC}" name="PivotTable1" cacheId="5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7">
  <location ref="A4:B14" firstHeaderRow="1" firstDataRow="1" firstDataCol="1" rowPageCount="1" colPageCount="1"/>
  <pivotFields count="17">
    <pivotField compact="0" outline="0" showAll="0" defaultSubtotal="0"/>
    <pivotField axis="axisRow" compact="0" outline="0" showAll="0" measureFilter="1" sortType="ascending" defaultSubtotal="0">
      <items count="98">
        <item x="29"/>
        <item x="3"/>
        <item x="6"/>
        <item x="1"/>
        <item x="2"/>
        <item x="22"/>
        <item x="19"/>
        <item x="67"/>
        <item x="60"/>
        <item x="35"/>
        <item x="50"/>
        <item x="53"/>
        <item n="   " x="94"/>
        <item x="17"/>
        <item x="21"/>
        <item x="18"/>
        <item x="23"/>
        <item x="55"/>
        <item x="57"/>
        <item x="90"/>
        <item x="88"/>
        <item x="7"/>
        <item x="4"/>
        <item x="10"/>
        <item x="8"/>
        <item x="16"/>
        <item x="12"/>
        <item x="14"/>
        <item x="80"/>
        <item x="62"/>
        <item x="81"/>
        <item x="71"/>
        <item x="77"/>
        <item x="79"/>
        <item x="64"/>
        <item x="59"/>
        <item x="74"/>
        <item x="0"/>
        <item x="56"/>
        <item x="38"/>
        <item x="43"/>
        <item x="44"/>
        <item x="27"/>
        <item x="32"/>
        <item x="31"/>
        <item x="13"/>
        <item x="72"/>
        <item x="65"/>
        <item x="97"/>
        <item x="92"/>
        <item x="95"/>
        <item x="89"/>
        <item x="96"/>
        <item x="34"/>
        <item x="28"/>
        <item x="85"/>
        <item x="84"/>
        <item x="82"/>
        <item x="61"/>
        <item x="5"/>
        <item x="9"/>
        <item x="11"/>
        <item x="87"/>
        <item x="86"/>
        <item x="68"/>
        <item x="54"/>
        <item x="47"/>
        <item x="39"/>
        <item x="75"/>
        <item x="30"/>
        <item x="24"/>
        <item x="52"/>
        <item x="48"/>
        <item x="58"/>
        <item x="40"/>
        <item x="37"/>
        <item x="42"/>
        <item x="66"/>
        <item x="63"/>
        <item x="73"/>
        <item x="51"/>
        <item x="36"/>
        <item x="45"/>
        <item x="46"/>
        <item x="15"/>
        <item x="20"/>
        <item x="83"/>
        <item x="25"/>
        <item x="26"/>
        <item x="76"/>
        <item x="70"/>
        <item x="78"/>
        <item x="41"/>
        <item x="49"/>
        <item x="69"/>
        <item x="91"/>
        <item x="93"/>
        <item x="33"/>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9">
        <item x="3"/>
        <item x="4"/>
        <item x="0"/>
        <item x="2"/>
        <item x="5"/>
        <item x="8"/>
        <item x="7"/>
        <item x="1"/>
        <item x="6"/>
      </items>
    </pivotField>
    <pivotField compact="0" outline="0" showAll="0" defaultSubtotal="0">
      <items count="3">
        <item x="0"/>
        <item x="1"/>
        <item x="2"/>
      </items>
    </pivotField>
    <pivotField compact="0" outline="0" showAll="0" defaultSubtotal="0">
      <items count="10">
        <item x="6"/>
        <item x="3"/>
        <item x="0"/>
        <item x="9"/>
        <item x="7"/>
        <item x="8"/>
        <item x="5"/>
        <item x="4"/>
        <item x="2"/>
        <item x="1"/>
      </items>
    </pivotField>
    <pivotField compact="0" outline="0" showAll="0" defaultSubtotal="0"/>
    <pivotField compact="0" outline="0" showAll="0" defaultSubtotal="0">
      <items count="4">
        <item x="0"/>
        <item x="3"/>
        <item x="2"/>
        <item x="1"/>
      </items>
    </pivotField>
    <pivotField compact="0" outline="0" showAll="0" defaultSubtotal="0"/>
    <pivotField compact="0" outline="0" showAll="0" defaultSubtotal="0"/>
    <pivotField compact="0" outline="0" showAll="0" defaultSubtotal="0"/>
    <pivotField compact="0" outline="0" showAll="0" defaultSubtotal="0">
      <items count="8">
        <item x="0"/>
        <item x="4"/>
        <item x="5"/>
        <item x="1"/>
        <item x="2"/>
        <item x="7"/>
        <item x="6"/>
        <item x="3"/>
      </items>
    </pivotField>
    <pivotField compact="0" numFmtId="14" outline="0" showAll="0" defaultSubtotal="0"/>
    <pivotField compact="0" outline="0" showAll="0" defaultSubtotal="0"/>
    <pivotField dataField="1" compact="0" numFmtId="165" outline="0" showAll="0" defaultSubtotal="0"/>
    <pivotField compact="0" outline="0" showAll="0" defaultSubtotal="0"/>
    <pivotField compact="0" outline="0" showAll="0" defaultSubtotal="0"/>
    <pivotField compact="0" outline="0" showAll="0" defaultSubtotal="0"/>
  </pivotFields>
  <rowFields count="1">
    <field x="1"/>
  </rowFields>
  <rowItems count="10">
    <i>
      <x v="48"/>
    </i>
    <i>
      <x v="12"/>
    </i>
    <i>
      <x v="38"/>
    </i>
    <i>
      <x v="33"/>
    </i>
    <i>
      <x v="44"/>
    </i>
    <i>
      <x v="30"/>
    </i>
    <i>
      <x v="75"/>
    </i>
    <i>
      <x v="84"/>
    </i>
    <i>
      <x v="86"/>
    </i>
    <i>
      <x v="14"/>
    </i>
  </rowItems>
  <colItems count="1">
    <i/>
  </colItems>
  <pageFields count="1">
    <pageField fld="2" hier="-1"/>
  </pageFields>
  <dataFields count="1">
    <dataField name="Sum of estimated_revenue_usd" fld="13" baseField="0" baseItem="0"/>
  </dataFields>
  <chartFormats count="2">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291146-1C0B-4D32-8941-5DE0C9FE0216}" name="PivotTable2" cacheId="5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A3:B8" firstHeaderRow="1" firstDataRow="1" firstDataCol="1"/>
  <pivotFields count="14">
    <pivotField dataField="1" compact="0" outline="0" showAll="0" defaultSubtotal="0"/>
    <pivotField compact="0" outline="0" showAll="0" defaultSubtotal="0"/>
    <pivotField compact="0" outline="0" showAll="0" defaultSubtotal="0"/>
    <pivotField compact="0" outline="0" showAll="0" defaultSubtotal="0">
      <items count="9">
        <item h="1" x="3"/>
        <item h="1" x="4"/>
        <item h="1" x="0"/>
        <item h="1" x="2"/>
        <item h="1" x="5"/>
        <item x="8"/>
        <item h="1" x="7"/>
        <item h="1" x="1"/>
        <item h="1" x="6"/>
      </items>
    </pivotField>
    <pivotField axis="axisRow" compact="0" outline="0" showAll="0" sortType="descending" defaultSubtotal="0">
      <items count="5">
        <item x="3"/>
        <item x="4"/>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s>
  <rowFields count="1">
    <field x="4"/>
  </rowFields>
  <rowItems count="5">
    <i>
      <x/>
    </i>
    <i>
      <x v="1"/>
    </i>
    <i>
      <x v="2"/>
    </i>
    <i>
      <x v="3"/>
    </i>
    <i>
      <x v="4"/>
    </i>
  </rowItems>
  <colItems count="1">
    <i/>
  </colItems>
  <dataFields count="1">
    <dataField name="Count of us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41ADC-C5F2-4CDD-AC31-6F10A7968ADA}" name="PivotTable3" cacheId="6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Developer Company">
  <location ref="A3:B13" firstHeaderRow="1" firstDataRow="1" firstDataCol="1"/>
  <pivotFields count="14">
    <pivotField showAll="0"/>
    <pivotField axis="axisRow" showAll="0">
      <items count="11">
        <item x="6"/>
        <item x="3"/>
        <item x="0"/>
        <item x="9"/>
        <item x="7"/>
        <item x="8"/>
        <item x="5"/>
        <item x="4"/>
        <item x="2"/>
        <item x="1"/>
        <item t="default"/>
      </items>
    </pivotField>
    <pivotField showAll="0"/>
    <pivotField showAll="0"/>
    <pivotField showAll="0">
      <items count="10">
        <item x="3"/>
        <item x="4"/>
        <item x="0"/>
        <item x="2"/>
        <item x="5"/>
        <item x="8"/>
        <item x="7"/>
        <item x="1"/>
        <item x="6"/>
        <item t="default"/>
      </items>
    </pivotField>
    <pivotField showAll="0"/>
    <pivotField showAll="0">
      <items count="9">
        <item x="0"/>
        <item x="6"/>
        <item x="4"/>
        <item x="5"/>
        <item x="2"/>
        <item x="1"/>
        <item x="7"/>
        <item x="3"/>
        <item t="default"/>
      </items>
    </pivotField>
    <pivotField showAll="0"/>
    <pivotField showAll="0"/>
    <pivotField showAll="0"/>
    <pivotField showAll="0">
      <items count="7">
        <item x="1"/>
        <item x="0"/>
        <item x="5"/>
        <item x="3"/>
        <item x="4"/>
        <item x="2"/>
        <item t="default"/>
      </items>
    </pivotField>
    <pivotField showAll="0"/>
    <pivotField showAll="0"/>
    <pivotField dataField="1" numFmtId="165" showAll="0"/>
  </pivotFields>
  <rowFields count="1">
    <field x="1"/>
  </rowFields>
  <rowItems count="10">
    <i>
      <x/>
    </i>
    <i>
      <x v="1"/>
    </i>
    <i>
      <x v="2"/>
    </i>
    <i>
      <x v="3"/>
    </i>
    <i>
      <x v="4"/>
    </i>
    <i>
      <x v="5"/>
    </i>
    <i>
      <x v="6"/>
    </i>
    <i>
      <x v="7"/>
    </i>
    <i>
      <x v="8"/>
    </i>
    <i>
      <x v="9"/>
    </i>
  </rowItems>
  <colItems count="1">
    <i/>
  </colItems>
  <dataFields count="1">
    <dataField name="Revenue (in usd)" fld="13" baseField="1" baseItem="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76FAC0-DD3E-49DE-B6F2-05D97B2BED5B}" sourceName="category">
  <pivotTables>
    <pivotTable tabId="7" name="PivotTable1"/>
  </pivotTables>
  <data>
    <tabular pivotCacheId="1891438638">
      <items count="9">
        <i x="3" s="1"/>
        <i x="4" s="1"/>
        <i x="0" s="1"/>
        <i x="2" s="1"/>
        <i x="5" s="1"/>
        <i x="8" s="1"/>
        <i x="7"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ing_model" xr10:uid="{C82AF205-9F9F-4817-9CE0-ADD0D2AE147D}" sourceName="pricing_model">
  <pivotTables>
    <pivotTable tabId="7" name="PivotTable1"/>
  </pivotTables>
  <data>
    <tabular pivotCacheId="1891438638">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7F0ACC4-F70B-48C0-A01B-78A3F78E54A3}" sourceName="platform">
  <pivotTables>
    <pivotTable tabId="7" name="PivotTable1"/>
  </pivotTables>
  <data>
    <tabular pivotCacheId="189143863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available" xr10:uid="{F4D999B1-6EF2-40E0-8F31-B691273263C3}" sourceName="country_available">
  <pivotTables>
    <pivotTable tabId="7" name="PivotTable1"/>
  </pivotTables>
  <data>
    <tabular pivotCacheId="1891438638">
      <items count="8">
        <i x="0" s="1"/>
        <i x="4" s="1"/>
        <i x="5" s="1"/>
        <i x="1" s="1"/>
        <i x="2" s="1"/>
        <i x="7"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5EA3136-5932-4D91-90E3-D7D30B8A970F}" sourceName="Category">
  <pivotTables>
    <pivotTable tabId="9" name="PivotTable2"/>
  </pivotTables>
  <data>
    <tabular pivotCacheId="2058689505">
      <items count="9">
        <i x="3"/>
        <i x="4"/>
        <i x="0"/>
        <i x="2"/>
        <i x="5"/>
        <i x="8" s="1"/>
        <i x="7"/>
        <i x="1"/>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eloper_company" xr10:uid="{92928724-F236-4FD8-A5BF-22D7A30E2303}" sourceName="developer_company">
  <pivotTables>
    <pivotTable tabId="7" name="PivotTable1"/>
  </pivotTables>
  <data>
    <tabular pivotCacheId="1891438638">
      <items count="10">
        <i x="6" s="1"/>
        <i x="3" s="1"/>
        <i x="0" s="1"/>
        <i x="9" s="1"/>
        <i x="7" s="1"/>
        <i x="8" s="1"/>
        <i x="5" s="1"/>
        <i x="4"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 xr10:uid="{30B63874-EFE9-4E13-B72A-669E166ED228}" sourceName="target_audience">
  <pivotTables>
    <pivotTable tabId="10" name="PivotTable3"/>
  </pivotTables>
  <data>
    <tabular pivotCacheId="1243434880">
      <items count="8">
        <i x="0" s="1"/>
        <i x="6" s="1"/>
        <i x="4" s="1"/>
        <i x="5" s="1"/>
        <i x="2" s="1"/>
        <i x="1" s="1"/>
        <i x="7"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tization_strategy" xr10:uid="{317BBF96-7BFD-4C84-96B4-14F986DB4529}" sourceName="monetization_strategy">
  <pivotTables>
    <pivotTable tabId="10" name="PivotTable3"/>
  </pivotTables>
  <data>
    <tabular pivotCacheId="1243434880">
      <items count="6">
        <i x="1" s="1"/>
        <i x="0" s="1"/>
        <i x="5" s="1"/>
        <i x="3" s="1"/>
        <i x="4"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6CABF19E-52FE-42D4-A162-5E4D3555FB5F}" sourceName="category">
  <pivotTables>
    <pivotTable tabId="10" name="PivotTable3"/>
  </pivotTables>
  <data>
    <tabular pivotCacheId="1243434880">
      <items count="9">
        <i x="3" s="1"/>
        <i x="4" s="1"/>
        <i x="0" s="1"/>
        <i x="2" s="1"/>
        <i x="5" s="1"/>
        <i x="8" s="1"/>
        <i x="7"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9148B70-E9A5-4F77-BF35-5CAAF889C73F}" cache="Slicer_category" caption="category" columnCount="3" rowHeight="241300"/>
  <slicer name="pricing_model 1" xr10:uid="{322C1290-8631-439A-8355-378A3AAC1467}" cache="Slicer_pricing_model" caption="pricing_model" columnCount="2" rowHeight="241300"/>
  <slicer name="platform 1" xr10:uid="{4646F60C-885E-4B28-808F-7772878DE94F}" cache="Slicer_platform" caption="platform" rowHeight="241300"/>
  <slicer name="country_available 1" xr10:uid="{0A8B1C11-E05B-461F-9675-7189264B2057}" cache="Slicer_country_available" caption="country_available" rowHeight="241300"/>
  <slicer name="developer_company 1" xr10:uid="{A4F20E59-071E-4D55-94CB-DCA917E46EB5}" cache="Slicer_developer_company" caption="developer_company" rowHeight="241300"/>
  <slicer name="target_audience 1" xr10:uid="{2F136A38-7927-43B8-8A88-333B4468947B}" cache="Slicer_target_audience" caption="target_audience" columnCount="2" rowHeight="241300"/>
  <slicer name="monetization_strategy 1" xr10:uid="{C9ED2205-3426-4C2E-8BEE-4C3B82F54825}" cache="Slicer_monetization_strategy" caption="monetization_strategy" columnCount="2" rowHeight="241300"/>
  <slicer name="category 4" xr10:uid="{D38D771F-3B08-415C-954C-A132FCF1CCB7}" cache="Slicer_category2" caption="categor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AFCA73-D9C2-4951-A61C-01A0A38B4159}" cache="Slicer_category" caption="category" startItem="1" rowHeight="241300"/>
  <slicer name="pricing_model" xr10:uid="{041ED680-CFAB-4DC5-8C41-4989D5030B4E}" cache="Slicer_pricing_model" caption="pricing_model" rowHeight="241300"/>
  <slicer name="platform" xr10:uid="{B3FA5BC8-84DE-4AB0-87AA-EF14BD5044AF}" cache="Slicer_platform" caption="platform" rowHeight="241300"/>
  <slicer name="country_available" xr10:uid="{D801826C-4D3B-4AE3-A153-FBEB8717F519}" cache="Slicer_country_available" caption="country_available" rowHeight="241300"/>
  <slicer name="developer_company" xr10:uid="{ED58A035-AE00-4936-8DEC-902DB52C099F}" cache="Slicer_developer_company" caption="developer_compan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367AB62F-870A-4AC5-9D26-679906884840}" cache="Slicer_Category1"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_audience" xr10:uid="{F5B00A56-3D79-4995-8AFE-25180C1F1B66}" cache="Slicer_target_audience" caption="target_audience" rowHeight="241300"/>
  <slicer name="monetization_strategy" xr10:uid="{C4FD4FBC-356B-4D8A-92E7-5E8061A0C47F}" cache="Slicer_monetization_strategy" caption="monetization_strategy" rowHeight="241300"/>
  <slicer name="category 3" xr10:uid="{4EEA824D-2C4D-4ECA-AC44-3451084D3B95}" cache="Slicer_category2"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0F4C2-42BD-4936-8DC4-6C7208B9C134}" name="Table1" displayName="Table1" ref="A1:Q101" totalsRowShown="0">
  <autoFilter ref="A1:Q101" xr:uid="{83D0F4C2-42BD-4936-8DC4-6C7208B9C134}"/>
  <tableColumns count="17">
    <tableColumn id="1" xr3:uid="{323A5C68-AE64-4053-9FCC-B605CBE8CE81}" name="app_id"/>
    <tableColumn id="2" xr3:uid="{305CFC7D-CBC4-447F-B177-EF2E80F3EBED}" name="app_name"/>
    <tableColumn id="3" xr3:uid="{25535558-F749-4AF7-B270-9ED7F9A3F975}" name="category"/>
    <tableColumn id="4" xr3:uid="{66C2304D-32DF-47A3-A1AE-3A12AD1532A8}" name="platform"/>
    <tableColumn id="5" xr3:uid="{F5A949E5-561F-4794-A0E3-5B8A7AEA402F}" name="developer_company"/>
    <tableColumn id="6" xr3:uid="{C33DD1FA-C3B6-46A3-B019-DC1A5B24481A}" name="launch_year"/>
    <tableColumn id="7" xr3:uid="{DCEE60F8-2BCB-4E69-B5DE-F3FDEA07B224}" name="pricing_model"/>
    <tableColumn id="8" xr3:uid="{39895EA4-A1A5-4D40-8CDB-0AEC4305253E}" name="current_rating"/>
    <tableColumn id="9" xr3:uid="{8110AA5C-CA9F-493D-A0B9-238916C5DDCB}" name="total_downloads"/>
    <tableColumn id="10" xr3:uid="{98EB3EA7-2B44-44DF-800E-B224BFA850C9}" name="app_size_mb"/>
    <tableColumn id="11" xr3:uid="{0AC9377B-17EE-4AF0-8638-1FAE2EBA2E65}" name="country_available"/>
    <tableColumn id="12" xr3:uid="{BCF6781C-65D3-4FB3-94F7-121B0DDB7C8B}" name="last_updated_date" dataDxfId="20"/>
    <tableColumn id="13" xr3:uid="{5B1BC109-3CEC-4F5B-BFAF-1F6A3BD57AF7}" name="market_rank"/>
    <tableColumn id="14" xr3:uid="{43CF1C22-BFF9-4D18-8726-8ABABB1D4B35}" name="estimated_revenue_usd" dataDxfId="19"/>
    <tableColumn id="15" xr3:uid="{C962872C-3893-469E-9029-F949243F1962}" name="competitor_id"/>
    <tableColumn id="16" xr3:uid="{FB5F3116-CDE5-4169-94DA-6C72F8634CA0}" name="marketing_channel"/>
    <tableColumn id="17" xr3:uid="{C7150856-C8F9-4CB7-B531-C9CCCFF0CB2A}" name="monetization_strateg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F11230-E3FC-4595-9291-BAF195C4F912}" name="Table3" displayName="Table3" ref="A1:N101" totalsRowShown="0">
  <autoFilter ref="A1:N101" xr:uid="{DEF11230-E3FC-4595-9291-BAF195C4F912}"/>
  <tableColumns count="14">
    <tableColumn id="1" xr3:uid="{4E2AA348-D590-4321-BFB3-22AA4072F9E8}" name="competitor_id"/>
    <tableColumn id="12" xr3:uid="{C631209C-78D4-4A58-AF15-FD6C1BD23F3F}" name="developer_company" dataDxfId="9">
      <calculatedColumnFormula>_xlfn.XLOOKUP(Table3[[#This Row],[app_id]],Table5[app_id],Table5[developer_company],"",0)</calculatedColumnFormula>
    </tableColumn>
    <tableColumn id="2" xr3:uid="{185CCFA2-6395-4DBC-B42B-4056AAF244C6}" name="app_id"/>
    <tableColumn id="13" xr3:uid="{96FA35FF-BDA3-4C4C-B1B9-164AE6BFABCE}" name="app_name" dataDxfId="8">
      <calculatedColumnFormula>_xlfn.XLOOKUP(Table3[[#This Row],[app_id]],Table5[app_id],Table5[app_name],"",0)</calculatedColumnFormula>
    </tableColumn>
    <tableColumn id="14" xr3:uid="{637FF149-7299-46F3-8BBA-50BD97A42EFC}" name="category" dataDxfId="7">
      <calculatedColumnFormula>_xlfn.XLOOKUP(Table3[[#This Row],[app_id]],Table5[app_id],Table5[category],"",0)</calculatedColumnFormula>
    </tableColumn>
    <tableColumn id="3" xr3:uid="{0D7B9697-7671-46C6-9C50-12B447CC6E99}" name="market_rank"/>
    <tableColumn id="4" xr3:uid="{38EB4D92-179E-4333-98D4-F68A47507277}" name="target_audience"/>
    <tableColumn id="5" xr3:uid="{87125065-A3A4-4887-BC75-FC41AE3A43B4}" name="main_strength"/>
    <tableColumn id="6" xr3:uid="{9F83CCE8-D4A6-4BE2-85F9-30C0E44C3C15}" name="main_weakness"/>
    <tableColumn id="7" xr3:uid="{4F900D77-6012-4E2D-ACE7-A11EE3472FDE}" name="marketing_channel"/>
    <tableColumn id="8" xr3:uid="{F9424142-F278-457A-B209-DC9D39AD2EA3}" name="monetization_strategy"/>
    <tableColumn id="9" xr3:uid="{7D0D4FB7-C4DD-4C54-BFA0-A040D6C98355}" name="unique_selling_point"/>
    <tableColumn id="10" xr3:uid="{214A8126-610F-44FF-B626-9D19AA0A4D5C}" name="competitor_rating"/>
    <tableColumn id="11" xr3:uid="{12C617D8-603C-4F03-AB08-19B610E96BEC}" name="estimated_revenue_usd"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A933AE-1DC7-4901-8655-BA4ED489FEF0}" name="Table4" displayName="Table4" ref="A1:N101" totalsRowShown="0">
  <autoFilter ref="A1:N101" xr:uid="{A7A933AE-1DC7-4901-8655-BA4ED489FEF0}"/>
  <tableColumns count="14">
    <tableColumn id="1" xr3:uid="{94170143-4DA3-45A4-8A15-D39700BFE7D9}" name="feature_id"/>
    <tableColumn id="2" xr3:uid="{7FD49979-D219-493E-83C7-BF7EF7A224D4}" name="app_id"/>
    <tableColumn id="13" xr3:uid="{CB2DC320-ED00-4838-BABA-BA45549F237D}" name="category" dataDxfId="6">
      <calculatedColumnFormula>_xlfn.XLOOKUP(Table4[[#This Row],[app_id]],Table5[app_id],Table5[category],"",0)</calculatedColumnFormula>
    </tableColumn>
    <tableColumn id="3" xr3:uid="{4243C903-2BB0-4A28-AC72-C68AEC11D9D0}" name="login_options"/>
    <tableColumn id="4" xr3:uid="{B67FA311-7087-48F3-9EC6-198927829122}" name="push_notifications"/>
    <tableColumn id="5" xr3:uid="{E4C6081E-596A-433D-A46C-F9C9A18CF2B1}" name="offline_access"/>
    <tableColumn id="6" xr3:uid="{7E84173A-D01C-4CE2-AB11-6EE9303043E7}" name="ai_features"/>
    <tableColumn id="7" xr3:uid="{A438DA72-6976-4160-8B8B-3C7AA6BA399D}" name="payment_integration"/>
    <tableColumn id="8" xr3:uid="{1AED5633-9FD0-45C4-8875-969E069D5E6F}" name="chatbot_support"/>
    <tableColumn id="9" xr3:uid="{1596922A-DDAC-4EAA-8972-A91F217E0C00}" name="personalization"/>
    <tableColumn id="10" xr3:uid="{88EE1553-BECF-4C8E-BA6D-29BBE447DFB8}" name="dark_mode"/>
    <tableColumn id="11" xr3:uid="{9393ECBA-12D4-48D5-B310-AF87B88AE7E1}" name="multi_language_support"/>
    <tableColumn id="12" xr3:uid="{130DDF37-225B-452A-8086-46B95E89E9DE}" name="security_features"/>
    <tableColumn id="15" xr3:uid="{F43C5AC7-9CD5-4587-A6B7-7D3DAB8E60F1}" name="rating_given" dataDxfId="5">
      <calculatedColumnFormula>_xlfn.XLOOKUP(Table4[[#This Row],[app_id]],Table7[app_id],Table7[rating_given],"",0)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FBAE7C-525D-47EF-8EAD-F8482DC1B17D}" name="Table49" displayName="Table49" ref="A1:M101" totalsRowShown="0">
  <autoFilter ref="A1:M101" xr:uid="{A7A933AE-1DC7-4901-8655-BA4ED489FEF0}">
    <filterColumn colId="2">
      <filters>
        <filter val="Education"/>
      </filters>
    </filterColumn>
  </autoFilter>
  <tableColumns count="13">
    <tableColumn id="1" xr3:uid="{7C065390-CAC7-4E8A-B2AA-0BB3F216BDA8}" name="feature_id"/>
    <tableColumn id="2" xr3:uid="{92357FD5-60FE-4F2C-A774-97D5EB974C25}" name="app_id"/>
    <tableColumn id="13" xr3:uid="{051C86F1-3913-4A79-A166-DD69EDC11503}" name="category" dataDxfId="4">
      <calculatedColumnFormula>_xlfn.XLOOKUP(Table49[[#This Row],[app_id]],Table5[app_id],Table5[category],"",0)</calculatedColumnFormula>
    </tableColumn>
    <tableColumn id="4" xr3:uid="{C5CE5918-7D35-4487-BBAF-C9DDB3BD7C88}" name="push_notifications">
      <calculatedColumnFormula>IF(_xlfn.XLOOKUP(Table49[[#This Row],[app_id]],Table4[app_id],Table4[push_notifications],"",0)="Yes",1,0)</calculatedColumnFormula>
    </tableColumn>
    <tableColumn id="5" xr3:uid="{9A8F825A-3248-468F-837E-A4A983E346BD}" name="offline_access" dataDxfId="2">
      <calculatedColumnFormula>IF(_xlfn.XLOOKUP(Table49[[#This Row],[app_id]],Table4[app_id],Table4[offline_access],"",0)="Yes",1,0)</calculatedColumnFormula>
    </tableColumn>
    <tableColumn id="6" xr3:uid="{10456D3C-5CB6-45E1-B06A-EBFBEDC8EA54}" name="ai_features" dataDxfId="1">
      <calculatedColumnFormula>IF(_xlfn.XLOOKUP(Table49[[#This Row],[app_id]],Table4[app_id],Table4[ai_features],"",0)="Yes",1,0)</calculatedColumnFormula>
    </tableColumn>
    <tableColumn id="7" xr3:uid="{CEE5E813-EB41-42B3-A76F-AD3AFDB1E877}" name="payment_integration" dataDxfId="0">
      <calculatedColumnFormula>IF(_xlfn.XLOOKUP(Table49[[#This Row],[app_id]],Table4[app_id],Table4[payment_integration],"",0)="Yes",1,0)</calculatedColumnFormula>
    </tableColumn>
    <tableColumn id="8" xr3:uid="{0CD91059-26DF-4549-B590-476D1772008A}" name="chatbot_support">
      <calculatedColumnFormula>IF(_xlfn.XLOOKUP(Table49[[#This Row],[app_id]],Table4[app_id],Table4[chatbot_support],"",0)="Yes",1,0)</calculatedColumnFormula>
    </tableColumn>
    <tableColumn id="9" xr3:uid="{61F82D7A-E06D-4EFC-9993-EE461578A273}" name="personalization">
      <calculatedColumnFormula>IF(_xlfn.XLOOKUP(Table49[[#This Row],[app_id]],Table4[app_id],Table4[personalization],"",0)="Yes",1,0)</calculatedColumnFormula>
    </tableColumn>
    <tableColumn id="10" xr3:uid="{65262ED4-DBDC-4157-8322-9C3C093CC16D}" name="dark_mode">
      <calculatedColumnFormula>IF(_xlfn.XLOOKUP(Table49[[#This Row],[app_id]],Table4[app_id],Table4[dark_mode],"",0)="Yes",1,0)</calculatedColumnFormula>
    </tableColumn>
    <tableColumn id="11" xr3:uid="{681A83DF-5DA2-4BFE-82A1-CD00EDAAB40F}" name="multi_language_support">
      <calculatedColumnFormula>IF(_xlfn.XLOOKUP(Table49[[#This Row],[app_id]],Table4[app_id],Table4[multi_language_support],"",0)="Yes",1,0)</calculatedColumnFormula>
    </tableColumn>
    <tableColumn id="12" xr3:uid="{D75788E5-B8BB-472F-B7AA-13049F32A5B5}" name="security_features">
      <calculatedColumnFormula array="1">_xlfn.IFS(_xlfn.XLOOKUP(Table49[[#This Row],[app_id]],Table4[app_id],Table4[security_features])="Basic",0,_xlfn.XLOOKUP(Table49[[#This Row],[app_id]],Table4[app_id],Table4[security_features])="Advanced",1,_xlfn.XLOOKUP(Table49[[#This Row],[app_id]],Table4[app_id],Table4[security_features])="Biometric",3,TRUE,"")</calculatedColumnFormula>
    </tableColumn>
    <tableColumn id="15" xr3:uid="{F79A5EF2-0DBB-4886-91F6-759E3A9A2450}" name="rating_given" dataDxfId="3">
      <calculatedColumnFormula>_xlfn.XLOOKUP(Table49[[#This Row],[app_id]],Table7[app_id],Table7[rating_given],"",0)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DA96FD-7772-4D49-8F9C-44F67778DDF7}" name="Table5" displayName="Table5" ref="A1:M101" totalsRowShown="0">
  <autoFilter ref="A1:M101" xr:uid="{84DA96FD-7772-4D49-8F9C-44F67778DDF7}"/>
  <tableColumns count="13">
    <tableColumn id="1" xr3:uid="{D0DF6654-FA5F-40A6-B383-D904ED42697A}" name="app_id"/>
    <tableColumn id="2" xr3:uid="{A2496A22-6739-4B75-8117-73CE312BC24D}" name="app_name"/>
    <tableColumn id="3" xr3:uid="{CE6B8722-00A5-4154-A775-3BD1B40658B5}" name="category"/>
    <tableColumn id="4" xr3:uid="{E6EC275E-55AB-40B5-BEF8-83E16E0C232F}" name="platform"/>
    <tableColumn id="5" xr3:uid="{7F158EBE-43AE-4E16-84A4-CC1240B14C4F}" name="developer_company"/>
    <tableColumn id="6" xr3:uid="{0F88A8B7-7951-4BE1-95EC-1D2DE974E94E}" name="launch_year"/>
    <tableColumn id="7" xr3:uid="{FB1F928C-6EB2-406C-8533-B7D162EC1493}" name="pricing_model"/>
    <tableColumn id="8" xr3:uid="{FD1DE9EE-02DD-48CF-BADA-412CA96CBB96}" name="current_rating"/>
    <tableColumn id="9" xr3:uid="{93745F7A-305A-4F71-8BDB-18FF6267AAC0}" name="total_downloads"/>
    <tableColumn id="10" xr3:uid="{D8DA0946-ECED-4DE1-979F-435E0D114ECF}" name="app_size_mb"/>
    <tableColumn id="11" xr3:uid="{728916FD-AA4C-4167-B7C9-63701C239EE2}" name="country_available"/>
    <tableColumn id="12" xr3:uid="{0C709502-17DC-4430-A000-161388D4AFCB}" name="last_updated_date" dataDxfId="17"/>
    <tableColumn id="13" xr3:uid="{C7E06C9F-CDA8-493E-AA6F-EED48A5B2022}" name="estimated_revenue_usd" dataDxfId="16">
      <calculatedColumnFormula>_xlfn.XLOOKUP(Table5[[#This Row],[app_id]],Table3[app_id],Table3[estimated_revenue_usd])</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307429-117F-4F3B-9C35-EACCB56A287C}" name="Table6" displayName="Table6" ref="A1:N2001" totalsRowShown="0">
  <autoFilter ref="A1:N2001" xr:uid="{00307429-117F-4F3B-9C35-EACCB56A287C}"/>
  <tableColumns count="14">
    <tableColumn id="1" xr3:uid="{F117DDDB-4DDE-4D1B-AE16-82EB2B7211BE}" name="user_id"/>
    <tableColumn id="2" xr3:uid="{B279C639-B2B3-4D85-9782-20F1FD6D49B1}" name="app_id"/>
    <tableColumn id="13" xr3:uid="{8D1FDD3E-35AD-40FC-BAE8-332F20C1EDF3}" name="App name" dataDxfId="14">
      <calculatedColumnFormula>_xlfn.XLOOKUP(Table6[[#This Row],[app_id]],Table5[app_id],Table5[app_name],"",0)</calculatedColumnFormula>
    </tableColumn>
    <tableColumn id="14" xr3:uid="{2FB21EC6-0FDB-4802-AB3A-588AE2BF97BE}" name="Category" dataDxfId="12">
      <calculatedColumnFormula>_xlfn.XLOOKUP(Table6[[#This Row],[app_id]],Table5[app_id],Table5[category],"",0)</calculatedColumnFormula>
    </tableColumn>
    <tableColumn id="3" xr3:uid="{D6C3FCE9-1544-4952-B5A0-5F956583C903}" name="age_group"/>
    <tableColumn id="4" xr3:uid="{B541EC4C-B248-4C5B-AFDD-24DBA28C66A7}" name="gender"/>
    <tableColumn id="5" xr3:uid="{7BBB3A50-AAFA-40D4-A622-F6808067B852}" name="country"/>
    <tableColumn id="6" xr3:uid="{E1BE7F42-2CA9-4704-AB90-5A201B5CF2D3}" name="device_type"/>
    <tableColumn id="7" xr3:uid="{8CBEAB35-1E4B-4724-95AD-6228126280D6}" name="session_count"/>
    <tableColumn id="8" xr3:uid="{2F8EEB9C-743B-4A7A-ADFD-58F9ED44E2E3}" name="avg_session_duration_min"/>
    <tableColumn id="9" xr3:uid="{618320CE-079B-4765-BDB1-20CF7B07AF1A}" name="daily_active_usage"/>
    <tableColumn id="10" xr3:uid="{C7AAC6CC-D634-47D1-8119-6C6FF6BB4193}" name="retention_30_days"/>
    <tableColumn id="11" xr3:uid="{568C3D0A-703D-4CBB-AAE1-FD8EF9CA382F}" name="uninstall_status"/>
    <tableColumn id="12" xr3:uid="{B6727A7E-6429-4284-BD85-25870B2C7BF7}" name="in_app_purchase_amount" dataDxfId="1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C9D207-9D72-4539-9CCB-847206A8E24B}" name="Table7" displayName="Table7" ref="A1:L2501" totalsRowShown="0">
  <autoFilter ref="A1:L2501" xr:uid="{DAC9D207-9D72-4539-9CCB-847206A8E24B}"/>
  <tableColumns count="12">
    <tableColumn id="1" xr3:uid="{8A469296-C848-4813-83DD-EB1CA10417EB}" name="review_id"/>
    <tableColumn id="2" xr3:uid="{1DA4312F-6257-4360-96D7-792A70D8F6A0}" name="app_id"/>
    <tableColumn id="12" xr3:uid="{D0E00DD4-35F3-4A3B-8F69-8E000EF24FA3}" name="App name" dataDxfId="10">
      <calculatedColumnFormula>_xlfn.XLOOKUP(Table7[[#This Row],[app_id]],Table5[app_id],Table5[app_name],"",0)</calculatedColumnFormula>
    </tableColumn>
    <tableColumn id="3" xr3:uid="{4BAD698C-9559-4F6A-9CE9-C0EA7B5ECF83}" name="user_id"/>
    <tableColumn id="4" xr3:uid="{A936C3C9-6F74-44BC-9017-5DEC4748F748}" name="review_date" dataDxfId="13"/>
    <tableColumn id="5" xr3:uid="{00F55B7A-748B-427C-9873-80510DEF257A}" name="rating_given"/>
    <tableColumn id="6" xr3:uid="{5B561198-9718-42CA-A862-EE5C1FDAB215}" name="review_text"/>
    <tableColumn id="7" xr3:uid="{7632B631-1B3F-47CA-9A60-527BF5EB8A49}" name="sentiment"/>
    <tableColumn id="8" xr3:uid="{461665D1-F081-449D-8ABC-77DEDB6F3C76}" name="issue_category"/>
    <tableColumn id="9" xr3:uid="{5A570DD5-E7D6-427C-8EEB-89C14A8136D1}" name="feature_requested"/>
    <tableColumn id="10" xr3:uid="{1C88A1A8-2EBF-4B3D-AEE2-E79DC651C282}" name="support_response_time_hrs"/>
    <tableColumn id="11" xr3:uid="{47AE899D-9224-4EF3-B7E2-DB6609D00ACC}" name="resolved_statu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B2E21-30DE-4064-BDF8-8D5EABBADFEE}">
  <dimension ref="A1:R59"/>
  <sheetViews>
    <sheetView workbookViewId="0">
      <selection activeCell="T81" sqref="T81"/>
    </sheetView>
  </sheetViews>
  <sheetFormatPr defaultRowHeight="15" x14ac:dyDescent="0.25"/>
  <sheetData>
    <row r="1" spans="1:18" x14ac:dyDescent="0.25">
      <c r="A1" s="12" t="s">
        <v>5189</v>
      </c>
      <c r="B1" s="12"/>
      <c r="C1" s="12"/>
      <c r="D1" s="12"/>
      <c r="E1" s="12"/>
      <c r="F1" s="12"/>
      <c r="G1" s="12"/>
      <c r="H1" s="12"/>
      <c r="I1" s="12"/>
      <c r="J1" s="12"/>
      <c r="K1" s="12"/>
      <c r="L1" s="12"/>
      <c r="M1" s="12"/>
      <c r="N1" s="12"/>
      <c r="O1" s="12"/>
      <c r="P1" s="12"/>
      <c r="Q1" s="12"/>
      <c r="R1" s="12"/>
    </row>
    <row r="2" spans="1:18" x14ac:dyDescent="0.25">
      <c r="A2" s="12"/>
      <c r="B2" s="12"/>
      <c r="C2" s="12"/>
      <c r="D2" s="12"/>
      <c r="E2" s="12"/>
      <c r="F2" s="12"/>
      <c r="G2" s="12"/>
      <c r="H2" s="12"/>
      <c r="I2" s="12"/>
      <c r="J2" s="12"/>
      <c r="K2" s="12"/>
      <c r="L2" s="12"/>
      <c r="M2" s="12"/>
      <c r="N2" s="12"/>
      <c r="O2" s="12"/>
      <c r="P2" s="12"/>
      <c r="Q2" s="12"/>
      <c r="R2" s="12"/>
    </row>
    <row r="3" spans="1:18" x14ac:dyDescent="0.25">
      <c r="A3" s="12"/>
      <c r="B3" s="12"/>
      <c r="C3" s="12"/>
      <c r="D3" s="12"/>
      <c r="E3" s="12"/>
      <c r="F3" s="12"/>
      <c r="G3" s="12"/>
      <c r="H3" s="12"/>
      <c r="I3" s="12"/>
      <c r="J3" s="12"/>
      <c r="K3" s="12"/>
      <c r="L3" s="12"/>
      <c r="M3" s="12"/>
      <c r="N3" s="12"/>
      <c r="O3" s="12"/>
      <c r="P3" s="12"/>
      <c r="Q3" s="12"/>
      <c r="R3" s="12"/>
    </row>
    <row r="57" spans="1:18" x14ac:dyDescent="0.25">
      <c r="A57" s="12" t="s">
        <v>5190</v>
      </c>
      <c r="B57" s="12"/>
      <c r="C57" s="12"/>
      <c r="D57" s="12"/>
      <c r="E57" s="12"/>
      <c r="F57" s="12"/>
      <c r="G57" s="12"/>
      <c r="H57" s="12"/>
      <c r="I57" s="12"/>
      <c r="J57" s="12"/>
      <c r="K57" s="12"/>
      <c r="L57" s="12"/>
      <c r="M57" s="12"/>
      <c r="N57" s="12"/>
      <c r="O57" s="12"/>
      <c r="P57" s="12"/>
      <c r="Q57" s="12"/>
      <c r="R57" s="12"/>
    </row>
    <row r="58" spans="1:18" x14ac:dyDescent="0.25">
      <c r="A58" s="12"/>
      <c r="B58" s="12"/>
      <c r="C58" s="12"/>
      <c r="D58" s="12"/>
      <c r="E58" s="12"/>
      <c r="F58" s="12"/>
      <c r="G58" s="12"/>
      <c r="H58" s="12"/>
      <c r="I58" s="12"/>
      <c r="J58" s="12"/>
      <c r="K58" s="12"/>
      <c r="L58" s="12"/>
      <c r="M58" s="12"/>
      <c r="N58" s="12"/>
      <c r="O58" s="12"/>
      <c r="P58" s="12"/>
      <c r="Q58" s="12"/>
      <c r="R58" s="12"/>
    </row>
    <row r="59" spans="1:18" x14ac:dyDescent="0.25">
      <c r="A59" s="12"/>
      <c r="B59" s="12"/>
      <c r="C59" s="12"/>
      <c r="D59" s="12"/>
      <c r="E59" s="12"/>
      <c r="F59" s="12"/>
      <c r="G59" s="12"/>
      <c r="H59" s="12"/>
      <c r="I59" s="12"/>
      <c r="J59" s="12"/>
      <c r="K59" s="12"/>
      <c r="L59" s="12"/>
      <c r="M59" s="12"/>
      <c r="N59" s="12"/>
      <c r="O59" s="12"/>
      <c r="P59" s="12"/>
      <c r="Q59" s="12"/>
      <c r="R59" s="12"/>
    </row>
  </sheetData>
  <mergeCells count="2">
    <mergeCell ref="A1:R3"/>
    <mergeCell ref="A57:R5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324C-D1FC-476E-811C-EF6BA783B53E}">
  <dimension ref="A2:B14"/>
  <sheetViews>
    <sheetView tabSelected="1" workbookViewId="0">
      <selection activeCell="A6" sqref="A6"/>
    </sheetView>
  </sheetViews>
  <sheetFormatPr defaultRowHeight="15" x14ac:dyDescent="0.25"/>
  <cols>
    <col min="1" max="1" width="12.5703125" bestFit="1" customWidth="1"/>
    <col min="2" max="3" width="29.85546875" bestFit="1" customWidth="1"/>
    <col min="4" max="4" width="22.85546875" bestFit="1" customWidth="1"/>
    <col min="5" max="5" width="8" bestFit="1" customWidth="1"/>
    <col min="6" max="6" width="13.42578125" bestFit="1" customWidth="1"/>
    <col min="7" max="7" width="8" bestFit="1" customWidth="1"/>
    <col min="8" max="8" width="11.7109375" bestFit="1" customWidth="1"/>
    <col min="9" max="9" width="9.28515625" bestFit="1" customWidth="1"/>
    <col min="10" max="10" width="8" bestFit="1" customWidth="1"/>
    <col min="11" max="14" width="6.5703125" bestFit="1" customWidth="1"/>
    <col min="15" max="49" width="7.5703125" bestFit="1" customWidth="1"/>
    <col min="50" max="78" width="8.5703125" bestFit="1" customWidth="1"/>
    <col min="79" max="98" width="10.140625" bestFit="1" customWidth="1"/>
    <col min="99" max="99" width="11.140625" bestFit="1" customWidth="1"/>
    <col min="100" max="100" width="11.28515625" bestFit="1" customWidth="1"/>
  </cols>
  <sheetData>
    <row r="2" spans="1:2" x14ac:dyDescent="0.25">
      <c r="A2" s="8" t="s">
        <v>2</v>
      </c>
      <c r="B2" t="s">
        <v>5182</v>
      </c>
    </row>
    <row r="4" spans="1:2" x14ac:dyDescent="0.25">
      <c r="A4" s="8" t="s">
        <v>1</v>
      </c>
      <c r="B4" t="s">
        <v>5183</v>
      </c>
    </row>
    <row r="5" spans="1:2" x14ac:dyDescent="0.25">
      <c r="A5" t="s">
        <v>243</v>
      </c>
      <c r="B5" s="10">
        <v>2711500</v>
      </c>
    </row>
    <row r="6" spans="1:2" x14ac:dyDescent="0.25">
      <c r="A6" t="s">
        <v>5192</v>
      </c>
      <c r="B6" s="10">
        <v>3029500</v>
      </c>
    </row>
    <row r="7" spans="1:2" x14ac:dyDescent="0.25">
      <c r="A7" t="s">
        <v>156</v>
      </c>
      <c r="B7" s="10">
        <v>3336900</v>
      </c>
    </row>
    <row r="8" spans="1:2" x14ac:dyDescent="0.25">
      <c r="A8" t="s">
        <v>204</v>
      </c>
      <c r="B8" s="10">
        <v>3360200</v>
      </c>
    </row>
    <row r="9" spans="1:2" x14ac:dyDescent="0.25">
      <c r="A9" t="s">
        <v>103</v>
      </c>
      <c r="B9" s="10">
        <v>3645000</v>
      </c>
    </row>
    <row r="10" spans="1:2" x14ac:dyDescent="0.25">
      <c r="A10" t="s">
        <v>209</v>
      </c>
      <c r="B10" s="10">
        <v>4175100</v>
      </c>
    </row>
    <row r="11" spans="1:2" x14ac:dyDescent="0.25">
      <c r="A11" t="s">
        <v>117</v>
      </c>
      <c r="B11" s="10">
        <v>4316800</v>
      </c>
    </row>
    <row r="12" spans="1:2" x14ac:dyDescent="0.25">
      <c r="A12" t="s">
        <v>68</v>
      </c>
      <c r="B12" s="10">
        <v>4443900</v>
      </c>
    </row>
    <row r="13" spans="1:2" x14ac:dyDescent="0.25">
      <c r="A13" t="s">
        <v>213</v>
      </c>
      <c r="B13" s="10">
        <v>4990500</v>
      </c>
    </row>
    <row r="14" spans="1:2" x14ac:dyDescent="0.25">
      <c r="A14" t="s">
        <v>81</v>
      </c>
      <c r="B14" s="10">
        <v>11147600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844A-C2FD-49AF-AAB4-BF8306984B58}">
  <dimension ref="A3:B8"/>
  <sheetViews>
    <sheetView workbookViewId="0">
      <selection activeCell="A17" sqref="A17"/>
    </sheetView>
  </sheetViews>
  <sheetFormatPr defaultRowHeight="15" x14ac:dyDescent="0.25"/>
  <cols>
    <col min="1" max="1" width="12.5703125" bestFit="1" customWidth="1"/>
    <col min="2" max="5" width="15.7109375" bestFit="1" customWidth="1"/>
    <col min="6" max="2001" width="9.85546875" bestFit="1" customWidth="1"/>
    <col min="2002" max="2002" width="11.28515625" bestFit="1" customWidth="1"/>
  </cols>
  <sheetData>
    <row r="3" spans="1:2" x14ac:dyDescent="0.25">
      <c r="A3" s="8" t="s">
        <v>522</v>
      </c>
      <c r="B3" t="s">
        <v>5186</v>
      </c>
    </row>
    <row r="4" spans="1:2" x14ac:dyDescent="0.25">
      <c r="A4" t="s">
        <v>552</v>
      </c>
      <c r="B4" s="10">
        <v>12</v>
      </c>
    </row>
    <row r="5" spans="1:2" x14ac:dyDescent="0.25">
      <c r="A5" t="s">
        <v>557</v>
      </c>
      <c r="B5" s="10">
        <v>28</v>
      </c>
    </row>
    <row r="6" spans="1:2" x14ac:dyDescent="0.25">
      <c r="A6" t="s">
        <v>537</v>
      </c>
      <c r="B6" s="10">
        <v>51</v>
      </c>
    </row>
    <row r="7" spans="1:2" x14ac:dyDescent="0.25">
      <c r="A7" t="s">
        <v>533</v>
      </c>
      <c r="B7" s="10">
        <v>58</v>
      </c>
    </row>
    <row r="8" spans="1:2" x14ac:dyDescent="0.25">
      <c r="A8" t="s">
        <v>546</v>
      </c>
      <c r="B8" s="10">
        <v>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448B-E844-476C-92D4-D2EE34122E66}">
  <dimension ref="A1:Q101"/>
  <sheetViews>
    <sheetView workbookViewId="0">
      <selection activeCell="B1" sqref="B1"/>
    </sheetView>
  </sheetViews>
  <sheetFormatPr defaultRowHeight="15" x14ac:dyDescent="0.25"/>
  <cols>
    <col min="2" max="2" width="12.42578125" customWidth="1"/>
    <col min="3" max="3" width="10.7109375" customWidth="1"/>
    <col min="4" max="4" width="10.85546875" customWidth="1"/>
    <col min="5" max="5" width="21.28515625" customWidth="1"/>
    <col min="6" max="6" width="13.85546875" customWidth="1"/>
    <col min="7" max="7" width="15.85546875" customWidth="1"/>
    <col min="8" max="8" width="15.7109375" customWidth="1"/>
    <col min="9" max="9" width="18" customWidth="1"/>
    <col min="10" max="10" width="14.7109375" customWidth="1"/>
    <col min="11" max="11" width="18.85546875" customWidth="1"/>
    <col min="12" max="12" width="19.7109375" customWidth="1"/>
    <col min="13" max="13" width="14.28515625" customWidth="1"/>
    <col min="14" max="14" width="24.7109375" style="6" customWidth="1"/>
    <col min="15" max="15" width="15.7109375" customWidth="1"/>
    <col min="16" max="16" width="21.7109375" bestFit="1" customWidth="1"/>
    <col min="17" max="17" width="23.140625" customWidth="1"/>
  </cols>
  <sheetData>
    <row r="1" spans="1:17" x14ac:dyDescent="0.25">
      <c r="A1" t="s">
        <v>0</v>
      </c>
      <c r="B1" t="s">
        <v>1</v>
      </c>
      <c r="C1" t="s">
        <v>2</v>
      </c>
      <c r="D1" t="s">
        <v>3</v>
      </c>
      <c r="E1" t="s">
        <v>4</v>
      </c>
      <c r="F1" t="s">
        <v>5</v>
      </c>
      <c r="G1" t="s">
        <v>6</v>
      </c>
      <c r="H1" t="s">
        <v>7</v>
      </c>
      <c r="I1" t="s">
        <v>8</v>
      </c>
      <c r="J1" t="s">
        <v>9</v>
      </c>
      <c r="K1" t="s">
        <v>10</v>
      </c>
      <c r="L1" t="s">
        <v>11</v>
      </c>
      <c r="M1" t="s">
        <v>367</v>
      </c>
      <c r="N1" s="6" t="s">
        <v>375</v>
      </c>
      <c r="O1" t="s">
        <v>366</v>
      </c>
      <c r="P1" t="s">
        <v>371</v>
      </c>
      <c r="Q1" t="s">
        <v>372</v>
      </c>
    </row>
    <row r="2" spans="1:17" x14ac:dyDescent="0.25">
      <c r="A2" t="s">
        <v>12</v>
      </c>
      <c r="B2" t="s">
        <v>13</v>
      </c>
      <c r="C2" t="s">
        <v>14</v>
      </c>
      <c r="D2" t="s">
        <v>15</v>
      </c>
      <c r="E2" t="s">
        <v>16</v>
      </c>
      <c r="F2">
        <v>2021</v>
      </c>
      <c r="G2" t="s">
        <v>17</v>
      </c>
      <c r="H2">
        <v>3.4</v>
      </c>
      <c r="I2">
        <v>211000</v>
      </c>
      <c r="J2">
        <v>152</v>
      </c>
      <c r="K2" t="s">
        <v>18</v>
      </c>
      <c r="L2" s="1">
        <v>45842</v>
      </c>
      <c r="M2">
        <v>53</v>
      </c>
      <c r="N2" s="6">
        <v>65000</v>
      </c>
      <c r="O2" t="s">
        <v>376</v>
      </c>
      <c r="P2" t="s">
        <v>380</v>
      </c>
      <c r="Q2" t="s">
        <v>381</v>
      </c>
    </row>
    <row r="3" spans="1:17" x14ac:dyDescent="0.25">
      <c r="A3" t="s">
        <v>19</v>
      </c>
      <c r="B3" t="s">
        <v>20</v>
      </c>
      <c r="C3" t="s">
        <v>14</v>
      </c>
      <c r="D3" t="s">
        <v>21</v>
      </c>
      <c r="E3" t="s">
        <v>22</v>
      </c>
      <c r="F3">
        <v>2015</v>
      </c>
      <c r="G3" t="s">
        <v>17</v>
      </c>
      <c r="H3">
        <v>3.7</v>
      </c>
      <c r="I3">
        <v>48000</v>
      </c>
      <c r="J3">
        <v>244.3</v>
      </c>
      <c r="K3" t="s">
        <v>23</v>
      </c>
      <c r="L3" s="1">
        <v>45357</v>
      </c>
      <c r="M3">
        <v>50</v>
      </c>
      <c r="N3" s="6">
        <v>3900</v>
      </c>
      <c r="O3" t="s">
        <v>383</v>
      </c>
      <c r="P3" t="s">
        <v>386</v>
      </c>
      <c r="Q3" t="s">
        <v>381</v>
      </c>
    </row>
    <row r="4" spans="1:17" x14ac:dyDescent="0.25">
      <c r="A4" t="s">
        <v>24</v>
      </c>
      <c r="B4" t="s">
        <v>25</v>
      </c>
      <c r="C4" t="s">
        <v>14</v>
      </c>
      <c r="D4" t="s">
        <v>21</v>
      </c>
      <c r="E4" t="s">
        <v>16</v>
      </c>
      <c r="F4">
        <v>2021</v>
      </c>
      <c r="G4" t="s">
        <v>17</v>
      </c>
      <c r="H4">
        <v>4.4000000000000004</v>
      </c>
      <c r="I4">
        <v>61000</v>
      </c>
      <c r="J4">
        <v>160.6</v>
      </c>
      <c r="K4" t="s">
        <v>26</v>
      </c>
      <c r="L4" s="1">
        <v>45418</v>
      </c>
      <c r="M4">
        <v>16</v>
      </c>
      <c r="N4" s="6">
        <v>15100</v>
      </c>
      <c r="O4" t="s">
        <v>388</v>
      </c>
      <c r="P4" t="s">
        <v>386</v>
      </c>
      <c r="Q4" t="s">
        <v>381</v>
      </c>
    </row>
    <row r="5" spans="1:17" x14ac:dyDescent="0.25">
      <c r="A5" t="s">
        <v>27</v>
      </c>
      <c r="B5" t="s">
        <v>28</v>
      </c>
      <c r="C5" t="s">
        <v>14</v>
      </c>
      <c r="D5" t="s">
        <v>21</v>
      </c>
      <c r="E5" t="s">
        <v>29</v>
      </c>
      <c r="F5">
        <v>2015</v>
      </c>
      <c r="G5" t="s">
        <v>17</v>
      </c>
      <c r="H5">
        <v>3.2</v>
      </c>
      <c r="I5">
        <v>1227000</v>
      </c>
      <c r="J5">
        <v>217.1</v>
      </c>
      <c r="K5" t="s">
        <v>30</v>
      </c>
      <c r="L5" s="1">
        <v>45999</v>
      </c>
      <c r="M5">
        <v>25</v>
      </c>
      <c r="N5" s="6">
        <v>65000</v>
      </c>
      <c r="O5" t="s">
        <v>392</v>
      </c>
      <c r="P5" t="s">
        <v>396</v>
      </c>
      <c r="Q5" t="s">
        <v>397</v>
      </c>
    </row>
    <row r="6" spans="1:17" x14ac:dyDescent="0.25">
      <c r="A6" t="s">
        <v>31</v>
      </c>
      <c r="B6" t="s">
        <v>32</v>
      </c>
      <c r="C6" t="s">
        <v>14</v>
      </c>
      <c r="D6" t="s">
        <v>21</v>
      </c>
      <c r="E6" t="s">
        <v>33</v>
      </c>
      <c r="F6">
        <v>2015</v>
      </c>
      <c r="G6" t="s">
        <v>34</v>
      </c>
      <c r="H6">
        <v>4.5999999999999996</v>
      </c>
      <c r="I6">
        <v>12162000</v>
      </c>
      <c r="J6">
        <v>192</v>
      </c>
      <c r="K6" t="s">
        <v>35</v>
      </c>
      <c r="L6" s="1">
        <v>46076</v>
      </c>
      <c r="M6">
        <v>23</v>
      </c>
      <c r="N6" s="6">
        <v>2116200</v>
      </c>
      <c r="O6" t="s">
        <v>398</v>
      </c>
      <c r="P6" t="s">
        <v>402</v>
      </c>
      <c r="Q6" t="s">
        <v>403</v>
      </c>
    </row>
    <row r="7" spans="1:17" x14ac:dyDescent="0.25">
      <c r="A7" t="s">
        <v>36</v>
      </c>
      <c r="B7" t="s">
        <v>37</v>
      </c>
      <c r="C7" t="s">
        <v>14</v>
      </c>
      <c r="D7" t="s">
        <v>21</v>
      </c>
      <c r="E7" t="s">
        <v>38</v>
      </c>
      <c r="F7">
        <v>2022</v>
      </c>
      <c r="G7" t="s">
        <v>34</v>
      </c>
      <c r="H7">
        <v>4.4000000000000004</v>
      </c>
      <c r="I7">
        <v>30000</v>
      </c>
      <c r="J7">
        <v>58.7</v>
      </c>
      <c r="K7" t="s">
        <v>23</v>
      </c>
      <c r="L7" s="1">
        <v>46031</v>
      </c>
      <c r="M7">
        <v>51</v>
      </c>
      <c r="N7" s="6">
        <v>21100</v>
      </c>
      <c r="O7" t="s">
        <v>405</v>
      </c>
      <c r="P7" t="s">
        <v>386</v>
      </c>
      <c r="Q7" t="s">
        <v>403</v>
      </c>
    </row>
    <row r="8" spans="1:17" x14ac:dyDescent="0.25">
      <c r="A8" t="s">
        <v>39</v>
      </c>
      <c r="B8" t="s">
        <v>40</v>
      </c>
      <c r="C8" t="s">
        <v>14</v>
      </c>
      <c r="D8" t="s">
        <v>15</v>
      </c>
      <c r="E8" t="s">
        <v>41</v>
      </c>
      <c r="F8">
        <v>2020</v>
      </c>
      <c r="G8" t="s">
        <v>34</v>
      </c>
      <c r="H8">
        <v>4.0999999999999996</v>
      </c>
      <c r="I8">
        <v>66000</v>
      </c>
      <c r="J8">
        <v>28.9</v>
      </c>
      <c r="K8" t="s">
        <v>23</v>
      </c>
      <c r="L8" s="1">
        <v>45852</v>
      </c>
      <c r="M8">
        <v>44</v>
      </c>
      <c r="N8" s="6">
        <v>37700</v>
      </c>
      <c r="O8" t="s">
        <v>408</v>
      </c>
      <c r="P8" t="s">
        <v>396</v>
      </c>
      <c r="Q8" t="s">
        <v>403</v>
      </c>
    </row>
    <row r="9" spans="1:17" x14ac:dyDescent="0.25">
      <c r="A9" t="s">
        <v>42</v>
      </c>
      <c r="B9" t="s">
        <v>43</v>
      </c>
      <c r="C9" t="s">
        <v>14</v>
      </c>
      <c r="D9" t="s">
        <v>44</v>
      </c>
      <c r="E9" t="s">
        <v>45</v>
      </c>
      <c r="F9">
        <v>2019</v>
      </c>
      <c r="G9" t="s">
        <v>34</v>
      </c>
      <c r="H9">
        <v>3.5</v>
      </c>
      <c r="I9">
        <v>421000</v>
      </c>
      <c r="J9">
        <v>162</v>
      </c>
      <c r="K9" t="s">
        <v>46</v>
      </c>
      <c r="L9" s="1">
        <v>46117</v>
      </c>
      <c r="M9">
        <v>48</v>
      </c>
      <c r="N9" s="6">
        <v>68600</v>
      </c>
      <c r="O9" t="s">
        <v>411</v>
      </c>
      <c r="P9" t="s">
        <v>402</v>
      </c>
      <c r="Q9" t="s">
        <v>403</v>
      </c>
    </row>
    <row r="10" spans="1:17" x14ac:dyDescent="0.25">
      <c r="A10" t="s">
        <v>47</v>
      </c>
      <c r="B10" t="s">
        <v>48</v>
      </c>
      <c r="C10" t="s">
        <v>14</v>
      </c>
      <c r="D10" t="s">
        <v>21</v>
      </c>
      <c r="E10" t="s">
        <v>45</v>
      </c>
      <c r="F10">
        <v>2015</v>
      </c>
      <c r="G10" t="s">
        <v>17</v>
      </c>
      <c r="H10">
        <v>3.7</v>
      </c>
      <c r="I10">
        <v>265000</v>
      </c>
      <c r="J10">
        <v>61.1</v>
      </c>
      <c r="K10" t="s">
        <v>35</v>
      </c>
      <c r="L10" s="1">
        <v>45875</v>
      </c>
      <c r="M10">
        <v>11</v>
      </c>
      <c r="N10" s="6">
        <v>22800</v>
      </c>
      <c r="O10" t="s">
        <v>413</v>
      </c>
      <c r="P10" t="s">
        <v>415</v>
      </c>
      <c r="Q10" t="s">
        <v>381</v>
      </c>
    </row>
    <row r="11" spans="1:17" x14ac:dyDescent="0.25">
      <c r="A11" t="s">
        <v>49</v>
      </c>
      <c r="B11" t="s">
        <v>50</v>
      </c>
      <c r="C11" t="s">
        <v>14</v>
      </c>
      <c r="D11" t="s">
        <v>15</v>
      </c>
      <c r="E11" t="s">
        <v>38</v>
      </c>
      <c r="F11">
        <v>2018</v>
      </c>
      <c r="G11" t="s">
        <v>34</v>
      </c>
      <c r="H11">
        <v>4.0999999999999996</v>
      </c>
      <c r="I11">
        <v>305000</v>
      </c>
      <c r="J11">
        <v>222.1</v>
      </c>
      <c r="K11" t="s">
        <v>46</v>
      </c>
      <c r="L11" s="1">
        <v>45451</v>
      </c>
      <c r="M11">
        <v>42</v>
      </c>
      <c r="N11" s="6">
        <v>187600</v>
      </c>
      <c r="O11" t="s">
        <v>416</v>
      </c>
      <c r="P11" t="s">
        <v>380</v>
      </c>
      <c r="Q11" t="s">
        <v>403</v>
      </c>
    </row>
    <row r="12" spans="1:17" x14ac:dyDescent="0.25">
      <c r="A12" t="s">
        <v>51</v>
      </c>
      <c r="B12" t="s">
        <v>52</v>
      </c>
      <c r="C12" t="s">
        <v>14</v>
      </c>
      <c r="D12" t="s">
        <v>44</v>
      </c>
      <c r="E12" t="s">
        <v>45</v>
      </c>
      <c r="F12">
        <v>2021</v>
      </c>
      <c r="G12" t="s">
        <v>17</v>
      </c>
      <c r="H12">
        <v>4.2</v>
      </c>
      <c r="I12">
        <v>313000</v>
      </c>
      <c r="J12">
        <v>146.19999999999999</v>
      </c>
      <c r="K12" t="s">
        <v>35</v>
      </c>
      <c r="L12" s="1">
        <v>45978</v>
      </c>
      <c r="M12">
        <v>66</v>
      </c>
      <c r="N12" s="6">
        <v>24100</v>
      </c>
      <c r="O12" t="s">
        <v>418</v>
      </c>
      <c r="P12" t="s">
        <v>402</v>
      </c>
      <c r="Q12" t="s">
        <v>420</v>
      </c>
    </row>
    <row r="13" spans="1:17" x14ac:dyDescent="0.25">
      <c r="A13" t="s">
        <v>53</v>
      </c>
      <c r="B13" t="s">
        <v>54</v>
      </c>
      <c r="C13" t="s">
        <v>14</v>
      </c>
      <c r="D13" t="s">
        <v>21</v>
      </c>
      <c r="E13" t="s">
        <v>55</v>
      </c>
      <c r="F13">
        <v>2025</v>
      </c>
      <c r="G13" t="s">
        <v>34</v>
      </c>
      <c r="H13">
        <v>3.5</v>
      </c>
      <c r="I13">
        <v>106000</v>
      </c>
      <c r="J13">
        <v>222.2</v>
      </c>
      <c r="K13" t="s">
        <v>35</v>
      </c>
      <c r="L13" s="1">
        <v>45371</v>
      </c>
      <c r="M13">
        <v>63</v>
      </c>
      <c r="N13" s="6">
        <v>75200</v>
      </c>
      <c r="O13" t="s">
        <v>421</v>
      </c>
      <c r="P13" t="s">
        <v>380</v>
      </c>
      <c r="Q13" t="s">
        <v>403</v>
      </c>
    </row>
    <row r="14" spans="1:17" x14ac:dyDescent="0.25">
      <c r="A14" t="s">
        <v>56</v>
      </c>
      <c r="B14" t="s">
        <v>57</v>
      </c>
      <c r="C14" t="s">
        <v>58</v>
      </c>
      <c r="D14" t="s">
        <v>21</v>
      </c>
      <c r="E14" t="s">
        <v>59</v>
      </c>
      <c r="F14">
        <v>2023</v>
      </c>
      <c r="G14" t="s">
        <v>60</v>
      </c>
      <c r="H14">
        <v>3.2</v>
      </c>
      <c r="I14">
        <v>33000</v>
      </c>
      <c r="J14">
        <v>206.3</v>
      </c>
      <c r="K14" t="s">
        <v>61</v>
      </c>
      <c r="L14" s="1">
        <v>45314</v>
      </c>
      <c r="M14">
        <v>81</v>
      </c>
      <c r="N14" s="6">
        <v>11100</v>
      </c>
      <c r="O14" t="s">
        <v>423</v>
      </c>
      <c r="P14" t="s">
        <v>415</v>
      </c>
      <c r="Q14" t="s">
        <v>425</v>
      </c>
    </row>
    <row r="15" spans="1:17" x14ac:dyDescent="0.25">
      <c r="A15" t="s">
        <v>62</v>
      </c>
      <c r="B15" t="s">
        <v>63</v>
      </c>
      <c r="C15" t="s">
        <v>58</v>
      </c>
      <c r="D15" t="s">
        <v>21</v>
      </c>
      <c r="E15" t="s">
        <v>59</v>
      </c>
      <c r="F15">
        <v>2021</v>
      </c>
      <c r="G15" t="s">
        <v>64</v>
      </c>
      <c r="H15">
        <v>4.5</v>
      </c>
      <c r="I15">
        <v>40000</v>
      </c>
      <c r="J15">
        <v>174.1</v>
      </c>
      <c r="K15" t="s">
        <v>46</v>
      </c>
      <c r="L15" s="1">
        <v>45331</v>
      </c>
      <c r="M15">
        <v>18</v>
      </c>
      <c r="N15" s="6">
        <v>11300</v>
      </c>
      <c r="O15" t="s">
        <v>426</v>
      </c>
      <c r="P15" t="s">
        <v>386</v>
      </c>
      <c r="Q15" t="s">
        <v>420</v>
      </c>
    </row>
    <row r="16" spans="1:17" x14ac:dyDescent="0.25">
      <c r="A16" t="s">
        <v>65</v>
      </c>
      <c r="B16" t="s">
        <v>66</v>
      </c>
      <c r="C16" t="s">
        <v>58</v>
      </c>
      <c r="D16" t="s">
        <v>21</v>
      </c>
      <c r="E16" t="s">
        <v>33</v>
      </c>
      <c r="F16">
        <v>2021</v>
      </c>
      <c r="G16" t="s">
        <v>34</v>
      </c>
      <c r="H16">
        <v>3.6</v>
      </c>
      <c r="I16">
        <v>836000</v>
      </c>
      <c r="J16">
        <v>226.4</v>
      </c>
      <c r="K16" t="s">
        <v>46</v>
      </c>
      <c r="L16" s="1">
        <v>45493</v>
      </c>
      <c r="M16">
        <v>28</v>
      </c>
      <c r="N16" s="6">
        <v>146300</v>
      </c>
      <c r="O16" t="s">
        <v>428</v>
      </c>
      <c r="P16" t="s">
        <v>380</v>
      </c>
      <c r="Q16" t="s">
        <v>403</v>
      </c>
    </row>
    <row r="17" spans="1:17" x14ac:dyDescent="0.25">
      <c r="A17" t="s">
        <v>67</v>
      </c>
      <c r="B17" t="s">
        <v>68</v>
      </c>
      <c r="C17" t="s">
        <v>58</v>
      </c>
      <c r="D17" t="s">
        <v>21</v>
      </c>
      <c r="E17" t="s">
        <v>38</v>
      </c>
      <c r="F17">
        <v>2019</v>
      </c>
      <c r="G17" t="s">
        <v>34</v>
      </c>
      <c r="H17">
        <v>3.4</v>
      </c>
      <c r="I17">
        <v>13032000</v>
      </c>
      <c r="J17">
        <v>39.1</v>
      </c>
      <c r="K17" t="s">
        <v>69</v>
      </c>
      <c r="L17" s="1">
        <v>45874</v>
      </c>
      <c r="M17">
        <v>62</v>
      </c>
      <c r="N17" s="6">
        <v>4443900</v>
      </c>
      <c r="O17" t="s">
        <v>429</v>
      </c>
      <c r="P17" t="s">
        <v>380</v>
      </c>
      <c r="Q17" t="s">
        <v>403</v>
      </c>
    </row>
    <row r="18" spans="1:17" x14ac:dyDescent="0.25">
      <c r="A18" t="s">
        <v>70</v>
      </c>
      <c r="B18" t="s">
        <v>71</v>
      </c>
      <c r="C18" t="s">
        <v>58</v>
      </c>
      <c r="D18" t="s">
        <v>21</v>
      </c>
      <c r="E18" t="s">
        <v>45</v>
      </c>
      <c r="F18">
        <v>2021</v>
      </c>
      <c r="G18" t="s">
        <v>34</v>
      </c>
      <c r="H18">
        <v>4.5999999999999996</v>
      </c>
      <c r="I18">
        <v>4130000</v>
      </c>
      <c r="J18">
        <v>69.8</v>
      </c>
      <c r="K18" t="s">
        <v>69</v>
      </c>
      <c r="L18" s="1">
        <v>46081</v>
      </c>
      <c r="M18">
        <v>94</v>
      </c>
      <c r="N18" s="6">
        <v>2056700</v>
      </c>
      <c r="O18" t="s">
        <v>430</v>
      </c>
      <c r="P18" t="s">
        <v>386</v>
      </c>
      <c r="Q18" t="s">
        <v>403</v>
      </c>
    </row>
    <row r="19" spans="1:17" x14ac:dyDescent="0.25">
      <c r="A19" t="s">
        <v>72</v>
      </c>
      <c r="B19" t="s">
        <v>73</v>
      </c>
      <c r="C19" t="s">
        <v>58</v>
      </c>
      <c r="D19" t="s">
        <v>44</v>
      </c>
      <c r="E19" t="s">
        <v>59</v>
      </c>
      <c r="F19">
        <v>2017</v>
      </c>
      <c r="G19" t="s">
        <v>64</v>
      </c>
      <c r="H19">
        <v>4.4000000000000004</v>
      </c>
      <c r="I19">
        <v>548000</v>
      </c>
      <c r="J19">
        <v>234.3</v>
      </c>
      <c r="K19" t="s">
        <v>46</v>
      </c>
      <c r="L19" s="1">
        <v>45754</v>
      </c>
      <c r="M19">
        <v>39</v>
      </c>
      <c r="N19" s="6">
        <v>91000</v>
      </c>
      <c r="O19" t="s">
        <v>432</v>
      </c>
      <c r="P19" t="s">
        <v>380</v>
      </c>
      <c r="Q19" t="s">
        <v>397</v>
      </c>
    </row>
    <row r="20" spans="1:17" x14ac:dyDescent="0.25">
      <c r="A20" t="s">
        <v>74</v>
      </c>
      <c r="B20" t="s">
        <v>75</v>
      </c>
      <c r="C20" t="s">
        <v>58</v>
      </c>
      <c r="D20" t="s">
        <v>15</v>
      </c>
      <c r="E20" t="s">
        <v>59</v>
      </c>
      <c r="F20">
        <v>2018</v>
      </c>
      <c r="G20" t="s">
        <v>64</v>
      </c>
      <c r="H20">
        <v>4.0999999999999996</v>
      </c>
      <c r="I20">
        <v>7834000</v>
      </c>
      <c r="J20">
        <v>78.2</v>
      </c>
      <c r="K20" t="s">
        <v>69</v>
      </c>
      <c r="L20" s="1">
        <v>45638</v>
      </c>
      <c r="M20">
        <v>47</v>
      </c>
      <c r="N20" s="6">
        <v>399500</v>
      </c>
      <c r="O20" t="s">
        <v>435</v>
      </c>
      <c r="P20" t="s">
        <v>402</v>
      </c>
      <c r="Q20" t="s">
        <v>436</v>
      </c>
    </row>
    <row r="21" spans="1:17" x14ac:dyDescent="0.25">
      <c r="A21" t="s">
        <v>76</v>
      </c>
      <c r="B21" t="s">
        <v>77</v>
      </c>
      <c r="C21" t="s">
        <v>58</v>
      </c>
      <c r="D21" t="s">
        <v>44</v>
      </c>
      <c r="E21" t="s">
        <v>29</v>
      </c>
      <c r="F21">
        <v>2022</v>
      </c>
      <c r="G21" t="s">
        <v>17</v>
      </c>
      <c r="H21">
        <v>3.4</v>
      </c>
      <c r="I21">
        <v>231000</v>
      </c>
      <c r="J21">
        <v>103.1</v>
      </c>
      <c r="K21" t="s">
        <v>30</v>
      </c>
      <c r="L21" s="1">
        <v>45616</v>
      </c>
      <c r="M21">
        <v>61</v>
      </c>
      <c r="N21" s="6">
        <v>17600</v>
      </c>
      <c r="O21" t="s">
        <v>437</v>
      </c>
      <c r="P21" t="s">
        <v>415</v>
      </c>
      <c r="Q21" t="s">
        <v>381</v>
      </c>
    </row>
    <row r="22" spans="1:17" x14ac:dyDescent="0.25">
      <c r="A22" t="s">
        <v>78</v>
      </c>
      <c r="B22" t="s">
        <v>79</v>
      </c>
      <c r="C22" t="s">
        <v>58</v>
      </c>
      <c r="D22" t="s">
        <v>21</v>
      </c>
      <c r="E22" t="s">
        <v>16</v>
      </c>
      <c r="F22">
        <v>2017</v>
      </c>
      <c r="G22" t="s">
        <v>64</v>
      </c>
      <c r="H22">
        <v>3.4</v>
      </c>
      <c r="I22">
        <v>34000</v>
      </c>
      <c r="J22">
        <v>82.2</v>
      </c>
      <c r="K22" t="s">
        <v>23</v>
      </c>
      <c r="L22" s="1">
        <v>45356</v>
      </c>
      <c r="M22">
        <v>28</v>
      </c>
      <c r="N22" s="6">
        <v>3100</v>
      </c>
      <c r="O22" t="s">
        <v>438</v>
      </c>
      <c r="P22" t="s">
        <v>396</v>
      </c>
      <c r="Q22" t="s">
        <v>397</v>
      </c>
    </row>
    <row r="23" spans="1:17" x14ac:dyDescent="0.25">
      <c r="A23" t="s">
        <v>80</v>
      </c>
      <c r="B23" t="s">
        <v>81</v>
      </c>
      <c r="C23" t="s">
        <v>58</v>
      </c>
      <c r="D23" t="s">
        <v>15</v>
      </c>
      <c r="E23" t="s">
        <v>82</v>
      </c>
      <c r="F23">
        <v>2024</v>
      </c>
      <c r="G23" t="s">
        <v>34</v>
      </c>
      <c r="H23">
        <v>4.8</v>
      </c>
      <c r="I23">
        <v>19320000</v>
      </c>
      <c r="J23">
        <v>41.1</v>
      </c>
      <c r="K23" t="s">
        <v>35</v>
      </c>
      <c r="L23" s="1">
        <v>46105</v>
      </c>
      <c r="M23">
        <v>13</v>
      </c>
      <c r="N23" s="6">
        <v>11147600</v>
      </c>
      <c r="O23" t="s">
        <v>439</v>
      </c>
      <c r="P23" t="s">
        <v>440</v>
      </c>
      <c r="Q23" t="s">
        <v>403</v>
      </c>
    </row>
    <row r="24" spans="1:17" x14ac:dyDescent="0.25">
      <c r="A24" t="s">
        <v>83</v>
      </c>
      <c r="B24" t="s">
        <v>84</v>
      </c>
      <c r="C24" t="s">
        <v>58</v>
      </c>
      <c r="D24" t="s">
        <v>21</v>
      </c>
      <c r="E24" t="s">
        <v>22</v>
      </c>
      <c r="F24">
        <v>2020</v>
      </c>
      <c r="G24" t="s">
        <v>34</v>
      </c>
      <c r="H24">
        <v>3.8</v>
      </c>
      <c r="I24">
        <v>982000</v>
      </c>
      <c r="J24">
        <v>175.8</v>
      </c>
      <c r="K24" t="s">
        <v>35</v>
      </c>
      <c r="L24" s="1">
        <v>45639</v>
      </c>
      <c r="M24">
        <v>15</v>
      </c>
      <c r="N24" s="6">
        <v>790500</v>
      </c>
      <c r="O24" t="s">
        <v>441</v>
      </c>
      <c r="P24" t="s">
        <v>386</v>
      </c>
      <c r="Q24" t="s">
        <v>403</v>
      </c>
    </row>
    <row r="25" spans="1:17" x14ac:dyDescent="0.25">
      <c r="A25" t="s">
        <v>85</v>
      </c>
      <c r="B25" t="s">
        <v>86</v>
      </c>
      <c r="C25" t="s">
        <v>58</v>
      </c>
      <c r="D25" t="s">
        <v>21</v>
      </c>
      <c r="E25" t="s">
        <v>45</v>
      </c>
      <c r="F25">
        <v>2022</v>
      </c>
      <c r="G25" t="s">
        <v>60</v>
      </c>
      <c r="H25">
        <v>4</v>
      </c>
      <c r="I25">
        <v>27000</v>
      </c>
      <c r="J25">
        <v>232.4</v>
      </c>
      <c r="K25" t="s">
        <v>46</v>
      </c>
      <c r="L25" s="1">
        <v>45588</v>
      </c>
      <c r="M25">
        <v>9</v>
      </c>
      <c r="N25" s="6">
        <v>5300</v>
      </c>
      <c r="O25" t="s">
        <v>443</v>
      </c>
      <c r="P25" t="s">
        <v>444</v>
      </c>
      <c r="Q25" t="s">
        <v>425</v>
      </c>
    </row>
    <row r="26" spans="1:17" x14ac:dyDescent="0.25">
      <c r="A26" t="s">
        <v>87</v>
      </c>
      <c r="B26" t="s">
        <v>88</v>
      </c>
      <c r="C26" t="s">
        <v>89</v>
      </c>
      <c r="D26" t="s">
        <v>15</v>
      </c>
      <c r="E26" t="s">
        <v>22</v>
      </c>
      <c r="F26">
        <v>2025</v>
      </c>
      <c r="G26" t="s">
        <v>17</v>
      </c>
      <c r="H26">
        <v>3.6</v>
      </c>
      <c r="I26">
        <v>2559000</v>
      </c>
      <c r="J26">
        <v>183.4</v>
      </c>
      <c r="K26" t="s">
        <v>26</v>
      </c>
      <c r="L26" s="1">
        <v>45825</v>
      </c>
      <c r="M26">
        <v>75</v>
      </c>
      <c r="N26" s="6">
        <v>432500</v>
      </c>
      <c r="O26" t="s">
        <v>445</v>
      </c>
      <c r="P26" t="s">
        <v>444</v>
      </c>
      <c r="Q26" t="s">
        <v>420</v>
      </c>
    </row>
    <row r="27" spans="1:17" x14ac:dyDescent="0.25">
      <c r="A27" t="s">
        <v>90</v>
      </c>
      <c r="B27" t="s">
        <v>91</v>
      </c>
      <c r="C27" t="s">
        <v>89</v>
      </c>
      <c r="D27" t="s">
        <v>21</v>
      </c>
      <c r="E27" t="s">
        <v>16</v>
      </c>
      <c r="F27">
        <v>2019</v>
      </c>
      <c r="G27" t="s">
        <v>34</v>
      </c>
      <c r="H27">
        <v>3.8</v>
      </c>
      <c r="I27">
        <v>5689000</v>
      </c>
      <c r="J27">
        <v>71.099999999999994</v>
      </c>
      <c r="K27" t="s">
        <v>35</v>
      </c>
      <c r="L27" s="1">
        <v>45902</v>
      </c>
      <c r="M27">
        <v>37</v>
      </c>
      <c r="N27" s="6">
        <v>1245900</v>
      </c>
      <c r="O27" t="s">
        <v>446</v>
      </c>
      <c r="P27" t="s">
        <v>380</v>
      </c>
      <c r="Q27" t="s">
        <v>403</v>
      </c>
    </row>
    <row r="28" spans="1:17" x14ac:dyDescent="0.25">
      <c r="A28" t="s">
        <v>92</v>
      </c>
      <c r="B28" t="s">
        <v>93</v>
      </c>
      <c r="C28" t="s">
        <v>89</v>
      </c>
      <c r="D28" t="s">
        <v>15</v>
      </c>
      <c r="E28" t="s">
        <v>41</v>
      </c>
      <c r="F28">
        <v>2019</v>
      </c>
      <c r="G28" t="s">
        <v>64</v>
      </c>
      <c r="H28">
        <v>3.8</v>
      </c>
      <c r="I28">
        <v>37000</v>
      </c>
      <c r="J28">
        <v>33.799999999999997</v>
      </c>
      <c r="K28" t="s">
        <v>18</v>
      </c>
      <c r="L28" s="1">
        <v>45351</v>
      </c>
      <c r="M28">
        <v>73</v>
      </c>
      <c r="N28" s="6">
        <v>11900</v>
      </c>
      <c r="O28" t="s">
        <v>447</v>
      </c>
      <c r="P28" t="s">
        <v>415</v>
      </c>
      <c r="Q28" t="s">
        <v>436</v>
      </c>
    </row>
    <row r="29" spans="1:17" x14ac:dyDescent="0.25">
      <c r="A29" t="s">
        <v>94</v>
      </c>
      <c r="B29" t="s">
        <v>95</v>
      </c>
      <c r="C29" t="s">
        <v>89</v>
      </c>
      <c r="D29" t="s">
        <v>21</v>
      </c>
      <c r="E29" t="s">
        <v>16</v>
      </c>
      <c r="F29">
        <v>2023</v>
      </c>
      <c r="G29" t="s">
        <v>60</v>
      </c>
      <c r="H29">
        <v>4.3</v>
      </c>
      <c r="I29">
        <v>490000</v>
      </c>
      <c r="J29">
        <v>158.80000000000001</v>
      </c>
      <c r="K29" t="s">
        <v>23</v>
      </c>
      <c r="L29" s="1">
        <v>45891</v>
      </c>
      <c r="M29">
        <v>20</v>
      </c>
      <c r="N29" s="6">
        <v>63700</v>
      </c>
      <c r="O29" t="s">
        <v>448</v>
      </c>
      <c r="P29" t="s">
        <v>380</v>
      </c>
      <c r="Q29" t="s">
        <v>425</v>
      </c>
    </row>
    <row r="30" spans="1:17" x14ac:dyDescent="0.25">
      <c r="A30" t="s">
        <v>96</v>
      </c>
      <c r="B30" t="s">
        <v>97</v>
      </c>
      <c r="C30" t="s">
        <v>89</v>
      </c>
      <c r="D30" t="s">
        <v>21</v>
      </c>
      <c r="E30" t="s">
        <v>82</v>
      </c>
      <c r="F30">
        <v>2023</v>
      </c>
      <c r="G30" t="s">
        <v>34</v>
      </c>
      <c r="H30">
        <v>4.0999999999999996</v>
      </c>
      <c r="I30">
        <v>2723000</v>
      </c>
      <c r="J30">
        <v>160.19999999999999</v>
      </c>
      <c r="K30" t="s">
        <v>26</v>
      </c>
      <c r="L30" s="1">
        <v>45439</v>
      </c>
      <c r="M30">
        <v>35</v>
      </c>
      <c r="N30" s="6">
        <v>1456800</v>
      </c>
      <c r="O30" t="s">
        <v>449</v>
      </c>
      <c r="P30" t="s">
        <v>386</v>
      </c>
      <c r="Q30" t="s">
        <v>403</v>
      </c>
    </row>
    <row r="31" spans="1:17" x14ac:dyDescent="0.25">
      <c r="A31" t="s">
        <v>98</v>
      </c>
      <c r="B31" t="s">
        <v>99</v>
      </c>
      <c r="C31" t="s">
        <v>89</v>
      </c>
      <c r="D31" t="s">
        <v>44</v>
      </c>
      <c r="E31" t="s">
        <v>55</v>
      </c>
      <c r="F31">
        <v>2016</v>
      </c>
      <c r="G31" t="s">
        <v>60</v>
      </c>
      <c r="H31">
        <v>3.2</v>
      </c>
      <c r="I31">
        <v>564000</v>
      </c>
      <c r="J31">
        <v>48.5</v>
      </c>
      <c r="K31" t="s">
        <v>18</v>
      </c>
      <c r="L31" s="1">
        <v>45631</v>
      </c>
      <c r="M31">
        <v>76</v>
      </c>
      <c r="N31" s="6">
        <v>39500</v>
      </c>
      <c r="O31" t="s">
        <v>450</v>
      </c>
      <c r="P31" t="s">
        <v>396</v>
      </c>
      <c r="Q31" t="s">
        <v>425</v>
      </c>
    </row>
    <row r="32" spans="1:17" x14ac:dyDescent="0.25">
      <c r="A32" t="s">
        <v>100</v>
      </c>
      <c r="B32" t="s">
        <v>101</v>
      </c>
      <c r="C32" t="s">
        <v>89</v>
      </c>
      <c r="D32" t="s">
        <v>44</v>
      </c>
      <c r="E32" t="s">
        <v>45</v>
      </c>
      <c r="F32">
        <v>2018</v>
      </c>
      <c r="G32" t="s">
        <v>17</v>
      </c>
      <c r="H32">
        <v>3.9</v>
      </c>
      <c r="I32">
        <v>296000</v>
      </c>
      <c r="J32">
        <v>41.9</v>
      </c>
      <c r="K32" t="s">
        <v>69</v>
      </c>
      <c r="L32" s="1">
        <v>45435</v>
      </c>
      <c r="M32">
        <v>20</v>
      </c>
      <c r="N32" s="6">
        <v>25800</v>
      </c>
      <c r="O32" t="s">
        <v>451</v>
      </c>
      <c r="P32" t="s">
        <v>415</v>
      </c>
      <c r="Q32" t="s">
        <v>420</v>
      </c>
    </row>
    <row r="33" spans="1:17" x14ac:dyDescent="0.25">
      <c r="A33" t="s">
        <v>102</v>
      </c>
      <c r="B33" t="s">
        <v>103</v>
      </c>
      <c r="C33" t="s">
        <v>89</v>
      </c>
      <c r="D33" t="s">
        <v>15</v>
      </c>
      <c r="E33" t="s">
        <v>38</v>
      </c>
      <c r="F33">
        <v>2017</v>
      </c>
      <c r="G33" t="s">
        <v>64</v>
      </c>
      <c r="H33">
        <v>4.0999999999999996</v>
      </c>
      <c r="I33">
        <v>21429000</v>
      </c>
      <c r="J33">
        <v>144.1</v>
      </c>
      <c r="K33" t="s">
        <v>61</v>
      </c>
      <c r="L33" s="1">
        <v>45475</v>
      </c>
      <c r="M33">
        <v>49</v>
      </c>
      <c r="N33" s="6">
        <v>3621500</v>
      </c>
      <c r="O33" t="s">
        <v>452</v>
      </c>
      <c r="P33" t="s">
        <v>415</v>
      </c>
      <c r="Q33" t="s">
        <v>420</v>
      </c>
    </row>
    <row r="34" spans="1:17" x14ac:dyDescent="0.25">
      <c r="A34" t="s">
        <v>104</v>
      </c>
      <c r="B34" t="s">
        <v>103</v>
      </c>
      <c r="C34" t="s">
        <v>89</v>
      </c>
      <c r="D34" t="s">
        <v>44</v>
      </c>
      <c r="E34" t="s">
        <v>41</v>
      </c>
      <c r="F34">
        <v>2017</v>
      </c>
      <c r="G34" t="s">
        <v>17</v>
      </c>
      <c r="H34">
        <v>3.9</v>
      </c>
      <c r="I34">
        <v>301000</v>
      </c>
      <c r="J34">
        <v>107.8</v>
      </c>
      <c r="K34" t="s">
        <v>18</v>
      </c>
      <c r="L34" s="1">
        <v>45521</v>
      </c>
      <c r="M34">
        <v>97</v>
      </c>
      <c r="N34" s="6">
        <v>23500</v>
      </c>
      <c r="O34" t="s">
        <v>453</v>
      </c>
      <c r="P34" t="s">
        <v>386</v>
      </c>
      <c r="Q34" t="s">
        <v>420</v>
      </c>
    </row>
    <row r="35" spans="1:17" x14ac:dyDescent="0.25">
      <c r="A35" t="s">
        <v>105</v>
      </c>
      <c r="B35" t="s">
        <v>106</v>
      </c>
      <c r="C35" t="s">
        <v>89</v>
      </c>
      <c r="D35" t="s">
        <v>21</v>
      </c>
      <c r="E35" t="s">
        <v>59</v>
      </c>
      <c r="F35">
        <v>2019</v>
      </c>
      <c r="G35" t="s">
        <v>60</v>
      </c>
      <c r="H35">
        <v>4.5</v>
      </c>
      <c r="I35">
        <v>215000</v>
      </c>
      <c r="J35">
        <v>143.6</v>
      </c>
      <c r="K35" t="s">
        <v>26</v>
      </c>
      <c r="L35" s="1">
        <v>45331</v>
      </c>
      <c r="M35">
        <v>78</v>
      </c>
      <c r="N35" s="6">
        <v>62800</v>
      </c>
      <c r="O35" t="s">
        <v>454</v>
      </c>
      <c r="P35" t="s">
        <v>402</v>
      </c>
      <c r="Q35" t="s">
        <v>425</v>
      </c>
    </row>
    <row r="36" spans="1:17" x14ac:dyDescent="0.25">
      <c r="A36" t="s">
        <v>107</v>
      </c>
      <c r="B36" t="s">
        <v>108</v>
      </c>
      <c r="C36" t="s">
        <v>89</v>
      </c>
      <c r="D36" t="s">
        <v>15</v>
      </c>
      <c r="E36" t="s">
        <v>22</v>
      </c>
      <c r="F36">
        <v>2025</v>
      </c>
      <c r="G36" t="s">
        <v>64</v>
      </c>
      <c r="H36">
        <v>4.7</v>
      </c>
      <c r="I36">
        <v>2512000</v>
      </c>
      <c r="J36">
        <v>215.6</v>
      </c>
      <c r="K36" t="s">
        <v>35</v>
      </c>
      <c r="L36" s="1">
        <v>45953</v>
      </c>
      <c r="M36">
        <v>17</v>
      </c>
      <c r="N36" s="6">
        <v>708400</v>
      </c>
      <c r="O36" t="s">
        <v>455</v>
      </c>
      <c r="P36" t="s">
        <v>415</v>
      </c>
      <c r="Q36" t="s">
        <v>420</v>
      </c>
    </row>
    <row r="37" spans="1:17" x14ac:dyDescent="0.25">
      <c r="A37" t="s">
        <v>109</v>
      </c>
      <c r="B37" t="s">
        <v>110</v>
      </c>
      <c r="C37" t="s">
        <v>89</v>
      </c>
      <c r="D37" t="s">
        <v>15</v>
      </c>
      <c r="E37" t="s">
        <v>22</v>
      </c>
      <c r="F37">
        <v>2025</v>
      </c>
      <c r="G37" t="s">
        <v>64</v>
      </c>
      <c r="H37">
        <v>4.0999999999999996</v>
      </c>
      <c r="I37">
        <v>1858000</v>
      </c>
      <c r="J37">
        <v>64.2</v>
      </c>
      <c r="K37" t="s">
        <v>26</v>
      </c>
      <c r="L37" s="1">
        <v>45913</v>
      </c>
      <c r="M37">
        <v>99</v>
      </c>
      <c r="N37" s="6">
        <v>466400</v>
      </c>
      <c r="O37" t="s">
        <v>456</v>
      </c>
      <c r="P37" t="s">
        <v>444</v>
      </c>
      <c r="Q37" t="s">
        <v>420</v>
      </c>
    </row>
    <row r="38" spans="1:17" x14ac:dyDescent="0.25">
      <c r="A38" t="s">
        <v>111</v>
      </c>
      <c r="B38" t="s">
        <v>112</v>
      </c>
      <c r="C38" t="s">
        <v>113</v>
      </c>
      <c r="D38" t="s">
        <v>15</v>
      </c>
      <c r="E38" t="s">
        <v>29</v>
      </c>
      <c r="F38">
        <v>2015</v>
      </c>
      <c r="G38" t="s">
        <v>17</v>
      </c>
      <c r="H38">
        <v>3.2</v>
      </c>
      <c r="I38">
        <v>2259000</v>
      </c>
      <c r="J38">
        <v>61.9</v>
      </c>
      <c r="K38" t="s">
        <v>46</v>
      </c>
      <c r="L38" s="1">
        <v>45489</v>
      </c>
      <c r="M38">
        <v>70</v>
      </c>
      <c r="N38" s="6">
        <v>122000</v>
      </c>
      <c r="O38" t="s">
        <v>457</v>
      </c>
      <c r="P38" t="s">
        <v>386</v>
      </c>
      <c r="Q38" t="s">
        <v>420</v>
      </c>
    </row>
    <row r="39" spans="1:17" x14ac:dyDescent="0.25">
      <c r="A39" t="s">
        <v>114</v>
      </c>
      <c r="B39" t="s">
        <v>115</v>
      </c>
      <c r="C39" t="s">
        <v>113</v>
      </c>
      <c r="D39" t="s">
        <v>21</v>
      </c>
      <c r="E39" t="s">
        <v>41</v>
      </c>
      <c r="F39">
        <v>2024</v>
      </c>
      <c r="G39" t="s">
        <v>34</v>
      </c>
      <c r="H39">
        <v>3.4</v>
      </c>
      <c r="I39">
        <v>49000</v>
      </c>
      <c r="J39">
        <v>19.3</v>
      </c>
      <c r="K39" t="s">
        <v>30</v>
      </c>
      <c r="L39" s="1">
        <v>45699</v>
      </c>
      <c r="M39">
        <v>27</v>
      </c>
      <c r="N39" s="6">
        <v>21300</v>
      </c>
      <c r="O39" t="s">
        <v>458</v>
      </c>
      <c r="P39" t="s">
        <v>386</v>
      </c>
      <c r="Q39" t="s">
        <v>403</v>
      </c>
    </row>
    <row r="40" spans="1:17" x14ac:dyDescent="0.25">
      <c r="A40" t="s">
        <v>116</v>
      </c>
      <c r="B40" t="s">
        <v>117</v>
      </c>
      <c r="C40" t="s">
        <v>113</v>
      </c>
      <c r="D40" t="s">
        <v>21</v>
      </c>
      <c r="E40" t="s">
        <v>29</v>
      </c>
      <c r="F40">
        <v>2019</v>
      </c>
      <c r="G40" t="s">
        <v>64</v>
      </c>
      <c r="H40">
        <v>3.8</v>
      </c>
      <c r="I40">
        <v>13836000</v>
      </c>
      <c r="J40">
        <v>45.1</v>
      </c>
      <c r="K40" t="s">
        <v>26</v>
      </c>
      <c r="L40" s="1">
        <v>45335</v>
      </c>
      <c r="M40">
        <v>61</v>
      </c>
      <c r="N40" s="6">
        <v>4316800</v>
      </c>
      <c r="O40" t="s">
        <v>459</v>
      </c>
      <c r="P40" t="s">
        <v>402</v>
      </c>
      <c r="Q40" t="s">
        <v>436</v>
      </c>
    </row>
    <row r="41" spans="1:17" x14ac:dyDescent="0.25">
      <c r="A41" t="s">
        <v>118</v>
      </c>
      <c r="B41" t="s">
        <v>119</v>
      </c>
      <c r="C41" t="s">
        <v>113</v>
      </c>
      <c r="D41" t="s">
        <v>21</v>
      </c>
      <c r="E41" t="s">
        <v>41</v>
      </c>
      <c r="F41">
        <v>2015</v>
      </c>
      <c r="G41" t="s">
        <v>60</v>
      </c>
      <c r="H41">
        <v>3.5</v>
      </c>
      <c r="I41">
        <v>789000</v>
      </c>
      <c r="J41">
        <v>219.2</v>
      </c>
      <c r="K41" t="s">
        <v>69</v>
      </c>
      <c r="L41" s="1">
        <v>45399</v>
      </c>
      <c r="M41">
        <v>20</v>
      </c>
      <c r="N41" s="6">
        <v>243800</v>
      </c>
      <c r="O41" t="s">
        <v>460</v>
      </c>
      <c r="P41" t="s">
        <v>386</v>
      </c>
      <c r="Q41" t="s">
        <v>425</v>
      </c>
    </row>
    <row r="42" spans="1:17" x14ac:dyDescent="0.25">
      <c r="A42" t="s">
        <v>120</v>
      </c>
      <c r="B42" t="s">
        <v>121</v>
      </c>
      <c r="C42" t="s">
        <v>113</v>
      </c>
      <c r="D42" t="s">
        <v>44</v>
      </c>
      <c r="E42" t="s">
        <v>41</v>
      </c>
      <c r="F42">
        <v>2015</v>
      </c>
      <c r="G42" t="s">
        <v>60</v>
      </c>
      <c r="H42">
        <v>3.6</v>
      </c>
      <c r="I42">
        <v>17824000</v>
      </c>
      <c r="J42">
        <v>173.5</v>
      </c>
      <c r="K42" t="s">
        <v>30</v>
      </c>
      <c r="L42" s="1">
        <v>45392</v>
      </c>
      <c r="M42">
        <v>39</v>
      </c>
      <c r="N42" s="6">
        <v>534700</v>
      </c>
      <c r="O42" t="s">
        <v>461</v>
      </c>
      <c r="P42" t="s">
        <v>386</v>
      </c>
      <c r="Q42" t="s">
        <v>425</v>
      </c>
    </row>
    <row r="43" spans="1:17" x14ac:dyDescent="0.25">
      <c r="A43" t="s">
        <v>122</v>
      </c>
      <c r="B43" t="s">
        <v>123</v>
      </c>
      <c r="C43" t="s">
        <v>113</v>
      </c>
      <c r="D43" t="s">
        <v>21</v>
      </c>
      <c r="E43" t="s">
        <v>55</v>
      </c>
      <c r="F43">
        <v>2016</v>
      </c>
      <c r="G43" t="s">
        <v>64</v>
      </c>
      <c r="H43">
        <v>4.7</v>
      </c>
      <c r="I43">
        <v>22000</v>
      </c>
      <c r="J43">
        <v>149.1</v>
      </c>
      <c r="K43" t="s">
        <v>61</v>
      </c>
      <c r="L43" s="1">
        <v>45652</v>
      </c>
      <c r="M43">
        <v>23</v>
      </c>
      <c r="N43" s="6">
        <v>6300</v>
      </c>
      <c r="O43" t="s">
        <v>462</v>
      </c>
      <c r="P43" t="s">
        <v>386</v>
      </c>
      <c r="Q43" t="s">
        <v>436</v>
      </c>
    </row>
    <row r="44" spans="1:17" x14ac:dyDescent="0.25">
      <c r="A44" t="s">
        <v>124</v>
      </c>
      <c r="B44" t="s">
        <v>125</v>
      </c>
      <c r="C44" t="s">
        <v>113</v>
      </c>
      <c r="D44" t="s">
        <v>15</v>
      </c>
      <c r="E44" t="s">
        <v>41</v>
      </c>
      <c r="F44">
        <v>2019</v>
      </c>
      <c r="G44" t="s">
        <v>64</v>
      </c>
      <c r="H44">
        <v>3.6</v>
      </c>
      <c r="I44">
        <v>421000</v>
      </c>
      <c r="J44">
        <v>48.7</v>
      </c>
      <c r="K44" t="s">
        <v>26</v>
      </c>
      <c r="L44" s="1">
        <v>45293</v>
      </c>
      <c r="M44">
        <v>53</v>
      </c>
      <c r="N44" s="6">
        <v>117000</v>
      </c>
      <c r="O44" t="s">
        <v>463</v>
      </c>
      <c r="P44" t="s">
        <v>386</v>
      </c>
      <c r="Q44" t="s">
        <v>436</v>
      </c>
    </row>
    <row r="45" spans="1:17" x14ac:dyDescent="0.25">
      <c r="A45" t="s">
        <v>126</v>
      </c>
      <c r="B45" t="s">
        <v>127</v>
      </c>
      <c r="C45" t="s">
        <v>113</v>
      </c>
      <c r="D45" t="s">
        <v>21</v>
      </c>
      <c r="E45" t="s">
        <v>59</v>
      </c>
      <c r="F45">
        <v>2015</v>
      </c>
      <c r="G45" t="s">
        <v>17</v>
      </c>
      <c r="H45">
        <v>3.1</v>
      </c>
      <c r="I45">
        <v>789000</v>
      </c>
      <c r="J45">
        <v>150.30000000000001</v>
      </c>
      <c r="K45" t="s">
        <v>18</v>
      </c>
      <c r="L45" s="1">
        <v>45895</v>
      </c>
      <c r="M45">
        <v>4</v>
      </c>
      <c r="N45" s="6">
        <v>45000</v>
      </c>
      <c r="O45" t="s">
        <v>464</v>
      </c>
      <c r="P45" t="s">
        <v>444</v>
      </c>
      <c r="Q45" t="s">
        <v>397</v>
      </c>
    </row>
    <row r="46" spans="1:17" x14ac:dyDescent="0.25">
      <c r="A46" t="s">
        <v>128</v>
      </c>
      <c r="B46" t="s">
        <v>129</v>
      </c>
      <c r="C46" t="s">
        <v>113</v>
      </c>
      <c r="D46" t="s">
        <v>15</v>
      </c>
      <c r="E46" t="s">
        <v>33</v>
      </c>
      <c r="F46">
        <v>2019</v>
      </c>
      <c r="G46" t="s">
        <v>17</v>
      </c>
      <c r="H46">
        <v>3.2</v>
      </c>
      <c r="I46">
        <v>65000</v>
      </c>
      <c r="J46">
        <v>131.80000000000001</v>
      </c>
      <c r="K46" t="s">
        <v>46</v>
      </c>
      <c r="L46" s="1">
        <v>45337</v>
      </c>
      <c r="M46">
        <v>55</v>
      </c>
      <c r="N46" s="6">
        <v>14800</v>
      </c>
      <c r="O46" t="s">
        <v>465</v>
      </c>
      <c r="P46" t="s">
        <v>402</v>
      </c>
      <c r="Q46" t="s">
        <v>420</v>
      </c>
    </row>
    <row r="47" spans="1:17" x14ac:dyDescent="0.25">
      <c r="A47" t="s">
        <v>130</v>
      </c>
      <c r="B47" t="s">
        <v>131</v>
      </c>
      <c r="C47" t="s">
        <v>113</v>
      </c>
      <c r="D47" t="s">
        <v>15</v>
      </c>
      <c r="E47" t="s">
        <v>16</v>
      </c>
      <c r="F47">
        <v>2015</v>
      </c>
      <c r="G47" t="s">
        <v>64</v>
      </c>
      <c r="H47">
        <v>3.5</v>
      </c>
      <c r="I47">
        <v>1455000</v>
      </c>
      <c r="J47">
        <v>124.8</v>
      </c>
      <c r="K47" t="s">
        <v>18</v>
      </c>
      <c r="L47" s="1">
        <v>45774</v>
      </c>
      <c r="M47">
        <v>46</v>
      </c>
      <c r="N47" s="6">
        <v>71300</v>
      </c>
      <c r="O47" t="s">
        <v>466</v>
      </c>
      <c r="P47" t="s">
        <v>396</v>
      </c>
      <c r="Q47" t="s">
        <v>436</v>
      </c>
    </row>
    <row r="48" spans="1:17" x14ac:dyDescent="0.25">
      <c r="A48" t="s">
        <v>132</v>
      </c>
      <c r="B48" t="s">
        <v>133</v>
      </c>
      <c r="C48" t="s">
        <v>113</v>
      </c>
      <c r="D48" t="s">
        <v>15</v>
      </c>
      <c r="E48" t="s">
        <v>82</v>
      </c>
      <c r="F48">
        <v>2024</v>
      </c>
      <c r="G48" t="s">
        <v>17</v>
      </c>
      <c r="H48">
        <v>4.0999999999999996</v>
      </c>
      <c r="I48">
        <v>647000</v>
      </c>
      <c r="J48">
        <v>18.7</v>
      </c>
      <c r="K48" t="s">
        <v>26</v>
      </c>
      <c r="L48" s="1">
        <v>45330</v>
      </c>
      <c r="M48">
        <v>100</v>
      </c>
      <c r="N48" s="6">
        <v>124900</v>
      </c>
      <c r="O48" t="s">
        <v>467</v>
      </c>
      <c r="P48" t="s">
        <v>440</v>
      </c>
      <c r="Q48" t="s">
        <v>381</v>
      </c>
    </row>
    <row r="49" spans="1:17" x14ac:dyDescent="0.25">
      <c r="A49" t="s">
        <v>134</v>
      </c>
      <c r="B49" t="s">
        <v>135</v>
      </c>
      <c r="C49" t="s">
        <v>113</v>
      </c>
      <c r="D49" t="s">
        <v>44</v>
      </c>
      <c r="E49" t="s">
        <v>33</v>
      </c>
      <c r="F49">
        <v>2018</v>
      </c>
      <c r="G49" t="s">
        <v>34</v>
      </c>
      <c r="H49">
        <v>4.5</v>
      </c>
      <c r="I49">
        <v>69000</v>
      </c>
      <c r="J49">
        <v>196.7</v>
      </c>
      <c r="K49" t="s">
        <v>30</v>
      </c>
      <c r="L49" s="1">
        <v>45582</v>
      </c>
      <c r="M49">
        <v>17</v>
      </c>
      <c r="N49" s="6">
        <v>15200</v>
      </c>
      <c r="O49" t="s">
        <v>468</v>
      </c>
      <c r="P49" t="s">
        <v>440</v>
      </c>
      <c r="Q49" t="s">
        <v>403</v>
      </c>
    </row>
    <row r="50" spans="1:17" x14ac:dyDescent="0.25">
      <c r="A50" t="s">
        <v>136</v>
      </c>
      <c r="B50" t="s">
        <v>137</v>
      </c>
      <c r="C50" t="s">
        <v>138</v>
      </c>
      <c r="D50" t="s">
        <v>21</v>
      </c>
      <c r="E50" t="s">
        <v>41</v>
      </c>
      <c r="F50">
        <v>2024</v>
      </c>
      <c r="G50" t="s">
        <v>17</v>
      </c>
      <c r="H50">
        <v>4.3</v>
      </c>
      <c r="I50">
        <v>4467000</v>
      </c>
      <c r="J50">
        <v>229.9</v>
      </c>
      <c r="K50" t="s">
        <v>23</v>
      </c>
      <c r="L50" s="1">
        <v>45576</v>
      </c>
      <c r="M50">
        <v>22</v>
      </c>
      <c r="N50" s="6">
        <v>1259700</v>
      </c>
      <c r="O50" t="s">
        <v>469</v>
      </c>
      <c r="P50" t="s">
        <v>380</v>
      </c>
      <c r="Q50" t="s">
        <v>397</v>
      </c>
    </row>
    <row r="51" spans="1:17" x14ac:dyDescent="0.25">
      <c r="A51" t="s">
        <v>139</v>
      </c>
      <c r="B51" t="s">
        <v>140</v>
      </c>
      <c r="C51" t="s">
        <v>138</v>
      </c>
      <c r="D51" t="s">
        <v>21</v>
      </c>
      <c r="E51" t="s">
        <v>33</v>
      </c>
      <c r="F51">
        <v>2019</v>
      </c>
      <c r="G51" t="s">
        <v>17</v>
      </c>
      <c r="H51">
        <v>3.6</v>
      </c>
      <c r="I51">
        <v>8590000</v>
      </c>
      <c r="J51">
        <v>78.8</v>
      </c>
      <c r="K51" t="s">
        <v>30</v>
      </c>
      <c r="L51" s="1">
        <v>46071</v>
      </c>
      <c r="M51">
        <v>22</v>
      </c>
      <c r="N51" s="6">
        <v>506800</v>
      </c>
      <c r="O51" t="s">
        <v>470</v>
      </c>
      <c r="P51" t="s">
        <v>402</v>
      </c>
      <c r="Q51" t="s">
        <v>420</v>
      </c>
    </row>
    <row r="52" spans="1:17" x14ac:dyDescent="0.25">
      <c r="A52" t="s">
        <v>141</v>
      </c>
      <c r="B52" t="s">
        <v>142</v>
      </c>
      <c r="C52" t="s">
        <v>138</v>
      </c>
      <c r="D52" t="s">
        <v>21</v>
      </c>
      <c r="E52" t="s">
        <v>82</v>
      </c>
      <c r="F52">
        <v>2022</v>
      </c>
      <c r="G52" t="s">
        <v>34</v>
      </c>
      <c r="H52">
        <v>3.9</v>
      </c>
      <c r="I52">
        <v>29000</v>
      </c>
      <c r="J52">
        <v>128.80000000000001</v>
      </c>
      <c r="K52" t="s">
        <v>18</v>
      </c>
      <c r="L52" s="1">
        <v>45629</v>
      </c>
      <c r="M52">
        <v>69</v>
      </c>
      <c r="N52" s="6">
        <v>15800</v>
      </c>
      <c r="O52" t="s">
        <v>471</v>
      </c>
      <c r="P52" t="s">
        <v>396</v>
      </c>
      <c r="Q52" t="s">
        <v>403</v>
      </c>
    </row>
    <row r="53" spans="1:17" x14ac:dyDescent="0.25">
      <c r="A53" t="s">
        <v>143</v>
      </c>
      <c r="B53" t="s">
        <v>144</v>
      </c>
      <c r="C53" t="s">
        <v>138</v>
      </c>
      <c r="D53" t="s">
        <v>21</v>
      </c>
      <c r="E53" t="s">
        <v>22</v>
      </c>
      <c r="F53">
        <v>2018</v>
      </c>
      <c r="G53" t="s">
        <v>64</v>
      </c>
      <c r="H53">
        <v>4.3</v>
      </c>
      <c r="I53">
        <v>1062000</v>
      </c>
      <c r="J53">
        <v>144.6</v>
      </c>
      <c r="K53" t="s">
        <v>69</v>
      </c>
      <c r="L53" s="1">
        <v>45917</v>
      </c>
      <c r="M53">
        <v>51</v>
      </c>
      <c r="N53" s="6">
        <v>123200</v>
      </c>
      <c r="O53" t="s">
        <v>472</v>
      </c>
      <c r="P53" t="s">
        <v>402</v>
      </c>
      <c r="Q53" t="s">
        <v>420</v>
      </c>
    </row>
    <row r="54" spans="1:17" x14ac:dyDescent="0.25">
      <c r="A54" t="s">
        <v>145</v>
      </c>
      <c r="B54" t="s">
        <v>146</v>
      </c>
      <c r="C54" t="s">
        <v>138</v>
      </c>
      <c r="D54" t="s">
        <v>21</v>
      </c>
      <c r="E54" t="s">
        <v>41</v>
      </c>
      <c r="F54">
        <v>2022</v>
      </c>
      <c r="G54" t="s">
        <v>60</v>
      </c>
      <c r="H54">
        <v>4.3</v>
      </c>
      <c r="I54">
        <v>3802000</v>
      </c>
      <c r="J54">
        <v>168</v>
      </c>
      <c r="K54" t="s">
        <v>18</v>
      </c>
      <c r="L54" s="1">
        <v>46124</v>
      </c>
      <c r="M54">
        <v>75</v>
      </c>
      <c r="N54" s="6">
        <v>140700</v>
      </c>
      <c r="O54" t="s">
        <v>473</v>
      </c>
      <c r="P54" t="s">
        <v>415</v>
      </c>
      <c r="Q54" t="s">
        <v>425</v>
      </c>
    </row>
    <row r="55" spans="1:17" x14ac:dyDescent="0.25">
      <c r="A55" t="s">
        <v>147</v>
      </c>
      <c r="B55" t="s">
        <v>148</v>
      </c>
      <c r="C55" t="s">
        <v>138</v>
      </c>
      <c r="D55" t="s">
        <v>15</v>
      </c>
      <c r="E55" t="s">
        <v>41</v>
      </c>
      <c r="F55">
        <v>2017</v>
      </c>
      <c r="G55" t="s">
        <v>60</v>
      </c>
      <c r="H55">
        <v>3.5</v>
      </c>
      <c r="I55">
        <v>20000</v>
      </c>
      <c r="J55">
        <v>54.9</v>
      </c>
      <c r="K55" t="s">
        <v>35</v>
      </c>
      <c r="L55" s="1">
        <v>45342</v>
      </c>
      <c r="M55">
        <v>92</v>
      </c>
      <c r="N55" s="6">
        <v>3400</v>
      </c>
      <c r="O55" t="s">
        <v>474</v>
      </c>
      <c r="P55" t="s">
        <v>444</v>
      </c>
      <c r="Q55" t="s">
        <v>425</v>
      </c>
    </row>
    <row r="56" spans="1:17" x14ac:dyDescent="0.25">
      <c r="A56" t="s">
        <v>149</v>
      </c>
      <c r="B56" t="s">
        <v>150</v>
      </c>
      <c r="C56" t="s">
        <v>138</v>
      </c>
      <c r="D56" t="s">
        <v>15</v>
      </c>
      <c r="E56" t="s">
        <v>59</v>
      </c>
      <c r="F56">
        <v>2023</v>
      </c>
      <c r="G56" t="s">
        <v>64</v>
      </c>
      <c r="H56">
        <v>3.8</v>
      </c>
      <c r="I56">
        <v>3516000</v>
      </c>
      <c r="J56">
        <v>229.9</v>
      </c>
      <c r="K56" t="s">
        <v>26</v>
      </c>
      <c r="L56" s="1">
        <v>45776</v>
      </c>
      <c r="M56">
        <v>28</v>
      </c>
      <c r="N56" s="6">
        <v>330500</v>
      </c>
      <c r="O56" t="s">
        <v>475</v>
      </c>
      <c r="P56" t="s">
        <v>440</v>
      </c>
      <c r="Q56" t="s">
        <v>397</v>
      </c>
    </row>
    <row r="57" spans="1:17" x14ac:dyDescent="0.25">
      <c r="A57" t="s">
        <v>151</v>
      </c>
      <c r="B57" t="s">
        <v>152</v>
      </c>
      <c r="C57" t="s">
        <v>138</v>
      </c>
      <c r="D57" t="s">
        <v>21</v>
      </c>
      <c r="E57" t="s">
        <v>16</v>
      </c>
      <c r="F57">
        <v>2015</v>
      </c>
      <c r="G57" t="s">
        <v>64</v>
      </c>
      <c r="H57">
        <v>4.4000000000000004</v>
      </c>
      <c r="I57">
        <v>200000</v>
      </c>
      <c r="J57">
        <v>41.6</v>
      </c>
      <c r="K57" t="s">
        <v>26</v>
      </c>
      <c r="L57" s="1">
        <v>45889</v>
      </c>
      <c r="M57">
        <v>63</v>
      </c>
      <c r="N57" s="6">
        <v>46400</v>
      </c>
      <c r="O57" t="s">
        <v>476</v>
      </c>
      <c r="P57" t="s">
        <v>444</v>
      </c>
      <c r="Q57" t="s">
        <v>436</v>
      </c>
    </row>
    <row r="58" spans="1:17" x14ac:dyDescent="0.25">
      <c r="A58" t="s">
        <v>153</v>
      </c>
      <c r="B58" t="s">
        <v>154</v>
      </c>
      <c r="C58" t="s">
        <v>138</v>
      </c>
      <c r="D58" t="s">
        <v>44</v>
      </c>
      <c r="E58" t="s">
        <v>29</v>
      </c>
      <c r="F58">
        <v>2020</v>
      </c>
      <c r="G58" t="s">
        <v>34</v>
      </c>
      <c r="H58">
        <v>4.8</v>
      </c>
      <c r="I58">
        <v>641000</v>
      </c>
      <c r="J58">
        <v>143.6</v>
      </c>
      <c r="K58" t="s">
        <v>30</v>
      </c>
      <c r="L58" s="1">
        <v>45844</v>
      </c>
      <c r="M58">
        <v>37</v>
      </c>
      <c r="N58" s="6">
        <v>347400</v>
      </c>
      <c r="O58" t="s">
        <v>477</v>
      </c>
      <c r="P58" t="s">
        <v>396</v>
      </c>
      <c r="Q58" t="s">
        <v>403</v>
      </c>
    </row>
    <row r="59" spans="1:17" x14ac:dyDescent="0.25">
      <c r="A59" t="s">
        <v>155</v>
      </c>
      <c r="B59" t="s">
        <v>156</v>
      </c>
      <c r="C59" t="s">
        <v>138</v>
      </c>
      <c r="D59" t="s">
        <v>15</v>
      </c>
      <c r="E59" t="s">
        <v>38</v>
      </c>
      <c r="F59">
        <v>2023</v>
      </c>
      <c r="G59" t="s">
        <v>17</v>
      </c>
      <c r="H59">
        <v>3.9</v>
      </c>
      <c r="I59">
        <v>12359000</v>
      </c>
      <c r="J59">
        <v>159.80000000000001</v>
      </c>
      <c r="K59" t="s">
        <v>46</v>
      </c>
      <c r="L59" s="1">
        <v>45444</v>
      </c>
      <c r="M59">
        <v>43</v>
      </c>
      <c r="N59" s="6">
        <v>3336900</v>
      </c>
      <c r="O59" t="s">
        <v>478</v>
      </c>
      <c r="P59" t="s">
        <v>415</v>
      </c>
      <c r="Q59" t="s">
        <v>420</v>
      </c>
    </row>
    <row r="60" spans="1:17" x14ac:dyDescent="0.25">
      <c r="A60" t="s">
        <v>157</v>
      </c>
      <c r="B60" t="s">
        <v>158</v>
      </c>
      <c r="C60" t="s">
        <v>138</v>
      </c>
      <c r="D60" t="s">
        <v>21</v>
      </c>
      <c r="E60" t="s">
        <v>29</v>
      </c>
      <c r="F60">
        <v>2018</v>
      </c>
      <c r="G60" t="s">
        <v>17</v>
      </c>
      <c r="H60">
        <v>3.8</v>
      </c>
      <c r="I60">
        <v>2911000</v>
      </c>
      <c r="J60">
        <v>213.1</v>
      </c>
      <c r="K60" t="s">
        <v>69</v>
      </c>
      <c r="L60" s="1">
        <v>45770</v>
      </c>
      <c r="M60">
        <v>90</v>
      </c>
      <c r="N60" s="6">
        <v>623000</v>
      </c>
      <c r="O60" t="s">
        <v>479</v>
      </c>
      <c r="P60" t="s">
        <v>440</v>
      </c>
      <c r="Q60" t="s">
        <v>381</v>
      </c>
    </row>
    <row r="61" spans="1:17" x14ac:dyDescent="0.25">
      <c r="A61" t="s">
        <v>159</v>
      </c>
      <c r="B61" t="s">
        <v>160</v>
      </c>
      <c r="C61" t="s">
        <v>138</v>
      </c>
      <c r="D61" t="s">
        <v>21</v>
      </c>
      <c r="E61" t="s">
        <v>82</v>
      </c>
      <c r="F61">
        <v>2021</v>
      </c>
      <c r="G61" t="s">
        <v>17</v>
      </c>
      <c r="H61">
        <v>4.4000000000000004</v>
      </c>
      <c r="I61">
        <v>2673000</v>
      </c>
      <c r="J61">
        <v>138.80000000000001</v>
      </c>
      <c r="K61" t="s">
        <v>18</v>
      </c>
      <c r="L61" s="1">
        <v>45543</v>
      </c>
      <c r="M61">
        <v>22</v>
      </c>
      <c r="N61" s="6">
        <v>748400</v>
      </c>
      <c r="O61" t="s">
        <v>480</v>
      </c>
      <c r="P61" t="s">
        <v>415</v>
      </c>
      <c r="Q61" t="s">
        <v>381</v>
      </c>
    </row>
    <row r="62" spans="1:17" x14ac:dyDescent="0.25">
      <c r="A62" t="s">
        <v>161</v>
      </c>
      <c r="B62" t="s">
        <v>162</v>
      </c>
      <c r="C62" t="s">
        <v>163</v>
      </c>
      <c r="D62" t="s">
        <v>21</v>
      </c>
      <c r="E62" t="s">
        <v>22</v>
      </c>
      <c r="F62">
        <v>2025</v>
      </c>
      <c r="G62" t="s">
        <v>17</v>
      </c>
      <c r="H62">
        <v>4.2</v>
      </c>
      <c r="I62">
        <v>3715000</v>
      </c>
      <c r="J62">
        <v>212</v>
      </c>
      <c r="K62" t="s">
        <v>26</v>
      </c>
      <c r="L62" s="1">
        <v>45379</v>
      </c>
      <c r="M62">
        <v>27</v>
      </c>
      <c r="N62" s="6">
        <v>1136800</v>
      </c>
      <c r="O62" t="s">
        <v>481</v>
      </c>
      <c r="P62" t="s">
        <v>415</v>
      </c>
      <c r="Q62" t="s">
        <v>397</v>
      </c>
    </row>
    <row r="63" spans="1:17" x14ac:dyDescent="0.25">
      <c r="A63" t="s">
        <v>164</v>
      </c>
      <c r="B63" t="s">
        <v>165</v>
      </c>
      <c r="C63" t="s">
        <v>163</v>
      </c>
      <c r="D63" t="s">
        <v>44</v>
      </c>
      <c r="E63" t="s">
        <v>33</v>
      </c>
      <c r="F63">
        <v>2024</v>
      </c>
      <c r="G63" t="s">
        <v>64</v>
      </c>
      <c r="H63">
        <v>3.4</v>
      </c>
      <c r="I63">
        <v>43000</v>
      </c>
      <c r="J63">
        <v>74</v>
      </c>
      <c r="K63" t="s">
        <v>69</v>
      </c>
      <c r="L63" s="1">
        <v>46104</v>
      </c>
      <c r="M63">
        <v>30</v>
      </c>
      <c r="N63" s="6">
        <v>11900</v>
      </c>
      <c r="O63" t="s">
        <v>482</v>
      </c>
      <c r="P63" t="s">
        <v>444</v>
      </c>
      <c r="Q63" t="s">
        <v>420</v>
      </c>
    </row>
    <row r="64" spans="1:17" x14ac:dyDescent="0.25">
      <c r="A64" t="s">
        <v>166</v>
      </c>
      <c r="B64" t="s">
        <v>167</v>
      </c>
      <c r="C64" t="s">
        <v>163</v>
      </c>
      <c r="D64" t="s">
        <v>21</v>
      </c>
      <c r="E64" t="s">
        <v>82</v>
      </c>
      <c r="F64">
        <v>2024</v>
      </c>
      <c r="G64" t="s">
        <v>64</v>
      </c>
      <c r="H64">
        <v>3.5</v>
      </c>
      <c r="I64">
        <v>194000</v>
      </c>
      <c r="J64">
        <v>58.1</v>
      </c>
      <c r="K64" t="s">
        <v>46</v>
      </c>
      <c r="L64" s="1">
        <v>45725</v>
      </c>
      <c r="M64">
        <v>12</v>
      </c>
      <c r="N64" s="6">
        <v>38000</v>
      </c>
      <c r="O64" t="s">
        <v>483</v>
      </c>
      <c r="P64" t="s">
        <v>444</v>
      </c>
      <c r="Q64" t="s">
        <v>420</v>
      </c>
    </row>
    <row r="65" spans="1:17" x14ac:dyDescent="0.25">
      <c r="A65" t="s">
        <v>168</v>
      </c>
      <c r="B65" t="s">
        <v>169</v>
      </c>
      <c r="C65" t="s">
        <v>163</v>
      </c>
      <c r="D65" t="s">
        <v>44</v>
      </c>
      <c r="E65" t="s">
        <v>22</v>
      </c>
      <c r="F65">
        <v>2024</v>
      </c>
      <c r="G65" t="s">
        <v>60</v>
      </c>
      <c r="H65">
        <v>4</v>
      </c>
      <c r="I65">
        <v>3289000</v>
      </c>
      <c r="J65">
        <v>153.9</v>
      </c>
      <c r="K65" t="s">
        <v>30</v>
      </c>
      <c r="L65" s="1">
        <v>45376</v>
      </c>
      <c r="M65">
        <v>53</v>
      </c>
      <c r="N65" s="6">
        <v>1085400</v>
      </c>
      <c r="O65" t="s">
        <v>484</v>
      </c>
      <c r="P65" t="s">
        <v>402</v>
      </c>
      <c r="Q65" t="s">
        <v>425</v>
      </c>
    </row>
    <row r="66" spans="1:17" x14ac:dyDescent="0.25">
      <c r="A66" t="s">
        <v>170</v>
      </c>
      <c r="B66" t="s">
        <v>171</v>
      </c>
      <c r="C66" t="s">
        <v>163</v>
      </c>
      <c r="D66" t="s">
        <v>15</v>
      </c>
      <c r="E66" t="s">
        <v>38</v>
      </c>
      <c r="F66">
        <v>2024</v>
      </c>
      <c r="G66" t="s">
        <v>34</v>
      </c>
      <c r="H66">
        <v>4.7</v>
      </c>
      <c r="I66">
        <v>2296000</v>
      </c>
      <c r="J66">
        <v>83</v>
      </c>
      <c r="K66" t="s">
        <v>30</v>
      </c>
      <c r="L66" s="1">
        <v>45813</v>
      </c>
      <c r="M66">
        <v>13</v>
      </c>
      <c r="N66" s="6">
        <v>799000</v>
      </c>
      <c r="O66" t="s">
        <v>485</v>
      </c>
      <c r="P66" t="s">
        <v>444</v>
      </c>
      <c r="Q66" t="s">
        <v>403</v>
      </c>
    </row>
    <row r="67" spans="1:17" x14ac:dyDescent="0.25">
      <c r="A67" t="s">
        <v>172</v>
      </c>
      <c r="B67" t="s">
        <v>173</v>
      </c>
      <c r="C67" t="s">
        <v>163</v>
      </c>
      <c r="D67" t="s">
        <v>15</v>
      </c>
      <c r="E67" t="s">
        <v>16</v>
      </c>
      <c r="F67">
        <v>2021</v>
      </c>
      <c r="G67" t="s">
        <v>17</v>
      </c>
      <c r="H67">
        <v>4.2</v>
      </c>
      <c r="I67">
        <v>47000</v>
      </c>
      <c r="J67">
        <v>188.3</v>
      </c>
      <c r="K67" t="s">
        <v>61</v>
      </c>
      <c r="L67" s="1">
        <v>45874</v>
      </c>
      <c r="M67">
        <v>16</v>
      </c>
      <c r="N67" s="6">
        <v>7600</v>
      </c>
      <c r="O67" t="s">
        <v>486</v>
      </c>
      <c r="P67" t="s">
        <v>380</v>
      </c>
      <c r="Q67" t="s">
        <v>420</v>
      </c>
    </row>
    <row r="68" spans="1:17" x14ac:dyDescent="0.25">
      <c r="A68" t="s">
        <v>174</v>
      </c>
      <c r="B68" t="s">
        <v>175</v>
      </c>
      <c r="C68" t="s">
        <v>163</v>
      </c>
      <c r="D68" t="s">
        <v>15</v>
      </c>
      <c r="E68" t="s">
        <v>29</v>
      </c>
      <c r="F68">
        <v>2023</v>
      </c>
      <c r="G68" t="s">
        <v>64</v>
      </c>
      <c r="H68">
        <v>4</v>
      </c>
      <c r="I68">
        <v>804000</v>
      </c>
      <c r="J68">
        <v>61.8</v>
      </c>
      <c r="K68" t="s">
        <v>30</v>
      </c>
      <c r="L68" s="1">
        <v>46016</v>
      </c>
      <c r="M68">
        <v>73</v>
      </c>
      <c r="N68" s="6">
        <v>180100</v>
      </c>
      <c r="O68" t="s">
        <v>487</v>
      </c>
      <c r="P68" t="s">
        <v>396</v>
      </c>
      <c r="Q68" t="s">
        <v>420</v>
      </c>
    </row>
    <row r="69" spans="1:17" x14ac:dyDescent="0.25">
      <c r="A69" t="s">
        <v>176</v>
      </c>
      <c r="B69" t="s">
        <v>177</v>
      </c>
      <c r="C69" t="s">
        <v>163</v>
      </c>
      <c r="D69" t="s">
        <v>15</v>
      </c>
      <c r="E69" t="s">
        <v>22</v>
      </c>
      <c r="F69">
        <v>2015</v>
      </c>
      <c r="G69" t="s">
        <v>64</v>
      </c>
      <c r="H69">
        <v>3.7</v>
      </c>
      <c r="I69">
        <v>98000</v>
      </c>
      <c r="J69">
        <v>152.1</v>
      </c>
      <c r="K69" t="s">
        <v>61</v>
      </c>
      <c r="L69" s="1">
        <v>45421</v>
      </c>
      <c r="M69">
        <v>57</v>
      </c>
      <c r="N69" s="6">
        <v>14900</v>
      </c>
      <c r="O69" t="s">
        <v>488</v>
      </c>
      <c r="P69" t="s">
        <v>444</v>
      </c>
      <c r="Q69" t="s">
        <v>420</v>
      </c>
    </row>
    <row r="70" spans="1:17" x14ac:dyDescent="0.25">
      <c r="A70" t="s">
        <v>178</v>
      </c>
      <c r="B70" t="s">
        <v>179</v>
      </c>
      <c r="C70" t="s">
        <v>163</v>
      </c>
      <c r="D70" t="s">
        <v>15</v>
      </c>
      <c r="E70" t="s">
        <v>59</v>
      </c>
      <c r="F70">
        <v>2016</v>
      </c>
      <c r="G70" t="s">
        <v>34</v>
      </c>
      <c r="H70">
        <v>4.7</v>
      </c>
      <c r="I70">
        <v>714000</v>
      </c>
      <c r="J70">
        <v>215.8</v>
      </c>
      <c r="K70" t="s">
        <v>18</v>
      </c>
      <c r="L70" s="1">
        <v>45318</v>
      </c>
      <c r="M70">
        <v>35</v>
      </c>
      <c r="N70" s="6">
        <v>595500</v>
      </c>
      <c r="O70" t="s">
        <v>489</v>
      </c>
      <c r="P70" t="s">
        <v>380</v>
      </c>
      <c r="Q70" t="s">
        <v>403</v>
      </c>
    </row>
    <row r="71" spans="1:17" x14ac:dyDescent="0.25">
      <c r="A71" t="s">
        <v>180</v>
      </c>
      <c r="B71" t="s">
        <v>181</v>
      </c>
      <c r="C71" t="s">
        <v>163</v>
      </c>
      <c r="D71" t="s">
        <v>15</v>
      </c>
      <c r="E71" t="s">
        <v>22</v>
      </c>
      <c r="F71">
        <v>2018</v>
      </c>
      <c r="G71" t="s">
        <v>17</v>
      </c>
      <c r="H71">
        <v>3.8</v>
      </c>
      <c r="I71">
        <v>123000</v>
      </c>
      <c r="J71">
        <v>105.9</v>
      </c>
      <c r="K71" t="s">
        <v>18</v>
      </c>
      <c r="L71" s="1">
        <v>45502</v>
      </c>
      <c r="M71">
        <v>88</v>
      </c>
      <c r="N71" s="6">
        <v>16500</v>
      </c>
      <c r="O71" t="s">
        <v>490</v>
      </c>
      <c r="P71" t="s">
        <v>380</v>
      </c>
      <c r="Q71" t="s">
        <v>420</v>
      </c>
    </row>
    <row r="72" spans="1:17" x14ac:dyDescent="0.25">
      <c r="A72" t="s">
        <v>182</v>
      </c>
      <c r="B72" t="s">
        <v>183</v>
      </c>
      <c r="C72" t="s">
        <v>184</v>
      </c>
      <c r="D72" t="s">
        <v>21</v>
      </c>
      <c r="E72" t="s">
        <v>82</v>
      </c>
      <c r="F72">
        <v>2023</v>
      </c>
      <c r="G72" t="s">
        <v>17</v>
      </c>
      <c r="H72">
        <v>4.0999999999999996</v>
      </c>
      <c r="I72">
        <v>22000</v>
      </c>
      <c r="J72">
        <v>206</v>
      </c>
      <c r="K72" t="s">
        <v>30</v>
      </c>
      <c r="L72" s="1">
        <v>45560</v>
      </c>
      <c r="M72">
        <v>11</v>
      </c>
      <c r="N72" s="6">
        <v>1400</v>
      </c>
      <c r="O72" t="s">
        <v>491</v>
      </c>
      <c r="P72" t="s">
        <v>386</v>
      </c>
      <c r="Q72" t="s">
        <v>420</v>
      </c>
    </row>
    <row r="73" spans="1:17" x14ac:dyDescent="0.25">
      <c r="A73" t="s">
        <v>185</v>
      </c>
      <c r="B73" t="s">
        <v>186</v>
      </c>
      <c r="C73" t="s">
        <v>184</v>
      </c>
      <c r="D73" t="s">
        <v>44</v>
      </c>
      <c r="E73" t="s">
        <v>59</v>
      </c>
      <c r="F73">
        <v>2016</v>
      </c>
      <c r="G73" t="s">
        <v>60</v>
      </c>
      <c r="H73">
        <v>3.5</v>
      </c>
      <c r="I73">
        <v>211000</v>
      </c>
      <c r="J73">
        <v>173</v>
      </c>
      <c r="K73" t="s">
        <v>30</v>
      </c>
      <c r="L73" s="1">
        <v>45496</v>
      </c>
      <c r="M73">
        <v>26</v>
      </c>
      <c r="N73" s="6">
        <v>61800</v>
      </c>
      <c r="O73" t="s">
        <v>492</v>
      </c>
      <c r="P73" t="s">
        <v>415</v>
      </c>
      <c r="Q73" t="s">
        <v>425</v>
      </c>
    </row>
    <row r="74" spans="1:17" x14ac:dyDescent="0.25">
      <c r="A74" t="s">
        <v>187</v>
      </c>
      <c r="B74" t="s">
        <v>188</v>
      </c>
      <c r="C74" t="s">
        <v>184</v>
      </c>
      <c r="D74" t="s">
        <v>44</v>
      </c>
      <c r="E74" t="s">
        <v>38</v>
      </c>
      <c r="F74">
        <v>2021</v>
      </c>
      <c r="G74" t="s">
        <v>64</v>
      </c>
      <c r="H74">
        <v>4.5999999999999996</v>
      </c>
      <c r="I74">
        <v>4688000</v>
      </c>
      <c r="J74">
        <v>137</v>
      </c>
      <c r="K74" t="s">
        <v>61</v>
      </c>
      <c r="L74" s="1">
        <v>45620</v>
      </c>
      <c r="M74">
        <v>36</v>
      </c>
      <c r="N74" s="6">
        <v>1509500</v>
      </c>
      <c r="O74" t="s">
        <v>493</v>
      </c>
      <c r="P74" t="s">
        <v>396</v>
      </c>
      <c r="Q74" t="s">
        <v>436</v>
      </c>
    </row>
    <row r="75" spans="1:17" x14ac:dyDescent="0.25">
      <c r="A75" t="s">
        <v>189</v>
      </c>
      <c r="B75" t="s">
        <v>190</v>
      </c>
      <c r="C75" t="s">
        <v>184</v>
      </c>
      <c r="D75" t="s">
        <v>21</v>
      </c>
      <c r="E75" t="s">
        <v>55</v>
      </c>
      <c r="F75">
        <v>2022</v>
      </c>
      <c r="G75" t="s">
        <v>60</v>
      </c>
      <c r="H75">
        <v>4.4000000000000004</v>
      </c>
      <c r="I75">
        <v>17000</v>
      </c>
      <c r="J75">
        <v>68.400000000000006</v>
      </c>
      <c r="K75" t="s">
        <v>30</v>
      </c>
      <c r="L75" s="1">
        <v>45949</v>
      </c>
      <c r="M75">
        <v>31</v>
      </c>
      <c r="N75" s="6">
        <v>5800</v>
      </c>
      <c r="O75" t="s">
        <v>494</v>
      </c>
      <c r="P75" t="s">
        <v>415</v>
      </c>
      <c r="Q75" t="s">
        <v>425</v>
      </c>
    </row>
    <row r="76" spans="1:17" x14ac:dyDescent="0.25">
      <c r="A76" t="s">
        <v>191</v>
      </c>
      <c r="B76" t="s">
        <v>192</v>
      </c>
      <c r="C76" t="s">
        <v>184</v>
      </c>
      <c r="D76" t="s">
        <v>44</v>
      </c>
      <c r="E76" t="s">
        <v>29</v>
      </c>
      <c r="F76">
        <v>2017</v>
      </c>
      <c r="G76" t="s">
        <v>64</v>
      </c>
      <c r="H76">
        <v>4.2</v>
      </c>
      <c r="I76">
        <v>507000</v>
      </c>
      <c r="J76">
        <v>180.8</v>
      </c>
      <c r="K76" t="s">
        <v>46</v>
      </c>
      <c r="L76" s="1">
        <v>45512</v>
      </c>
      <c r="M76">
        <v>8</v>
      </c>
      <c r="N76" s="6">
        <v>140900</v>
      </c>
      <c r="O76" t="s">
        <v>495</v>
      </c>
      <c r="P76" t="s">
        <v>396</v>
      </c>
      <c r="Q76" t="s">
        <v>436</v>
      </c>
    </row>
    <row r="77" spans="1:17" x14ac:dyDescent="0.25">
      <c r="A77" t="s">
        <v>193</v>
      </c>
      <c r="B77" t="s">
        <v>194</v>
      </c>
      <c r="C77" t="s">
        <v>184</v>
      </c>
      <c r="D77" t="s">
        <v>44</v>
      </c>
      <c r="E77" t="s">
        <v>33</v>
      </c>
      <c r="F77">
        <v>2025</v>
      </c>
      <c r="G77" t="s">
        <v>34</v>
      </c>
      <c r="H77">
        <v>3.7</v>
      </c>
      <c r="I77">
        <v>64000</v>
      </c>
      <c r="J77">
        <v>106.2</v>
      </c>
      <c r="K77" t="s">
        <v>61</v>
      </c>
      <c r="L77" s="1">
        <v>45737</v>
      </c>
      <c r="M77">
        <v>22</v>
      </c>
      <c r="N77" s="6">
        <v>42100</v>
      </c>
      <c r="O77" t="s">
        <v>496</v>
      </c>
      <c r="P77" t="s">
        <v>396</v>
      </c>
      <c r="Q77" t="s">
        <v>403</v>
      </c>
    </row>
    <row r="78" spans="1:17" x14ac:dyDescent="0.25">
      <c r="A78" t="s">
        <v>195</v>
      </c>
      <c r="B78" t="s">
        <v>196</v>
      </c>
      <c r="C78" t="s">
        <v>184</v>
      </c>
      <c r="D78" t="s">
        <v>21</v>
      </c>
      <c r="E78" t="s">
        <v>55</v>
      </c>
      <c r="F78">
        <v>2019</v>
      </c>
      <c r="G78" t="s">
        <v>64</v>
      </c>
      <c r="H78">
        <v>3.4</v>
      </c>
      <c r="I78">
        <v>18000</v>
      </c>
      <c r="J78">
        <v>178.3</v>
      </c>
      <c r="K78" t="s">
        <v>46</v>
      </c>
      <c r="L78" s="1">
        <v>45487</v>
      </c>
      <c r="M78">
        <v>86</v>
      </c>
      <c r="N78" s="6">
        <v>3200</v>
      </c>
      <c r="O78" t="s">
        <v>497</v>
      </c>
      <c r="P78" t="s">
        <v>440</v>
      </c>
      <c r="Q78" t="s">
        <v>397</v>
      </c>
    </row>
    <row r="79" spans="1:17" x14ac:dyDescent="0.25">
      <c r="A79" t="s">
        <v>197</v>
      </c>
      <c r="B79" t="s">
        <v>198</v>
      </c>
      <c r="C79" t="s">
        <v>184</v>
      </c>
      <c r="D79" t="s">
        <v>21</v>
      </c>
      <c r="E79" t="s">
        <v>38</v>
      </c>
      <c r="F79">
        <v>2020</v>
      </c>
      <c r="G79" t="s">
        <v>34</v>
      </c>
      <c r="H79">
        <v>3.6</v>
      </c>
      <c r="I79">
        <v>44000</v>
      </c>
      <c r="J79">
        <v>24.1</v>
      </c>
      <c r="K79" t="s">
        <v>18</v>
      </c>
      <c r="L79" s="1">
        <v>45392</v>
      </c>
      <c r="M79">
        <v>63</v>
      </c>
      <c r="N79" s="6">
        <v>11000</v>
      </c>
      <c r="O79" t="s">
        <v>498</v>
      </c>
      <c r="P79" t="s">
        <v>396</v>
      </c>
      <c r="Q79" t="s">
        <v>403</v>
      </c>
    </row>
    <row r="80" spans="1:17" x14ac:dyDescent="0.25">
      <c r="A80" t="s">
        <v>199</v>
      </c>
      <c r="B80" t="s">
        <v>200</v>
      </c>
      <c r="C80" t="s">
        <v>184</v>
      </c>
      <c r="D80" t="s">
        <v>15</v>
      </c>
      <c r="E80" t="s">
        <v>33</v>
      </c>
      <c r="F80">
        <v>2020</v>
      </c>
      <c r="G80" t="s">
        <v>17</v>
      </c>
      <c r="H80">
        <v>3.4</v>
      </c>
      <c r="I80">
        <v>918000</v>
      </c>
      <c r="J80">
        <v>44</v>
      </c>
      <c r="K80" t="s">
        <v>26</v>
      </c>
      <c r="L80" s="1">
        <v>45434</v>
      </c>
      <c r="M80">
        <v>31</v>
      </c>
      <c r="N80" s="6">
        <v>97300</v>
      </c>
      <c r="O80" t="s">
        <v>499</v>
      </c>
      <c r="P80" t="s">
        <v>402</v>
      </c>
      <c r="Q80" t="s">
        <v>420</v>
      </c>
    </row>
    <row r="81" spans="1:17" x14ac:dyDescent="0.25">
      <c r="A81" t="s">
        <v>201</v>
      </c>
      <c r="B81" t="s">
        <v>202</v>
      </c>
      <c r="C81" t="s">
        <v>184</v>
      </c>
      <c r="D81" t="s">
        <v>15</v>
      </c>
      <c r="E81" t="s">
        <v>45</v>
      </c>
      <c r="F81">
        <v>2015</v>
      </c>
      <c r="G81" t="s">
        <v>17</v>
      </c>
      <c r="H81">
        <v>4</v>
      </c>
      <c r="I81">
        <v>1230000</v>
      </c>
      <c r="J81">
        <v>236.1</v>
      </c>
      <c r="K81" t="s">
        <v>61</v>
      </c>
      <c r="L81" s="1">
        <v>45936</v>
      </c>
      <c r="M81">
        <v>36</v>
      </c>
      <c r="N81" s="6">
        <v>147600</v>
      </c>
      <c r="O81" t="s">
        <v>500</v>
      </c>
      <c r="P81" t="s">
        <v>440</v>
      </c>
      <c r="Q81" t="s">
        <v>397</v>
      </c>
    </row>
    <row r="82" spans="1:17" x14ac:dyDescent="0.25">
      <c r="A82" t="s">
        <v>203</v>
      </c>
      <c r="B82" t="s">
        <v>204</v>
      </c>
      <c r="C82" t="s">
        <v>205</v>
      </c>
      <c r="D82" t="s">
        <v>44</v>
      </c>
      <c r="E82" t="s">
        <v>59</v>
      </c>
      <c r="F82">
        <v>2015</v>
      </c>
      <c r="G82" t="s">
        <v>64</v>
      </c>
      <c r="H82">
        <v>3.4</v>
      </c>
      <c r="I82">
        <v>12445000</v>
      </c>
      <c r="J82">
        <v>174.2</v>
      </c>
      <c r="K82" t="s">
        <v>46</v>
      </c>
      <c r="L82" s="1">
        <v>45390</v>
      </c>
      <c r="M82">
        <v>56</v>
      </c>
      <c r="N82" s="6">
        <v>3360200</v>
      </c>
      <c r="O82" t="s">
        <v>501</v>
      </c>
      <c r="P82" t="s">
        <v>386</v>
      </c>
      <c r="Q82" t="s">
        <v>420</v>
      </c>
    </row>
    <row r="83" spans="1:17" x14ac:dyDescent="0.25">
      <c r="A83" t="s">
        <v>206</v>
      </c>
      <c r="B83" t="s">
        <v>207</v>
      </c>
      <c r="C83" t="s">
        <v>205</v>
      </c>
      <c r="D83" t="s">
        <v>44</v>
      </c>
      <c r="E83" t="s">
        <v>29</v>
      </c>
      <c r="F83">
        <v>2016</v>
      </c>
      <c r="G83" t="s">
        <v>64</v>
      </c>
      <c r="H83">
        <v>3.5</v>
      </c>
      <c r="I83">
        <v>6081000</v>
      </c>
      <c r="J83">
        <v>194.4</v>
      </c>
      <c r="K83" t="s">
        <v>26</v>
      </c>
      <c r="L83" s="1">
        <v>45722</v>
      </c>
      <c r="M83">
        <v>22</v>
      </c>
      <c r="N83" s="6">
        <v>2000600</v>
      </c>
      <c r="O83" t="s">
        <v>502</v>
      </c>
      <c r="P83" t="s">
        <v>402</v>
      </c>
      <c r="Q83" t="s">
        <v>397</v>
      </c>
    </row>
    <row r="84" spans="1:17" x14ac:dyDescent="0.25">
      <c r="A84" t="s">
        <v>208</v>
      </c>
      <c r="B84" t="s">
        <v>209</v>
      </c>
      <c r="C84" t="s">
        <v>205</v>
      </c>
      <c r="D84" t="s">
        <v>44</v>
      </c>
      <c r="E84" t="s">
        <v>82</v>
      </c>
      <c r="F84">
        <v>2020</v>
      </c>
      <c r="G84" t="s">
        <v>17</v>
      </c>
      <c r="H84">
        <v>4</v>
      </c>
      <c r="I84">
        <v>16634000</v>
      </c>
      <c r="J84">
        <v>195.1</v>
      </c>
      <c r="K84" t="s">
        <v>30</v>
      </c>
      <c r="L84" s="1">
        <v>45598</v>
      </c>
      <c r="M84">
        <v>56</v>
      </c>
      <c r="N84" s="6">
        <v>4175100</v>
      </c>
      <c r="O84" t="s">
        <v>503</v>
      </c>
      <c r="P84" t="s">
        <v>444</v>
      </c>
      <c r="Q84" t="s">
        <v>381</v>
      </c>
    </row>
    <row r="85" spans="1:17" x14ac:dyDescent="0.25">
      <c r="A85" t="s">
        <v>210</v>
      </c>
      <c r="B85" t="s">
        <v>211</v>
      </c>
      <c r="C85" t="s">
        <v>205</v>
      </c>
      <c r="D85" t="s">
        <v>15</v>
      </c>
      <c r="E85" t="s">
        <v>33</v>
      </c>
      <c r="F85">
        <v>2021</v>
      </c>
      <c r="G85" t="s">
        <v>64</v>
      </c>
      <c r="H85">
        <v>3.9</v>
      </c>
      <c r="I85">
        <v>2924000</v>
      </c>
      <c r="J85">
        <v>211.2</v>
      </c>
      <c r="K85" t="s">
        <v>61</v>
      </c>
      <c r="L85" s="1">
        <v>45786</v>
      </c>
      <c r="M85">
        <v>74</v>
      </c>
      <c r="N85" s="6">
        <v>190100</v>
      </c>
      <c r="O85" t="s">
        <v>504</v>
      </c>
      <c r="P85" t="s">
        <v>386</v>
      </c>
      <c r="Q85" t="s">
        <v>420</v>
      </c>
    </row>
    <row r="86" spans="1:17" x14ac:dyDescent="0.25">
      <c r="A86" t="s">
        <v>212</v>
      </c>
      <c r="B86" t="s">
        <v>213</v>
      </c>
      <c r="C86" t="s">
        <v>205</v>
      </c>
      <c r="D86" t="s">
        <v>21</v>
      </c>
      <c r="E86" t="s">
        <v>29</v>
      </c>
      <c r="F86">
        <v>2017</v>
      </c>
      <c r="G86" t="s">
        <v>34</v>
      </c>
      <c r="H86">
        <v>3.5</v>
      </c>
      <c r="I86">
        <v>19187000</v>
      </c>
      <c r="J86">
        <v>68.7</v>
      </c>
      <c r="K86" t="s">
        <v>23</v>
      </c>
      <c r="L86" s="1">
        <v>46067</v>
      </c>
      <c r="M86">
        <v>47</v>
      </c>
      <c r="N86" s="6">
        <v>4988600</v>
      </c>
      <c r="O86" t="s">
        <v>505</v>
      </c>
      <c r="P86" t="s">
        <v>386</v>
      </c>
      <c r="Q86" t="s">
        <v>403</v>
      </c>
    </row>
    <row r="87" spans="1:17" x14ac:dyDescent="0.25">
      <c r="A87" t="s">
        <v>214</v>
      </c>
      <c r="B87" t="s">
        <v>215</v>
      </c>
      <c r="C87" t="s">
        <v>205</v>
      </c>
      <c r="D87" t="s">
        <v>21</v>
      </c>
      <c r="E87" t="s">
        <v>33</v>
      </c>
      <c r="F87">
        <v>2021</v>
      </c>
      <c r="G87" t="s">
        <v>34</v>
      </c>
      <c r="H87">
        <v>4.7</v>
      </c>
      <c r="I87">
        <v>147000</v>
      </c>
      <c r="J87">
        <v>239.9</v>
      </c>
      <c r="K87" t="s">
        <v>69</v>
      </c>
      <c r="L87" s="1">
        <v>46105</v>
      </c>
      <c r="M87">
        <v>42</v>
      </c>
      <c r="N87" s="6">
        <v>56400</v>
      </c>
      <c r="O87" t="s">
        <v>506</v>
      </c>
      <c r="P87" t="s">
        <v>396</v>
      </c>
      <c r="Q87" t="s">
        <v>403</v>
      </c>
    </row>
    <row r="88" spans="1:17" x14ac:dyDescent="0.25">
      <c r="A88" t="s">
        <v>216</v>
      </c>
      <c r="B88" t="s">
        <v>217</v>
      </c>
      <c r="C88" t="s">
        <v>205</v>
      </c>
      <c r="D88" t="s">
        <v>15</v>
      </c>
      <c r="E88" t="s">
        <v>41</v>
      </c>
      <c r="F88">
        <v>2022</v>
      </c>
      <c r="G88" t="s">
        <v>34</v>
      </c>
      <c r="H88">
        <v>3.7</v>
      </c>
      <c r="I88">
        <v>1698000</v>
      </c>
      <c r="J88">
        <v>77.2</v>
      </c>
      <c r="K88" t="s">
        <v>18</v>
      </c>
      <c r="L88" s="1">
        <v>45458</v>
      </c>
      <c r="M88">
        <v>46</v>
      </c>
      <c r="N88" s="6">
        <v>1154600</v>
      </c>
      <c r="O88" t="s">
        <v>507</v>
      </c>
      <c r="P88" t="s">
        <v>380</v>
      </c>
      <c r="Q88" t="s">
        <v>403</v>
      </c>
    </row>
    <row r="89" spans="1:17" x14ac:dyDescent="0.25">
      <c r="A89" t="s">
        <v>218</v>
      </c>
      <c r="B89" t="s">
        <v>219</v>
      </c>
      <c r="C89" t="s">
        <v>205</v>
      </c>
      <c r="D89" t="s">
        <v>21</v>
      </c>
      <c r="E89" t="s">
        <v>22</v>
      </c>
      <c r="F89">
        <v>2018</v>
      </c>
      <c r="G89" t="s">
        <v>17</v>
      </c>
      <c r="H89">
        <v>3.9</v>
      </c>
      <c r="I89">
        <v>2716000</v>
      </c>
      <c r="J89">
        <v>151.69999999999999</v>
      </c>
      <c r="K89" t="s">
        <v>26</v>
      </c>
      <c r="L89" s="1">
        <v>45803</v>
      </c>
      <c r="M89">
        <v>73</v>
      </c>
      <c r="N89" s="6">
        <v>757800</v>
      </c>
      <c r="O89" t="s">
        <v>508</v>
      </c>
      <c r="P89" t="s">
        <v>386</v>
      </c>
      <c r="Q89" t="s">
        <v>397</v>
      </c>
    </row>
    <row r="90" spans="1:17" x14ac:dyDescent="0.25">
      <c r="A90" t="s">
        <v>220</v>
      </c>
      <c r="B90" t="s">
        <v>221</v>
      </c>
      <c r="C90" t="s">
        <v>205</v>
      </c>
      <c r="D90" t="s">
        <v>21</v>
      </c>
      <c r="E90" t="s">
        <v>45</v>
      </c>
      <c r="F90">
        <v>2022</v>
      </c>
      <c r="G90" t="s">
        <v>64</v>
      </c>
      <c r="H90">
        <v>3.4</v>
      </c>
      <c r="I90">
        <v>28000</v>
      </c>
      <c r="J90">
        <v>170.6</v>
      </c>
      <c r="K90" t="s">
        <v>26</v>
      </c>
      <c r="L90" s="1">
        <v>46017</v>
      </c>
      <c r="M90">
        <v>97</v>
      </c>
      <c r="N90" s="6">
        <v>8100</v>
      </c>
      <c r="O90" t="s">
        <v>509</v>
      </c>
      <c r="P90" t="s">
        <v>380</v>
      </c>
      <c r="Q90" t="s">
        <v>420</v>
      </c>
    </row>
    <row r="91" spans="1:17" x14ac:dyDescent="0.25">
      <c r="A91" t="s">
        <v>222</v>
      </c>
      <c r="B91" t="s">
        <v>213</v>
      </c>
      <c r="C91" t="s">
        <v>205</v>
      </c>
      <c r="D91" t="s">
        <v>21</v>
      </c>
      <c r="E91" t="s">
        <v>29</v>
      </c>
      <c r="F91">
        <v>2016</v>
      </c>
      <c r="G91" t="s">
        <v>17</v>
      </c>
      <c r="H91">
        <v>4.2</v>
      </c>
      <c r="I91">
        <v>26000</v>
      </c>
      <c r="J91">
        <v>88.2</v>
      </c>
      <c r="K91" t="s">
        <v>18</v>
      </c>
      <c r="L91" s="1">
        <v>45581</v>
      </c>
      <c r="M91">
        <v>89</v>
      </c>
      <c r="N91" s="6">
        <v>1900</v>
      </c>
      <c r="O91" t="s">
        <v>510</v>
      </c>
      <c r="P91" t="s">
        <v>415</v>
      </c>
      <c r="Q91" t="s">
        <v>420</v>
      </c>
    </row>
    <row r="92" spans="1:17" x14ac:dyDescent="0.25">
      <c r="A92" t="s">
        <v>223</v>
      </c>
      <c r="B92" t="s">
        <v>224</v>
      </c>
      <c r="C92" t="s">
        <v>225</v>
      </c>
      <c r="D92" t="s">
        <v>21</v>
      </c>
      <c r="E92" t="s">
        <v>33</v>
      </c>
      <c r="F92">
        <v>2021</v>
      </c>
      <c r="G92" t="s">
        <v>17</v>
      </c>
      <c r="H92">
        <v>4.0999999999999996</v>
      </c>
      <c r="I92">
        <v>3304000</v>
      </c>
      <c r="J92">
        <v>73.8</v>
      </c>
      <c r="K92" t="s">
        <v>18</v>
      </c>
      <c r="L92" s="1">
        <v>45565</v>
      </c>
      <c r="M92">
        <v>48</v>
      </c>
      <c r="N92" s="6">
        <v>1011000</v>
      </c>
      <c r="O92" t="s">
        <v>511</v>
      </c>
      <c r="P92" t="s">
        <v>440</v>
      </c>
      <c r="Q92" t="s">
        <v>381</v>
      </c>
    </row>
    <row r="93" spans="1:17" x14ac:dyDescent="0.25">
      <c r="A93" t="s">
        <v>226</v>
      </c>
      <c r="B93" t="s">
        <v>227</v>
      </c>
      <c r="C93" t="s">
        <v>225</v>
      </c>
      <c r="D93" t="s">
        <v>44</v>
      </c>
      <c r="E93" t="s">
        <v>16</v>
      </c>
      <c r="F93">
        <v>2023</v>
      </c>
      <c r="G93" t="s">
        <v>64</v>
      </c>
      <c r="H93">
        <v>3.7</v>
      </c>
      <c r="I93">
        <v>35000</v>
      </c>
      <c r="J93">
        <v>174.3</v>
      </c>
      <c r="K93" t="s">
        <v>69</v>
      </c>
      <c r="L93" s="1">
        <v>45517</v>
      </c>
      <c r="M93">
        <v>35</v>
      </c>
      <c r="N93" s="6">
        <v>3300</v>
      </c>
      <c r="O93" t="s">
        <v>512</v>
      </c>
      <c r="P93" t="s">
        <v>444</v>
      </c>
      <c r="Q93" t="s">
        <v>436</v>
      </c>
    </row>
    <row r="94" spans="1:17" x14ac:dyDescent="0.25">
      <c r="A94" t="s">
        <v>228</v>
      </c>
      <c r="B94" t="s">
        <v>229</v>
      </c>
      <c r="C94" t="s">
        <v>225</v>
      </c>
      <c r="D94" t="s">
        <v>21</v>
      </c>
      <c r="E94" t="s">
        <v>29</v>
      </c>
      <c r="F94">
        <v>2020</v>
      </c>
      <c r="G94" t="s">
        <v>17</v>
      </c>
      <c r="H94">
        <v>4.4000000000000004</v>
      </c>
      <c r="I94">
        <v>3565000</v>
      </c>
      <c r="J94">
        <v>217.8</v>
      </c>
      <c r="K94" t="s">
        <v>69</v>
      </c>
      <c r="L94" s="1">
        <v>45718</v>
      </c>
      <c r="M94">
        <v>15</v>
      </c>
      <c r="N94" s="6">
        <v>306600</v>
      </c>
      <c r="O94" t="s">
        <v>513</v>
      </c>
      <c r="P94" t="s">
        <v>386</v>
      </c>
      <c r="Q94" t="s">
        <v>397</v>
      </c>
    </row>
    <row r="95" spans="1:17" x14ac:dyDescent="0.25">
      <c r="A95" t="s">
        <v>230</v>
      </c>
      <c r="B95" t="s">
        <v>231</v>
      </c>
      <c r="C95" t="s">
        <v>225</v>
      </c>
      <c r="D95" t="s">
        <v>15</v>
      </c>
      <c r="E95" t="s">
        <v>59</v>
      </c>
      <c r="F95">
        <v>2016</v>
      </c>
      <c r="G95" t="s">
        <v>17</v>
      </c>
      <c r="H95">
        <v>3.7</v>
      </c>
      <c r="I95">
        <v>2070000</v>
      </c>
      <c r="J95">
        <v>91.8</v>
      </c>
      <c r="K95" t="s">
        <v>35</v>
      </c>
      <c r="L95" s="1">
        <v>45452</v>
      </c>
      <c r="M95">
        <v>70</v>
      </c>
      <c r="N95" s="6">
        <v>188400</v>
      </c>
      <c r="O95" t="s">
        <v>514</v>
      </c>
      <c r="P95" t="s">
        <v>440</v>
      </c>
      <c r="Q95" t="s">
        <v>420</v>
      </c>
    </row>
    <row r="96" spans="1:17" x14ac:dyDescent="0.25">
      <c r="A96" t="s">
        <v>232</v>
      </c>
      <c r="B96" t="s">
        <v>233</v>
      </c>
      <c r="C96" t="s">
        <v>225</v>
      </c>
      <c r="D96" t="s">
        <v>21</v>
      </c>
      <c r="E96" t="s">
        <v>22</v>
      </c>
      <c r="F96">
        <v>2016</v>
      </c>
      <c r="G96" t="s">
        <v>17</v>
      </c>
      <c r="H96">
        <v>4.0999999999999996</v>
      </c>
      <c r="I96">
        <v>57000</v>
      </c>
      <c r="J96">
        <v>225.8</v>
      </c>
      <c r="K96" t="s">
        <v>35</v>
      </c>
      <c r="L96" s="1">
        <v>45949</v>
      </c>
      <c r="M96">
        <v>78</v>
      </c>
      <c r="N96" s="6">
        <v>9000</v>
      </c>
      <c r="O96" t="s">
        <v>515</v>
      </c>
      <c r="P96" t="s">
        <v>402</v>
      </c>
      <c r="Q96" t="s">
        <v>397</v>
      </c>
    </row>
    <row r="97" spans="1:17" x14ac:dyDescent="0.25">
      <c r="A97" t="s">
        <v>234</v>
      </c>
      <c r="B97" t="s">
        <v>235</v>
      </c>
      <c r="C97" t="s">
        <v>225</v>
      </c>
      <c r="D97" t="s">
        <v>21</v>
      </c>
      <c r="E97" t="s">
        <v>45</v>
      </c>
      <c r="F97">
        <v>2021</v>
      </c>
      <c r="G97" t="s">
        <v>64</v>
      </c>
      <c r="H97">
        <v>4</v>
      </c>
      <c r="I97">
        <v>968000</v>
      </c>
      <c r="J97">
        <v>118.7</v>
      </c>
      <c r="K97" t="s">
        <v>18</v>
      </c>
      <c r="L97" s="1">
        <v>45936</v>
      </c>
      <c r="M97">
        <v>81</v>
      </c>
      <c r="N97" s="6">
        <v>73600</v>
      </c>
      <c r="O97" t="s">
        <v>516</v>
      </c>
      <c r="P97" t="s">
        <v>440</v>
      </c>
      <c r="Q97" t="s">
        <v>420</v>
      </c>
    </row>
    <row r="98" spans="1:17" x14ac:dyDescent="0.25">
      <c r="A98" t="s">
        <v>236</v>
      </c>
      <c r="B98" t="s">
        <v>237</v>
      </c>
      <c r="C98" t="s">
        <v>225</v>
      </c>
      <c r="D98" t="s">
        <v>15</v>
      </c>
      <c r="E98" t="s">
        <v>45</v>
      </c>
      <c r="F98">
        <v>2025</v>
      </c>
      <c r="G98" t="s">
        <v>17</v>
      </c>
      <c r="H98">
        <v>3.2</v>
      </c>
      <c r="I98">
        <v>14223000</v>
      </c>
      <c r="J98">
        <v>97.5</v>
      </c>
      <c r="K98" t="s">
        <v>35</v>
      </c>
      <c r="L98" s="1">
        <v>45337</v>
      </c>
      <c r="M98">
        <v>7</v>
      </c>
      <c r="N98" s="6">
        <v>3029500</v>
      </c>
      <c r="O98" t="s">
        <v>517</v>
      </c>
      <c r="P98" t="s">
        <v>386</v>
      </c>
      <c r="Q98" t="s">
        <v>397</v>
      </c>
    </row>
    <row r="99" spans="1:17" x14ac:dyDescent="0.25">
      <c r="A99" t="s">
        <v>238</v>
      </c>
      <c r="B99" t="s">
        <v>239</v>
      </c>
      <c r="C99" t="s">
        <v>225</v>
      </c>
      <c r="D99" t="s">
        <v>21</v>
      </c>
      <c r="E99" t="s">
        <v>55</v>
      </c>
      <c r="F99">
        <v>2015</v>
      </c>
      <c r="G99" t="s">
        <v>60</v>
      </c>
      <c r="H99">
        <v>4.5</v>
      </c>
      <c r="I99">
        <v>282000</v>
      </c>
      <c r="J99">
        <v>59.5</v>
      </c>
      <c r="K99" t="s">
        <v>35</v>
      </c>
      <c r="L99" s="1">
        <v>45807</v>
      </c>
      <c r="M99">
        <v>21</v>
      </c>
      <c r="N99" s="6">
        <v>79500</v>
      </c>
      <c r="O99" t="s">
        <v>518</v>
      </c>
      <c r="P99" t="s">
        <v>402</v>
      </c>
      <c r="Q99" t="s">
        <v>425</v>
      </c>
    </row>
    <row r="100" spans="1:17" x14ac:dyDescent="0.25">
      <c r="A100" t="s">
        <v>240</v>
      </c>
      <c r="B100" t="s">
        <v>241</v>
      </c>
      <c r="C100" t="s">
        <v>225</v>
      </c>
      <c r="D100" t="s">
        <v>21</v>
      </c>
      <c r="E100" t="s">
        <v>55</v>
      </c>
      <c r="F100">
        <v>2018</v>
      </c>
      <c r="G100" t="s">
        <v>17</v>
      </c>
      <c r="H100">
        <v>3.5</v>
      </c>
      <c r="I100">
        <v>3981000</v>
      </c>
      <c r="J100">
        <v>120.7</v>
      </c>
      <c r="K100" t="s">
        <v>35</v>
      </c>
      <c r="L100" s="1">
        <v>46111</v>
      </c>
      <c r="M100">
        <v>34</v>
      </c>
      <c r="N100" s="6">
        <v>855900</v>
      </c>
      <c r="O100" t="s">
        <v>519</v>
      </c>
      <c r="P100" t="s">
        <v>396</v>
      </c>
      <c r="Q100" t="s">
        <v>420</v>
      </c>
    </row>
    <row r="101" spans="1:17" x14ac:dyDescent="0.25">
      <c r="A101" t="s">
        <v>242</v>
      </c>
      <c r="B101" t="s">
        <v>243</v>
      </c>
      <c r="C101" t="s">
        <v>225</v>
      </c>
      <c r="D101" t="s">
        <v>44</v>
      </c>
      <c r="E101" t="s">
        <v>41</v>
      </c>
      <c r="F101">
        <v>2015</v>
      </c>
      <c r="G101" t="s">
        <v>17</v>
      </c>
      <c r="H101">
        <v>4.2</v>
      </c>
      <c r="I101">
        <v>11298000</v>
      </c>
      <c r="J101">
        <v>181.6</v>
      </c>
      <c r="K101" t="s">
        <v>18</v>
      </c>
      <c r="L101" s="1">
        <v>45631</v>
      </c>
      <c r="M101">
        <v>61</v>
      </c>
      <c r="N101" s="6">
        <v>2711500</v>
      </c>
      <c r="O101" t="s">
        <v>520</v>
      </c>
      <c r="P101" t="s">
        <v>415</v>
      </c>
      <c r="Q101" t="s">
        <v>420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438E-3D9A-47FF-A7E2-BFC5CE4D95D1}">
  <dimension ref="A3:B13"/>
  <sheetViews>
    <sheetView topLeftCell="A4" workbookViewId="0">
      <selection activeCell="A40" sqref="A40"/>
    </sheetView>
  </sheetViews>
  <sheetFormatPr defaultRowHeight="15" x14ac:dyDescent="0.25"/>
  <cols>
    <col min="1" max="1" width="21.5703125" bestFit="1" customWidth="1"/>
    <col min="2" max="2" width="16.140625" bestFit="1" customWidth="1"/>
  </cols>
  <sheetData>
    <row r="3" spans="1:2" x14ac:dyDescent="0.25">
      <c r="A3" s="8" t="s">
        <v>5187</v>
      </c>
      <c r="B3" t="s">
        <v>5188</v>
      </c>
    </row>
    <row r="4" spans="1:2" x14ac:dyDescent="0.25">
      <c r="A4" s="9" t="s">
        <v>45</v>
      </c>
      <c r="B4" s="5">
        <v>5462100</v>
      </c>
    </row>
    <row r="5" spans="1:2" x14ac:dyDescent="0.25">
      <c r="A5" s="9" t="s">
        <v>33</v>
      </c>
      <c r="B5" s="5">
        <v>4208100</v>
      </c>
    </row>
    <row r="6" spans="1:2" x14ac:dyDescent="0.25">
      <c r="A6" s="9" t="s">
        <v>16</v>
      </c>
      <c r="B6" s="5">
        <v>1521400</v>
      </c>
    </row>
    <row r="7" spans="1:2" x14ac:dyDescent="0.25">
      <c r="A7" s="9" t="s">
        <v>82</v>
      </c>
      <c r="B7" s="5">
        <v>17708000</v>
      </c>
    </row>
    <row r="8" spans="1:2" x14ac:dyDescent="0.25">
      <c r="A8" s="9" t="s">
        <v>55</v>
      </c>
      <c r="B8" s="5">
        <v>1065400</v>
      </c>
    </row>
    <row r="9" spans="1:2" x14ac:dyDescent="0.25">
      <c r="A9" s="9" t="s">
        <v>59</v>
      </c>
      <c r="B9" s="5">
        <v>5157100</v>
      </c>
    </row>
    <row r="10" spans="1:2" x14ac:dyDescent="0.25">
      <c r="A10" s="9" t="s">
        <v>41</v>
      </c>
      <c r="B10" s="5">
        <v>6259800</v>
      </c>
    </row>
    <row r="11" spans="1:2" x14ac:dyDescent="0.25">
      <c r="A11" s="9" t="s">
        <v>38</v>
      </c>
      <c r="B11" s="5">
        <v>13930500</v>
      </c>
    </row>
    <row r="12" spans="1:2" x14ac:dyDescent="0.25">
      <c r="A12" s="9" t="s">
        <v>29</v>
      </c>
      <c r="B12" s="5">
        <v>13110500</v>
      </c>
    </row>
    <row r="13" spans="1:2" x14ac:dyDescent="0.25">
      <c r="A13" s="9" t="s">
        <v>22</v>
      </c>
      <c r="B13" s="5">
        <v>5545300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06A3-4D1C-4A8F-B185-A31BE6ABF275}">
  <dimension ref="A1:AA101"/>
  <sheetViews>
    <sheetView workbookViewId="0">
      <selection activeCell="D5" sqref="D5"/>
    </sheetView>
  </sheetViews>
  <sheetFormatPr defaultRowHeight="15" x14ac:dyDescent="0.25"/>
  <cols>
    <col min="1" max="1" width="15.7109375" customWidth="1"/>
    <col min="2" max="2" width="21.7109375" bestFit="1" customWidth="1"/>
    <col min="6" max="6" width="14.28515625" customWidth="1"/>
    <col min="7" max="7" width="17.5703125" customWidth="1"/>
    <col min="8" max="8" width="16" customWidth="1"/>
    <col min="9" max="9" width="17.28515625" customWidth="1"/>
    <col min="10" max="10" width="20.140625" customWidth="1"/>
    <col min="11" max="11" width="23.140625" customWidth="1"/>
    <col min="12" max="12" width="22" customWidth="1"/>
    <col min="13" max="13" width="19.140625" customWidth="1"/>
    <col min="14" max="14" width="24.7109375" style="6" customWidth="1"/>
    <col min="27" max="27" width="15.42578125" customWidth="1"/>
  </cols>
  <sheetData>
    <row r="1" spans="1:27" x14ac:dyDescent="0.25">
      <c r="A1" t="s">
        <v>366</v>
      </c>
      <c r="B1" t="s">
        <v>4</v>
      </c>
      <c r="C1" t="s">
        <v>0</v>
      </c>
      <c r="D1" t="s">
        <v>1</v>
      </c>
      <c r="E1" t="s">
        <v>2</v>
      </c>
      <c r="F1" t="s">
        <v>367</v>
      </c>
      <c r="G1" t="s">
        <v>368</v>
      </c>
      <c r="H1" t="s">
        <v>369</v>
      </c>
      <c r="I1" t="s">
        <v>370</v>
      </c>
      <c r="J1" t="s">
        <v>371</v>
      </c>
      <c r="K1" t="s">
        <v>372</v>
      </c>
      <c r="L1" t="s">
        <v>373</v>
      </c>
      <c r="M1" t="s">
        <v>374</v>
      </c>
      <c r="N1" s="6" t="s">
        <v>375</v>
      </c>
    </row>
    <row r="2" spans="1:27" x14ac:dyDescent="0.25">
      <c r="A2" t="s">
        <v>376</v>
      </c>
      <c r="B2" t="str">
        <f>_xlfn.XLOOKUP(Table3[[#This Row],[app_id]],Table5[app_id],Table5[developer_company],"",0)</f>
        <v>BrightWorks</v>
      </c>
      <c r="C2" t="s">
        <v>12</v>
      </c>
      <c r="D2" t="str">
        <f>_xlfn.XLOOKUP(Table3[[#This Row],[app_id]],Table5[app_id],Table5[app_name],"",0)</f>
        <v>InvestPro</v>
      </c>
      <c r="E2" t="str">
        <f>_xlfn.XLOOKUP(Table3[[#This Row],[app_id]],Table5[app_id],Table5[category],"",0)</f>
        <v>Finance</v>
      </c>
      <c r="F2">
        <v>53</v>
      </c>
      <c r="G2" t="s">
        <v>377</v>
      </c>
      <c r="H2" t="s">
        <v>378</v>
      </c>
      <c r="I2" t="s">
        <v>379</v>
      </c>
      <c r="J2" t="s">
        <v>380</v>
      </c>
      <c r="K2" t="s">
        <v>381</v>
      </c>
      <c r="L2" t="s">
        <v>382</v>
      </c>
      <c r="M2">
        <v>3.1</v>
      </c>
      <c r="N2" s="6">
        <v>65000</v>
      </c>
    </row>
    <row r="3" spans="1:27" x14ac:dyDescent="0.25">
      <c r="A3" t="s">
        <v>383</v>
      </c>
      <c r="B3" t="str">
        <f>_xlfn.XLOOKUP(Table3[[#This Row],[app_id]],Table5[app_id],Table5[developer_company],"",0)</f>
        <v>UrbanByte</v>
      </c>
      <c r="C3" t="s">
        <v>19</v>
      </c>
      <c r="D3" t="str">
        <f>_xlfn.XLOOKUP(Table3[[#This Row],[app_id]],Table5[app_id],Table5[app_name],"",0)</f>
        <v>BankPro</v>
      </c>
      <c r="E3" t="str">
        <f>_xlfn.XLOOKUP(Table3[[#This Row],[app_id]],Table5[app_id],Table5[category],"",0)</f>
        <v>Finance</v>
      </c>
      <c r="F3">
        <v>50</v>
      </c>
      <c r="G3" t="s">
        <v>384</v>
      </c>
      <c r="H3" t="s">
        <v>385</v>
      </c>
      <c r="I3" t="s">
        <v>379</v>
      </c>
      <c r="J3" t="s">
        <v>386</v>
      </c>
      <c r="K3" t="s">
        <v>381</v>
      </c>
      <c r="L3" t="s">
        <v>387</v>
      </c>
      <c r="M3">
        <v>3.9</v>
      </c>
      <c r="N3" s="6">
        <v>3900</v>
      </c>
    </row>
    <row r="4" spans="1:27" x14ac:dyDescent="0.25">
      <c r="A4" t="s">
        <v>388</v>
      </c>
      <c r="B4" t="str">
        <f>_xlfn.XLOOKUP(Table3[[#This Row],[app_id]],Table5[app_id],Table5[developer_company],"",0)</f>
        <v>BrightWorks</v>
      </c>
      <c r="C4" t="s">
        <v>24</v>
      </c>
      <c r="D4" t="str">
        <f>_xlfn.XLOOKUP(Table3[[#This Row],[app_id]],Table5[app_id],Table5[app_name],"",0)</f>
        <v>BankX</v>
      </c>
      <c r="E4" t="str">
        <f>_xlfn.XLOOKUP(Table3[[#This Row],[app_id]],Table5[app_id],Table5[category],"",0)</f>
        <v>Finance</v>
      </c>
      <c r="F4">
        <v>16</v>
      </c>
      <c r="G4" t="s">
        <v>384</v>
      </c>
      <c r="H4" t="s">
        <v>389</v>
      </c>
      <c r="I4" t="s">
        <v>390</v>
      </c>
      <c r="J4" t="s">
        <v>386</v>
      </c>
      <c r="K4" t="s">
        <v>381</v>
      </c>
      <c r="L4" t="s">
        <v>391</v>
      </c>
      <c r="M4">
        <v>4.7</v>
      </c>
      <c r="N4" s="6">
        <v>15100</v>
      </c>
    </row>
    <row r="5" spans="1:27" x14ac:dyDescent="0.25">
      <c r="A5" t="s">
        <v>392</v>
      </c>
      <c r="B5" t="str">
        <f>_xlfn.XLOOKUP(Table3[[#This Row],[app_id]],Table5[app_id],Table5[developer_company],"",0)</f>
        <v>PixelCraft</v>
      </c>
      <c r="C5" t="s">
        <v>27</v>
      </c>
      <c r="D5" t="str">
        <f>_xlfn.XLOOKUP(Table3[[#This Row],[app_id]],Table5[app_id],Table5[app_name],"",0)</f>
        <v>BankNow</v>
      </c>
      <c r="E5" t="str">
        <f>_xlfn.XLOOKUP(Table3[[#This Row],[app_id]],Table5[app_id],Table5[category],"",0)</f>
        <v>Finance</v>
      </c>
      <c r="F5">
        <v>25</v>
      </c>
      <c r="G5" t="s">
        <v>393</v>
      </c>
      <c r="H5" t="s">
        <v>394</v>
      </c>
      <c r="I5" t="s">
        <v>395</v>
      </c>
      <c r="J5" t="s">
        <v>396</v>
      </c>
      <c r="K5" t="s">
        <v>397</v>
      </c>
      <c r="L5" t="s">
        <v>382</v>
      </c>
      <c r="M5">
        <v>3</v>
      </c>
      <c r="N5" s="6">
        <v>65000</v>
      </c>
    </row>
    <row r="6" spans="1:27" x14ac:dyDescent="0.25">
      <c r="A6" t="s">
        <v>398</v>
      </c>
      <c r="B6" t="str">
        <f>_xlfn.XLOOKUP(Table3[[#This Row],[app_id]],Table5[app_id],Table5[developer_company],"",0)</f>
        <v>BluePeak Digital</v>
      </c>
      <c r="C6" t="s">
        <v>31</v>
      </c>
      <c r="D6" t="str">
        <f>_xlfn.XLOOKUP(Table3[[#This Row],[app_id]],Table5[app_id],Table5[app_name],"",0)</f>
        <v>CreditHub</v>
      </c>
      <c r="E6" t="str">
        <f>_xlfn.XLOOKUP(Table3[[#This Row],[app_id]],Table5[app_id],Table5[category],"",0)</f>
        <v>Finance</v>
      </c>
      <c r="F6">
        <v>23</v>
      </c>
      <c r="G6" t="s">
        <v>399</v>
      </c>
      <c r="H6" t="s">
        <v>400</v>
      </c>
      <c r="I6" t="s">
        <v>401</v>
      </c>
      <c r="J6" t="s">
        <v>402</v>
      </c>
      <c r="K6" t="s">
        <v>403</v>
      </c>
      <c r="L6" t="s">
        <v>404</v>
      </c>
      <c r="M6">
        <v>4.8</v>
      </c>
      <c r="N6" s="6">
        <v>2116200</v>
      </c>
    </row>
    <row r="7" spans="1:27" x14ac:dyDescent="0.25">
      <c r="A7" t="s">
        <v>405</v>
      </c>
      <c r="B7" t="str">
        <f>_xlfn.XLOOKUP(Table3[[#This Row],[app_id]],Table5[app_id],Table5[developer_company],"",0)</f>
        <v>OrbitSoft</v>
      </c>
      <c r="C7" t="s">
        <v>36</v>
      </c>
      <c r="D7" t="str">
        <f>_xlfn.XLOOKUP(Table3[[#This Row],[app_id]],Table5[app_id],Table5[app_name],"",0)</f>
        <v>PayPlus</v>
      </c>
      <c r="E7" t="str">
        <f>_xlfn.XLOOKUP(Table3[[#This Row],[app_id]],Table5[app_id],Table5[category],"",0)</f>
        <v>Finance</v>
      </c>
      <c r="F7">
        <v>51</v>
      </c>
      <c r="G7" t="s">
        <v>377</v>
      </c>
      <c r="H7" t="s">
        <v>406</v>
      </c>
      <c r="I7" t="s">
        <v>401</v>
      </c>
      <c r="J7" t="s">
        <v>386</v>
      </c>
      <c r="K7" t="s">
        <v>403</v>
      </c>
      <c r="L7" t="s">
        <v>407</v>
      </c>
      <c r="M7">
        <v>4.4000000000000004</v>
      </c>
      <c r="N7" s="6">
        <v>21100</v>
      </c>
    </row>
    <row r="8" spans="1:27" x14ac:dyDescent="0.25">
      <c r="A8" t="s">
        <v>408</v>
      </c>
      <c r="B8" t="str">
        <f>_xlfn.XLOOKUP(Table3[[#This Row],[app_id]],Table5[app_id],Table5[developer_company],"",0)</f>
        <v>Nova Labs</v>
      </c>
      <c r="C8" t="s">
        <v>39</v>
      </c>
      <c r="D8" t="str">
        <f>_xlfn.XLOOKUP(Table3[[#This Row],[app_id]],Table5[app_id],Table5[app_name],"",0)</f>
        <v>BankPlus</v>
      </c>
      <c r="E8" t="str">
        <f>_xlfn.XLOOKUP(Table3[[#This Row],[app_id]],Table5[app_id],Table5[category],"",0)</f>
        <v>Finance</v>
      </c>
      <c r="F8">
        <v>44</v>
      </c>
      <c r="G8" t="s">
        <v>384</v>
      </c>
      <c r="H8" t="s">
        <v>409</v>
      </c>
      <c r="I8" t="s">
        <v>410</v>
      </c>
      <c r="J8" t="s">
        <v>396</v>
      </c>
      <c r="K8" t="s">
        <v>403</v>
      </c>
      <c r="L8" t="s">
        <v>407</v>
      </c>
      <c r="M8">
        <v>4</v>
      </c>
      <c r="N8" s="6">
        <v>37700</v>
      </c>
      <c r="U8" s="4" t="s">
        <v>5179</v>
      </c>
      <c r="V8" s="3"/>
      <c r="W8" s="3"/>
      <c r="X8" s="3"/>
      <c r="Y8" s="3"/>
      <c r="Z8" s="3"/>
      <c r="AA8" s="3"/>
    </row>
    <row r="9" spans="1:27" x14ac:dyDescent="0.25">
      <c r="A9" t="s">
        <v>411</v>
      </c>
      <c r="B9" t="str">
        <f>_xlfn.XLOOKUP(Table3[[#This Row],[app_id]],Table5[app_id],Table5[developer_company],"",0)</f>
        <v>AppNest Studio</v>
      </c>
      <c r="C9" t="s">
        <v>42</v>
      </c>
      <c r="D9" t="str">
        <f>_xlfn.XLOOKUP(Table3[[#This Row],[app_id]],Table5[app_id],Table5[app_name],"",0)</f>
        <v>CoinPlus</v>
      </c>
      <c r="E9" t="str">
        <f>_xlfn.XLOOKUP(Table3[[#This Row],[app_id]],Table5[app_id],Table5[category],"",0)</f>
        <v>Finance</v>
      </c>
      <c r="F9">
        <v>48</v>
      </c>
      <c r="G9" t="s">
        <v>399</v>
      </c>
      <c r="H9" t="s">
        <v>378</v>
      </c>
      <c r="I9" t="s">
        <v>379</v>
      </c>
      <c r="J9" t="s">
        <v>402</v>
      </c>
      <c r="K9" t="s">
        <v>403</v>
      </c>
      <c r="L9" t="s">
        <v>412</v>
      </c>
      <c r="M9">
        <v>3.2</v>
      </c>
      <c r="N9" s="6">
        <v>68600</v>
      </c>
      <c r="U9" s="3"/>
      <c r="V9" s="3"/>
      <c r="W9" s="3"/>
      <c r="X9" s="3"/>
      <c r="Y9" s="3"/>
      <c r="Z9" s="3"/>
      <c r="AA9" s="3"/>
    </row>
    <row r="10" spans="1:27" x14ac:dyDescent="0.25">
      <c r="A10" t="s">
        <v>413</v>
      </c>
      <c r="B10" t="str">
        <f>_xlfn.XLOOKUP(Table3[[#This Row],[app_id]],Table5[app_id],Table5[developer_company],"",0)</f>
        <v>AppNest Studio</v>
      </c>
      <c r="C10" t="s">
        <v>47</v>
      </c>
      <c r="D10" t="str">
        <f>_xlfn.XLOOKUP(Table3[[#This Row],[app_id]],Table5[app_id],Table5[app_name],"",0)</f>
        <v>CreditOne</v>
      </c>
      <c r="E10" t="str">
        <f>_xlfn.XLOOKUP(Table3[[#This Row],[app_id]],Table5[app_id],Table5[category],"",0)</f>
        <v>Finance</v>
      </c>
      <c r="F10">
        <v>11</v>
      </c>
      <c r="G10" t="s">
        <v>377</v>
      </c>
      <c r="H10" t="s">
        <v>414</v>
      </c>
      <c r="I10" t="s">
        <v>395</v>
      </c>
      <c r="J10" t="s">
        <v>415</v>
      </c>
      <c r="K10" t="s">
        <v>381</v>
      </c>
      <c r="L10" t="s">
        <v>391</v>
      </c>
      <c r="M10">
        <v>3.8</v>
      </c>
      <c r="N10" s="6">
        <v>22800</v>
      </c>
      <c r="U10" s="3"/>
      <c r="V10" s="3"/>
      <c r="W10" s="3"/>
      <c r="X10" s="3"/>
      <c r="Y10" s="3"/>
      <c r="Z10" s="3"/>
      <c r="AA10" s="3"/>
    </row>
    <row r="11" spans="1:27" x14ac:dyDescent="0.25">
      <c r="A11" t="s">
        <v>416</v>
      </c>
      <c r="B11" t="str">
        <f>_xlfn.XLOOKUP(Table3[[#This Row],[app_id]],Table5[app_id],Table5[developer_company],"",0)</f>
        <v>OrbitSoft</v>
      </c>
      <c r="C11" t="s">
        <v>49</v>
      </c>
      <c r="D11" t="str">
        <f>_xlfn.XLOOKUP(Table3[[#This Row],[app_id]],Table5[app_id],Table5[app_name],"",0)</f>
        <v>PayPro</v>
      </c>
      <c r="E11" t="str">
        <f>_xlfn.XLOOKUP(Table3[[#This Row],[app_id]],Table5[app_id],Table5[category],"",0)</f>
        <v>Finance</v>
      </c>
      <c r="F11">
        <v>42</v>
      </c>
      <c r="G11" t="s">
        <v>417</v>
      </c>
      <c r="H11" t="s">
        <v>378</v>
      </c>
      <c r="I11" t="s">
        <v>410</v>
      </c>
      <c r="J11" t="s">
        <v>380</v>
      </c>
      <c r="K11" t="s">
        <v>403</v>
      </c>
      <c r="L11" t="s">
        <v>412</v>
      </c>
      <c r="M11">
        <v>4</v>
      </c>
      <c r="N11" s="6">
        <v>187600</v>
      </c>
      <c r="U11" s="3"/>
      <c r="V11" s="3"/>
      <c r="W11" s="3"/>
      <c r="X11" s="3"/>
      <c r="Y11" s="3"/>
      <c r="Z11" s="3"/>
      <c r="AA11" s="3"/>
    </row>
    <row r="12" spans="1:27" x14ac:dyDescent="0.25">
      <c r="A12" t="s">
        <v>418</v>
      </c>
      <c r="B12" t="str">
        <f>_xlfn.XLOOKUP(Table3[[#This Row],[app_id]],Table5[app_id],Table5[developer_company],"",0)</f>
        <v>AppNest Studio</v>
      </c>
      <c r="C12" t="s">
        <v>51</v>
      </c>
      <c r="D12" t="str">
        <f>_xlfn.XLOOKUP(Table3[[#This Row],[app_id]],Table5[app_id],Table5[app_name],"",0)</f>
        <v>Creditly</v>
      </c>
      <c r="E12" t="str">
        <f>_xlfn.XLOOKUP(Table3[[#This Row],[app_id]],Table5[app_id],Table5[category],"",0)</f>
        <v>Finance</v>
      </c>
      <c r="F12">
        <v>66</v>
      </c>
      <c r="G12" t="s">
        <v>377</v>
      </c>
      <c r="H12" t="s">
        <v>409</v>
      </c>
      <c r="I12" t="s">
        <v>419</v>
      </c>
      <c r="J12" t="s">
        <v>402</v>
      </c>
      <c r="K12" t="s">
        <v>420</v>
      </c>
      <c r="L12" t="s">
        <v>391</v>
      </c>
      <c r="M12">
        <v>4.4000000000000004</v>
      </c>
      <c r="N12" s="6">
        <v>24100</v>
      </c>
      <c r="U12" s="3"/>
      <c r="V12" s="3"/>
      <c r="W12" s="3"/>
      <c r="X12" s="3"/>
      <c r="Y12" s="3"/>
      <c r="Z12" s="3"/>
      <c r="AA12" s="3"/>
    </row>
    <row r="13" spans="1:27" x14ac:dyDescent="0.25">
      <c r="A13" t="s">
        <v>421</v>
      </c>
      <c r="B13" t="str">
        <f>_xlfn.XLOOKUP(Table3[[#This Row],[app_id]],Table5[app_id],Table5[developer_company],"",0)</f>
        <v>GreenSpark</v>
      </c>
      <c r="C13" t="s">
        <v>53</v>
      </c>
      <c r="D13" t="str">
        <f>_xlfn.XLOOKUP(Table3[[#This Row],[app_id]],Table5[app_id],Table5[app_name],"",0)</f>
        <v>PayX</v>
      </c>
      <c r="E13" t="str">
        <f>_xlfn.XLOOKUP(Table3[[#This Row],[app_id]],Table5[app_id],Table5[category],"",0)</f>
        <v>Finance</v>
      </c>
      <c r="F13">
        <v>63</v>
      </c>
      <c r="G13" t="s">
        <v>393</v>
      </c>
      <c r="H13" t="s">
        <v>394</v>
      </c>
      <c r="I13" t="s">
        <v>422</v>
      </c>
      <c r="J13" t="s">
        <v>380</v>
      </c>
      <c r="K13" t="s">
        <v>403</v>
      </c>
      <c r="L13" t="s">
        <v>407</v>
      </c>
      <c r="M13">
        <v>3.6</v>
      </c>
      <c r="N13" s="6">
        <v>75200</v>
      </c>
    </row>
    <row r="14" spans="1:27" x14ac:dyDescent="0.25">
      <c r="A14" t="s">
        <v>423</v>
      </c>
      <c r="B14" t="str">
        <f>_xlfn.XLOOKUP(Table3[[#This Row],[app_id]],Table5[app_id],Table5[developer_company],"",0)</f>
        <v>NextLoop</v>
      </c>
      <c r="C14" t="s">
        <v>56</v>
      </c>
      <c r="D14" t="str">
        <f>_xlfn.XLOOKUP(Table3[[#This Row],[app_id]],Table5[app_id],Table5[app_name],"",0)</f>
        <v>DealGo</v>
      </c>
      <c r="E14" t="str">
        <f>_xlfn.XLOOKUP(Table3[[#This Row],[app_id]],Table5[app_id],Table5[category],"",0)</f>
        <v>Shopping</v>
      </c>
      <c r="F14">
        <v>81</v>
      </c>
      <c r="G14" t="s">
        <v>424</v>
      </c>
      <c r="H14" t="s">
        <v>378</v>
      </c>
      <c r="I14" t="s">
        <v>419</v>
      </c>
      <c r="J14" t="s">
        <v>415</v>
      </c>
      <c r="K14" t="s">
        <v>425</v>
      </c>
      <c r="L14" t="s">
        <v>382</v>
      </c>
      <c r="M14">
        <v>3.6</v>
      </c>
      <c r="N14" s="6">
        <v>11100</v>
      </c>
    </row>
    <row r="15" spans="1:27" x14ac:dyDescent="0.25">
      <c r="A15" t="s">
        <v>426</v>
      </c>
      <c r="B15" t="str">
        <f>_xlfn.XLOOKUP(Table3[[#This Row],[app_id]],Table5[app_id],Table5[developer_company],"",0)</f>
        <v>NextLoop</v>
      </c>
      <c r="C15" t="s">
        <v>62</v>
      </c>
      <c r="D15" t="str">
        <f>_xlfn.XLOOKUP(Table3[[#This Row],[app_id]],Table5[app_id],Table5[app_name],"",0)</f>
        <v>MallNow</v>
      </c>
      <c r="E15" t="str">
        <f>_xlfn.XLOOKUP(Table3[[#This Row],[app_id]],Table5[app_id],Table5[category],"",0)</f>
        <v>Shopping</v>
      </c>
      <c r="F15">
        <v>18</v>
      </c>
      <c r="G15" t="s">
        <v>384</v>
      </c>
      <c r="H15" t="s">
        <v>378</v>
      </c>
      <c r="I15" t="s">
        <v>390</v>
      </c>
      <c r="J15" t="s">
        <v>386</v>
      </c>
      <c r="K15" t="s">
        <v>420</v>
      </c>
      <c r="L15" t="s">
        <v>427</v>
      </c>
      <c r="M15">
        <v>4.5</v>
      </c>
      <c r="N15" s="6">
        <v>11300</v>
      </c>
    </row>
    <row r="16" spans="1:27" x14ac:dyDescent="0.25">
      <c r="A16" t="s">
        <v>428</v>
      </c>
      <c r="B16" t="str">
        <f>_xlfn.XLOOKUP(Table3[[#This Row],[app_id]],Table5[app_id],Table5[developer_company],"",0)</f>
        <v>BluePeak Digital</v>
      </c>
      <c r="C16" t="s">
        <v>65</v>
      </c>
      <c r="D16" t="str">
        <f>_xlfn.XLOOKUP(Table3[[#This Row],[app_id]],Table5[app_id],Table5[app_name],"",0)</f>
        <v>DealPro</v>
      </c>
      <c r="E16" t="str">
        <f>_xlfn.XLOOKUP(Table3[[#This Row],[app_id]],Table5[app_id],Table5[category],"",0)</f>
        <v>Shopping</v>
      </c>
      <c r="F16">
        <v>28</v>
      </c>
      <c r="G16" t="s">
        <v>384</v>
      </c>
      <c r="H16" t="s">
        <v>414</v>
      </c>
      <c r="I16" t="s">
        <v>422</v>
      </c>
      <c r="J16" t="s">
        <v>380</v>
      </c>
      <c r="K16" t="s">
        <v>403</v>
      </c>
      <c r="L16" t="s">
        <v>412</v>
      </c>
      <c r="M16">
        <v>3.6</v>
      </c>
      <c r="N16" s="6">
        <v>146300</v>
      </c>
    </row>
    <row r="17" spans="1:14" x14ac:dyDescent="0.25">
      <c r="A17" t="s">
        <v>429</v>
      </c>
      <c r="B17" t="str">
        <f>_xlfn.XLOOKUP(Table3[[#This Row],[app_id]],Table5[app_id],Table5[developer_company],"",0)</f>
        <v>OrbitSoft</v>
      </c>
      <c r="C17" t="s">
        <v>67</v>
      </c>
      <c r="D17" t="str">
        <f>_xlfn.XLOOKUP(Table3[[#This Row],[app_id]],Table5[app_id],Table5[app_name],"",0)</f>
        <v>StyleNow</v>
      </c>
      <c r="E17" t="str">
        <f>_xlfn.XLOOKUP(Table3[[#This Row],[app_id]],Table5[app_id],Table5[category],"",0)</f>
        <v>Shopping</v>
      </c>
      <c r="F17">
        <v>62</v>
      </c>
      <c r="G17" t="s">
        <v>393</v>
      </c>
      <c r="H17" t="s">
        <v>378</v>
      </c>
      <c r="I17" t="s">
        <v>395</v>
      </c>
      <c r="J17" t="s">
        <v>380</v>
      </c>
      <c r="K17" t="s">
        <v>403</v>
      </c>
      <c r="L17" t="s">
        <v>391</v>
      </c>
      <c r="M17">
        <v>3.2</v>
      </c>
      <c r="N17" s="6">
        <v>4443900</v>
      </c>
    </row>
    <row r="18" spans="1:14" x14ac:dyDescent="0.25">
      <c r="A18" t="s">
        <v>430</v>
      </c>
      <c r="B18" t="str">
        <f>_xlfn.XLOOKUP(Table3[[#This Row],[app_id]],Table5[app_id],Table5[developer_company],"",0)</f>
        <v>AppNest Studio</v>
      </c>
      <c r="C18" t="s">
        <v>70</v>
      </c>
      <c r="D18" t="str">
        <f>_xlfn.XLOOKUP(Table3[[#This Row],[app_id]],Table5[app_id],Table5[app_name],"",0)</f>
        <v>DealCloud</v>
      </c>
      <c r="E18" t="str">
        <f>_xlfn.XLOOKUP(Table3[[#This Row],[app_id]],Table5[app_id],Table5[category],"",0)</f>
        <v>Shopping</v>
      </c>
      <c r="F18">
        <v>94</v>
      </c>
      <c r="G18" t="s">
        <v>431</v>
      </c>
      <c r="H18" t="s">
        <v>406</v>
      </c>
      <c r="I18" t="s">
        <v>390</v>
      </c>
      <c r="J18" t="s">
        <v>386</v>
      </c>
      <c r="K18" t="s">
        <v>403</v>
      </c>
      <c r="L18" t="s">
        <v>391</v>
      </c>
      <c r="M18">
        <v>4.9000000000000004</v>
      </c>
      <c r="N18" s="6">
        <v>2056700</v>
      </c>
    </row>
    <row r="19" spans="1:14" x14ac:dyDescent="0.25">
      <c r="A19" t="s">
        <v>432</v>
      </c>
      <c r="B19" t="str">
        <f>_xlfn.XLOOKUP(Table3[[#This Row],[app_id]],Table5[app_id],Table5[developer_company],"",0)</f>
        <v>NextLoop</v>
      </c>
      <c r="C19" t="s">
        <v>72</v>
      </c>
      <c r="D19" t="str">
        <f>_xlfn.XLOOKUP(Table3[[#This Row],[app_id]],Table5[app_id],Table5[app_name],"",0)</f>
        <v>CartCloud</v>
      </c>
      <c r="E19" t="str">
        <f>_xlfn.XLOOKUP(Table3[[#This Row],[app_id]],Table5[app_id],Table5[category],"",0)</f>
        <v>Shopping</v>
      </c>
      <c r="F19">
        <v>39</v>
      </c>
      <c r="G19" t="s">
        <v>433</v>
      </c>
      <c r="H19" t="s">
        <v>378</v>
      </c>
      <c r="I19" t="s">
        <v>434</v>
      </c>
      <c r="J19" t="s">
        <v>380</v>
      </c>
      <c r="K19" t="s">
        <v>397</v>
      </c>
      <c r="L19" t="s">
        <v>427</v>
      </c>
      <c r="M19">
        <v>4.5</v>
      </c>
      <c r="N19" s="6">
        <v>91000</v>
      </c>
    </row>
    <row r="20" spans="1:14" x14ac:dyDescent="0.25">
      <c r="A20" t="s">
        <v>435</v>
      </c>
      <c r="B20" t="str">
        <f>_xlfn.XLOOKUP(Table3[[#This Row],[app_id]],Table5[app_id],Table5[developer_company],"",0)</f>
        <v>NextLoop</v>
      </c>
      <c r="C20" t="s">
        <v>74</v>
      </c>
      <c r="D20" t="str">
        <f>_xlfn.XLOOKUP(Table3[[#This Row],[app_id]],Table5[app_id],Table5[app_name],"",0)</f>
        <v>CartMate</v>
      </c>
      <c r="E20" t="str">
        <f>_xlfn.XLOOKUP(Table3[[#This Row],[app_id]],Table5[app_id],Table5[category],"",0)</f>
        <v>Shopping</v>
      </c>
      <c r="F20">
        <v>47</v>
      </c>
      <c r="G20" t="s">
        <v>433</v>
      </c>
      <c r="H20" t="s">
        <v>409</v>
      </c>
      <c r="I20" t="s">
        <v>434</v>
      </c>
      <c r="J20" t="s">
        <v>402</v>
      </c>
      <c r="K20" t="s">
        <v>436</v>
      </c>
      <c r="L20" t="s">
        <v>387</v>
      </c>
      <c r="M20">
        <v>3.8</v>
      </c>
      <c r="N20" s="6">
        <v>399500</v>
      </c>
    </row>
    <row r="21" spans="1:14" x14ac:dyDescent="0.25">
      <c r="A21" t="s">
        <v>437</v>
      </c>
      <c r="B21" t="str">
        <f>_xlfn.XLOOKUP(Table3[[#This Row],[app_id]],Table5[app_id],Table5[developer_company],"",0)</f>
        <v>PixelCraft</v>
      </c>
      <c r="C21" t="s">
        <v>76</v>
      </c>
      <c r="D21" t="str">
        <f>_xlfn.XLOOKUP(Table3[[#This Row],[app_id]],Table5[app_id],Table5[app_name],"",0)</f>
        <v>BazaarOne</v>
      </c>
      <c r="E21" t="str">
        <f>_xlfn.XLOOKUP(Table3[[#This Row],[app_id]],Table5[app_id],Table5[category],"",0)</f>
        <v>Shopping</v>
      </c>
      <c r="F21">
        <v>61</v>
      </c>
      <c r="G21" t="s">
        <v>417</v>
      </c>
      <c r="H21" t="s">
        <v>394</v>
      </c>
      <c r="I21" t="s">
        <v>422</v>
      </c>
      <c r="J21" t="s">
        <v>415</v>
      </c>
      <c r="K21" t="s">
        <v>381</v>
      </c>
      <c r="L21" t="s">
        <v>407</v>
      </c>
      <c r="M21">
        <v>3.6</v>
      </c>
      <c r="N21" s="6">
        <v>17600</v>
      </c>
    </row>
    <row r="22" spans="1:14" x14ac:dyDescent="0.25">
      <c r="A22" t="s">
        <v>438</v>
      </c>
      <c r="B22" t="str">
        <f>_xlfn.XLOOKUP(Table3[[#This Row],[app_id]],Table5[app_id],Table5[developer_company],"",0)</f>
        <v>BrightWorks</v>
      </c>
      <c r="C22" t="s">
        <v>78</v>
      </c>
      <c r="D22" t="str">
        <f>_xlfn.XLOOKUP(Table3[[#This Row],[app_id]],Table5[app_id],Table5[app_name],"",0)</f>
        <v>StyleOne</v>
      </c>
      <c r="E22" t="str">
        <f>_xlfn.XLOOKUP(Table3[[#This Row],[app_id]],Table5[app_id],Table5[category],"",0)</f>
        <v>Shopping</v>
      </c>
      <c r="F22">
        <v>28</v>
      </c>
      <c r="G22" t="s">
        <v>393</v>
      </c>
      <c r="H22" t="s">
        <v>400</v>
      </c>
      <c r="I22" t="s">
        <v>410</v>
      </c>
      <c r="J22" t="s">
        <v>396</v>
      </c>
      <c r="K22" t="s">
        <v>397</v>
      </c>
      <c r="L22" t="s">
        <v>427</v>
      </c>
      <c r="M22">
        <v>3.1</v>
      </c>
      <c r="N22" s="6">
        <v>3100</v>
      </c>
    </row>
    <row r="23" spans="1:14" x14ac:dyDescent="0.25">
      <c r="A23" t="s">
        <v>439</v>
      </c>
      <c r="B23" t="str">
        <f>_xlfn.XLOOKUP(Table3[[#This Row],[app_id]],Table5[app_id],Table5[developer_company],"",0)</f>
        <v>CloudFrame</v>
      </c>
      <c r="C23" t="s">
        <v>80</v>
      </c>
      <c r="D23" t="str">
        <f>_xlfn.XLOOKUP(Table3[[#This Row],[app_id]],Table5[app_id],Table5[app_name],"",0)</f>
        <v>Cartly</v>
      </c>
      <c r="E23" t="str">
        <f>_xlfn.XLOOKUP(Table3[[#This Row],[app_id]],Table5[app_id],Table5[category],"",0)</f>
        <v>Shopping</v>
      </c>
      <c r="F23">
        <v>13</v>
      </c>
      <c r="G23" t="s">
        <v>384</v>
      </c>
      <c r="H23" t="s">
        <v>394</v>
      </c>
      <c r="I23" t="s">
        <v>419</v>
      </c>
      <c r="J23" t="s">
        <v>440</v>
      </c>
      <c r="K23" t="s">
        <v>403</v>
      </c>
      <c r="L23" t="s">
        <v>391</v>
      </c>
      <c r="M23">
        <v>4.7</v>
      </c>
      <c r="N23" s="6">
        <v>11147600</v>
      </c>
    </row>
    <row r="24" spans="1:14" x14ac:dyDescent="0.25">
      <c r="A24" t="s">
        <v>441</v>
      </c>
      <c r="B24" t="str">
        <f>_xlfn.XLOOKUP(Table3[[#This Row],[app_id]],Table5[app_id],Table5[developer_company],"",0)</f>
        <v>UrbanByte</v>
      </c>
      <c r="C24" t="s">
        <v>83</v>
      </c>
      <c r="D24" t="str">
        <f>_xlfn.XLOOKUP(Table3[[#This Row],[app_id]],Table5[app_id],Table5[app_name],"",0)</f>
        <v>BazaarCloud</v>
      </c>
      <c r="E24" t="str">
        <f>_xlfn.XLOOKUP(Table3[[#This Row],[app_id]],Table5[app_id],Table5[category],"",0)</f>
        <v>Shopping</v>
      </c>
      <c r="F24">
        <v>15</v>
      </c>
      <c r="G24" t="s">
        <v>433</v>
      </c>
      <c r="H24" t="s">
        <v>400</v>
      </c>
      <c r="I24" t="s">
        <v>434</v>
      </c>
      <c r="J24" t="s">
        <v>386</v>
      </c>
      <c r="K24" t="s">
        <v>403</v>
      </c>
      <c r="L24" t="s">
        <v>442</v>
      </c>
      <c r="M24">
        <v>3.7</v>
      </c>
      <c r="N24" s="6">
        <v>790500</v>
      </c>
    </row>
    <row r="25" spans="1:14" x14ac:dyDescent="0.25">
      <c r="A25" t="s">
        <v>443</v>
      </c>
      <c r="B25" t="str">
        <f>_xlfn.XLOOKUP(Table3[[#This Row],[app_id]],Table5[app_id],Table5[developer_company],"",0)</f>
        <v>AppNest Studio</v>
      </c>
      <c r="C25" t="s">
        <v>85</v>
      </c>
      <c r="D25" t="str">
        <f>_xlfn.XLOOKUP(Table3[[#This Row],[app_id]],Table5[app_id],Table5[app_name],"",0)</f>
        <v>CartPro</v>
      </c>
      <c r="E25" t="str">
        <f>_xlfn.XLOOKUP(Table3[[#This Row],[app_id]],Table5[app_id],Table5[category],"",0)</f>
        <v>Shopping</v>
      </c>
      <c r="F25">
        <v>9</v>
      </c>
      <c r="G25" t="s">
        <v>424</v>
      </c>
      <c r="H25" t="s">
        <v>409</v>
      </c>
      <c r="I25" t="s">
        <v>419</v>
      </c>
      <c r="J25" t="s">
        <v>444</v>
      </c>
      <c r="K25" t="s">
        <v>425</v>
      </c>
      <c r="L25" t="s">
        <v>412</v>
      </c>
      <c r="M25">
        <v>3.7</v>
      </c>
      <c r="N25" s="6">
        <v>5300</v>
      </c>
    </row>
    <row r="26" spans="1:14" x14ac:dyDescent="0.25">
      <c r="A26" t="s">
        <v>445</v>
      </c>
      <c r="B26" t="str">
        <f>_xlfn.XLOOKUP(Table3[[#This Row],[app_id]],Table5[app_id],Table5[developer_company],"",0)</f>
        <v>UrbanByte</v>
      </c>
      <c r="C26" t="s">
        <v>87</v>
      </c>
      <c r="D26" t="str">
        <f>_xlfn.XLOOKUP(Table3[[#This Row],[app_id]],Table5[app_id],Table5[app_name],"",0)</f>
        <v>RunPlus</v>
      </c>
      <c r="E26" t="str">
        <f>_xlfn.XLOOKUP(Table3[[#This Row],[app_id]],Table5[app_id],Table5[category],"",0)</f>
        <v>Fitness</v>
      </c>
      <c r="F26">
        <v>75</v>
      </c>
      <c r="G26" t="s">
        <v>393</v>
      </c>
      <c r="H26" t="s">
        <v>414</v>
      </c>
      <c r="I26" t="s">
        <v>401</v>
      </c>
      <c r="J26" t="s">
        <v>444</v>
      </c>
      <c r="K26" t="s">
        <v>420</v>
      </c>
      <c r="L26" t="s">
        <v>407</v>
      </c>
      <c r="M26">
        <v>3.4</v>
      </c>
      <c r="N26" s="6">
        <v>432500</v>
      </c>
    </row>
    <row r="27" spans="1:14" x14ac:dyDescent="0.25">
      <c r="A27" t="s">
        <v>446</v>
      </c>
      <c r="B27" t="str">
        <f>_xlfn.XLOOKUP(Table3[[#This Row],[app_id]],Table5[app_id],Table5[developer_company],"",0)</f>
        <v>BrightWorks</v>
      </c>
      <c r="C27" t="s">
        <v>90</v>
      </c>
      <c r="D27" t="str">
        <f>_xlfn.XLOOKUP(Table3[[#This Row],[app_id]],Table5[app_id],Table5[app_name],"",0)</f>
        <v>TrainCloud</v>
      </c>
      <c r="E27" t="str">
        <f>_xlfn.XLOOKUP(Table3[[#This Row],[app_id]],Table5[app_id],Table5[category],"",0)</f>
        <v>Fitness</v>
      </c>
      <c r="F27">
        <v>37</v>
      </c>
      <c r="G27" t="s">
        <v>384</v>
      </c>
      <c r="H27" t="s">
        <v>414</v>
      </c>
      <c r="I27" t="s">
        <v>422</v>
      </c>
      <c r="J27" t="s">
        <v>380</v>
      </c>
      <c r="K27" t="s">
        <v>403</v>
      </c>
      <c r="L27" t="s">
        <v>412</v>
      </c>
      <c r="M27">
        <v>4.2</v>
      </c>
      <c r="N27" s="6">
        <v>1245900</v>
      </c>
    </row>
    <row r="28" spans="1:14" x14ac:dyDescent="0.25">
      <c r="A28" t="s">
        <v>447</v>
      </c>
      <c r="B28" t="str">
        <f>_xlfn.XLOOKUP(Table3[[#This Row],[app_id]],Table5[app_id],Table5[developer_company],"",0)</f>
        <v>Nova Labs</v>
      </c>
      <c r="C28" t="s">
        <v>92</v>
      </c>
      <c r="D28" t="str">
        <f>_xlfn.XLOOKUP(Table3[[#This Row],[app_id]],Table5[app_id],Table5[app_name],"",0)</f>
        <v>Trainly</v>
      </c>
      <c r="E28" t="str">
        <f>_xlfn.XLOOKUP(Table3[[#This Row],[app_id]],Table5[app_id],Table5[category],"",0)</f>
        <v>Fitness</v>
      </c>
      <c r="F28">
        <v>73</v>
      </c>
      <c r="G28" t="s">
        <v>417</v>
      </c>
      <c r="H28" t="s">
        <v>400</v>
      </c>
      <c r="I28" t="s">
        <v>434</v>
      </c>
      <c r="J28" t="s">
        <v>415</v>
      </c>
      <c r="K28" t="s">
        <v>436</v>
      </c>
      <c r="L28" t="s">
        <v>404</v>
      </c>
      <c r="M28">
        <v>3.8</v>
      </c>
      <c r="N28" s="6">
        <v>11900</v>
      </c>
    </row>
    <row r="29" spans="1:14" x14ac:dyDescent="0.25">
      <c r="A29" t="s">
        <v>448</v>
      </c>
      <c r="B29" t="str">
        <f>_xlfn.XLOOKUP(Table3[[#This Row],[app_id]],Table5[app_id],Table5[developer_company],"",0)</f>
        <v>BrightWorks</v>
      </c>
      <c r="C29" t="s">
        <v>94</v>
      </c>
      <c r="D29" t="str">
        <f>_xlfn.XLOOKUP(Table3[[#This Row],[app_id]],Table5[app_id],Table5[app_name],"",0)</f>
        <v>LiftCloud</v>
      </c>
      <c r="E29" t="str">
        <f>_xlfn.XLOOKUP(Table3[[#This Row],[app_id]],Table5[app_id],Table5[category],"",0)</f>
        <v>Fitness</v>
      </c>
      <c r="F29">
        <v>20</v>
      </c>
      <c r="G29" t="s">
        <v>417</v>
      </c>
      <c r="H29" t="s">
        <v>400</v>
      </c>
      <c r="I29" t="s">
        <v>379</v>
      </c>
      <c r="J29" t="s">
        <v>380</v>
      </c>
      <c r="K29" t="s">
        <v>425</v>
      </c>
      <c r="L29" t="s">
        <v>442</v>
      </c>
      <c r="M29">
        <v>4</v>
      </c>
      <c r="N29" s="6">
        <v>63700</v>
      </c>
    </row>
    <row r="30" spans="1:14" x14ac:dyDescent="0.25">
      <c r="A30" t="s">
        <v>449</v>
      </c>
      <c r="B30" t="str">
        <f>_xlfn.XLOOKUP(Table3[[#This Row],[app_id]],Table5[app_id],Table5[developer_company],"",0)</f>
        <v>CloudFrame</v>
      </c>
      <c r="C30" t="s">
        <v>96</v>
      </c>
      <c r="D30" t="str">
        <f>_xlfn.XLOOKUP(Table3[[#This Row],[app_id]],Table5[app_id],Table5[app_name],"",0)</f>
        <v>MoveNow</v>
      </c>
      <c r="E30" t="str">
        <f>_xlfn.XLOOKUP(Table3[[#This Row],[app_id]],Table5[app_id],Table5[category],"",0)</f>
        <v>Fitness</v>
      </c>
      <c r="F30">
        <v>35</v>
      </c>
      <c r="G30" t="s">
        <v>393</v>
      </c>
      <c r="H30" t="s">
        <v>406</v>
      </c>
      <c r="I30" t="s">
        <v>379</v>
      </c>
      <c r="J30" t="s">
        <v>386</v>
      </c>
      <c r="K30" t="s">
        <v>403</v>
      </c>
      <c r="L30" t="s">
        <v>382</v>
      </c>
      <c r="M30">
        <v>3.8</v>
      </c>
      <c r="N30" s="6">
        <v>1456800</v>
      </c>
    </row>
    <row r="31" spans="1:14" x14ac:dyDescent="0.25">
      <c r="A31" t="s">
        <v>450</v>
      </c>
      <c r="B31" t="str">
        <f>_xlfn.XLOOKUP(Table3[[#This Row],[app_id]],Table5[app_id],Table5[developer_company],"",0)</f>
        <v>GreenSpark</v>
      </c>
      <c r="C31" t="s">
        <v>98</v>
      </c>
      <c r="D31" t="str">
        <f>_xlfn.XLOOKUP(Table3[[#This Row],[app_id]],Table5[app_id],Table5[app_name],"",0)</f>
        <v>ActiveMate</v>
      </c>
      <c r="E31" t="str">
        <f>_xlfn.XLOOKUP(Table3[[#This Row],[app_id]],Table5[app_id],Table5[category],"",0)</f>
        <v>Fitness</v>
      </c>
      <c r="F31">
        <v>76</v>
      </c>
      <c r="G31" t="s">
        <v>384</v>
      </c>
      <c r="H31" t="s">
        <v>409</v>
      </c>
      <c r="I31" t="s">
        <v>390</v>
      </c>
      <c r="J31" t="s">
        <v>396</v>
      </c>
      <c r="K31" t="s">
        <v>425</v>
      </c>
      <c r="L31" t="s">
        <v>407</v>
      </c>
      <c r="M31">
        <v>3.4</v>
      </c>
      <c r="N31" s="6">
        <v>39500</v>
      </c>
    </row>
    <row r="32" spans="1:14" x14ac:dyDescent="0.25">
      <c r="A32" t="s">
        <v>451</v>
      </c>
      <c r="B32" t="str">
        <f>_xlfn.XLOOKUP(Table3[[#This Row],[app_id]],Table5[app_id],Table5[developer_company],"",0)</f>
        <v>AppNest Studio</v>
      </c>
      <c r="C32" t="s">
        <v>100</v>
      </c>
      <c r="D32" t="str">
        <f>_xlfn.XLOOKUP(Table3[[#This Row],[app_id]],Table5[app_id],Table5[app_name],"",0)</f>
        <v>RunGo</v>
      </c>
      <c r="E32" t="str">
        <f>_xlfn.XLOOKUP(Table3[[#This Row],[app_id]],Table5[app_id],Table5[category],"",0)</f>
        <v>Fitness</v>
      </c>
      <c r="F32">
        <v>20</v>
      </c>
      <c r="G32" t="s">
        <v>384</v>
      </c>
      <c r="H32" t="s">
        <v>389</v>
      </c>
      <c r="I32" t="s">
        <v>401</v>
      </c>
      <c r="J32" t="s">
        <v>415</v>
      </c>
      <c r="K32" t="s">
        <v>420</v>
      </c>
      <c r="L32" t="s">
        <v>412</v>
      </c>
      <c r="M32">
        <v>4</v>
      </c>
      <c r="N32" s="6">
        <v>25800</v>
      </c>
    </row>
    <row r="33" spans="1:14" x14ac:dyDescent="0.25">
      <c r="A33" t="s">
        <v>452</v>
      </c>
      <c r="B33" t="str">
        <f>_xlfn.XLOOKUP(Table3[[#This Row],[app_id]],Table5[app_id],Table5[developer_company],"",0)</f>
        <v>OrbitSoft</v>
      </c>
      <c r="C33" t="s">
        <v>102</v>
      </c>
      <c r="D33" t="str">
        <f>_xlfn.XLOOKUP(Table3[[#This Row],[app_id]],Table5[app_id],Table5[app_name],"",0)</f>
        <v>LiftPro</v>
      </c>
      <c r="E33" t="str">
        <f>_xlfn.XLOOKUP(Table3[[#This Row],[app_id]],Table5[app_id],Table5[category],"",0)</f>
        <v>Fitness</v>
      </c>
      <c r="F33">
        <v>49</v>
      </c>
      <c r="G33" t="s">
        <v>384</v>
      </c>
      <c r="H33" t="s">
        <v>385</v>
      </c>
      <c r="I33" t="s">
        <v>422</v>
      </c>
      <c r="J33" t="s">
        <v>415</v>
      </c>
      <c r="K33" t="s">
        <v>420</v>
      </c>
      <c r="L33" t="s">
        <v>382</v>
      </c>
      <c r="M33">
        <v>4.0999999999999996</v>
      </c>
      <c r="N33" s="6">
        <v>3621500</v>
      </c>
    </row>
    <row r="34" spans="1:14" x14ac:dyDescent="0.25">
      <c r="A34" t="s">
        <v>453</v>
      </c>
      <c r="B34" t="str">
        <f>_xlfn.XLOOKUP(Table3[[#This Row],[app_id]],Table5[app_id],Table5[developer_company],"",0)</f>
        <v>Nova Labs</v>
      </c>
      <c r="C34" t="s">
        <v>104</v>
      </c>
      <c r="D34" t="str">
        <f>_xlfn.XLOOKUP(Table3[[#This Row],[app_id]],Table5[app_id],Table5[app_name],"",0)</f>
        <v>LiftPro</v>
      </c>
      <c r="E34" t="str">
        <f>_xlfn.XLOOKUP(Table3[[#This Row],[app_id]],Table5[app_id],Table5[category],"",0)</f>
        <v>Fitness</v>
      </c>
      <c r="F34">
        <v>97</v>
      </c>
      <c r="G34" t="s">
        <v>417</v>
      </c>
      <c r="H34" t="s">
        <v>385</v>
      </c>
      <c r="I34" t="s">
        <v>379</v>
      </c>
      <c r="J34" t="s">
        <v>386</v>
      </c>
      <c r="K34" t="s">
        <v>420</v>
      </c>
      <c r="L34" t="s">
        <v>407</v>
      </c>
      <c r="M34">
        <v>3.6</v>
      </c>
      <c r="N34" s="6">
        <v>23500</v>
      </c>
    </row>
    <row r="35" spans="1:14" x14ac:dyDescent="0.25">
      <c r="A35" t="s">
        <v>454</v>
      </c>
      <c r="B35" t="str">
        <f>_xlfn.XLOOKUP(Table3[[#This Row],[app_id]],Table5[app_id],Table5[developer_company],"",0)</f>
        <v>NextLoop</v>
      </c>
      <c r="C35" t="s">
        <v>105</v>
      </c>
      <c r="D35" t="str">
        <f>_xlfn.XLOOKUP(Table3[[#This Row],[app_id]],Table5[app_id],Table5[app_name],"",0)</f>
        <v>Liftly</v>
      </c>
      <c r="E35" t="str">
        <f>_xlfn.XLOOKUP(Table3[[#This Row],[app_id]],Table5[app_id],Table5[category],"",0)</f>
        <v>Fitness</v>
      </c>
      <c r="F35">
        <v>78</v>
      </c>
      <c r="G35" t="s">
        <v>399</v>
      </c>
      <c r="H35" t="s">
        <v>414</v>
      </c>
      <c r="I35" t="s">
        <v>401</v>
      </c>
      <c r="J35" t="s">
        <v>402</v>
      </c>
      <c r="K35" t="s">
        <v>425</v>
      </c>
      <c r="L35" t="s">
        <v>412</v>
      </c>
      <c r="M35">
        <v>4.4000000000000004</v>
      </c>
      <c r="N35" s="6">
        <v>62800</v>
      </c>
    </row>
    <row r="36" spans="1:14" x14ac:dyDescent="0.25">
      <c r="A36" t="s">
        <v>455</v>
      </c>
      <c r="B36" t="str">
        <f>_xlfn.XLOOKUP(Table3[[#This Row],[app_id]],Table5[app_id],Table5[developer_company],"",0)</f>
        <v>UrbanByte</v>
      </c>
      <c r="C36" t="s">
        <v>107</v>
      </c>
      <c r="D36" t="str">
        <f>_xlfn.XLOOKUP(Table3[[#This Row],[app_id]],Table5[app_id],Table5[app_name],"",0)</f>
        <v>YogaHub</v>
      </c>
      <c r="E36" t="str">
        <f>_xlfn.XLOOKUP(Table3[[#This Row],[app_id]],Table5[app_id],Table5[category],"",0)</f>
        <v>Fitness</v>
      </c>
      <c r="F36">
        <v>17</v>
      </c>
      <c r="G36" t="s">
        <v>431</v>
      </c>
      <c r="H36" t="s">
        <v>406</v>
      </c>
      <c r="I36" t="s">
        <v>395</v>
      </c>
      <c r="J36" t="s">
        <v>415</v>
      </c>
      <c r="K36" t="s">
        <v>420</v>
      </c>
      <c r="L36" t="s">
        <v>407</v>
      </c>
      <c r="M36">
        <v>4.9000000000000004</v>
      </c>
      <c r="N36" s="6">
        <v>708400</v>
      </c>
    </row>
    <row r="37" spans="1:14" x14ac:dyDescent="0.25">
      <c r="A37" t="s">
        <v>456</v>
      </c>
      <c r="B37" t="str">
        <f>_xlfn.XLOOKUP(Table3[[#This Row],[app_id]],Table5[app_id],Table5[developer_company],"",0)</f>
        <v>UrbanByte</v>
      </c>
      <c r="C37" t="s">
        <v>109</v>
      </c>
      <c r="D37" t="str">
        <f>_xlfn.XLOOKUP(Table3[[#This Row],[app_id]],Table5[app_id],Table5[app_name],"",0)</f>
        <v>MoveGo</v>
      </c>
      <c r="E37" t="str">
        <f>_xlfn.XLOOKUP(Table3[[#This Row],[app_id]],Table5[app_id],Table5[category],"",0)</f>
        <v>Fitness</v>
      </c>
      <c r="F37">
        <v>99</v>
      </c>
      <c r="G37" t="s">
        <v>424</v>
      </c>
      <c r="H37" t="s">
        <v>389</v>
      </c>
      <c r="I37" t="s">
        <v>390</v>
      </c>
      <c r="J37" t="s">
        <v>444</v>
      </c>
      <c r="K37" t="s">
        <v>420</v>
      </c>
      <c r="L37" t="s">
        <v>404</v>
      </c>
      <c r="M37">
        <v>4</v>
      </c>
      <c r="N37" s="6">
        <v>466400</v>
      </c>
    </row>
    <row r="38" spans="1:14" x14ac:dyDescent="0.25">
      <c r="A38" t="s">
        <v>457</v>
      </c>
      <c r="B38" t="str">
        <f>_xlfn.XLOOKUP(Table3[[#This Row],[app_id]],Table5[app_id],Table5[developer_company],"",0)</f>
        <v>PixelCraft</v>
      </c>
      <c r="C38" t="s">
        <v>111</v>
      </c>
      <c r="D38" t="str">
        <f>_xlfn.XLOOKUP(Table3[[#This Row],[app_id]],Table5[app_id],Table5[app_name],"",0)</f>
        <v>BrightNow</v>
      </c>
      <c r="E38" t="str">
        <f>_xlfn.XLOOKUP(Table3[[#This Row],[app_id]],Table5[app_id],Table5[category],"",0)</f>
        <v>Education</v>
      </c>
      <c r="F38">
        <v>70</v>
      </c>
      <c r="G38" t="s">
        <v>417</v>
      </c>
      <c r="H38" t="s">
        <v>394</v>
      </c>
      <c r="I38" t="s">
        <v>422</v>
      </c>
      <c r="J38" t="s">
        <v>386</v>
      </c>
      <c r="K38" t="s">
        <v>420</v>
      </c>
      <c r="L38" t="s">
        <v>427</v>
      </c>
      <c r="M38">
        <v>2.9</v>
      </c>
      <c r="N38" s="6">
        <v>122000</v>
      </c>
    </row>
    <row r="39" spans="1:14" x14ac:dyDescent="0.25">
      <c r="A39" t="s">
        <v>458</v>
      </c>
      <c r="B39" t="str">
        <f>_xlfn.XLOOKUP(Table3[[#This Row],[app_id]],Table5[app_id],Table5[developer_company],"",0)</f>
        <v>Nova Labs</v>
      </c>
      <c r="C39" t="s">
        <v>114</v>
      </c>
      <c r="D39" t="str">
        <f>_xlfn.XLOOKUP(Table3[[#This Row],[app_id]],Table5[app_id],Table5[app_name],"",0)</f>
        <v>StudyCloud</v>
      </c>
      <c r="E39" t="str">
        <f>_xlfn.XLOOKUP(Table3[[#This Row],[app_id]],Table5[app_id],Table5[category],"",0)</f>
        <v>Education</v>
      </c>
      <c r="F39">
        <v>27</v>
      </c>
      <c r="G39" t="s">
        <v>384</v>
      </c>
      <c r="H39" t="s">
        <v>394</v>
      </c>
      <c r="I39" t="s">
        <v>419</v>
      </c>
      <c r="J39" t="s">
        <v>386</v>
      </c>
      <c r="K39" t="s">
        <v>403</v>
      </c>
      <c r="L39" t="s">
        <v>427</v>
      </c>
      <c r="M39">
        <v>3.8</v>
      </c>
      <c r="N39" s="6">
        <v>21300</v>
      </c>
    </row>
    <row r="40" spans="1:14" x14ac:dyDescent="0.25">
      <c r="A40" t="s">
        <v>459</v>
      </c>
      <c r="B40" t="str">
        <f>_xlfn.XLOOKUP(Table3[[#This Row],[app_id]],Table5[app_id],Table5[developer_company],"",0)</f>
        <v>PixelCraft</v>
      </c>
      <c r="C40" t="s">
        <v>116</v>
      </c>
      <c r="D40" t="str">
        <f>_xlfn.XLOOKUP(Table3[[#This Row],[app_id]],Table5[app_id],Table5[app_name],"",0)</f>
        <v>SkillNow</v>
      </c>
      <c r="E40" t="str">
        <f>_xlfn.XLOOKUP(Table3[[#This Row],[app_id]],Table5[app_id],Table5[category],"",0)</f>
        <v>Education</v>
      </c>
      <c r="F40">
        <v>61</v>
      </c>
      <c r="G40" t="s">
        <v>433</v>
      </c>
      <c r="H40" t="s">
        <v>409</v>
      </c>
      <c r="I40" t="s">
        <v>379</v>
      </c>
      <c r="J40" t="s">
        <v>402</v>
      </c>
      <c r="K40" t="s">
        <v>436</v>
      </c>
      <c r="L40" t="s">
        <v>387</v>
      </c>
      <c r="M40">
        <v>4</v>
      </c>
      <c r="N40" s="6">
        <v>4316800</v>
      </c>
    </row>
    <row r="41" spans="1:14" x14ac:dyDescent="0.25">
      <c r="A41" t="s">
        <v>460</v>
      </c>
      <c r="B41" t="str">
        <f>_xlfn.XLOOKUP(Table3[[#This Row],[app_id]],Table5[app_id],Table5[developer_company],"",0)</f>
        <v>Nova Labs</v>
      </c>
      <c r="C41" t="s">
        <v>118</v>
      </c>
      <c r="D41" t="str">
        <f>_xlfn.XLOOKUP(Table3[[#This Row],[app_id]],Table5[app_id],Table5[app_name],"",0)</f>
        <v>LearnMate</v>
      </c>
      <c r="E41" t="str">
        <f>_xlfn.XLOOKUP(Table3[[#This Row],[app_id]],Table5[app_id],Table5[category],"",0)</f>
        <v>Education</v>
      </c>
      <c r="F41">
        <v>20</v>
      </c>
      <c r="G41" t="s">
        <v>377</v>
      </c>
      <c r="H41" t="s">
        <v>389</v>
      </c>
      <c r="I41" t="s">
        <v>410</v>
      </c>
      <c r="J41" t="s">
        <v>386</v>
      </c>
      <c r="K41" t="s">
        <v>425</v>
      </c>
      <c r="L41" t="s">
        <v>407</v>
      </c>
      <c r="M41">
        <v>3.5</v>
      </c>
      <c r="N41" s="6">
        <v>243800</v>
      </c>
    </row>
    <row r="42" spans="1:14" x14ac:dyDescent="0.25">
      <c r="A42" t="s">
        <v>461</v>
      </c>
      <c r="B42" t="str">
        <f>_xlfn.XLOOKUP(Table3[[#This Row],[app_id]],Table5[app_id],Table5[developer_company],"",0)</f>
        <v>Nova Labs</v>
      </c>
      <c r="C42" t="s">
        <v>120</v>
      </c>
      <c r="D42" t="str">
        <f>_xlfn.XLOOKUP(Table3[[#This Row],[app_id]],Table5[app_id],Table5[app_name],"",0)</f>
        <v>QuestNow</v>
      </c>
      <c r="E42" t="str">
        <f>_xlfn.XLOOKUP(Table3[[#This Row],[app_id]],Table5[app_id],Table5[category],"",0)</f>
        <v>Education</v>
      </c>
      <c r="F42">
        <v>39</v>
      </c>
      <c r="G42" t="s">
        <v>433</v>
      </c>
      <c r="H42" t="s">
        <v>409</v>
      </c>
      <c r="I42" t="s">
        <v>419</v>
      </c>
      <c r="J42" t="s">
        <v>386</v>
      </c>
      <c r="K42" t="s">
        <v>425</v>
      </c>
      <c r="L42" t="s">
        <v>442</v>
      </c>
      <c r="M42">
        <v>3.6</v>
      </c>
      <c r="N42" s="6">
        <v>534700</v>
      </c>
    </row>
    <row r="43" spans="1:14" x14ac:dyDescent="0.25">
      <c r="A43" t="s">
        <v>462</v>
      </c>
      <c r="B43" t="str">
        <f>_xlfn.XLOOKUP(Table3[[#This Row],[app_id]],Table5[app_id],Table5[developer_company],"",0)</f>
        <v>GreenSpark</v>
      </c>
      <c r="C43" t="s">
        <v>122</v>
      </c>
      <c r="D43" t="str">
        <f>_xlfn.XLOOKUP(Table3[[#This Row],[app_id]],Table5[app_id],Table5[app_name],"",0)</f>
        <v>SkillHub</v>
      </c>
      <c r="E43" t="str">
        <f>_xlfn.XLOOKUP(Table3[[#This Row],[app_id]],Table5[app_id],Table5[category],"",0)</f>
        <v>Education</v>
      </c>
      <c r="F43">
        <v>23</v>
      </c>
      <c r="G43" t="s">
        <v>433</v>
      </c>
      <c r="H43" t="s">
        <v>409</v>
      </c>
      <c r="I43" t="s">
        <v>395</v>
      </c>
      <c r="J43" t="s">
        <v>386</v>
      </c>
      <c r="K43" t="s">
        <v>436</v>
      </c>
      <c r="L43" t="s">
        <v>387</v>
      </c>
      <c r="M43">
        <v>4.3</v>
      </c>
      <c r="N43" s="6">
        <v>6300</v>
      </c>
    </row>
    <row r="44" spans="1:14" x14ac:dyDescent="0.25">
      <c r="A44" t="s">
        <v>463</v>
      </c>
      <c r="B44" t="str">
        <f>_xlfn.XLOOKUP(Table3[[#This Row],[app_id]],Table5[app_id],Table5[developer_company],"",0)</f>
        <v>Nova Labs</v>
      </c>
      <c r="C44" t="s">
        <v>124</v>
      </c>
      <c r="D44" t="str">
        <f>_xlfn.XLOOKUP(Table3[[#This Row],[app_id]],Table5[app_id],Table5[app_name],"",0)</f>
        <v>TutorCloud</v>
      </c>
      <c r="E44" t="str">
        <f>_xlfn.XLOOKUP(Table3[[#This Row],[app_id]],Table5[app_id],Table5[category],"",0)</f>
        <v>Education</v>
      </c>
      <c r="F44">
        <v>53</v>
      </c>
      <c r="G44" t="s">
        <v>393</v>
      </c>
      <c r="H44" t="s">
        <v>378</v>
      </c>
      <c r="I44" t="s">
        <v>395</v>
      </c>
      <c r="J44" t="s">
        <v>386</v>
      </c>
      <c r="K44" t="s">
        <v>436</v>
      </c>
      <c r="L44" t="s">
        <v>427</v>
      </c>
      <c r="M44">
        <v>3.3</v>
      </c>
      <c r="N44" s="6">
        <v>117000</v>
      </c>
    </row>
    <row r="45" spans="1:14" x14ac:dyDescent="0.25">
      <c r="A45" t="s">
        <v>464</v>
      </c>
      <c r="B45" t="str">
        <f>_xlfn.XLOOKUP(Table3[[#This Row],[app_id]],Table5[app_id],Table5[developer_company],"",0)</f>
        <v>NextLoop</v>
      </c>
      <c r="C45" t="s">
        <v>126</v>
      </c>
      <c r="D45" t="str">
        <f>_xlfn.XLOOKUP(Table3[[#This Row],[app_id]],Table5[app_id],Table5[app_name],"",0)</f>
        <v>SkillOne</v>
      </c>
      <c r="E45" t="str">
        <f>_xlfn.XLOOKUP(Table3[[#This Row],[app_id]],Table5[app_id],Table5[category],"",0)</f>
        <v>Education</v>
      </c>
      <c r="F45">
        <v>4</v>
      </c>
      <c r="G45" t="s">
        <v>424</v>
      </c>
      <c r="H45" t="s">
        <v>400</v>
      </c>
      <c r="I45" t="s">
        <v>379</v>
      </c>
      <c r="J45" t="s">
        <v>444</v>
      </c>
      <c r="K45" t="s">
        <v>397</v>
      </c>
      <c r="L45" t="s">
        <v>427</v>
      </c>
      <c r="M45">
        <v>2.9</v>
      </c>
      <c r="N45" s="6">
        <v>45000</v>
      </c>
    </row>
    <row r="46" spans="1:14" x14ac:dyDescent="0.25">
      <c r="A46" t="s">
        <v>465</v>
      </c>
      <c r="B46" t="str">
        <f>_xlfn.XLOOKUP(Table3[[#This Row],[app_id]],Table5[app_id],Table5[developer_company],"",0)</f>
        <v>BluePeak Digital</v>
      </c>
      <c r="C46" t="s">
        <v>128</v>
      </c>
      <c r="D46" t="str">
        <f>_xlfn.XLOOKUP(Table3[[#This Row],[app_id]],Table5[app_id],Table5[app_name],"",0)</f>
        <v>LearnOne</v>
      </c>
      <c r="E46" t="str">
        <f>_xlfn.XLOOKUP(Table3[[#This Row],[app_id]],Table5[app_id],Table5[category],"",0)</f>
        <v>Education</v>
      </c>
      <c r="F46">
        <v>55</v>
      </c>
      <c r="G46" t="s">
        <v>377</v>
      </c>
      <c r="H46" t="s">
        <v>409</v>
      </c>
      <c r="I46" t="s">
        <v>410</v>
      </c>
      <c r="J46" t="s">
        <v>402</v>
      </c>
      <c r="K46" t="s">
        <v>420</v>
      </c>
      <c r="L46" t="s">
        <v>387</v>
      </c>
      <c r="M46">
        <v>3.1</v>
      </c>
      <c r="N46" s="6">
        <v>14800</v>
      </c>
    </row>
    <row r="47" spans="1:14" x14ac:dyDescent="0.25">
      <c r="A47" t="s">
        <v>466</v>
      </c>
      <c r="B47" t="str">
        <f>_xlfn.XLOOKUP(Table3[[#This Row],[app_id]],Table5[app_id],Table5[developer_company],"",0)</f>
        <v>BrightWorks</v>
      </c>
      <c r="C47" t="s">
        <v>130</v>
      </c>
      <c r="D47" t="str">
        <f>_xlfn.XLOOKUP(Table3[[#This Row],[app_id]],Table5[app_id],Table5[app_name],"",0)</f>
        <v>LearnPlus</v>
      </c>
      <c r="E47" t="str">
        <f>_xlfn.XLOOKUP(Table3[[#This Row],[app_id]],Table5[app_id],Table5[category],"",0)</f>
        <v>Education</v>
      </c>
      <c r="F47">
        <v>46</v>
      </c>
      <c r="G47" t="s">
        <v>424</v>
      </c>
      <c r="H47" t="s">
        <v>385</v>
      </c>
      <c r="I47" t="s">
        <v>422</v>
      </c>
      <c r="J47" t="s">
        <v>396</v>
      </c>
      <c r="K47" t="s">
        <v>436</v>
      </c>
      <c r="L47" t="s">
        <v>391</v>
      </c>
      <c r="M47">
        <v>3.4</v>
      </c>
      <c r="N47" s="6">
        <v>71300</v>
      </c>
    </row>
    <row r="48" spans="1:14" x14ac:dyDescent="0.25">
      <c r="A48" t="s">
        <v>467</v>
      </c>
      <c r="B48" t="str">
        <f>_xlfn.XLOOKUP(Table3[[#This Row],[app_id]],Table5[app_id],Table5[developer_company],"",0)</f>
        <v>CloudFrame</v>
      </c>
      <c r="C48" t="s">
        <v>132</v>
      </c>
      <c r="D48" t="str">
        <f>_xlfn.XLOOKUP(Table3[[#This Row],[app_id]],Table5[app_id],Table5[app_name],"",0)</f>
        <v>StudyPlus</v>
      </c>
      <c r="E48" t="str">
        <f>_xlfn.XLOOKUP(Table3[[#This Row],[app_id]],Table5[app_id],Table5[category],"",0)</f>
        <v>Education</v>
      </c>
      <c r="F48">
        <v>100</v>
      </c>
      <c r="G48" t="s">
        <v>384</v>
      </c>
      <c r="H48" t="s">
        <v>414</v>
      </c>
      <c r="I48" t="s">
        <v>401</v>
      </c>
      <c r="J48" t="s">
        <v>440</v>
      </c>
      <c r="K48" t="s">
        <v>381</v>
      </c>
      <c r="L48" t="s">
        <v>387</v>
      </c>
      <c r="M48">
        <v>3.8</v>
      </c>
      <c r="N48" s="6">
        <v>124900</v>
      </c>
    </row>
    <row r="49" spans="1:14" x14ac:dyDescent="0.25">
      <c r="A49" t="s">
        <v>468</v>
      </c>
      <c r="B49" t="str">
        <f>_xlfn.XLOOKUP(Table3[[#This Row],[app_id]],Table5[app_id],Table5[developer_company],"",0)</f>
        <v>BluePeak Digital</v>
      </c>
      <c r="C49" t="s">
        <v>134</v>
      </c>
      <c r="D49" t="str">
        <f>_xlfn.XLOOKUP(Table3[[#This Row],[app_id]],Table5[app_id],Table5[app_name],"",0)</f>
        <v>StudyX</v>
      </c>
      <c r="E49" t="str">
        <f>_xlfn.XLOOKUP(Table3[[#This Row],[app_id]],Table5[app_id],Table5[category],"",0)</f>
        <v>Education</v>
      </c>
      <c r="F49">
        <v>17</v>
      </c>
      <c r="G49" t="s">
        <v>384</v>
      </c>
      <c r="H49" t="s">
        <v>389</v>
      </c>
      <c r="I49" t="s">
        <v>401</v>
      </c>
      <c r="J49" t="s">
        <v>440</v>
      </c>
      <c r="K49" t="s">
        <v>403</v>
      </c>
      <c r="L49" t="s">
        <v>382</v>
      </c>
      <c r="M49">
        <v>4.4000000000000004</v>
      </c>
      <c r="N49" s="6">
        <v>15200</v>
      </c>
    </row>
    <row r="50" spans="1:14" x14ac:dyDescent="0.25">
      <c r="A50" t="s">
        <v>469</v>
      </c>
      <c r="B50" t="str">
        <f>_xlfn.XLOOKUP(Table3[[#This Row],[app_id]],Table5[app_id],Table5[developer_company],"",0)</f>
        <v>Nova Labs</v>
      </c>
      <c r="C50" t="s">
        <v>136</v>
      </c>
      <c r="D50" t="str">
        <f>_xlfn.XLOOKUP(Table3[[#This Row],[app_id]],Table5[app_id],Table5[app_name],"",0)</f>
        <v>PlayPlus</v>
      </c>
      <c r="E50" t="str">
        <f>_xlfn.XLOOKUP(Table3[[#This Row],[app_id]],Table5[app_id],Table5[category],"",0)</f>
        <v>Entertainment</v>
      </c>
      <c r="F50">
        <v>22</v>
      </c>
      <c r="G50" t="s">
        <v>399</v>
      </c>
      <c r="H50" t="s">
        <v>394</v>
      </c>
      <c r="I50" t="s">
        <v>401</v>
      </c>
      <c r="J50" t="s">
        <v>380</v>
      </c>
      <c r="K50" t="s">
        <v>397</v>
      </c>
      <c r="L50" t="s">
        <v>407</v>
      </c>
      <c r="M50">
        <v>4.3</v>
      </c>
      <c r="N50" s="6">
        <v>1259700</v>
      </c>
    </row>
    <row r="51" spans="1:14" x14ac:dyDescent="0.25">
      <c r="A51" t="s">
        <v>470</v>
      </c>
      <c r="B51" t="str">
        <f>_xlfn.XLOOKUP(Table3[[#This Row],[app_id]],Table5[app_id],Table5[developer_company],"",0)</f>
        <v>BluePeak Digital</v>
      </c>
      <c r="C51" t="s">
        <v>139</v>
      </c>
      <c r="D51" t="str">
        <f>_xlfn.XLOOKUP(Table3[[#This Row],[app_id]],Table5[app_id],Table5[app_name],"",0)</f>
        <v>ShowMate</v>
      </c>
      <c r="E51" t="str">
        <f>_xlfn.XLOOKUP(Table3[[#This Row],[app_id]],Table5[app_id],Table5[category],"",0)</f>
        <v>Entertainment</v>
      </c>
      <c r="F51">
        <v>22</v>
      </c>
      <c r="G51" t="s">
        <v>377</v>
      </c>
      <c r="H51" t="s">
        <v>394</v>
      </c>
      <c r="I51" t="s">
        <v>410</v>
      </c>
      <c r="J51" t="s">
        <v>402</v>
      </c>
      <c r="K51" t="s">
        <v>420</v>
      </c>
      <c r="L51" t="s">
        <v>382</v>
      </c>
      <c r="M51">
        <v>3.3</v>
      </c>
      <c r="N51" s="6">
        <v>506800</v>
      </c>
    </row>
    <row r="52" spans="1:14" x14ac:dyDescent="0.25">
      <c r="A52" t="s">
        <v>471</v>
      </c>
      <c r="B52" t="str">
        <f>_xlfn.XLOOKUP(Table3[[#This Row],[app_id]],Table5[app_id],Table5[developer_company],"",0)</f>
        <v>CloudFrame</v>
      </c>
      <c r="C52" t="s">
        <v>141</v>
      </c>
      <c r="D52" t="str">
        <f>_xlfn.XLOOKUP(Table3[[#This Row],[app_id]],Table5[app_id],Table5[app_name],"",0)</f>
        <v>VibeX</v>
      </c>
      <c r="E52" t="str">
        <f>_xlfn.XLOOKUP(Table3[[#This Row],[app_id]],Table5[app_id],Table5[category],"",0)</f>
        <v>Entertainment</v>
      </c>
      <c r="F52">
        <v>69</v>
      </c>
      <c r="G52" t="s">
        <v>431</v>
      </c>
      <c r="H52" t="s">
        <v>414</v>
      </c>
      <c r="I52" t="s">
        <v>410</v>
      </c>
      <c r="J52" t="s">
        <v>396</v>
      </c>
      <c r="K52" t="s">
        <v>403</v>
      </c>
      <c r="L52" t="s">
        <v>407</v>
      </c>
      <c r="M52">
        <v>4</v>
      </c>
      <c r="N52" s="6">
        <v>15800</v>
      </c>
    </row>
    <row r="53" spans="1:14" x14ac:dyDescent="0.25">
      <c r="A53" t="s">
        <v>472</v>
      </c>
      <c r="B53" t="str">
        <f>_xlfn.XLOOKUP(Table3[[#This Row],[app_id]],Table5[app_id],Table5[developer_company],"",0)</f>
        <v>UrbanByte</v>
      </c>
      <c r="C53" t="s">
        <v>143</v>
      </c>
      <c r="D53" t="str">
        <f>_xlfn.XLOOKUP(Table3[[#This Row],[app_id]],Table5[app_id],Table5[app_name],"",0)</f>
        <v>BuzzNow</v>
      </c>
      <c r="E53" t="str">
        <f>_xlfn.XLOOKUP(Table3[[#This Row],[app_id]],Table5[app_id],Table5[category],"",0)</f>
        <v>Entertainment</v>
      </c>
      <c r="F53">
        <v>51</v>
      </c>
      <c r="G53" t="s">
        <v>431</v>
      </c>
      <c r="H53" t="s">
        <v>406</v>
      </c>
      <c r="I53" t="s">
        <v>379</v>
      </c>
      <c r="J53" t="s">
        <v>402</v>
      </c>
      <c r="K53" t="s">
        <v>420</v>
      </c>
      <c r="L53" t="s">
        <v>412</v>
      </c>
      <c r="M53">
        <v>4.5</v>
      </c>
      <c r="N53" s="6">
        <v>123200</v>
      </c>
    </row>
    <row r="54" spans="1:14" x14ac:dyDescent="0.25">
      <c r="A54" t="s">
        <v>473</v>
      </c>
      <c r="B54" t="str">
        <f>_xlfn.XLOOKUP(Table3[[#This Row],[app_id]],Table5[app_id],Table5[developer_company],"",0)</f>
        <v>Nova Labs</v>
      </c>
      <c r="C54" t="s">
        <v>145</v>
      </c>
      <c r="D54" t="str">
        <f>_xlfn.XLOOKUP(Table3[[#This Row],[app_id]],Table5[app_id],Table5[app_name],"",0)</f>
        <v>StreamPlus</v>
      </c>
      <c r="E54" t="str">
        <f>_xlfn.XLOOKUP(Table3[[#This Row],[app_id]],Table5[app_id],Table5[category],"",0)</f>
        <v>Entertainment</v>
      </c>
      <c r="F54">
        <v>75</v>
      </c>
      <c r="G54" t="s">
        <v>431</v>
      </c>
      <c r="H54" t="s">
        <v>400</v>
      </c>
      <c r="I54" t="s">
        <v>390</v>
      </c>
      <c r="J54" t="s">
        <v>415</v>
      </c>
      <c r="K54" t="s">
        <v>425</v>
      </c>
      <c r="L54" t="s">
        <v>387</v>
      </c>
      <c r="M54">
        <v>4.0999999999999996</v>
      </c>
      <c r="N54" s="6">
        <v>140700</v>
      </c>
    </row>
    <row r="55" spans="1:14" x14ac:dyDescent="0.25">
      <c r="A55" t="s">
        <v>474</v>
      </c>
      <c r="B55" t="str">
        <f>_xlfn.XLOOKUP(Table3[[#This Row],[app_id]],Table5[app_id],Table5[developer_company],"",0)</f>
        <v>Nova Labs</v>
      </c>
      <c r="C55" t="s">
        <v>147</v>
      </c>
      <c r="D55" t="str">
        <f>_xlfn.XLOOKUP(Table3[[#This Row],[app_id]],Table5[app_id],Table5[app_name],"",0)</f>
        <v>Showly</v>
      </c>
      <c r="E55" t="str">
        <f>_xlfn.XLOOKUP(Table3[[#This Row],[app_id]],Table5[app_id],Table5[category],"",0)</f>
        <v>Entertainment</v>
      </c>
      <c r="F55">
        <v>92</v>
      </c>
      <c r="G55" t="s">
        <v>393</v>
      </c>
      <c r="H55" t="s">
        <v>378</v>
      </c>
      <c r="I55" t="s">
        <v>379</v>
      </c>
      <c r="J55" t="s">
        <v>444</v>
      </c>
      <c r="K55" t="s">
        <v>425</v>
      </c>
      <c r="L55" t="s">
        <v>387</v>
      </c>
      <c r="M55">
        <v>3.2</v>
      </c>
      <c r="N55" s="6">
        <v>3400</v>
      </c>
    </row>
    <row r="56" spans="1:14" x14ac:dyDescent="0.25">
      <c r="A56" t="s">
        <v>475</v>
      </c>
      <c r="B56" t="str">
        <f>_xlfn.XLOOKUP(Table3[[#This Row],[app_id]],Table5[app_id],Table5[developer_company],"",0)</f>
        <v>NextLoop</v>
      </c>
      <c r="C56" t="s">
        <v>149</v>
      </c>
      <c r="D56" t="str">
        <f>_xlfn.XLOOKUP(Table3[[#This Row],[app_id]],Table5[app_id],Table5[app_name],"",0)</f>
        <v>BuzzOne</v>
      </c>
      <c r="E56" t="str">
        <f>_xlfn.XLOOKUP(Table3[[#This Row],[app_id]],Table5[app_id],Table5[category],"",0)</f>
        <v>Entertainment</v>
      </c>
      <c r="F56">
        <v>28</v>
      </c>
      <c r="G56" t="s">
        <v>433</v>
      </c>
      <c r="H56" t="s">
        <v>378</v>
      </c>
      <c r="I56" t="s">
        <v>419</v>
      </c>
      <c r="J56" t="s">
        <v>440</v>
      </c>
      <c r="K56" t="s">
        <v>397</v>
      </c>
      <c r="L56" t="s">
        <v>387</v>
      </c>
      <c r="M56">
        <v>4.2</v>
      </c>
      <c r="N56" s="6">
        <v>330500</v>
      </c>
    </row>
    <row r="57" spans="1:14" x14ac:dyDescent="0.25">
      <c r="A57" t="s">
        <v>476</v>
      </c>
      <c r="B57" t="str">
        <f>_xlfn.XLOOKUP(Table3[[#This Row],[app_id]],Table5[app_id],Table5[developer_company],"",0)</f>
        <v>BrightWorks</v>
      </c>
      <c r="C57" t="s">
        <v>151</v>
      </c>
      <c r="D57" t="str">
        <f>_xlfn.XLOOKUP(Table3[[#This Row],[app_id]],Table5[app_id],Table5[app_name],"",0)</f>
        <v>PlayHub</v>
      </c>
      <c r="E57" t="str">
        <f>_xlfn.XLOOKUP(Table3[[#This Row],[app_id]],Table5[app_id],Table5[category],"",0)</f>
        <v>Entertainment</v>
      </c>
      <c r="F57">
        <v>63</v>
      </c>
      <c r="G57" t="s">
        <v>431</v>
      </c>
      <c r="H57" t="s">
        <v>385</v>
      </c>
      <c r="I57" t="s">
        <v>410</v>
      </c>
      <c r="J57" t="s">
        <v>444</v>
      </c>
      <c r="K57" t="s">
        <v>436</v>
      </c>
      <c r="L57" t="s">
        <v>387</v>
      </c>
      <c r="M57">
        <v>4.3</v>
      </c>
      <c r="N57" s="6">
        <v>46400</v>
      </c>
    </row>
    <row r="58" spans="1:14" x14ac:dyDescent="0.25">
      <c r="A58" t="s">
        <v>477</v>
      </c>
      <c r="B58" t="str">
        <f>_xlfn.XLOOKUP(Table3[[#This Row],[app_id]],Table5[app_id],Table5[developer_company],"",0)</f>
        <v>PixelCraft</v>
      </c>
      <c r="C58" t="s">
        <v>153</v>
      </c>
      <c r="D58" t="str">
        <f>_xlfn.XLOOKUP(Table3[[#This Row],[app_id]],Table5[app_id],Table5[app_name],"",0)</f>
        <v>CinemaGo</v>
      </c>
      <c r="E58" t="str">
        <f>_xlfn.XLOOKUP(Table3[[#This Row],[app_id]],Table5[app_id],Table5[category],"",0)</f>
        <v>Entertainment</v>
      </c>
      <c r="F58">
        <v>37</v>
      </c>
      <c r="G58" t="s">
        <v>433</v>
      </c>
      <c r="H58" t="s">
        <v>400</v>
      </c>
      <c r="I58" t="s">
        <v>390</v>
      </c>
      <c r="J58" t="s">
        <v>396</v>
      </c>
      <c r="K58" t="s">
        <v>403</v>
      </c>
      <c r="L58" t="s">
        <v>427</v>
      </c>
      <c r="M58">
        <v>4.5</v>
      </c>
      <c r="N58" s="6">
        <v>347400</v>
      </c>
    </row>
    <row r="59" spans="1:14" x14ac:dyDescent="0.25">
      <c r="A59" t="s">
        <v>478</v>
      </c>
      <c r="B59" t="str">
        <f>_xlfn.XLOOKUP(Table3[[#This Row],[app_id]],Table5[app_id],Table5[developer_company],"",0)</f>
        <v>OrbitSoft</v>
      </c>
      <c r="C59" t="s">
        <v>155</v>
      </c>
      <c r="D59" t="str">
        <f>_xlfn.XLOOKUP(Table3[[#This Row],[app_id]],Table5[app_id],Table5[app_name],"",0)</f>
        <v>LaughX</v>
      </c>
      <c r="E59" t="str">
        <f>_xlfn.XLOOKUP(Table3[[#This Row],[app_id]],Table5[app_id],Table5[category],"",0)</f>
        <v>Entertainment</v>
      </c>
      <c r="F59">
        <v>43</v>
      </c>
      <c r="G59" t="s">
        <v>384</v>
      </c>
      <c r="H59" t="s">
        <v>400</v>
      </c>
      <c r="I59" t="s">
        <v>422</v>
      </c>
      <c r="J59" t="s">
        <v>415</v>
      </c>
      <c r="K59" t="s">
        <v>420</v>
      </c>
      <c r="L59" t="s">
        <v>427</v>
      </c>
      <c r="M59">
        <v>3.6</v>
      </c>
      <c r="N59" s="6">
        <v>3336900</v>
      </c>
    </row>
    <row r="60" spans="1:14" x14ac:dyDescent="0.25">
      <c r="A60" t="s">
        <v>479</v>
      </c>
      <c r="B60" t="str">
        <f>_xlfn.XLOOKUP(Table3[[#This Row],[app_id]],Table5[app_id],Table5[developer_company],"",0)</f>
        <v>PixelCraft</v>
      </c>
      <c r="C60" t="s">
        <v>157</v>
      </c>
      <c r="D60" t="str">
        <f>_xlfn.XLOOKUP(Table3[[#This Row],[app_id]],Table5[app_id],Table5[app_name],"",0)</f>
        <v>CinemaHub</v>
      </c>
      <c r="E60" t="str">
        <f>_xlfn.XLOOKUP(Table3[[#This Row],[app_id]],Table5[app_id],Table5[category],"",0)</f>
        <v>Entertainment</v>
      </c>
      <c r="F60">
        <v>90</v>
      </c>
      <c r="G60" t="s">
        <v>399</v>
      </c>
      <c r="H60" t="s">
        <v>394</v>
      </c>
      <c r="I60" t="s">
        <v>410</v>
      </c>
      <c r="J60" t="s">
        <v>440</v>
      </c>
      <c r="K60" t="s">
        <v>381</v>
      </c>
      <c r="L60" t="s">
        <v>407</v>
      </c>
      <c r="M60">
        <v>3.8</v>
      </c>
      <c r="N60" s="6">
        <v>623000</v>
      </c>
    </row>
    <row r="61" spans="1:14" x14ac:dyDescent="0.25">
      <c r="A61" t="s">
        <v>480</v>
      </c>
      <c r="B61" t="str">
        <f>_xlfn.XLOOKUP(Table3[[#This Row],[app_id]],Table5[app_id],Table5[developer_company],"",0)</f>
        <v>CloudFrame</v>
      </c>
      <c r="C61" t="s">
        <v>159</v>
      </c>
      <c r="D61" t="str">
        <f>_xlfn.XLOOKUP(Table3[[#This Row],[app_id]],Table5[app_id],Table5[app_name],"",0)</f>
        <v>ShowPro</v>
      </c>
      <c r="E61" t="str">
        <f>_xlfn.XLOOKUP(Table3[[#This Row],[app_id]],Table5[app_id],Table5[category],"",0)</f>
        <v>Entertainment</v>
      </c>
      <c r="F61">
        <v>22</v>
      </c>
      <c r="G61" t="s">
        <v>384</v>
      </c>
      <c r="H61" t="s">
        <v>394</v>
      </c>
      <c r="I61" t="s">
        <v>390</v>
      </c>
      <c r="J61" t="s">
        <v>415</v>
      </c>
      <c r="K61" t="s">
        <v>381</v>
      </c>
      <c r="L61" t="s">
        <v>382</v>
      </c>
      <c r="M61">
        <v>4.5999999999999996</v>
      </c>
      <c r="N61" s="6">
        <v>748400</v>
      </c>
    </row>
    <row r="62" spans="1:14" x14ac:dyDescent="0.25">
      <c r="A62" t="s">
        <v>481</v>
      </c>
      <c r="B62" t="str">
        <f>_xlfn.XLOOKUP(Table3[[#This Row],[app_id]],Table5[app_id],Table5[developer_company],"",0)</f>
        <v>UrbanByte</v>
      </c>
      <c r="C62" t="s">
        <v>161</v>
      </c>
      <c r="D62" t="str">
        <f>_xlfn.XLOOKUP(Table3[[#This Row],[app_id]],Table5[app_id],Table5[app_name],"",0)</f>
        <v>FoodPlus</v>
      </c>
      <c r="E62" t="str">
        <f>_xlfn.XLOOKUP(Table3[[#This Row],[app_id]],Table5[app_id],Table5[category],"",0)</f>
        <v>Food Delivery</v>
      </c>
      <c r="F62">
        <v>27</v>
      </c>
      <c r="G62" t="s">
        <v>399</v>
      </c>
      <c r="H62" t="s">
        <v>409</v>
      </c>
      <c r="I62" t="s">
        <v>419</v>
      </c>
      <c r="J62" t="s">
        <v>415</v>
      </c>
      <c r="K62" t="s">
        <v>397</v>
      </c>
      <c r="L62" t="s">
        <v>404</v>
      </c>
      <c r="M62">
        <v>3.9</v>
      </c>
      <c r="N62" s="6">
        <v>1136800</v>
      </c>
    </row>
    <row r="63" spans="1:14" x14ac:dyDescent="0.25">
      <c r="A63" t="s">
        <v>482</v>
      </c>
      <c r="B63" t="str">
        <f>_xlfn.XLOOKUP(Table3[[#This Row],[app_id]],Table5[app_id],Table5[developer_company],"",0)</f>
        <v>BluePeak Digital</v>
      </c>
      <c r="C63" t="s">
        <v>164</v>
      </c>
      <c r="D63" t="str">
        <f>_xlfn.XLOOKUP(Table3[[#This Row],[app_id]],Table5[app_id],Table5[app_name],"",0)</f>
        <v>BiteGo</v>
      </c>
      <c r="E63" t="str">
        <f>_xlfn.XLOOKUP(Table3[[#This Row],[app_id]],Table5[app_id],Table5[category],"",0)</f>
        <v>Food Delivery</v>
      </c>
      <c r="F63">
        <v>30</v>
      </c>
      <c r="G63" t="s">
        <v>393</v>
      </c>
      <c r="H63" t="s">
        <v>400</v>
      </c>
      <c r="I63" t="s">
        <v>419</v>
      </c>
      <c r="J63" t="s">
        <v>444</v>
      </c>
      <c r="K63" t="s">
        <v>420</v>
      </c>
      <c r="L63" t="s">
        <v>391</v>
      </c>
      <c r="M63">
        <v>3.3</v>
      </c>
      <c r="N63" s="6">
        <v>11900</v>
      </c>
    </row>
    <row r="64" spans="1:14" x14ac:dyDescent="0.25">
      <c r="A64" t="s">
        <v>483</v>
      </c>
      <c r="B64" t="str">
        <f>_xlfn.XLOOKUP(Table3[[#This Row],[app_id]],Table5[app_id],Table5[developer_company],"",0)</f>
        <v>CloudFrame</v>
      </c>
      <c r="C64" t="s">
        <v>166</v>
      </c>
      <c r="D64" t="str">
        <f>_xlfn.XLOOKUP(Table3[[#This Row],[app_id]],Table5[app_id],Table5[app_name],"",0)</f>
        <v>OrderCloud</v>
      </c>
      <c r="E64" t="str">
        <f>_xlfn.XLOOKUP(Table3[[#This Row],[app_id]],Table5[app_id],Table5[category],"",0)</f>
        <v>Food Delivery</v>
      </c>
      <c r="F64">
        <v>12</v>
      </c>
      <c r="G64" t="s">
        <v>399</v>
      </c>
      <c r="H64" t="s">
        <v>385</v>
      </c>
      <c r="I64" t="s">
        <v>379</v>
      </c>
      <c r="J64" t="s">
        <v>444</v>
      </c>
      <c r="K64" t="s">
        <v>420</v>
      </c>
      <c r="L64" t="s">
        <v>391</v>
      </c>
      <c r="M64">
        <v>3.5</v>
      </c>
      <c r="N64" s="6">
        <v>38000</v>
      </c>
    </row>
    <row r="65" spans="1:14" x14ac:dyDescent="0.25">
      <c r="A65" t="s">
        <v>484</v>
      </c>
      <c r="B65" t="str">
        <f>_xlfn.XLOOKUP(Table3[[#This Row],[app_id]],Table5[app_id],Table5[developer_company],"",0)</f>
        <v>UrbanByte</v>
      </c>
      <c r="C65" t="s">
        <v>168</v>
      </c>
      <c r="D65" t="str">
        <f>_xlfn.XLOOKUP(Table3[[#This Row],[app_id]],Table5[app_id],Table5[app_name],"",0)</f>
        <v>DinePlus</v>
      </c>
      <c r="E65" t="str">
        <f>_xlfn.XLOOKUP(Table3[[#This Row],[app_id]],Table5[app_id],Table5[category],"",0)</f>
        <v>Food Delivery</v>
      </c>
      <c r="F65">
        <v>53</v>
      </c>
      <c r="G65" t="s">
        <v>424</v>
      </c>
      <c r="H65" t="s">
        <v>389</v>
      </c>
      <c r="I65" t="s">
        <v>419</v>
      </c>
      <c r="J65" t="s">
        <v>402</v>
      </c>
      <c r="K65" t="s">
        <v>425</v>
      </c>
      <c r="L65" t="s">
        <v>391</v>
      </c>
      <c r="M65">
        <v>3.9</v>
      </c>
      <c r="N65" s="6">
        <v>1085400</v>
      </c>
    </row>
    <row r="66" spans="1:14" x14ac:dyDescent="0.25">
      <c r="A66" t="s">
        <v>485</v>
      </c>
      <c r="B66" t="str">
        <f>_xlfn.XLOOKUP(Table3[[#This Row],[app_id]],Table5[app_id],Table5[developer_company],"",0)</f>
        <v>OrbitSoft</v>
      </c>
      <c r="C66" t="s">
        <v>170</v>
      </c>
      <c r="D66" t="str">
        <f>_xlfn.XLOOKUP(Table3[[#This Row],[app_id]],Table5[app_id],Table5[app_name],"",0)</f>
        <v>SnackX</v>
      </c>
      <c r="E66" t="str">
        <f>_xlfn.XLOOKUP(Table3[[#This Row],[app_id]],Table5[app_id],Table5[category],"",0)</f>
        <v>Food Delivery</v>
      </c>
      <c r="F66">
        <v>13</v>
      </c>
      <c r="G66" t="s">
        <v>393</v>
      </c>
      <c r="H66" t="s">
        <v>414</v>
      </c>
      <c r="I66" t="s">
        <v>434</v>
      </c>
      <c r="J66" t="s">
        <v>444</v>
      </c>
      <c r="K66" t="s">
        <v>403</v>
      </c>
      <c r="L66" t="s">
        <v>391</v>
      </c>
      <c r="M66">
        <v>4.4000000000000004</v>
      </c>
      <c r="N66" s="6">
        <v>799000</v>
      </c>
    </row>
    <row r="67" spans="1:14" x14ac:dyDescent="0.25">
      <c r="A67" t="s">
        <v>486</v>
      </c>
      <c r="B67" t="str">
        <f>_xlfn.XLOOKUP(Table3[[#This Row],[app_id]],Table5[app_id],Table5[developer_company],"",0)</f>
        <v>BrightWorks</v>
      </c>
      <c r="C67" t="s">
        <v>172</v>
      </c>
      <c r="D67" t="str">
        <f>_xlfn.XLOOKUP(Table3[[#This Row],[app_id]],Table5[app_id],Table5[app_name],"",0)</f>
        <v>FoodOne</v>
      </c>
      <c r="E67" t="str">
        <f>_xlfn.XLOOKUP(Table3[[#This Row],[app_id]],Table5[app_id],Table5[category],"",0)</f>
        <v>Food Delivery</v>
      </c>
      <c r="F67">
        <v>16</v>
      </c>
      <c r="G67" t="s">
        <v>431</v>
      </c>
      <c r="H67" t="s">
        <v>406</v>
      </c>
      <c r="I67" t="s">
        <v>419</v>
      </c>
      <c r="J67" t="s">
        <v>380</v>
      </c>
      <c r="K67" t="s">
        <v>420</v>
      </c>
      <c r="L67" t="s">
        <v>412</v>
      </c>
      <c r="M67">
        <v>4.3</v>
      </c>
      <c r="N67" s="6">
        <v>7600</v>
      </c>
    </row>
    <row r="68" spans="1:14" x14ac:dyDescent="0.25">
      <c r="A68" t="s">
        <v>487</v>
      </c>
      <c r="B68" t="str">
        <f>_xlfn.XLOOKUP(Table3[[#This Row],[app_id]],Table5[app_id],Table5[developer_company],"",0)</f>
        <v>PixelCraft</v>
      </c>
      <c r="C68" t="s">
        <v>174</v>
      </c>
      <c r="D68" t="str">
        <f>_xlfn.XLOOKUP(Table3[[#This Row],[app_id]],Table5[app_id],Table5[app_name],"",0)</f>
        <v>MealMate</v>
      </c>
      <c r="E68" t="str">
        <f>_xlfn.XLOOKUP(Table3[[#This Row],[app_id]],Table5[app_id],Table5[category],"",0)</f>
        <v>Food Delivery</v>
      </c>
      <c r="F68">
        <v>73</v>
      </c>
      <c r="G68" t="s">
        <v>417</v>
      </c>
      <c r="H68" t="s">
        <v>385</v>
      </c>
      <c r="I68" t="s">
        <v>410</v>
      </c>
      <c r="J68" t="s">
        <v>396</v>
      </c>
      <c r="K68" t="s">
        <v>420</v>
      </c>
      <c r="L68" t="s">
        <v>442</v>
      </c>
      <c r="M68">
        <v>3.9</v>
      </c>
      <c r="N68" s="6">
        <v>180100</v>
      </c>
    </row>
    <row r="69" spans="1:14" x14ac:dyDescent="0.25">
      <c r="A69" t="s">
        <v>488</v>
      </c>
      <c r="B69" t="str">
        <f>_xlfn.XLOOKUP(Table3[[#This Row],[app_id]],Table5[app_id],Table5[developer_company],"",0)</f>
        <v>UrbanByte</v>
      </c>
      <c r="C69" t="s">
        <v>176</v>
      </c>
      <c r="D69" t="str">
        <f>_xlfn.XLOOKUP(Table3[[#This Row],[app_id]],Table5[app_id],Table5[app_name],"",0)</f>
        <v>SnackHub</v>
      </c>
      <c r="E69" t="str">
        <f>_xlfn.XLOOKUP(Table3[[#This Row],[app_id]],Table5[app_id],Table5[category],"",0)</f>
        <v>Food Delivery</v>
      </c>
      <c r="F69">
        <v>57</v>
      </c>
      <c r="G69" t="s">
        <v>424</v>
      </c>
      <c r="H69" t="s">
        <v>414</v>
      </c>
      <c r="I69" t="s">
        <v>401</v>
      </c>
      <c r="J69" t="s">
        <v>444</v>
      </c>
      <c r="K69" t="s">
        <v>420</v>
      </c>
      <c r="L69" t="s">
        <v>382</v>
      </c>
      <c r="M69">
        <v>3.4</v>
      </c>
      <c r="N69" s="6">
        <v>14900</v>
      </c>
    </row>
    <row r="70" spans="1:14" x14ac:dyDescent="0.25">
      <c r="A70" t="s">
        <v>489</v>
      </c>
      <c r="B70" t="str">
        <f>_xlfn.XLOOKUP(Table3[[#This Row],[app_id]],Table5[app_id],Table5[developer_company],"",0)</f>
        <v>NextLoop</v>
      </c>
      <c r="C70" t="s">
        <v>178</v>
      </c>
      <c r="D70" t="str">
        <f>_xlfn.XLOOKUP(Table3[[#This Row],[app_id]],Table5[app_id],Table5[app_name],"",0)</f>
        <v>BiteCloud</v>
      </c>
      <c r="E70" t="str">
        <f>_xlfn.XLOOKUP(Table3[[#This Row],[app_id]],Table5[app_id],Table5[category],"",0)</f>
        <v>Food Delivery</v>
      </c>
      <c r="F70">
        <v>35</v>
      </c>
      <c r="G70" t="s">
        <v>399</v>
      </c>
      <c r="H70" t="s">
        <v>409</v>
      </c>
      <c r="I70" t="s">
        <v>434</v>
      </c>
      <c r="J70" t="s">
        <v>380</v>
      </c>
      <c r="K70" t="s">
        <v>403</v>
      </c>
      <c r="L70" t="s">
        <v>427</v>
      </c>
      <c r="M70">
        <v>4.9000000000000004</v>
      </c>
      <c r="N70" s="6">
        <v>595500</v>
      </c>
    </row>
    <row r="71" spans="1:14" x14ac:dyDescent="0.25">
      <c r="A71" t="s">
        <v>490</v>
      </c>
      <c r="B71" t="str">
        <f>_xlfn.XLOOKUP(Table3[[#This Row],[app_id]],Table5[app_id],Table5[developer_company],"",0)</f>
        <v>UrbanByte</v>
      </c>
      <c r="C71" t="s">
        <v>180</v>
      </c>
      <c r="D71" t="str">
        <f>_xlfn.XLOOKUP(Table3[[#This Row],[app_id]],Table5[app_id],Table5[app_name],"",0)</f>
        <v>PlatePlus</v>
      </c>
      <c r="E71" t="str">
        <f>_xlfn.XLOOKUP(Table3[[#This Row],[app_id]],Table5[app_id],Table5[category],"",0)</f>
        <v>Food Delivery</v>
      </c>
      <c r="F71">
        <v>88</v>
      </c>
      <c r="G71" t="s">
        <v>433</v>
      </c>
      <c r="H71" t="s">
        <v>389</v>
      </c>
      <c r="I71" t="s">
        <v>401</v>
      </c>
      <c r="J71" t="s">
        <v>380</v>
      </c>
      <c r="K71" t="s">
        <v>420</v>
      </c>
      <c r="L71" t="s">
        <v>427</v>
      </c>
      <c r="M71">
        <v>3.8</v>
      </c>
      <c r="N71" s="6">
        <v>16500</v>
      </c>
    </row>
    <row r="72" spans="1:14" x14ac:dyDescent="0.25">
      <c r="A72" t="s">
        <v>491</v>
      </c>
      <c r="B72" t="str">
        <f>_xlfn.XLOOKUP(Table3[[#This Row],[app_id]],Table5[app_id],Table5[developer_company],"",0)</f>
        <v>CloudFrame</v>
      </c>
      <c r="C72" t="s">
        <v>182</v>
      </c>
      <c r="D72" t="str">
        <f>_xlfn.XLOOKUP(Table3[[#This Row],[app_id]],Table5[app_id],Table5[app_name],"",0)</f>
        <v>VoyageGo</v>
      </c>
      <c r="E72" t="str">
        <f>_xlfn.XLOOKUP(Table3[[#This Row],[app_id]],Table5[app_id],Table5[category],"",0)</f>
        <v>Travel</v>
      </c>
      <c r="F72">
        <v>11</v>
      </c>
      <c r="G72" t="s">
        <v>377</v>
      </c>
      <c r="H72" t="s">
        <v>394</v>
      </c>
      <c r="I72" t="s">
        <v>395</v>
      </c>
      <c r="J72" t="s">
        <v>386</v>
      </c>
      <c r="K72" t="s">
        <v>420</v>
      </c>
      <c r="L72" t="s">
        <v>391</v>
      </c>
      <c r="M72">
        <v>4.2</v>
      </c>
      <c r="N72" s="6">
        <v>1400</v>
      </c>
    </row>
    <row r="73" spans="1:14" x14ac:dyDescent="0.25">
      <c r="A73" t="s">
        <v>492</v>
      </c>
      <c r="B73" t="str">
        <f>_xlfn.XLOOKUP(Table3[[#This Row],[app_id]],Table5[app_id],Table5[developer_company],"",0)</f>
        <v>NextLoop</v>
      </c>
      <c r="C73" t="s">
        <v>185</v>
      </c>
      <c r="D73" t="str">
        <f>_xlfn.XLOOKUP(Table3[[#This Row],[app_id]],Table5[app_id],Table5[app_name],"",0)</f>
        <v>TripOne</v>
      </c>
      <c r="E73" t="str">
        <f>_xlfn.XLOOKUP(Table3[[#This Row],[app_id]],Table5[app_id],Table5[category],"",0)</f>
        <v>Travel</v>
      </c>
      <c r="F73">
        <v>26</v>
      </c>
      <c r="G73" t="s">
        <v>384</v>
      </c>
      <c r="H73" t="s">
        <v>389</v>
      </c>
      <c r="I73" t="s">
        <v>395</v>
      </c>
      <c r="J73" t="s">
        <v>415</v>
      </c>
      <c r="K73" t="s">
        <v>425</v>
      </c>
      <c r="L73" t="s">
        <v>427</v>
      </c>
      <c r="M73">
        <v>3.5</v>
      </c>
      <c r="N73" s="6">
        <v>61800</v>
      </c>
    </row>
    <row r="74" spans="1:14" x14ac:dyDescent="0.25">
      <c r="A74" t="s">
        <v>493</v>
      </c>
      <c r="B74" t="str">
        <f>_xlfn.XLOOKUP(Table3[[#This Row],[app_id]],Table5[app_id],Table5[developer_company],"",0)</f>
        <v>OrbitSoft</v>
      </c>
      <c r="C74" t="s">
        <v>187</v>
      </c>
      <c r="D74" t="str">
        <f>_xlfn.XLOOKUP(Table3[[#This Row],[app_id]],Table5[app_id],Table5[app_name],"",0)</f>
        <v>FlyGo</v>
      </c>
      <c r="E74" t="str">
        <f>_xlfn.XLOOKUP(Table3[[#This Row],[app_id]],Table5[app_id],Table5[category],"",0)</f>
        <v>Travel</v>
      </c>
      <c r="F74">
        <v>36</v>
      </c>
      <c r="G74" t="s">
        <v>399</v>
      </c>
      <c r="H74" t="s">
        <v>409</v>
      </c>
      <c r="I74" t="s">
        <v>401</v>
      </c>
      <c r="J74" t="s">
        <v>396</v>
      </c>
      <c r="K74" t="s">
        <v>436</v>
      </c>
      <c r="L74" t="s">
        <v>387</v>
      </c>
      <c r="M74">
        <v>4.5999999999999996</v>
      </c>
      <c r="N74" s="6">
        <v>1509500</v>
      </c>
    </row>
    <row r="75" spans="1:14" x14ac:dyDescent="0.25">
      <c r="A75" t="s">
        <v>494</v>
      </c>
      <c r="B75" t="str">
        <f>_xlfn.XLOOKUP(Table3[[#This Row],[app_id]],Table5[app_id],Table5[developer_company],"",0)</f>
        <v>GreenSpark</v>
      </c>
      <c r="C75" t="s">
        <v>189</v>
      </c>
      <c r="D75" t="str">
        <f>_xlfn.XLOOKUP(Table3[[#This Row],[app_id]],Table5[app_id],Table5[app_name],"",0)</f>
        <v>MapX</v>
      </c>
      <c r="E75" t="str">
        <f>_xlfn.XLOOKUP(Table3[[#This Row],[app_id]],Table5[app_id],Table5[category],"",0)</f>
        <v>Travel</v>
      </c>
      <c r="F75">
        <v>31</v>
      </c>
      <c r="G75" t="s">
        <v>377</v>
      </c>
      <c r="H75" t="s">
        <v>414</v>
      </c>
      <c r="I75" t="s">
        <v>379</v>
      </c>
      <c r="J75" t="s">
        <v>415</v>
      </c>
      <c r="K75" t="s">
        <v>425</v>
      </c>
      <c r="L75" t="s">
        <v>387</v>
      </c>
      <c r="M75">
        <v>4.3</v>
      </c>
      <c r="N75" s="6">
        <v>5800</v>
      </c>
    </row>
    <row r="76" spans="1:14" x14ac:dyDescent="0.25">
      <c r="A76" t="s">
        <v>495</v>
      </c>
      <c r="B76" t="str">
        <f>_xlfn.XLOOKUP(Table3[[#This Row],[app_id]],Table5[app_id],Table5[developer_company],"",0)</f>
        <v>PixelCraft</v>
      </c>
      <c r="C76" t="s">
        <v>191</v>
      </c>
      <c r="D76" t="str">
        <f>_xlfn.XLOOKUP(Table3[[#This Row],[app_id]],Table5[app_id],Table5[app_name],"",0)</f>
        <v>StayX</v>
      </c>
      <c r="E76" t="str">
        <f>_xlfn.XLOOKUP(Table3[[#This Row],[app_id]],Table5[app_id],Table5[category],"",0)</f>
        <v>Travel</v>
      </c>
      <c r="F76">
        <v>8</v>
      </c>
      <c r="G76" t="s">
        <v>384</v>
      </c>
      <c r="H76" t="s">
        <v>400</v>
      </c>
      <c r="I76" t="s">
        <v>395</v>
      </c>
      <c r="J76" t="s">
        <v>396</v>
      </c>
      <c r="K76" t="s">
        <v>436</v>
      </c>
      <c r="L76" t="s">
        <v>412</v>
      </c>
      <c r="M76">
        <v>4.3</v>
      </c>
      <c r="N76" s="6">
        <v>140900</v>
      </c>
    </row>
    <row r="77" spans="1:14" x14ac:dyDescent="0.25">
      <c r="A77" t="s">
        <v>496</v>
      </c>
      <c r="B77" t="str">
        <f>_xlfn.XLOOKUP(Table3[[#This Row],[app_id]],Table5[app_id],Table5[developer_company],"",0)</f>
        <v>BluePeak Digital</v>
      </c>
      <c r="C77" t="s">
        <v>193</v>
      </c>
      <c r="D77" t="str">
        <f>_xlfn.XLOOKUP(Table3[[#This Row],[app_id]],Table5[app_id],Table5[app_name],"",0)</f>
        <v>GoNow</v>
      </c>
      <c r="E77" t="str">
        <f>_xlfn.XLOOKUP(Table3[[#This Row],[app_id]],Table5[app_id],Table5[category],"",0)</f>
        <v>Travel</v>
      </c>
      <c r="F77">
        <v>22</v>
      </c>
      <c r="G77" t="s">
        <v>431</v>
      </c>
      <c r="H77" t="s">
        <v>389</v>
      </c>
      <c r="I77" t="s">
        <v>395</v>
      </c>
      <c r="J77" t="s">
        <v>396</v>
      </c>
      <c r="K77" t="s">
        <v>403</v>
      </c>
      <c r="L77" t="s">
        <v>382</v>
      </c>
      <c r="M77">
        <v>3.7</v>
      </c>
      <c r="N77" s="6">
        <v>42100</v>
      </c>
    </row>
    <row r="78" spans="1:14" x14ac:dyDescent="0.25">
      <c r="A78" t="s">
        <v>497</v>
      </c>
      <c r="B78" t="str">
        <f>_xlfn.XLOOKUP(Table3[[#This Row],[app_id]],Table5[app_id],Table5[developer_company],"",0)</f>
        <v>GreenSpark</v>
      </c>
      <c r="C78" t="s">
        <v>195</v>
      </c>
      <c r="D78" t="str">
        <f>_xlfn.XLOOKUP(Table3[[#This Row],[app_id]],Table5[app_id],Table5[app_name],"",0)</f>
        <v>RouteGo</v>
      </c>
      <c r="E78" t="str">
        <f>_xlfn.XLOOKUP(Table3[[#This Row],[app_id]],Table5[app_id],Table5[category],"",0)</f>
        <v>Travel</v>
      </c>
      <c r="F78">
        <v>86</v>
      </c>
      <c r="G78" t="s">
        <v>431</v>
      </c>
      <c r="H78" t="s">
        <v>406</v>
      </c>
      <c r="I78" t="s">
        <v>395</v>
      </c>
      <c r="J78" t="s">
        <v>440</v>
      </c>
      <c r="K78" t="s">
        <v>397</v>
      </c>
      <c r="L78" t="s">
        <v>442</v>
      </c>
      <c r="M78">
        <v>3.4</v>
      </c>
      <c r="N78" s="6">
        <v>3200</v>
      </c>
    </row>
    <row r="79" spans="1:14" x14ac:dyDescent="0.25">
      <c r="A79" t="s">
        <v>498</v>
      </c>
      <c r="B79" t="str">
        <f>_xlfn.XLOOKUP(Table3[[#This Row],[app_id]],Table5[app_id],Table5[developer_company],"",0)</f>
        <v>OrbitSoft</v>
      </c>
      <c r="C79" t="s">
        <v>197</v>
      </c>
      <c r="D79" t="str">
        <f>_xlfn.XLOOKUP(Table3[[#This Row],[app_id]],Table5[app_id],Table5[app_name],"",0)</f>
        <v>TripGo</v>
      </c>
      <c r="E79" t="str">
        <f>_xlfn.XLOOKUP(Table3[[#This Row],[app_id]],Table5[app_id],Table5[category],"",0)</f>
        <v>Travel</v>
      </c>
      <c r="F79">
        <v>63</v>
      </c>
      <c r="G79" t="s">
        <v>433</v>
      </c>
      <c r="H79" t="s">
        <v>378</v>
      </c>
      <c r="I79" t="s">
        <v>410</v>
      </c>
      <c r="J79" t="s">
        <v>396</v>
      </c>
      <c r="K79" t="s">
        <v>403</v>
      </c>
      <c r="L79" t="s">
        <v>382</v>
      </c>
      <c r="M79">
        <v>3.4</v>
      </c>
      <c r="N79" s="6">
        <v>11000</v>
      </c>
    </row>
    <row r="80" spans="1:14" x14ac:dyDescent="0.25">
      <c r="A80" t="s">
        <v>499</v>
      </c>
      <c r="B80" t="str">
        <f>_xlfn.XLOOKUP(Table3[[#This Row],[app_id]],Table5[app_id],Table5[developer_company],"",0)</f>
        <v>BluePeak Digital</v>
      </c>
      <c r="C80" t="s">
        <v>199</v>
      </c>
      <c r="D80" t="str">
        <f>_xlfn.XLOOKUP(Table3[[#This Row],[app_id]],Table5[app_id],Table5[app_name],"",0)</f>
        <v>Flyly</v>
      </c>
      <c r="E80" t="str">
        <f>_xlfn.XLOOKUP(Table3[[#This Row],[app_id]],Table5[app_id],Table5[category],"",0)</f>
        <v>Travel</v>
      </c>
      <c r="F80">
        <v>31</v>
      </c>
      <c r="G80" t="s">
        <v>431</v>
      </c>
      <c r="H80" t="s">
        <v>414</v>
      </c>
      <c r="I80" t="s">
        <v>419</v>
      </c>
      <c r="J80" t="s">
        <v>402</v>
      </c>
      <c r="K80" t="s">
        <v>420</v>
      </c>
      <c r="L80" t="s">
        <v>391</v>
      </c>
      <c r="M80">
        <v>3.7</v>
      </c>
      <c r="N80" s="6">
        <v>97300</v>
      </c>
    </row>
    <row r="81" spans="1:14" x14ac:dyDescent="0.25">
      <c r="A81" t="s">
        <v>500</v>
      </c>
      <c r="B81" t="str">
        <f>_xlfn.XLOOKUP(Table3[[#This Row],[app_id]],Table5[app_id],Table5[developer_company],"",0)</f>
        <v>AppNest Studio</v>
      </c>
      <c r="C81" t="s">
        <v>201</v>
      </c>
      <c r="D81" t="str">
        <f>_xlfn.XLOOKUP(Table3[[#This Row],[app_id]],Table5[app_id],Table5[app_name],"",0)</f>
        <v>TripPro</v>
      </c>
      <c r="E81" t="str">
        <f>_xlfn.XLOOKUP(Table3[[#This Row],[app_id]],Table5[app_id],Table5[category],"",0)</f>
        <v>Travel</v>
      </c>
      <c r="F81">
        <v>36</v>
      </c>
      <c r="G81" t="s">
        <v>424</v>
      </c>
      <c r="H81" t="s">
        <v>400</v>
      </c>
      <c r="I81" t="s">
        <v>390</v>
      </c>
      <c r="J81" t="s">
        <v>440</v>
      </c>
      <c r="K81" t="s">
        <v>397</v>
      </c>
      <c r="L81" t="s">
        <v>412</v>
      </c>
      <c r="M81">
        <v>3.9</v>
      </c>
      <c r="N81" s="6">
        <v>147600</v>
      </c>
    </row>
    <row r="82" spans="1:14" x14ac:dyDescent="0.25">
      <c r="A82" t="s">
        <v>501</v>
      </c>
      <c r="B82" t="str">
        <f>_xlfn.XLOOKUP(Table3[[#This Row],[app_id]],Table5[app_id],Table5[developer_company],"",0)</f>
        <v>NextLoop</v>
      </c>
      <c r="C82" t="s">
        <v>203</v>
      </c>
      <c r="D82" t="str">
        <f>_xlfn.XLOOKUP(Table3[[#This Row],[app_id]],Table5[app_id],Table5[app_name],"",0)</f>
        <v>Focusly</v>
      </c>
      <c r="E82" t="str">
        <f>_xlfn.XLOOKUP(Table3[[#This Row],[app_id]],Table5[app_id],Table5[category],"",0)</f>
        <v>Productivity</v>
      </c>
      <c r="F82">
        <v>56</v>
      </c>
      <c r="G82" t="s">
        <v>433</v>
      </c>
      <c r="H82" t="s">
        <v>400</v>
      </c>
      <c r="I82" t="s">
        <v>401</v>
      </c>
      <c r="J82" t="s">
        <v>386</v>
      </c>
      <c r="K82" t="s">
        <v>420</v>
      </c>
      <c r="L82" t="s">
        <v>407</v>
      </c>
      <c r="M82">
        <v>3.1</v>
      </c>
      <c r="N82" s="6">
        <v>3360200</v>
      </c>
    </row>
    <row r="83" spans="1:14" x14ac:dyDescent="0.25">
      <c r="A83" t="s">
        <v>502</v>
      </c>
      <c r="B83" t="str">
        <f>_xlfn.XLOOKUP(Table3[[#This Row],[app_id]],Table5[app_id],Table5[developer_company],"",0)</f>
        <v>PixelCraft</v>
      </c>
      <c r="C83" t="s">
        <v>206</v>
      </c>
      <c r="D83" t="str">
        <f>_xlfn.XLOOKUP(Table3[[#This Row],[app_id]],Table5[app_id],Table5[app_name],"",0)</f>
        <v>DeskX</v>
      </c>
      <c r="E83" t="str">
        <f>_xlfn.XLOOKUP(Table3[[#This Row],[app_id]],Table5[app_id],Table5[category],"",0)</f>
        <v>Productivity</v>
      </c>
      <c r="F83">
        <v>22</v>
      </c>
      <c r="G83" t="s">
        <v>393</v>
      </c>
      <c r="H83" t="s">
        <v>385</v>
      </c>
      <c r="I83" t="s">
        <v>410</v>
      </c>
      <c r="J83" t="s">
        <v>402</v>
      </c>
      <c r="K83" t="s">
        <v>397</v>
      </c>
      <c r="L83" t="s">
        <v>404</v>
      </c>
      <c r="M83">
        <v>3.7</v>
      </c>
      <c r="N83" s="6">
        <v>2000600</v>
      </c>
    </row>
    <row r="84" spans="1:14" x14ac:dyDescent="0.25">
      <c r="A84" t="s">
        <v>503</v>
      </c>
      <c r="B84" t="str">
        <f>_xlfn.XLOOKUP(Table3[[#This Row],[app_id]],Table5[app_id],Table5[developer_company],"",0)</f>
        <v>CloudFrame</v>
      </c>
      <c r="C84" t="s">
        <v>208</v>
      </c>
      <c r="D84" t="str">
        <f>_xlfn.XLOOKUP(Table3[[#This Row],[app_id]],Table5[app_id],Table5[app_name],"",0)</f>
        <v>DonePro</v>
      </c>
      <c r="E84" t="str">
        <f>_xlfn.XLOOKUP(Table3[[#This Row],[app_id]],Table5[app_id],Table5[category],"",0)</f>
        <v>Productivity</v>
      </c>
      <c r="F84">
        <v>56</v>
      </c>
      <c r="G84" t="s">
        <v>424</v>
      </c>
      <c r="H84" t="s">
        <v>409</v>
      </c>
      <c r="I84" t="s">
        <v>395</v>
      </c>
      <c r="J84" t="s">
        <v>444</v>
      </c>
      <c r="K84" t="s">
        <v>381</v>
      </c>
      <c r="L84" t="s">
        <v>382</v>
      </c>
      <c r="M84">
        <v>4</v>
      </c>
      <c r="N84" s="6">
        <v>4175100</v>
      </c>
    </row>
    <row r="85" spans="1:14" x14ac:dyDescent="0.25">
      <c r="A85" t="s">
        <v>504</v>
      </c>
      <c r="B85" t="str">
        <f>_xlfn.XLOOKUP(Table3[[#This Row],[app_id]],Table5[app_id],Table5[developer_company],"",0)</f>
        <v>BluePeak Digital</v>
      </c>
      <c r="C85" t="s">
        <v>210</v>
      </c>
      <c r="D85" t="str">
        <f>_xlfn.XLOOKUP(Table3[[#This Row],[app_id]],Table5[app_id],Table5[app_name],"",0)</f>
        <v>NotePlus</v>
      </c>
      <c r="E85" t="str">
        <f>_xlfn.XLOOKUP(Table3[[#This Row],[app_id]],Table5[app_id],Table5[category],"",0)</f>
        <v>Productivity</v>
      </c>
      <c r="F85">
        <v>74</v>
      </c>
      <c r="G85" t="s">
        <v>377</v>
      </c>
      <c r="H85" t="s">
        <v>406</v>
      </c>
      <c r="I85" t="s">
        <v>401</v>
      </c>
      <c r="J85" t="s">
        <v>386</v>
      </c>
      <c r="K85" t="s">
        <v>420</v>
      </c>
      <c r="L85" t="s">
        <v>427</v>
      </c>
      <c r="M85">
        <v>4.0999999999999996</v>
      </c>
      <c r="N85" s="6">
        <v>190100</v>
      </c>
    </row>
    <row r="86" spans="1:14" x14ac:dyDescent="0.25">
      <c r="A86" t="s">
        <v>505</v>
      </c>
      <c r="B86" t="str">
        <f>_xlfn.XLOOKUP(Table3[[#This Row],[app_id]],Table5[app_id],Table5[developer_company],"",0)</f>
        <v>PixelCraft</v>
      </c>
      <c r="C86" t="s">
        <v>212</v>
      </c>
      <c r="D86" t="str">
        <f>_xlfn.XLOOKUP(Table3[[#This Row],[app_id]],Table5[app_id],Table5[app_name],"",0)</f>
        <v>SyncPlus</v>
      </c>
      <c r="E86" t="str">
        <f>_xlfn.XLOOKUP(Table3[[#This Row],[app_id]],Table5[app_id],Table5[category],"",0)</f>
        <v>Productivity</v>
      </c>
      <c r="F86">
        <v>47</v>
      </c>
      <c r="G86" t="s">
        <v>393</v>
      </c>
      <c r="H86" t="s">
        <v>406</v>
      </c>
      <c r="I86" t="s">
        <v>401</v>
      </c>
      <c r="J86" t="s">
        <v>386</v>
      </c>
      <c r="K86" t="s">
        <v>403</v>
      </c>
      <c r="L86" t="s">
        <v>382</v>
      </c>
      <c r="M86">
        <v>3.1</v>
      </c>
      <c r="N86" s="6">
        <v>4988600</v>
      </c>
    </row>
    <row r="87" spans="1:14" x14ac:dyDescent="0.25">
      <c r="A87" t="s">
        <v>506</v>
      </c>
      <c r="B87" t="str">
        <f>_xlfn.XLOOKUP(Table3[[#This Row],[app_id]],Table5[app_id],Table5[developer_company],"",0)</f>
        <v>BluePeak Digital</v>
      </c>
      <c r="C87" t="s">
        <v>214</v>
      </c>
      <c r="D87" t="str">
        <f>_xlfn.XLOOKUP(Table3[[#This Row],[app_id]],Table5[app_id],Table5[app_name],"",0)</f>
        <v>NoteOne</v>
      </c>
      <c r="E87" t="str">
        <f>_xlfn.XLOOKUP(Table3[[#This Row],[app_id]],Table5[app_id],Table5[category],"",0)</f>
        <v>Productivity</v>
      </c>
      <c r="F87">
        <v>42</v>
      </c>
      <c r="G87" t="s">
        <v>433</v>
      </c>
      <c r="H87" t="s">
        <v>414</v>
      </c>
      <c r="I87" t="s">
        <v>395</v>
      </c>
      <c r="J87" t="s">
        <v>396</v>
      </c>
      <c r="K87" t="s">
        <v>403</v>
      </c>
      <c r="L87" t="s">
        <v>442</v>
      </c>
      <c r="M87">
        <v>4.4000000000000004</v>
      </c>
      <c r="N87" s="6">
        <v>56400</v>
      </c>
    </row>
    <row r="88" spans="1:14" x14ac:dyDescent="0.25">
      <c r="A88" t="s">
        <v>507</v>
      </c>
      <c r="B88" t="str">
        <f>_xlfn.XLOOKUP(Table3[[#This Row],[app_id]],Table5[app_id],Table5[developer_company],"",0)</f>
        <v>Nova Labs</v>
      </c>
      <c r="C88" t="s">
        <v>216</v>
      </c>
      <c r="D88" t="str">
        <f>_xlfn.XLOOKUP(Table3[[#This Row],[app_id]],Table5[app_id],Table5[app_name],"",0)</f>
        <v>NoteMate</v>
      </c>
      <c r="E88" t="str">
        <f>_xlfn.XLOOKUP(Table3[[#This Row],[app_id]],Table5[app_id],Table5[category],"",0)</f>
        <v>Productivity</v>
      </c>
      <c r="F88">
        <v>46</v>
      </c>
      <c r="G88" t="s">
        <v>431</v>
      </c>
      <c r="H88" t="s">
        <v>409</v>
      </c>
      <c r="I88" t="s">
        <v>401</v>
      </c>
      <c r="J88" t="s">
        <v>380</v>
      </c>
      <c r="K88" t="s">
        <v>403</v>
      </c>
      <c r="L88" t="s">
        <v>412</v>
      </c>
      <c r="M88">
        <v>3.9</v>
      </c>
      <c r="N88" s="6">
        <v>1154600</v>
      </c>
    </row>
    <row r="89" spans="1:14" x14ac:dyDescent="0.25">
      <c r="A89" t="s">
        <v>508</v>
      </c>
      <c r="B89" t="str">
        <f>_xlfn.XLOOKUP(Table3[[#This Row],[app_id]],Table5[app_id],Table5[developer_company],"",0)</f>
        <v>UrbanByte</v>
      </c>
      <c r="C89" t="s">
        <v>218</v>
      </c>
      <c r="D89" t="str">
        <f>_xlfn.XLOOKUP(Table3[[#This Row],[app_id]],Table5[app_id],Table5[app_name],"",0)</f>
        <v>PlanPlus</v>
      </c>
      <c r="E89" t="str">
        <f>_xlfn.XLOOKUP(Table3[[#This Row],[app_id]],Table5[app_id],Table5[category],"",0)</f>
        <v>Productivity</v>
      </c>
      <c r="F89">
        <v>73</v>
      </c>
      <c r="G89" t="s">
        <v>399</v>
      </c>
      <c r="H89" t="s">
        <v>400</v>
      </c>
      <c r="I89" t="s">
        <v>434</v>
      </c>
      <c r="J89" t="s">
        <v>386</v>
      </c>
      <c r="K89" t="s">
        <v>397</v>
      </c>
      <c r="L89" t="s">
        <v>442</v>
      </c>
      <c r="M89">
        <v>3.7</v>
      </c>
      <c r="N89" s="6">
        <v>757800</v>
      </c>
    </row>
    <row r="90" spans="1:14" x14ac:dyDescent="0.25">
      <c r="A90" t="s">
        <v>509</v>
      </c>
      <c r="B90" t="str">
        <f>_xlfn.XLOOKUP(Table3[[#This Row],[app_id]],Table5[app_id],Table5[developer_company],"",0)</f>
        <v>AppNest Studio</v>
      </c>
      <c r="C90" t="s">
        <v>220</v>
      </c>
      <c r="D90" t="str">
        <f>_xlfn.XLOOKUP(Table3[[#This Row],[app_id]],Table5[app_id],Table5[app_name],"",0)</f>
        <v>PlanMate</v>
      </c>
      <c r="E90" t="str">
        <f>_xlfn.XLOOKUP(Table3[[#This Row],[app_id]],Table5[app_id],Table5[category],"",0)</f>
        <v>Productivity</v>
      </c>
      <c r="F90">
        <v>97</v>
      </c>
      <c r="G90" t="s">
        <v>431</v>
      </c>
      <c r="H90" t="s">
        <v>409</v>
      </c>
      <c r="I90" t="s">
        <v>434</v>
      </c>
      <c r="J90" t="s">
        <v>380</v>
      </c>
      <c r="K90" t="s">
        <v>420</v>
      </c>
      <c r="L90" t="s">
        <v>382</v>
      </c>
      <c r="M90">
        <v>3.8</v>
      </c>
      <c r="N90" s="6">
        <v>8100</v>
      </c>
    </row>
    <row r="91" spans="1:14" x14ac:dyDescent="0.25">
      <c r="A91" t="s">
        <v>510</v>
      </c>
      <c r="B91" t="str">
        <f>_xlfn.XLOOKUP(Table3[[#This Row],[app_id]],Table5[app_id],Table5[developer_company],"",0)</f>
        <v>PixelCraft</v>
      </c>
      <c r="C91" t="s">
        <v>222</v>
      </c>
      <c r="D91" t="str">
        <f>_xlfn.XLOOKUP(Table3[[#This Row],[app_id]],Table5[app_id],Table5[app_name],"",0)</f>
        <v>SyncPlus</v>
      </c>
      <c r="E91" t="str">
        <f>_xlfn.XLOOKUP(Table3[[#This Row],[app_id]],Table5[app_id],Table5[category],"",0)</f>
        <v>Productivity</v>
      </c>
      <c r="F91">
        <v>89</v>
      </c>
      <c r="G91" t="s">
        <v>393</v>
      </c>
      <c r="H91" t="s">
        <v>409</v>
      </c>
      <c r="I91" t="s">
        <v>419</v>
      </c>
      <c r="J91" t="s">
        <v>415</v>
      </c>
      <c r="K91" t="s">
        <v>420</v>
      </c>
      <c r="L91" t="s">
        <v>404</v>
      </c>
      <c r="M91">
        <v>3.9</v>
      </c>
      <c r="N91" s="6">
        <v>1900</v>
      </c>
    </row>
    <row r="92" spans="1:14" x14ac:dyDescent="0.25">
      <c r="A92" t="s">
        <v>511</v>
      </c>
      <c r="B92" t="str">
        <f>_xlfn.XLOOKUP(Table3[[#This Row],[app_id]],Table5[app_id],Table5[developer_company],"",0)</f>
        <v>BluePeak Digital</v>
      </c>
      <c r="C92" t="s">
        <v>223</v>
      </c>
      <c r="D92" t="str">
        <f>_xlfn.XLOOKUP(Table3[[#This Row],[app_id]],Table5[app_id],Table5[app_name],"",0)</f>
        <v>ClinicPro</v>
      </c>
      <c r="E92" t="str">
        <f>_xlfn.XLOOKUP(Table3[[#This Row],[app_id]],Table5[app_id],Table5[category],"",0)</f>
        <v>Health</v>
      </c>
      <c r="F92">
        <v>48</v>
      </c>
      <c r="G92" t="s">
        <v>384</v>
      </c>
      <c r="H92" t="s">
        <v>385</v>
      </c>
      <c r="I92" t="s">
        <v>395</v>
      </c>
      <c r="J92" t="s">
        <v>440</v>
      </c>
      <c r="K92" t="s">
        <v>381</v>
      </c>
      <c r="L92" t="s">
        <v>382</v>
      </c>
      <c r="M92">
        <v>4</v>
      </c>
      <c r="N92" s="6">
        <v>1011000</v>
      </c>
    </row>
    <row r="93" spans="1:14" x14ac:dyDescent="0.25">
      <c r="A93" t="s">
        <v>512</v>
      </c>
      <c r="B93" t="str">
        <f>_xlfn.XLOOKUP(Table3[[#This Row],[app_id]],Table5[app_id],Table5[developer_company],"",0)</f>
        <v>BrightWorks</v>
      </c>
      <c r="C93" t="s">
        <v>226</v>
      </c>
      <c r="D93" t="str">
        <f>_xlfn.XLOOKUP(Table3[[#This Row],[app_id]],Table5[app_id],Table5[app_name],"",0)</f>
        <v>MindMate</v>
      </c>
      <c r="E93" t="str">
        <f>_xlfn.XLOOKUP(Table3[[#This Row],[app_id]],Table5[app_id],Table5[category],"",0)</f>
        <v>Health</v>
      </c>
      <c r="F93">
        <v>35</v>
      </c>
      <c r="G93" t="s">
        <v>393</v>
      </c>
      <c r="H93" t="s">
        <v>406</v>
      </c>
      <c r="I93" t="s">
        <v>390</v>
      </c>
      <c r="J93" t="s">
        <v>444</v>
      </c>
      <c r="K93" t="s">
        <v>436</v>
      </c>
      <c r="L93" t="s">
        <v>442</v>
      </c>
      <c r="M93">
        <v>3.4</v>
      </c>
      <c r="N93" s="6">
        <v>3300</v>
      </c>
    </row>
    <row r="94" spans="1:14" x14ac:dyDescent="0.25">
      <c r="A94" t="s">
        <v>513</v>
      </c>
      <c r="B94" t="str">
        <f>_xlfn.XLOOKUP(Table3[[#This Row],[app_id]],Table5[app_id],Table5[developer_company],"",0)</f>
        <v>PixelCraft</v>
      </c>
      <c r="C94" t="s">
        <v>228</v>
      </c>
      <c r="D94" t="str">
        <f>_xlfn.XLOOKUP(Table3[[#This Row],[app_id]],Table5[app_id],Table5[app_name],"",0)</f>
        <v>ClinicOne</v>
      </c>
      <c r="E94" t="str">
        <f>_xlfn.XLOOKUP(Table3[[#This Row],[app_id]],Table5[app_id],Table5[category],"",0)</f>
        <v>Health</v>
      </c>
      <c r="F94">
        <v>15</v>
      </c>
      <c r="G94" t="s">
        <v>399</v>
      </c>
      <c r="H94" t="s">
        <v>378</v>
      </c>
      <c r="I94" t="s">
        <v>401</v>
      </c>
      <c r="J94" t="s">
        <v>386</v>
      </c>
      <c r="K94" t="s">
        <v>397</v>
      </c>
      <c r="L94" t="s">
        <v>407</v>
      </c>
      <c r="M94">
        <v>4.4000000000000004</v>
      </c>
      <c r="N94" s="6">
        <v>306600</v>
      </c>
    </row>
    <row r="95" spans="1:14" x14ac:dyDescent="0.25">
      <c r="A95" t="s">
        <v>514</v>
      </c>
      <c r="B95" t="str">
        <f>_xlfn.XLOOKUP(Table3[[#This Row],[app_id]],Table5[app_id],Table5[developer_company],"",0)</f>
        <v>NextLoop</v>
      </c>
      <c r="C95" t="s">
        <v>230</v>
      </c>
      <c r="D95" t="str">
        <f>_xlfn.XLOOKUP(Table3[[#This Row],[app_id]],Table5[app_id],Table5[app_name],"",0)</f>
        <v>WellMate</v>
      </c>
      <c r="E95" t="str">
        <f>_xlfn.XLOOKUP(Table3[[#This Row],[app_id]],Table5[app_id],Table5[category],"",0)</f>
        <v>Health</v>
      </c>
      <c r="F95">
        <v>70</v>
      </c>
      <c r="G95" t="s">
        <v>424</v>
      </c>
      <c r="H95" t="s">
        <v>406</v>
      </c>
      <c r="I95" t="s">
        <v>422</v>
      </c>
      <c r="J95" t="s">
        <v>440</v>
      </c>
      <c r="K95" t="s">
        <v>420</v>
      </c>
      <c r="L95" t="s">
        <v>407</v>
      </c>
      <c r="M95">
        <v>4.0999999999999996</v>
      </c>
      <c r="N95" s="6">
        <v>188400</v>
      </c>
    </row>
    <row r="96" spans="1:14" x14ac:dyDescent="0.25">
      <c r="A96" t="s">
        <v>515</v>
      </c>
      <c r="B96" t="str">
        <f>_xlfn.XLOOKUP(Table3[[#This Row],[app_id]],Table5[app_id],Table5[developer_company],"",0)</f>
        <v>UrbanByte</v>
      </c>
      <c r="C96" t="s">
        <v>232</v>
      </c>
      <c r="D96" t="str">
        <f>_xlfn.XLOOKUP(Table3[[#This Row],[app_id]],Table5[app_id],Table5[app_name],"",0)</f>
        <v>MediMate</v>
      </c>
      <c r="E96" t="str">
        <f>_xlfn.XLOOKUP(Table3[[#This Row],[app_id]],Table5[app_id],Table5[category],"",0)</f>
        <v>Health</v>
      </c>
      <c r="F96">
        <v>78</v>
      </c>
      <c r="G96" t="s">
        <v>417</v>
      </c>
      <c r="H96" t="s">
        <v>385</v>
      </c>
      <c r="I96" t="s">
        <v>410</v>
      </c>
      <c r="J96" t="s">
        <v>402</v>
      </c>
      <c r="K96" t="s">
        <v>397</v>
      </c>
      <c r="L96" t="s">
        <v>442</v>
      </c>
      <c r="M96">
        <v>4</v>
      </c>
      <c r="N96" s="6">
        <v>9000</v>
      </c>
    </row>
    <row r="97" spans="1:14" x14ac:dyDescent="0.25">
      <c r="A97" t="s">
        <v>516</v>
      </c>
      <c r="B97" t="str">
        <f>_xlfn.XLOOKUP(Table3[[#This Row],[app_id]],Table5[app_id],Table5[developer_company],"",0)</f>
        <v>AppNest Studio</v>
      </c>
      <c r="C97" t="s">
        <v>234</v>
      </c>
      <c r="D97" t="str">
        <f>_xlfn.XLOOKUP(Table3[[#This Row],[app_id]],Table5[app_id],Table5[app_name],"",0)</f>
        <v>WellNow</v>
      </c>
      <c r="E97" t="str">
        <f>_xlfn.XLOOKUP(Table3[[#This Row],[app_id]],Table5[app_id],Table5[category],"",0)</f>
        <v>Health</v>
      </c>
      <c r="F97">
        <v>81</v>
      </c>
      <c r="G97" t="s">
        <v>399</v>
      </c>
      <c r="H97" t="s">
        <v>414</v>
      </c>
      <c r="I97" t="s">
        <v>422</v>
      </c>
      <c r="J97" t="s">
        <v>440</v>
      </c>
      <c r="K97" t="s">
        <v>420</v>
      </c>
      <c r="L97" t="s">
        <v>404</v>
      </c>
      <c r="M97">
        <v>4.0999999999999996</v>
      </c>
      <c r="N97" s="6">
        <v>73600</v>
      </c>
    </row>
    <row r="98" spans="1:14" x14ac:dyDescent="0.25">
      <c r="A98" t="s">
        <v>517</v>
      </c>
      <c r="B98" t="str">
        <f>_xlfn.XLOOKUP(Table3[[#This Row],[app_id]],Table5[app_id],Table5[developer_company],"",0)</f>
        <v>AppNest Studio</v>
      </c>
      <c r="C98" t="s">
        <v>236</v>
      </c>
      <c r="D98" t="str">
        <f>_xlfn.XLOOKUP(Table3[[#This Row],[app_id]],Table5[app_id],Table5[app_name],"",0)</f>
        <v>CareCloud</v>
      </c>
      <c r="E98" t="str">
        <f>_xlfn.XLOOKUP(Table3[[#This Row],[app_id]],Table5[app_id],Table5[category],"",0)</f>
        <v>Health</v>
      </c>
      <c r="F98">
        <v>7</v>
      </c>
      <c r="G98" t="s">
        <v>431</v>
      </c>
      <c r="H98" t="s">
        <v>385</v>
      </c>
      <c r="I98" t="s">
        <v>395</v>
      </c>
      <c r="J98" t="s">
        <v>386</v>
      </c>
      <c r="K98" t="s">
        <v>397</v>
      </c>
      <c r="L98" t="s">
        <v>404</v>
      </c>
      <c r="M98">
        <v>3.3</v>
      </c>
      <c r="N98" s="6">
        <v>3029500</v>
      </c>
    </row>
    <row r="99" spans="1:14" x14ac:dyDescent="0.25">
      <c r="A99" t="s">
        <v>518</v>
      </c>
      <c r="B99" t="str">
        <f>_xlfn.XLOOKUP(Table3[[#This Row],[app_id]],Table5[app_id],Table5[developer_company],"",0)</f>
        <v>GreenSpark</v>
      </c>
      <c r="C99" t="s">
        <v>238</v>
      </c>
      <c r="D99" t="str">
        <f>_xlfn.XLOOKUP(Table3[[#This Row],[app_id]],Table5[app_id],Table5[app_name],"",0)</f>
        <v>MediNow</v>
      </c>
      <c r="E99" t="str">
        <f>_xlfn.XLOOKUP(Table3[[#This Row],[app_id]],Table5[app_id],Table5[category],"",0)</f>
        <v>Health</v>
      </c>
      <c r="F99">
        <v>21</v>
      </c>
      <c r="G99" t="s">
        <v>433</v>
      </c>
      <c r="H99" t="s">
        <v>378</v>
      </c>
      <c r="I99" t="s">
        <v>390</v>
      </c>
      <c r="J99" t="s">
        <v>402</v>
      </c>
      <c r="K99" t="s">
        <v>425</v>
      </c>
      <c r="L99" t="s">
        <v>407</v>
      </c>
      <c r="M99">
        <v>4.5999999999999996</v>
      </c>
      <c r="N99" s="6">
        <v>79500</v>
      </c>
    </row>
    <row r="100" spans="1:14" x14ac:dyDescent="0.25">
      <c r="A100" t="s">
        <v>519</v>
      </c>
      <c r="B100" t="str">
        <f>_xlfn.XLOOKUP(Table3[[#This Row],[app_id]],Table5[app_id],Table5[developer_company],"",0)</f>
        <v>GreenSpark</v>
      </c>
      <c r="C100" t="s">
        <v>240</v>
      </c>
      <c r="D100" t="str">
        <f>_xlfn.XLOOKUP(Table3[[#This Row],[app_id]],Table5[app_id],Table5[app_name],"",0)</f>
        <v>MindPlus</v>
      </c>
      <c r="E100" t="str">
        <f>_xlfn.XLOOKUP(Table3[[#This Row],[app_id]],Table5[app_id],Table5[category],"",0)</f>
        <v>Health</v>
      </c>
      <c r="F100">
        <v>34</v>
      </c>
      <c r="G100" t="s">
        <v>433</v>
      </c>
      <c r="H100" t="s">
        <v>406</v>
      </c>
      <c r="I100" t="s">
        <v>390</v>
      </c>
      <c r="J100" t="s">
        <v>396</v>
      </c>
      <c r="K100" t="s">
        <v>420</v>
      </c>
      <c r="L100" t="s">
        <v>382</v>
      </c>
      <c r="M100">
        <v>3.6</v>
      </c>
      <c r="N100" s="6">
        <v>855900</v>
      </c>
    </row>
    <row r="101" spans="1:14" x14ac:dyDescent="0.25">
      <c r="A101" t="s">
        <v>520</v>
      </c>
      <c r="B101" t="str">
        <f>_xlfn.XLOOKUP(Table3[[#This Row],[app_id]],Table5[app_id],Table5[developer_company],"",0)</f>
        <v>Nova Labs</v>
      </c>
      <c r="C101" t="s">
        <v>242</v>
      </c>
      <c r="D101" t="str">
        <f>_xlfn.XLOOKUP(Table3[[#This Row],[app_id]],Table5[app_id],Table5[app_name],"",0)</f>
        <v>MediCloud</v>
      </c>
      <c r="E101" t="str">
        <f>_xlfn.XLOOKUP(Table3[[#This Row],[app_id]],Table5[app_id],Table5[category],"",0)</f>
        <v>Health</v>
      </c>
      <c r="F101">
        <v>61</v>
      </c>
      <c r="G101" t="s">
        <v>399</v>
      </c>
      <c r="H101" t="s">
        <v>385</v>
      </c>
      <c r="I101" t="s">
        <v>410</v>
      </c>
      <c r="J101" t="s">
        <v>415</v>
      </c>
      <c r="K101" t="s">
        <v>420</v>
      </c>
      <c r="L101" t="s">
        <v>387</v>
      </c>
      <c r="M101">
        <v>4</v>
      </c>
      <c r="N101" s="6">
        <v>2711500</v>
      </c>
    </row>
  </sheetData>
  <mergeCells count="1">
    <mergeCell ref="U8:AA1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7D532-0DBD-4E25-88C9-E38826DA3C90}">
  <dimension ref="A1:N101"/>
  <sheetViews>
    <sheetView workbookViewId="0">
      <selection activeCell="J18" sqref="J18"/>
    </sheetView>
  </sheetViews>
  <sheetFormatPr defaultRowHeight="15" x14ac:dyDescent="0.25"/>
  <cols>
    <col min="1" max="1" width="12.42578125" customWidth="1"/>
    <col min="3" max="3" width="14" bestFit="1" customWidth="1"/>
    <col min="4" max="4" width="15.28515625" customWidth="1"/>
    <col min="5" max="5" width="19.5703125" customWidth="1"/>
    <col min="6" max="6" width="15.7109375" customWidth="1"/>
    <col min="7" max="7" width="13.140625" customWidth="1"/>
    <col min="8" max="8" width="21.85546875" customWidth="1"/>
    <col min="9" max="9" width="17.7109375" customWidth="1"/>
    <col min="10" max="10" width="16.85546875" customWidth="1"/>
    <col min="11" max="11" width="13.140625" customWidth="1"/>
    <col min="12" max="12" width="24.7109375" customWidth="1"/>
    <col min="13" max="13" width="18.5703125" customWidth="1"/>
  </cols>
  <sheetData>
    <row r="1" spans="1:14" x14ac:dyDescent="0.25">
      <c r="A1" t="s">
        <v>244</v>
      </c>
      <c r="B1" t="s">
        <v>0</v>
      </c>
      <c r="C1" t="s">
        <v>2</v>
      </c>
      <c r="D1" t="s">
        <v>245</v>
      </c>
      <c r="E1" t="s">
        <v>246</v>
      </c>
      <c r="F1" t="s">
        <v>247</v>
      </c>
      <c r="G1" t="s">
        <v>248</v>
      </c>
      <c r="H1" t="s">
        <v>249</v>
      </c>
      <c r="I1" t="s">
        <v>250</v>
      </c>
      <c r="J1" t="s">
        <v>251</v>
      </c>
      <c r="K1" t="s">
        <v>252</v>
      </c>
      <c r="L1" t="s">
        <v>253</v>
      </c>
      <c r="M1" t="s">
        <v>254</v>
      </c>
      <c r="N1" t="s">
        <v>2545</v>
      </c>
    </row>
    <row r="2" spans="1:14" x14ac:dyDescent="0.25">
      <c r="A2" t="s">
        <v>255</v>
      </c>
      <c r="B2" t="s">
        <v>12</v>
      </c>
      <c r="C2" t="str">
        <f>_xlfn.XLOOKUP(Table4[[#This Row],[app_id]],Table5[app_id],Table5[category],"",0)</f>
        <v>Finance</v>
      </c>
      <c r="D2" t="s">
        <v>256</v>
      </c>
      <c r="E2" t="s">
        <v>257</v>
      </c>
      <c r="F2" t="s">
        <v>258</v>
      </c>
      <c r="G2" t="s">
        <v>258</v>
      </c>
      <c r="H2" t="s">
        <v>257</v>
      </c>
      <c r="I2" t="s">
        <v>258</v>
      </c>
      <c r="J2" t="s">
        <v>257</v>
      </c>
      <c r="K2" t="s">
        <v>257</v>
      </c>
      <c r="L2" t="s">
        <v>257</v>
      </c>
      <c r="M2" t="s">
        <v>259</v>
      </c>
      <c r="N2">
        <f>_xlfn.XLOOKUP(Table4[[#This Row],[app_id]],Table7[app_id],Table7[rating_given],"",0)</f>
        <v>3</v>
      </c>
    </row>
    <row r="3" spans="1:14" x14ac:dyDescent="0.25">
      <c r="A3" t="s">
        <v>260</v>
      </c>
      <c r="B3" t="s">
        <v>19</v>
      </c>
      <c r="C3" t="str">
        <f>_xlfn.XLOOKUP(Table4[[#This Row],[app_id]],Table5[app_id],Table5[category],"",0)</f>
        <v>Finance</v>
      </c>
      <c r="D3" t="s">
        <v>261</v>
      </c>
      <c r="E3" t="s">
        <v>257</v>
      </c>
      <c r="F3" t="s">
        <v>257</v>
      </c>
      <c r="G3" t="s">
        <v>258</v>
      </c>
      <c r="H3" t="s">
        <v>257</v>
      </c>
      <c r="I3" t="s">
        <v>257</v>
      </c>
      <c r="J3" t="s">
        <v>258</v>
      </c>
      <c r="K3" t="s">
        <v>257</v>
      </c>
      <c r="L3" t="s">
        <v>257</v>
      </c>
      <c r="M3" t="s">
        <v>259</v>
      </c>
      <c r="N3">
        <f>_xlfn.XLOOKUP(Table4[[#This Row],[app_id]],Table7[app_id],Table7[rating_given],"",0)</f>
        <v>3</v>
      </c>
    </row>
    <row r="4" spans="1:14" x14ac:dyDescent="0.25">
      <c r="A4" t="s">
        <v>262</v>
      </c>
      <c r="B4" t="s">
        <v>24</v>
      </c>
      <c r="C4" t="str">
        <f>_xlfn.XLOOKUP(Table4[[#This Row],[app_id]],Table5[app_id],Table5[category],"",0)</f>
        <v>Finance</v>
      </c>
      <c r="D4" t="s">
        <v>261</v>
      </c>
      <c r="E4" t="s">
        <v>257</v>
      </c>
      <c r="F4" t="s">
        <v>257</v>
      </c>
      <c r="G4" t="s">
        <v>258</v>
      </c>
      <c r="H4" t="s">
        <v>257</v>
      </c>
      <c r="I4" t="s">
        <v>258</v>
      </c>
      <c r="J4" t="s">
        <v>257</v>
      </c>
      <c r="K4" t="s">
        <v>258</v>
      </c>
      <c r="L4" t="s">
        <v>258</v>
      </c>
      <c r="M4" t="s">
        <v>263</v>
      </c>
      <c r="N4">
        <f>_xlfn.XLOOKUP(Table4[[#This Row],[app_id]],Table7[app_id],Table7[rating_given],"",0)</f>
        <v>3</v>
      </c>
    </row>
    <row r="5" spans="1:14" x14ac:dyDescent="0.25">
      <c r="A5" t="s">
        <v>264</v>
      </c>
      <c r="B5" t="s">
        <v>27</v>
      </c>
      <c r="C5" t="str">
        <f>_xlfn.XLOOKUP(Table4[[#This Row],[app_id]],Table5[app_id],Table5[category],"",0)</f>
        <v>Finance</v>
      </c>
      <c r="D5" t="s">
        <v>256</v>
      </c>
      <c r="E5" t="s">
        <v>257</v>
      </c>
      <c r="F5" t="s">
        <v>257</v>
      </c>
      <c r="G5" t="s">
        <v>258</v>
      </c>
      <c r="H5" t="s">
        <v>257</v>
      </c>
      <c r="I5" t="s">
        <v>257</v>
      </c>
      <c r="J5" t="s">
        <v>257</v>
      </c>
      <c r="K5" t="s">
        <v>258</v>
      </c>
      <c r="L5" t="s">
        <v>257</v>
      </c>
      <c r="M5" t="s">
        <v>263</v>
      </c>
      <c r="N5">
        <f>_xlfn.XLOOKUP(Table4[[#This Row],[app_id]],Table7[app_id],Table7[rating_given],"",0)</f>
        <v>4</v>
      </c>
    </row>
    <row r="6" spans="1:14" x14ac:dyDescent="0.25">
      <c r="A6" t="s">
        <v>265</v>
      </c>
      <c r="B6" t="s">
        <v>31</v>
      </c>
      <c r="C6" t="str">
        <f>_xlfn.XLOOKUP(Table4[[#This Row],[app_id]],Table5[app_id],Table5[category],"",0)</f>
        <v>Finance</v>
      </c>
      <c r="D6" t="s">
        <v>266</v>
      </c>
      <c r="E6" t="s">
        <v>257</v>
      </c>
      <c r="F6" t="s">
        <v>258</v>
      </c>
      <c r="G6" t="s">
        <v>258</v>
      </c>
      <c r="H6" t="s">
        <v>257</v>
      </c>
      <c r="I6" t="s">
        <v>258</v>
      </c>
      <c r="J6" t="s">
        <v>257</v>
      </c>
      <c r="K6" t="s">
        <v>257</v>
      </c>
      <c r="L6" t="s">
        <v>258</v>
      </c>
      <c r="M6" t="s">
        <v>263</v>
      </c>
      <c r="N6">
        <f>_xlfn.XLOOKUP(Table4[[#This Row],[app_id]],Table7[app_id],Table7[rating_given],"",0)</f>
        <v>5</v>
      </c>
    </row>
    <row r="7" spans="1:14" x14ac:dyDescent="0.25">
      <c r="A7" t="s">
        <v>267</v>
      </c>
      <c r="B7" t="s">
        <v>36</v>
      </c>
      <c r="C7" t="str">
        <f>_xlfn.XLOOKUP(Table4[[#This Row],[app_id]],Table5[app_id],Table5[category],"",0)</f>
        <v>Finance</v>
      </c>
      <c r="D7" t="s">
        <v>266</v>
      </c>
      <c r="E7" t="s">
        <v>257</v>
      </c>
      <c r="F7" t="s">
        <v>258</v>
      </c>
      <c r="G7" t="s">
        <v>257</v>
      </c>
      <c r="H7" t="s">
        <v>257</v>
      </c>
      <c r="I7" t="s">
        <v>258</v>
      </c>
      <c r="J7" t="s">
        <v>257</v>
      </c>
      <c r="K7" t="s">
        <v>258</v>
      </c>
      <c r="L7" t="s">
        <v>257</v>
      </c>
      <c r="M7" t="s">
        <v>259</v>
      </c>
      <c r="N7">
        <f>_xlfn.XLOOKUP(Table4[[#This Row],[app_id]],Table7[app_id],Table7[rating_given],"",0)</f>
        <v>5</v>
      </c>
    </row>
    <row r="8" spans="1:14" x14ac:dyDescent="0.25">
      <c r="A8" t="s">
        <v>268</v>
      </c>
      <c r="B8" t="s">
        <v>39</v>
      </c>
      <c r="C8" t="str">
        <f>_xlfn.XLOOKUP(Table4[[#This Row],[app_id]],Table5[app_id],Table5[category],"",0)</f>
        <v>Finance</v>
      </c>
      <c r="D8" t="s">
        <v>269</v>
      </c>
      <c r="E8" t="s">
        <v>257</v>
      </c>
      <c r="F8" t="s">
        <v>258</v>
      </c>
      <c r="G8" t="s">
        <v>257</v>
      </c>
      <c r="H8" t="s">
        <v>257</v>
      </c>
      <c r="I8" t="s">
        <v>258</v>
      </c>
      <c r="J8" t="s">
        <v>257</v>
      </c>
      <c r="K8" t="s">
        <v>257</v>
      </c>
      <c r="L8" t="s">
        <v>257</v>
      </c>
      <c r="M8" t="s">
        <v>263</v>
      </c>
      <c r="N8">
        <f>_xlfn.XLOOKUP(Table4[[#This Row],[app_id]],Table7[app_id],Table7[rating_given],"",0)</f>
        <v>4</v>
      </c>
    </row>
    <row r="9" spans="1:14" x14ac:dyDescent="0.25">
      <c r="A9" t="s">
        <v>270</v>
      </c>
      <c r="B9" t="s">
        <v>42</v>
      </c>
      <c r="C9" t="str">
        <f>_xlfn.XLOOKUP(Table4[[#This Row],[app_id]],Table5[app_id],Table5[category],"",0)</f>
        <v>Finance</v>
      </c>
      <c r="D9" t="s">
        <v>271</v>
      </c>
      <c r="E9" t="s">
        <v>257</v>
      </c>
      <c r="F9" t="s">
        <v>258</v>
      </c>
      <c r="G9" t="s">
        <v>258</v>
      </c>
      <c r="H9" t="s">
        <v>257</v>
      </c>
      <c r="I9" t="s">
        <v>257</v>
      </c>
      <c r="J9" t="s">
        <v>257</v>
      </c>
      <c r="K9" t="s">
        <v>257</v>
      </c>
      <c r="L9" t="s">
        <v>258</v>
      </c>
      <c r="M9" t="s">
        <v>259</v>
      </c>
      <c r="N9">
        <f>_xlfn.XLOOKUP(Table4[[#This Row],[app_id]],Table7[app_id],Table7[rating_given],"",0)</f>
        <v>3</v>
      </c>
    </row>
    <row r="10" spans="1:14" x14ac:dyDescent="0.25">
      <c r="A10" t="s">
        <v>272</v>
      </c>
      <c r="B10" t="s">
        <v>47</v>
      </c>
      <c r="C10" t="str">
        <f>_xlfn.XLOOKUP(Table4[[#This Row],[app_id]],Table5[app_id],Table5[category],"",0)</f>
        <v>Finance</v>
      </c>
      <c r="D10" t="s">
        <v>269</v>
      </c>
      <c r="E10" t="s">
        <v>257</v>
      </c>
      <c r="F10" t="s">
        <v>258</v>
      </c>
      <c r="G10" t="s">
        <v>257</v>
      </c>
      <c r="H10" t="s">
        <v>257</v>
      </c>
      <c r="I10" t="s">
        <v>258</v>
      </c>
      <c r="J10" t="s">
        <v>257</v>
      </c>
      <c r="K10" t="s">
        <v>257</v>
      </c>
      <c r="L10" t="s">
        <v>258</v>
      </c>
      <c r="M10" t="s">
        <v>263</v>
      </c>
      <c r="N10">
        <f>_xlfn.XLOOKUP(Table4[[#This Row],[app_id]],Table7[app_id],Table7[rating_given],"",0)</f>
        <v>5</v>
      </c>
    </row>
    <row r="11" spans="1:14" x14ac:dyDescent="0.25">
      <c r="A11" t="s">
        <v>273</v>
      </c>
      <c r="B11" t="s">
        <v>49</v>
      </c>
      <c r="C11" t="str">
        <f>_xlfn.XLOOKUP(Table4[[#This Row],[app_id]],Table5[app_id],Table5[category],"",0)</f>
        <v>Finance</v>
      </c>
      <c r="D11" t="s">
        <v>256</v>
      </c>
      <c r="E11" t="s">
        <v>257</v>
      </c>
      <c r="F11" t="s">
        <v>257</v>
      </c>
      <c r="G11" t="s">
        <v>257</v>
      </c>
      <c r="H11" t="s">
        <v>258</v>
      </c>
      <c r="I11" t="s">
        <v>258</v>
      </c>
      <c r="J11" t="s">
        <v>257</v>
      </c>
      <c r="K11" t="s">
        <v>258</v>
      </c>
      <c r="L11" t="s">
        <v>257</v>
      </c>
      <c r="M11" t="s">
        <v>259</v>
      </c>
      <c r="N11">
        <f>_xlfn.XLOOKUP(Table4[[#This Row],[app_id]],Table7[app_id],Table7[rating_given],"",0)</f>
        <v>3</v>
      </c>
    </row>
    <row r="12" spans="1:14" x14ac:dyDescent="0.25">
      <c r="A12" t="s">
        <v>274</v>
      </c>
      <c r="B12" t="s">
        <v>51</v>
      </c>
      <c r="C12" t="str">
        <f>_xlfn.XLOOKUP(Table4[[#This Row],[app_id]],Table5[app_id],Table5[category],"",0)</f>
        <v>Finance</v>
      </c>
      <c r="D12" t="s">
        <v>256</v>
      </c>
      <c r="E12" t="s">
        <v>258</v>
      </c>
      <c r="F12" t="s">
        <v>257</v>
      </c>
      <c r="G12" t="s">
        <v>258</v>
      </c>
      <c r="H12" t="s">
        <v>257</v>
      </c>
      <c r="I12" t="s">
        <v>258</v>
      </c>
      <c r="J12" t="s">
        <v>258</v>
      </c>
      <c r="K12" t="s">
        <v>258</v>
      </c>
      <c r="L12" t="s">
        <v>257</v>
      </c>
      <c r="M12" t="s">
        <v>259</v>
      </c>
      <c r="N12">
        <f>_xlfn.XLOOKUP(Table4[[#This Row],[app_id]],Table7[app_id],Table7[rating_given],"",0)</f>
        <v>5</v>
      </c>
    </row>
    <row r="13" spans="1:14" x14ac:dyDescent="0.25">
      <c r="A13" t="s">
        <v>275</v>
      </c>
      <c r="B13" t="s">
        <v>53</v>
      </c>
      <c r="C13" t="str">
        <f>_xlfn.XLOOKUP(Table4[[#This Row],[app_id]],Table5[app_id],Table5[category],"",0)</f>
        <v>Finance</v>
      </c>
      <c r="D13" t="s">
        <v>269</v>
      </c>
      <c r="E13" t="s">
        <v>257</v>
      </c>
      <c r="F13" t="s">
        <v>258</v>
      </c>
      <c r="G13" t="s">
        <v>258</v>
      </c>
      <c r="H13" t="s">
        <v>258</v>
      </c>
      <c r="I13" t="s">
        <v>257</v>
      </c>
      <c r="J13" t="s">
        <v>258</v>
      </c>
      <c r="K13" t="s">
        <v>257</v>
      </c>
      <c r="L13" t="s">
        <v>258</v>
      </c>
      <c r="M13" t="s">
        <v>276</v>
      </c>
      <c r="N13">
        <f>_xlfn.XLOOKUP(Table4[[#This Row],[app_id]],Table7[app_id],Table7[rating_given],"",0)</f>
        <v>3</v>
      </c>
    </row>
    <row r="14" spans="1:14" x14ac:dyDescent="0.25">
      <c r="A14" t="s">
        <v>277</v>
      </c>
      <c r="B14" t="s">
        <v>56</v>
      </c>
      <c r="C14" t="str">
        <f>_xlfn.XLOOKUP(Table4[[#This Row],[app_id]],Table5[app_id],Table5[category],"",0)</f>
        <v>Shopping</v>
      </c>
      <c r="D14" t="s">
        <v>269</v>
      </c>
      <c r="E14" t="s">
        <v>257</v>
      </c>
      <c r="F14" t="s">
        <v>258</v>
      </c>
      <c r="G14" t="s">
        <v>258</v>
      </c>
      <c r="H14" t="s">
        <v>257</v>
      </c>
      <c r="I14" t="s">
        <v>258</v>
      </c>
      <c r="J14" t="s">
        <v>257</v>
      </c>
      <c r="K14" t="s">
        <v>258</v>
      </c>
      <c r="L14" t="s">
        <v>257</v>
      </c>
      <c r="M14" t="s">
        <v>263</v>
      </c>
      <c r="N14">
        <f>_xlfn.XLOOKUP(Table4[[#This Row],[app_id]],Table7[app_id],Table7[rating_given],"",0)</f>
        <v>2</v>
      </c>
    </row>
    <row r="15" spans="1:14" x14ac:dyDescent="0.25">
      <c r="A15" t="s">
        <v>278</v>
      </c>
      <c r="B15" t="s">
        <v>62</v>
      </c>
      <c r="C15" t="str">
        <f>_xlfn.XLOOKUP(Table4[[#This Row],[app_id]],Table5[app_id],Table5[category],"",0)</f>
        <v>Shopping</v>
      </c>
      <c r="D15" t="s">
        <v>266</v>
      </c>
      <c r="E15" t="s">
        <v>257</v>
      </c>
      <c r="F15" t="s">
        <v>258</v>
      </c>
      <c r="G15" t="s">
        <v>257</v>
      </c>
      <c r="H15" t="s">
        <v>257</v>
      </c>
      <c r="I15" t="s">
        <v>258</v>
      </c>
      <c r="J15" t="s">
        <v>257</v>
      </c>
      <c r="K15" t="s">
        <v>257</v>
      </c>
      <c r="L15" t="s">
        <v>257</v>
      </c>
      <c r="M15" t="s">
        <v>259</v>
      </c>
      <c r="N15">
        <f>_xlfn.XLOOKUP(Table4[[#This Row],[app_id]],Table7[app_id],Table7[rating_given],"",0)</f>
        <v>5</v>
      </c>
    </row>
    <row r="16" spans="1:14" x14ac:dyDescent="0.25">
      <c r="A16" t="s">
        <v>279</v>
      </c>
      <c r="B16" t="s">
        <v>65</v>
      </c>
      <c r="C16" t="str">
        <f>_xlfn.XLOOKUP(Table4[[#This Row],[app_id]],Table5[app_id],Table5[category],"",0)</f>
        <v>Shopping</v>
      </c>
      <c r="D16" t="s">
        <v>271</v>
      </c>
      <c r="E16" t="s">
        <v>257</v>
      </c>
      <c r="F16" t="s">
        <v>258</v>
      </c>
      <c r="G16" t="s">
        <v>258</v>
      </c>
      <c r="H16" t="s">
        <v>257</v>
      </c>
      <c r="I16" t="s">
        <v>258</v>
      </c>
      <c r="J16" t="s">
        <v>257</v>
      </c>
      <c r="K16" t="s">
        <v>258</v>
      </c>
      <c r="L16" t="s">
        <v>257</v>
      </c>
      <c r="M16" t="s">
        <v>276</v>
      </c>
      <c r="N16">
        <f>_xlfn.XLOOKUP(Table4[[#This Row],[app_id]],Table7[app_id],Table7[rating_given],"",0)</f>
        <v>4</v>
      </c>
    </row>
    <row r="17" spans="1:14" x14ac:dyDescent="0.25">
      <c r="A17" t="s">
        <v>280</v>
      </c>
      <c r="B17" t="s">
        <v>67</v>
      </c>
      <c r="C17" t="str">
        <f>_xlfn.XLOOKUP(Table4[[#This Row],[app_id]],Table5[app_id],Table5[category],"",0)</f>
        <v>Shopping</v>
      </c>
      <c r="D17" t="s">
        <v>256</v>
      </c>
      <c r="E17" t="s">
        <v>258</v>
      </c>
      <c r="F17" t="s">
        <v>258</v>
      </c>
      <c r="G17" t="s">
        <v>258</v>
      </c>
      <c r="H17" t="s">
        <v>257</v>
      </c>
      <c r="I17" t="s">
        <v>258</v>
      </c>
      <c r="J17" t="s">
        <v>257</v>
      </c>
      <c r="K17" t="s">
        <v>258</v>
      </c>
      <c r="L17" t="s">
        <v>258</v>
      </c>
      <c r="M17" t="s">
        <v>259</v>
      </c>
      <c r="N17">
        <f>_xlfn.XLOOKUP(Table4[[#This Row],[app_id]],Table7[app_id],Table7[rating_given],"",0)</f>
        <v>3</v>
      </c>
    </row>
    <row r="18" spans="1:14" x14ac:dyDescent="0.25">
      <c r="A18" t="s">
        <v>281</v>
      </c>
      <c r="B18" t="s">
        <v>70</v>
      </c>
      <c r="C18" t="str">
        <f>_xlfn.XLOOKUP(Table4[[#This Row],[app_id]],Table5[app_id],Table5[category],"",0)</f>
        <v>Shopping</v>
      </c>
      <c r="D18" t="s">
        <v>269</v>
      </c>
      <c r="E18" t="s">
        <v>257</v>
      </c>
      <c r="F18" t="s">
        <v>258</v>
      </c>
      <c r="G18" t="s">
        <v>258</v>
      </c>
      <c r="H18" t="s">
        <v>257</v>
      </c>
      <c r="I18" t="s">
        <v>258</v>
      </c>
      <c r="J18" t="s">
        <v>257</v>
      </c>
      <c r="K18" t="s">
        <v>257</v>
      </c>
      <c r="L18" t="s">
        <v>257</v>
      </c>
      <c r="M18" t="s">
        <v>263</v>
      </c>
      <c r="N18">
        <f>_xlfn.XLOOKUP(Table4[[#This Row],[app_id]],Table7[app_id],Table7[rating_given],"",0)</f>
        <v>3</v>
      </c>
    </row>
    <row r="19" spans="1:14" x14ac:dyDescent="0.25">
      <c r="A19" t="s">
        <v>282</v>
      </c>
      <c r="B19" t="s">
        <v>72</v>
      </c>
      <c r="C19" t="str">
        <f>_xlfn.XLOOKUP(Table4[[#This Row],[app_id]],Table5[app_id],Table5[category],"",0)</f>
        <v>Shopping</v>
      </c>
      <c r="D19" t="s">
        <v>271</v>
      </c>
      <c r="E19" t="s">
        <v>257</v>
      </c>
      <c r="F19" t="s">
        <v>258</v>
      </c>
      <c r="G19" t="s">
        <v>257</v>
      </c>
      <c r="H19" t="s">
        <v>257</v>
      </c>
      <c r="I19" t="s">
        <v>257</v>
      </c>
      <c r="J19" t="s">
        <v>257</v>
      </c>
      <c r="K19" t="s">
        <v>258</v>
      </c>
      <c r="L19" t="s">
        <v>258</v>
      </c>
      <c r="M19" t="s">
        <v>259</v>
      </c>
      <c r="N19">
        <f>_xlfn.XLOOKUP(Table4[[#This Row],[app_id]],Table7[app_id],Table7[rating_given],"",0)</f>
        <v>5</v>
      </c>
    </row>
    <row r="20" spans="1:14" x14ac:dyDescent="0.25">
      <c r="A20" t="s">
        <v>283</v>
      </c>
      <c r="B20" t="s">
        <v>74</v>
      </c>
      <c r="C20" t="str">
        <f>_xlfn.XLOOKUP(Table4[[#This Row],[app_id]],Table5[app_id],Table5[category],"",0)</f>
        <v>Shopping</v>
      </c>
      <c r="D20" t="s">
        <v>261</v>
      </c>
      <c r="E20" t="s">
        <v>257</v>
      </c>
      <c r="F20" t="s">
        <v>258</v>
      </c>
      <c r="G20" t="s">
        <v>257</v>
      </c>
      <c r="H20" t="s">
        <v>257</v>
      </c>
      <c r="I20" t="s">
        <v>257</v>
      </c>
      <c r="J20" t="s">
        <v>257</v>
      </c>
      <c r="K20" t="s">
        <v>257</v>
      </c>
      <c r="L20" t="s">
        <v>257</v>
      </c>
      <c r="M20" t="s">
        <v>259</v>
      </c>
      <c r="N20">
        <f>_xlfn.XLOOKUP(Table4[[#This Row],[app_id]],Table7[app_id],Table7[rating_given],"",0)</f>
        <v>4</v>
      </c>
    </row>
    <row r="21" spans="1:14" x14ac:dyDescent="0.25">
      <c r="A21" t="s">
        <v>284</v>
      </c>
      <c r="B21" t="s">
        <v>76</v>
      </c>
      <c r="C21" t="str">
        <f>_xlfn.XLOOKUP(Table4[[#This Row],[app_id]],Table5[app_id],Table5[category],"",0)</f>
        <v>Shopping</v>
      </c>
      <c r="D21" t="s">
        <v>271</v>
      </c>
      <c r="E21" t="s">
        <v>257</v>
      </c>
      <c r="F21" t="s">
        <v>258</v>
      </c>
      <c r="G21" t="s">
        <v>257</v>
      </c>
      <c r="H21" t="s">
        <v>257</v>
      </c>
      <c r="I21" t="s">
        <v>258</v>
      </c>
      <c r="J21" t="s">
        <v>257</v>
      </c>
      <c r="K21" t="s">
        <v>257</v>
      </c>
      <c r="L21" t="s">
        <v>258</v>
      </c>
      <c r="M21" t="s">
        <v>263</v>
      </c>
      <c r="N21">
        <f>_xlfn.XLOOKUP(Table4[[#This Row],[app_id]],Table7[app_id],Table7[rating_given],"",0)</f>
        <v>3</v>
      </c>
    </row>
    <row r="22" spans="1:14" x14ac:dyDescent="0.25">
      <c r="A22" t="s">
        <v>285</v>
      </c>
      <c r="B22" t="s">
        <v>78</v>
      </c>
      <c r="C22" t="str">
        <f>_xlfn.XLOOKUP(Table4[[#This Row],[app_id]],Table5[app_id],Table5[category],"",0)</f>
        <v>Shopping</v>
      </c>
      <c r="D22" t="s">
        <v>266</v>
      </c>
      <c r="E22" t="s">
        <v>257</v>
      </c>
      <c r="F22" t="s">
        <v>258</v>
      </c>
      <c r="G22" t="s">
        <v>258</v>
      </c>
      <c r="H22" t="s">
        <v>257</v>
      </c>
      <c r="I22" t="s">
        <v>258</v>
      </c>
      <c r="J22" t="s">
        <v>257</v>
      </c>
      <c r="K22" t="s">
        <v>257</v>
      </c>
      <c r="L22" t="s">
        <v>258</v>
      </c>
      <c r="M22" t="s">
        <v>276</v>
      </c>
      <c r="N22">
        <f>_xlfn.XLOOKUP(Table4[[#This Row],[app_id]],Table7[app_id],Table7[rating_given],"",0)</f>
        <v>2</v>
      </c>
    </row>
    <row r="23" spans="1:14" x14ac:dyDescent="0.25">
      <c r="A23" t="s">
        <v>286</v>
      </c>
      <c r="B23" t="s">
        <v>80</v>
      </c>
      <c r="C23" t="str">
        <f>_xlfn.XLOOKUP(Table4[[#This Row],[app_id]],Table5[app_id],Table5[category],"",0)</f>
        <v>Shopping</v>
      </c>
      <c r="D23" t="s">
        <v>256</v>
      </c>
      <c r="E23" t="s">
        <v>257</v>
      </c>
      <c r="F23" t="s">
        <v>258</v>
      </c>
      <c r="G23" t="s">
        <v>257</v>
      </c>
      <c r="H23" t="s">
        <v>257</v>
      </c>
      <c r="I23" t="s">
        <v>257</v>
      </c>
      <c r="J23" t="s">
        <v>257</v>
      </c>
      <c r="K23" t="s">
        <v>257</v>
      </c>
      <c r="L23" t="s">
        <v>258</v>
      </c>
      <c r="M23" t="s">
        <v>263</v>
      </c>
      <c r="N23">
        <f>_xlfn.XLOOKUP(Table4[[#This Row],[app_id]],Table7[app_id],Table7[rating_given],"",0)</f>
        <v>4</v>
      </c>
    </row>
    <row r="24" spans="1:14" x14ac:dyDescent="0.25">
      <c r="A24" t="s">
        <v>287</v>
      </c>
      <c r="B24" t="s">
        <v>83</v>
      </c>
      <c r="C24" t="str">
        <f>_xlfn.XLOOKUP(Table4[[#This Row],[app_id]],Table5[app_id],Table5[category],"",0)</f>
        <v>Shopping</v>
      </c>
      <c r="D24" t="s">
        <v>288</v>
      </c>
      <c r="E24" t="s">
        <v>257</v>
      </c>
      <c r="F24" t="s">
        <v>258</v>
      </c>
      <c r="G24" t="s">
        <v>258</v>
      </c>
      <c r="H24" t="s">
        <v>257</v>
      </c>
      <c r="I24" t="s">
        <v>258</v>
      </c>
      <c r="J24" t="s">
        <v>258</v>
      </c>
      <c r="K24" t="s">
        <v>258</v>
      </c>
      <c r="L24" t="s">
        <v>257</v>
      </c>
      <c r="M24" t="s">
        <v>276</v>
      </c>
      <c r="N24">
        <f>_xlfn.XLOOKUP(Table4[[#This Row],[app_id]],Table7[app_id],Table7[rating_given],"",0)</f>
        <v>3</v>
      </c>
    </row>
    <row r="25" spans="1:14" x14ac:dyDescent="0.25">
      <c r="A25" t="s">
        <v>289</v>
      </c>
      <c r="B25" t="s">
        <v>85</v>
      </c>
      <c r="C25" t="str">
        <f>_xlfn.XLOOKUP(Table4[[#This Row],[app_id]],Table5[app_id],Table5[category],"",0)</f>
        <v>Shopping</v>
      </c>
      <c r="D25" t="s">
        <v>269</v>
      </c>
      <c r="E25" t="s">
        <v>258</v>
      </c>
      <c r="F25" t="s">
        <v>258</v>
      </c>
      <c r="G25" t="s">
        <v>258</v>
      </c>
      <c r="H25" t="s">
        <v>257</v>
      </c>
      <c r="I25" t="s">
        <v>257</v>
      </c>
      <c r="J25" t="s">
        <v>257</v>
      </c>
      <c r="K25" t="s">
        <v>257</v>
      </c>
      <c r="L25" t="s">
        <v>258</v>
      </c>
      <c r="M25" t="s">
        <v>263</v>
      </c>
      <c r="N25">
        <f>_xlfn.XLOOKUP(Table4[[#This Row],[app_id]],Table7[app_id],Table7[rating_given],"",0)</f>
        <v>3</v>
      </c>
    </row>
    <row r="26" spans="1:14" x14ac:dyDescent="0.25">
      <c r="A26" t="s">
        <v>290</v>
      </c>
      <c r="B26" t="s">
        <v>87</v>
      </c>
      <c r="C26" t="str">
        <f>_xlfn.XLOOKUP(Table4[[#This Row],[app_id]],Table5[app_id],Table5[category],"",0)</f>
        <v>Fitness</v>
      </c>
      <c r="D26" t="s">
        <v>256</v>
      </c>
      <c r="E26" t="s">
        <v>257</v>
      </c>
      <c r="F26" t="s">
        <v>258</v>
      </c>
      <c r="G26" t="s">
        <v>257</v>
      </c>
      <c r="H26" t="s">
        <v>258</v>
      </c>
      <c r="I26" t="s">
        <v>258</v>
      </c>
      <c r="J26" t="s">
        <v>257</v>
      </c>
      <c r="K26" t="s">
        <v>257</v>
      </c>
      <c r="L26" t="s">
        <v>258</v>
      </c>
      <c r="M26" t="s">
        <v>263</v>
      </c>
      <c r="N26">
        <f>_xlfn.XLOOKUP(Table4[[#This Row],[app_id]],Table7[app_id],Table7[rating_given],"",0)</f>
        <v>3</v>
      </c>
    </row>
    <row r="27" spans="1:14" x14ac:dyDescent="0.25">
      <c r="A27" t="s">
        <v>291</v>
      </c>
      <c r="B27" t="s">
        <v>90</v>
      </c>
      <c r="C27" t="str">
        <f>_xlfn.XLOOKUP(Table4[[#This Row],[app_id]],Table5[app_id],Table5[category],"",0)</f>
        <v>Fitness</v>
      </c>
      <c r="D27" t="s">
        <v>271</v>
      </c>
      <c r="E27" t="s">
        <v>258</v>
      </c>
      <c r="F27" t="s">
        <v>257</v>
      </c>
      <c r="G27" t="s">
        <v>258</v>
      </c>
      <c r="H27" t="s">
        <v>258</v>
      </c>
      <c r="I27" t="s">
        <v>258</v>
      </c>
      <c r="J27" t="s">
        <v>257</v>
      </c>
      <c r="K27" t="s">
        <v>257</v>
      </c>
      <c r="L27" t="s">
        <v>257</v>
      </c>
      <c r="M27" t="s">
        <v>259</v>
      </c>
      <c r="N27">
        <f>_xlfn.XLOOKUP(Table4[[#This Row],[app_id]],Table7[app_id],Table7[rating_given],"",0)</f>
        <v>4</v>
      </c>
    </row>
    <row r="28" spans="1:14" x14ac:dyDescent="0.25">
      <c r="A28" t="s">
        <v>292</v>
      </c>
      <c r="B28" t="s">
        <v>92</v>
      </c>
      <c r="C28" t="str">
        <f>_xlfn.XLOOKUP(Table4[[#This Row],[app_id]],Table5[app_id],Table5[category],"",0)</f>
        <v>Fitness</v>
      </c>
      <c r="D28" t="s">
        <v>256</v>
      </c>
      <c r="E28" t="s">
        <v>257</v>
      </c>
      <c r="F28" t="s">
        <v>258</v>
      </c>
      <c r="G28" t="s">
        <v>257</v>
      </c>
      <c r="H28" t="s">
        <v>258</v>
      </c>
      <c r="I28" t="s">
        <v>258</v>
      </c>
      <c r="J28" t="s">
        <v>258</v>
      </c>
      <c r="K28" t="s">
        <v>257</v>
      </c>
      <c r="L28" t="s">
        <v>258</v>
      </c>
      <c r="M28" t="s">
        <v>259</v>
      </c>
      <c r="N28">
        <f>_xlfn.XLOOKUP(Table4[[#This Row],[app_id]],Table7[app_id],Table7[rating_given],"",0)</f>
        <v>3</v>
      </c>
    </row>
    <row r="29" spans="1:14" x14ac:dyDescent="0.25">
      <c r="A29" t="s">
        <v>293</v>
      </c>
      <c r="B29" t="s">
        <v>94</v>
      </c>
      <c r="C29" t="str">
        <f>_xlfn.XLOOKUP(Table4[[#This Row],[app_id]],Table5[app_id],Table5[category],"",0)</f>
        <v>Fitness</v>
      </c>
      <c r="D29" t="s">
        <v>261</v>
      </c>
      <c r="E29" t="s">
        <v>257</v>
      </c>
      <c r="F29" t="s">
        <v>258</v>
      </c>
      <c r="G29" t="s">
        <v>258</v>
      </c>
      <c r="H29" t="s">
        <v>257</v>
      </c>
      <c r="I29" t="s">
        <v>258</v>
      </c>
      <c r="J29" t="s">
        <v>257</v>
      </c>
      <c r="K29" t="s">
        <v>258</v>
      </c>
      <c r="L29" t="s">
        <v>257</v>
      </c>
      <c r="M29" t="s">
        <v>259</v>
      </c>
      <c r="N29">
        <f>_xlfn.XLOOKUP(Table4[[#This Row],[app_id]],Table7[app_id],Table7[rating_given],"",0)</f>
        <v>5</v>
      </c>
    </row>
    <row r="30" spans="1:14" x14ac:dyDescent="0.25">
      <c r="A30" t="s">
        <v>294</v>
      </c>
      <c r="B30" t="s">
        <v>96</v>
      </c>
      <c r="C30" t="str">
        <f>_xlfn.XLOOKUP(Table4[[#This Row],[app_id]],Table5[app_id],Table5[category],"",0)</f>
        <v>Fitness</v>
      </c>
      <c r="D30" t="s">
        <v>269</v>
      </c>
      <c r="E30" t="s">
        <v>257</v>
      </c>
      <c r="F30" t="s">
        <v>258</v>
      </c>
      <c r="G30" t="s">
        <v>257</v>
      </c>
      <c r="H30" t="s">
        <v>258</v>
      </c>
      <c r="I30" t="s">
        <v>257</v>
      </c>
      <c r="J30" t="s">
        <v>258</v>
      </c>
      <c r="K30" t="s">
        <v>257</v>
      </c>
      <c r="L30" t="s">
        <v>258</v>
      </c>
      <c r="M30" t="s">
        <v>259</v>
      </c>
      <c r="N30">
        <f>_xlfn.XLOOKUP(Table4[[#This Row],[app_id]],Table7[app_id],Table7[rating_given],"",0)</f>
        <v>3</v>
      </c>
    </row>
    <row r="31" spans="1:14" x14ac:dyDescent="0.25">
      <c r="A31" t="s">
        <v>295</v>
      </c>
      <c r="B31" t="s">
        <v>98</v>
      </c>
      <c r="C31" t="str">
        <f>_xlfn.XLOOKUP(Table4[[#This Row],[app_id]],Table5[app_id],Table5[category],"",0)</f>
        <v>Fitness</v>
      </c>
      <c r="D31" t="s">
        <v>271</v>
      </c>
      <c r="E31" t="s">
        <v>257</v>
      </c>
      <c r="F31" t="s">
        <v>258</v>
      </c>
      <c r="G31" t="s">
        <v>258</v>
      </c>
      <c r="H31" t="s">
        <v>258</v>
      </c>
      <c r="I31" t="s">
        <v>257</v>
      </c>
      <c r="J31" t="s">
        <v>257</v>
      </c>
      <c r="K31" t="s">
        <v>257</v>
      </c>
      <c r="L31" t="s">
        <v>258</v>
      </c>
      <c r="M31" t="s">
        <v>263</v>
      </c>
      <c r="N31">
        <f>_xlfn.XLOOKUP(Table4[[#This Row],[app_id]],Table7[app_id],Table7[rating_given],"",0)</f>
        <v>3</v>
      </c>
    </row>
    <row r="32" spans="1:14" x14ac:dyDescent="0.25">
      <c r="A32" t="s">
        <v>296</v>
      </c>
      <c r="B32" t="s">
        <v>100</v>
      </c>
      <c r="C32" t="str">
        <f>_xlfn.XLOOKUP(Table4[[#This Row],[app_id]],Table5[app_id],Table5[category],"",0)</f>
        <v>Fitness</v>
      </c>
      <c r="D32" t="s">
        <v>271</v>
      </c>
      <c r="E32" t="s">
        <v>257</v>
      </c>
      <c r="F32" t="s">
        <v>258</v>
      </c>
      <c r="G32" t="s">
        <v>258</v>
      </c>
      <c r="H32" t="s">
        <v>258</v>
      </c>
      <c r="I32" t="s">
        <v>257</v>
      </c>
      <c r="J32" t="s">
        <v>257</v>
      </c>
      <c r="K32" t="s">
        <v>257</v>
      </c>
      <c r="L32" t="s">
        <v>258</v>
      </c>
      <c r="M32" t="s">
        <v>259</v>
      </c>
      <c r="N32">
        <f>_xlfn.XLOOKUP(Table4[[#This Row],[app_id]],Table7[app_id],Table7[rating_given],"",0)</f>
        <v>5</v>
      </c>
    </row>
    <row r="33" spans="1:14" x14ac:dyDescent="0.25">
      <c r="A33" t="s">
        <v>297</v>
      </c>
      <c r="B33" t="s">
        <v>102</v>
      </c>
      <c r="C33" t="str">
        <f>_xlfn.XLOOKUP(Table4[[#This Row],[app_id]],Table5[app_id],Table5[category],"",0)</f>
        <v>Fitness</v>
      </c>
      <c r="D33" t="s">
        <v>261</v>
      </c>
      <c r="E33" t="s">
        <v>257</v>
      </c>
      <c r="F33" t="s">
        <v>257</v>
      </c>
      <c r="G33" t="s">
        <v>257</v>
      </c>
      <c r="H33" t="s">
        <v>258</v>
      </c>
      <c r="I33" t="s">
        <v>257</v>
      </c>
      <c r="J33" t="s">
        <v>257</v>
      </c>
      <c r="K33" t="s">
        <v>257</v>
      </c>
      <c r="L33" t="s">
        <v>258</v>
      </c>
      <c r="M33" t="s">
        <v>263</v>
      </c>
      <c r="N33">
        <f>_xlfn.XLOOKUP(Table4[[#This Row],[app_id]],Table7[app_id],Table7[rating_given],"",0)</f>
        <v>4</v>
      </c>
    </row>
    <row r="34" spans="1:14" x14ac:dyDescent="0.25">
      <c r="A34" t="s">
        <v>298</v>
      </c>
      <c r="B34" t="s">
        <v>104</v>
      </c>
      <c r="C34" t="str">
        <f>_xlfn.XLOOKUP(Table4[[#This Row],[app_id]],Table5[app_id],Table5[category],"",0)</f>
        <v>Fitness</v>
      </c>
      <c r="D34" t="s">
        <v>266</v>
      </c>
      <c r="E34" t="s">
        <v>257</v>
      </c>
      <c r="F34" t="s">
        <v>258</v>
      </c>
      <c r="G34" t="s">
        <v>258</v>
      </c>
      <c r="H34" t="s">
        <v>258</v>
      </c>
      <c r="I34" t="s">
        <v>258</v>
      </c>
      <c r="J34" t="s">
        <v>258</v>
      </c>
      <c r="K34" t="s">
        <v>257</v>
      </c>
      <c r="L34" t="s">
        <v>258</v>
      </c>
      <c r="M34" t="s">
        <v>263</v>
      </c>
      <c r="N34">
        <f>_xlfn.XLOOKUP(Table4[[#This Row],[app_id]],Table7[app_id],Table7[rating_given],"",0)</f>
        <v>4</v>
      </c>
    </row>
    <row r="35" spans="1:14" x14ac:dyDescent="0.25">
      <c r="A35" t="s">
        <v>299</v>
      </c>
      <c r="B35" t="s">
        <v>105</v>
      </c>
      <c r="C35" t="str">
        <f>_xlfn.XLOOKUP(Table4[[#This Row],[app_id]],Table5[app_id],Table5[category],"",0)</f>
        <v>Fitness</v>
      </c>
      <c r="D35" t="s">
        <v>261</v>
      </c>
      <c r="E35" t="s">
        <v>257</v>
      </c>
      <c r="F35" t="s">
        <v>258</v>
      </c>
      <c r="G35" t="s">
        <v>257</v>
      </c>
      <c r="H35" t="s">
        <v>258</v>
      </c>
      <c r="I35" t="s">
        <v>257</v>
      </c>
      <c r="J35" t="s">
        <v>257</v>
      </c>
      <c r="K35" t="s">
        <v>257</v>
      </c>
      <c r="L35" t="s">
        <v>258</v>
      </c>
      <c r="M35" t="s">
        <v>263</v>
      </c>
      <c r="N35">
        <f>_xlfn.XLOOKUP(Table4[[#This Row],[app_id]],Table7[app_id],Table7[rating_given],"",0)</f>
        <v>4</v>
      </c>
    </row>
    <row r="36" spans="1:14" x14ac:dyDescent="0.25">
      <c r="A36" t="s">
        <v>300</v>
      </c>
      <c r="B36" t="s">
        <v>107</v>
      </c>
      <c r="C36" t="str">
        <f>_xlfn.XLOOKUP(Table4[[#This Row],[app_id]],Table5[app_id],Table5[category],"",0)</f>
        <v>Fitness</v>
      </c>
      <c r="D36" t="s">
        <v>261</v>
      </c>
      <c r="E36" t="s">
        <v>257</v>
      </c>
      <c r="F36" t="s">
        <v>257</v>
      </c>
      <c r="G36" t="s">
        <v>258</v>
      </c>
      <c r="H36" t="s">
        <v>257</v>
      </c>
      <c r="I36" t="s">
        <v>258</v>
      </c>
      <c r="J36" t="s">
        <v>257</v>
      </c>
      <c r="K36" t="s">
        <v>257</v>
      </c>
      <c r="L36" t="s">
        <v>258</v>
      </c>
      <c r="M36" t="s">
        <v>259</v>
      </c>
      <c r="N36">
        <f>_xlfn.XLOOKUP(Table4[[#This Row],[app_id]],Table7[app_id],Table7[rating_given],"",0)</f>
        <v>3</v>
      </c>
    </row>
    <row r="37" spans="1:14" x14ac:dyDescent="0.25">
      <c r="A37" t="s">
        <v>301</v>
      </c>
      <c r="B37" t="s">
        <v>109</v>
      </c>
      <c r="C37" t="str">
        <f>_xlfn.XLOOKUP(Table4[[#This Row],[app_id]],Table5[app_id],Table5[category],"",0)</f>
        <v>Fitness</v>
      </c>
      <c r="D37" t="s">
        <v>288</v>
      </c>
      <c r="E37" t="s">
        <v>257</v>
      </c>
      <c r="F37" t="s">
        <v>258</v>
      </c>
      <c r="G37" t="s">
        <v>258</v>
      </c>
      <c r="H37" t="s">
        <v>258</v>
      </c>
      <c r="I37" t="s">
        <v>257</v>
      </c>
      <c r="J37" t="s">
        <v>258</v>
      </c>
      <c r="K37" t="s">
        <v>258</v>
      </c>
      <c r="L37" t="s">
        <v>258</v>
      </c>
      <c r="M37" t="s">
        <v>263</v>
      </c>
      <c r="N37">
        <f>_xlfn.XLOOKUP(Table4[[#This Row],[app_id]],Table7[app_id],Table7[rating_given],"",0)</f>
        <v>5</v>
      </c>
    </row>
    <row r="38" spans="1:14" x14ac:dyDescent="0.25">
      <c r="A38" t="s">
        <v>302</v>
      </c>
      <c r="B38" t="s">
        <v>111</v>
      </c>
      <c r="C38" t="str">
        <f>_xlfn.XLOOKUP(Table4[[#This Row],[app_id]],Table5[app_id],Table5[category],"",0)</f>
        <v>Education</v>
      </c>
      <c r="D38" t="s">
        <v>271</v>
      </c>
      <c r="E38" t="s">
        <v>258</v>
      </c>
      <c r="F38" t="s">
        <v>258</v>
      </c>
      <c r="G38" t="s">
        <v>257</v>
      </c>
      <c r="H38" t="s">
        <v>258</v>
      </c>
      <c r="I38" t="s">
        <v>257</v>
      </c>
      <c r="J38" t="s">
        <v>258</v>
      </c>
      <c r="K38" t="s">
        <v>257</v>
      </c>
      <c r="L38" t="s">
        <v>258</v>
      </c>
      <c r="M38" t="s">
        <v>276</v>
      </c>
      <c r="N38">
        <f>_xlfn.XLOOKUP(Table4[[#This Row],[app_id]],Table7[app_id],Table7[rating_given],"",0)</f>
        <v>2</v>
      </c>
    </row>
    <row r="39" spans="1:14" x14ac:dyDescent="0.25">
      <c r="A39" t="s">
        <v>303</v>
      </c>
      <c r="B39" t="s">
        <v>114</v>
      </c>
      <c r="C39" t="str">
        <f>_xlfn.XLOOKUP(Table4[[#This Row],[app_id]],Table5[app_id],Table5[category],"",0)</f>
        <v>Education</v>
      </c>
      <c r="D39" t="s">
        <v>288</v>
      </c>
      <c r="E39" t="s">
        <v>257</v>
      </c>
      <c r="F39" t="s">
        <v>257</v>
      </c>
      <c r="G39" t="s">
        <v>257</v>
      </c>
      <c r="H39" t="s">
        <v>258</v>
      </c>
      <c r="I39" t="s">
        <v>258</v>
      </c>
      <c r="J39" t="s">
        <v>258</v>
      </c>
      <c r="K39" t="s">
        <v>257</v>
      </c>
      <c r="L39" t="s">
        <v>258</v>
      </c>
      <c r="M39" t="s">
        <v>263</v>
      </c>
      <c r="N39">
        <f>_xlfn.XLOOKUP(Table4[[#This Row],[app_id]],Table7[app_id],Table7[rating_given],"",0)</f>
        <v>2</v>
      </c>
    </row>
    <row r="40" spans="1:14" x14ac:dyDescent="0.25">
      <c r="A40" t="s">
        <v>304</v>
      </c>
      <c r="B40" t="s">
        <v>116</v>
      </c>
      <c r="C40" t="str">
        <f>_xlfn.XLOOKUP(Table4[[#This Row],[app_id]],Table5[app_id],Table5[category],"",0)</f>
        <v>Education</v>
      </c>
      <c r="D40" t="s">
        <v>261</v>
      </c>
      <c r="E40" t="s">
        <v>257</v>
      </c>
      <c r="F40" t="s">
        <v>258</v>
      </c>
      <c r="G40" t="s">
        <v>258</v>
      </c>
      <c r="H40" t="s">
        <v>258</v>
      </c>
      <c r="I40" t="s">
        <v>258</v>
      </c>
      <c r="J40" t="s">
        <v>257</v>
      </c>
      <c r="K40" t="s">
        <v>258</v>
      </c>
      <c r="L40" t="s">
        <v>257</v>
      </c>
      <c r="M40" t="s">
        <v>259</v>
      </c>
      <c r="N40">
        <f>_xlfn.XLOOKUP(Table4[[#This Row],[app_id]],Table7[app_id],Table7[rating_given],"",0)</f>
        <v>4</v>
      </c>
    </row>
    <row r="41" spans="1:14" x14ac:dyDescent="0.25">
      <c r="A41" t="s">
        <v>305</v>
      </c>
      <c r="B41" t="s">
        <v>118</v>
      </c>
      <c r="C41" t="str">
        <f>_xlfn.XLOOKUP(Table4[[#This Row],[app_id]],Table5[app_id],Table5[category],"",0)</f>
        <v>Education</v>
      </c>
      <c r="D41" t="s">
        <v>271</v>
      </c>
      <c r="E41" t="s">
        <v>257</v>
      </c>
      <c r="F41" t="s">
        <v>257</v>
      </c>
      <c r="G41" t="s">
        <v>258</v>
      </c>
      <c r="H41" t="s">
        <v>258</v>
      </c>
      <c r="I41" t="s">
        <v>258</v>
      </c>
      <c r="J41" t="s">
        <v>257</v>
      </c>
      <c r="K41" t="s">
        <v>258</v>
      </c>
      <c r="L41" t="s">
        <v>257</v>
      </c>
      <c r="M41" t="s">
        <v>276</v>
      </c>
      <c r="N41">
        <f>_xlfn.XLOOKUP(Table4[[#This Row],[app_id]],Table7[app_id],Table7[rating_given],"",0)</f>
        <v>2</v>
      </c>
    </row>
    <row r="42" spans="1:14" x14ac:dyDescent="0.25">
      <c r="A42" t="s">
        <v>306</v>
      </c>
      <c r="B42" t="s">
        <v>120</v>
      </c>
      <c r="C42" t="str">
        <f>_xlfn.XLOOKUP(Table4[[#This Row],[app_id]],Table5[app_id],Table5[category],"",0)</f>
        <v>Education</v>
      </c>
      <c r="D42" t="s">
        <v>266</v>
      </c>
      <c r="E42" t="s">
        <v>258</v>
      </c>
      <c r="F42" t="s">
        <v>257</v>
      </c>
      <c r="G42" t="s">
        <v>257</v>
      </c>
      <c r="H42" t="s">
        <v>258</v>
      </c>
      <c r="I42" t="s">
        <v>258</v>
      </c>
      <c r="J42" t="s">
        <v>257</v>
      </c>
      <c r="K42" t="s">
        <v>257</v>
      </c>
      <c r="L42" t="s">
        <v>257</v>
      </c>
      <c r="M42" t="s">
        <v>259</v>
      </c>
      <c r="N42">
        <f>_xlfn.XLOOKUP(Table4[[#This Row],[app_id]],Table7[app_id],Table7[rating_given],"",0)</f>
        <v>4</v>
      </c>
    </row>
    <row r="43" spans="1:14" x14ac:dyDescent="0.25">
      <c r="A43" t="s">
        <v>307</v>
      </c>
      <c r="B43" t="s">
        <v>122</v>
      </c>
      <c r="C43" t="str">
        <f>_xlfn.XLOOKUP(Table4[[#This Row],[app_id]],Table5[app_id],Table5[category],"",0)</f>
        <v>Education</v>
      </c>
      <c r="D43" t="s">
        <v>271</v>
      </c>
      <c r="E43" t="s">
        <v>257</v>
      </c>
      <c r="F43" t="s">
        <v>257</v>
      </c>
      <c r="G43" t="s">
        <v>257</v>
      </c>
      <c r="H43" t="s">
        <v>258</v>
      </c>
      <c r="I43" t="s">
        <v>258</v>
      </c>
      <c r="J43" t="s">
        <v>257</v>
      </c>
      <c r="K43" t="s">
        <v>258</v>
      </c>
      <c r="L43" t="s">
        <v>258</v>
      </c>
      <c r="M43" t="s">
        <v>259</v>
      </c>
      <c r="N43">
        <f>_xlfn.XLOOKUP(Table4[[#This Row],[app_id]],Table7[app_id],Table7[rating_given],"",0)</f>
        <v>5</v>
      </c>
    </row>
    <row r="44" spans="1:14" x14ac:dyDescent="0.25">
      <c r="A44" t="s">
        <v>308</v>
      </c>
      <c r="B44" t="s">
        <v>124</v>
      </c>
      <c r="C44" t="str">
        <f>_xlfn.XLOOKUP(Table4[[#This Row],[app_id]],Table5[app_id],Table5[category],"",0)</f>
        <v>Education</v>
      </c>
      <c r="D44" t="s">
        <v>269</v>
      </c>
      <c r="E44" t="s">
        <v>257</v>
      </c>
      <c r="F44" t="s">
        <v>257</v>
      </c>
      <c r="G44" t="s">
        <v>258</v>
      </c>
      <c r="H44" t="s">
        <v>258</v>
      </c>
      <c r="I44" t="s">
        <v>257</v>
      </c>
      <c r="J44" t="s">
        <v>257</v>
      </c>
      <c r="K44" t="s">
        <v>258</v>
      </c>
      <c r="L44" t="s">
        <v>258</v>
      </c>
      <c r="M44" t="s">
        <v>263</v>
      </c>
      <c r="N44">
        <f>_xlfn.XLOOKUP(Table4[[#This Row],[app_id]],Table7[app_id],Table7[rating_given],"",0)</f>
        <v>4</v>
      </c>
    </row>
    <row r="45" spans="1:14" x14ac:dyDescent="0.25">
      <c r="A45" t="s">
        <v>309</v>
      </c>
      <c r="B45" t="s">
        <v>126</v>
      </c>
      <c r="C45" t="str">
        <f>_xlfn.XLOOKUP(Table4[[#This Row],[app_id]],Table5[app_id],Table5[category],"",0)</f>
        <v>Education</v>
      </c>
      <c r="D45" t="s">
        <v>269</v>
      </c>
      <c r="E45" t="s">
        <v>257</v>
      </c>
      <c r="F45" t="s">
        <v>258</v>
      </c>
      <c r="G45" t="s">
        <v>258</v>
      </c>
      <c r="H45" t="s">
        <v>258</v>
      </c>
      <c r="I45" t="s">
        <v>258</v>
      </c>
      <c r="J45" t="s">
        <v>257</v>
      </c>
      <c r="K45" t="s">
        <v>258</v>
      </c>
      <c r="L45" t="s">
        <v>258</v>
      </c>
      <c r="M45" t="s">
        <v>259</v>
      </c>
      <c r="N45">
        <f>_xlfn.XLOOKUP(Table4[[#This Row],[app_id]],Table7[app_id],Table7[rating_given],"",0)</f>
        <v>4</v>
      </c>
    </row>
    <row r="46" spans="1:14" x14ac:dyDescent="0.25">
      <c r="A46" t="s">
        <v>310</v>
      </c>
      <c r="B46" t="s">
        <v>128</v>
      </c>
      <c r="C46" t="str">
        <f>_xlfn.XLOOKUP(Table4[[#This Row],[app_id]],Table5[app_id],Table5[category],"",0)</f>
        <v>Education</v>
      </c>
      <c r="D46" t="s">
        <v>256</v>
      </c>
      <c r="E46" t="s">
        <v>257</v>
      </c>
      <c r="F46" t="s">
        <v>257</v>
      </c>
      <c r="G46" t="s">
        <v>258</v>
      </c>
      <c r="H46" t="s">
        <v>258</v>
      </c>
      <c r="I46" t="s">
        <v>258</v>
      </c>
      <c r="J46" t="s">
        <v>258</v>
      </c>
      <c r="K46" t="s">
        <v>257</v>
      </c>
      <c r="L46" t="s">
        <v>258</v>
      </c>
      <c r="M46" t="s">
        <v>263</v>
      </c>
      <c r="N46">
        <f>_xlfn.XLOOKUP(Table4[[#This Row],[app_id]],Table7[app_id],Table7[rating_given],"",0)</f>
        <v>2</v>
      </c>
    </row>
    <row r="47" spans="1:14" x14ac:dyDescent="0.25">
      <c r="A47" t="s">
        <v>311</v>
      </c>
      <c r="B47" t="s">
        <v>130</v>
      </c>
      <c r="C47" t="str">
        <f>_xlfn.XLOOKUP(Table4[[#This Row],[app_id]],Table5[app_id],Table5[category],"",0)</f>
        <v>Education</v>
      </c>
      <c r="D47" t="s">
        <v>266</v>
      </c>
      <c r="E47" t="s">
        <v>257</v>
      </c>
      <c r="F47" t="s">
        <v>257</v>
      </c>
      <c r="G47" t="s">
        <v>257</v>
      </c>
      <c r="H47" t="s">
        <v>258</v>
      </c>
      <c r="I47" t="s">
        <v>258</v>
      </c>
      <c r="J47" t="s">
        <v>257</v>
      </c>
      <c r="K47" t="s">
        <v>257</v>
      </c>
      <c r="L47" t="s">
        <v>258</v>
      </c>
      <c r="M47" t="s">
        <v>276</v>
      </c>
      <c r="N47">
        <f>_xlfn.XLOOKUP(Table4[[#This Row],[app_id]],Table7[app_id],Table7[rating_given],"",0)</f>
        <v>3</v>
      </c>
    </row>
    <row r="48" spans="1:14" x14ac:dyDescent="0.25">
      <c r="A48" t="s">
        <v>312</v>
      </c>
      <c r="B48" t="s">
        <v>132</v>
      </c>
      <c r="C48" t="str">
        <f>_xlfn.XLOOKUP(Table4[[#This Row],[app_id]],Table5[app_id],Table5[category],"",0)</f>
        <v>Education</v>
      </c>
      <c r="D48" t="s">
        <v>288</v>
      </c>
      <c r="E48" t="s">
        <v>257</v>
      </c>
      <c r="F48" t="s">
        <v>257</v>
      </c>
      <c r="G48" t="s">
        <v>257</v>
      </c>
      <c r="H48" t="s">
        <v>258</v>
      </c>
      <c r="I48" t="s">
        <v>258</v>
      </c>
      <c r="J48" t="s">
        <v>257</v>
      </c>
      <c r="K48" t="s">
        <v>258</v>
      </c>
      <c r="L48" t="s">
        <v>257</v>
      </c>
      <c r="M48" t="s">
        <v>276</v>
      </c>
      <c r="N48">
        <f>_xlfn.XLOOKUP(Table4[[#This Row],[app_id]],Table7[app_id],Table7[rating_given],"",0)</f>
        <v>3</v>
      </c>
    </row>
    <row r="49" spans="1:14" x14ac:dyDescent="0.25">
      <c r="A49" t="s">
        <v>313</v>
      </c>
      <c r="B49" t="s">
        <v>134</v>
      </c>
      <c r="C49" t="str">
        <f>_xlfn.XLOOKUP(Table4[[#This Row],[app_id]],Table5[app_id],Table5[category],"",0)</f>
        <v>Education</v>
      </c>
      <c r="D49" t="s">
        <v>266</v>
      </c>
      <c r="E49" t="s">
        <v>258</v>
      </c>
      <c r="F49" t="s">
        <v>258</v>
      </c>
      <c r="G49" t="s">
        <v>257</v>
      </c>
      <c r="H49" t="s">
        <v>258</v>
      </c>
      <c r="I49" t="s">
        <v>258</v>
      </c>
      <c r="J49" t="s">
        <v>257</v>
      </c>
      <c r="K49" t="s">
        <v>257</v>
      </c>
      <c r="L49" t="s">
        <v>258</v>
      </c>
      <c r="M49" t="s">
        <v>259</v>
      </c>
      <c r="N49">
        <f>_xlfn.XLOOKUP(Table4[[#This Row],[app_id]],Table7[app_id],Table7[rating_given],"",0)</f>
        <v>5</v>
      </c>
    </row>
    <row r="50" spans="1:14" x14ac:dyDescent="0.25">
      <c r="A50" t="s">
        <v>314</v>
      </c>
      <c r="B50" t="s">
        <v>136</v>
      </c>
      <c r="C50" t="str">
        <f>_xlfn.XLOOKUP(Table4[[#This Row],[app_id]],Table5[app_id],Table5[category],"",0)</f>
        <v>Entertainment</v>
      </c>
      <c r="D50" t="s">
        <v>256</v>
      </c>
      <c r="E50" t="s">
        <v>257</v>
      </c>
      <c r="F50" t="s">
        <v>258</v>
      </c>
      <c r="G50" t="s">
        <v>258</v>
      </c>
      <c r="H50" t="s">
        <v>257</v>
      </c>
      <c r="I50" t="s">
        <v>258</v>
      </c>
      <c r="J50" t="s">
        <v>258</v>
      </c>
      <c r="K50" t="s">
        <v>257</v>
      </c>
      <c r="L50" t="s">
        <v>257</v>
      </c>
      <c r="M50" t="s">
        <v>263</v>
      </c>
      <c r="N50">
        <f>_xlfn.XLOOKUP(Table4[[#This Row],[app_id]],Table7[app_id],Table7[rating_given],"",0)</f>
        <v>4</v>
      </c>
    </row>
    <row r="51" spans="1:14" x14ac:dyDescent="0.25">
      <c r="A51" t="s">
        <v>315</v>
      </c>
      <c r="B51" t="s">
        <v>139</v>
      </c>
      <c r="C51" t="str">
        <f>_xlfn.XLOOKUP(Table4[[#This Row],[app_id]],Table5[app_id],Table5[category],"",0)</f>
        <v>Entertainment</v>
      </c>
      <c r="D51" t="s">
        <v>266</v>
      </c>
      <c r="E51" t="s">
        <v>257</v>
      </c>
      <c r="F51" t="s">
        <v>257</v>
      </c>
      <c r="G51" t="s">
        <v>257</v>
      </c>
      <c r="H51" t="s">
        <v>258</v>
      </c>
      <c r="I51" t="s">
        <v>258</v>
      </c>
      <c r="J51" t="s">
        <v>258</v>
      </c>
      <c r="K51" t="s">
        <v>258</v>
      </c>
      <c r="L51" t="s">
        <v>258</v>
      </c>
      <c r="M51" t="s">
        <v>259</v>
      </c>
      <c r="N51">
        <f>_xlfn.XLOOKUP(Table4[[#This Row],[app_id]],Table7[app_id],Table7[rating_given],"",0)</f>
        <v>4</v>
      </c>
    </row>
    <row r="52" spans="1:14" x14ac:dyDescent="0.25">
      <c r="A52" t="s">
        <v>316</v>
      </c>
      <c r="B52" t="s">
        <v>141</v>
      </c>
      <c r="C52" t="str">
        <f>_xlfn.XLOOKUP(Table4[[#This Row],[app_id]],Table5[app_id],Table5[category],"",0)</f>
        <v>Entertainment</v>
      </c>
      <c r="D52" t="s">
        <v>288</v>
      </c>
      <c r="E52" t="s">
        <v>257</v>
      </c>
      <c r="F52" t="s">
        <v>258</v>
      </c>
      <c r="G52" t="s">
        <v>257</v>
      </c>
      <c r="H52" t="s">
        <v>257</v>
      </c>
      <c r="I52" t="s">
        <v>258</v>
      </c>
      <c r="J52" t="s">
        <v>257</v>
      </c>
      <c r="K52" t="s">
        <v>258</v>
      </c>
      <c r="L52" t="s">
        <v>257</v>
      </c>
      <c r="M52" t="s">
        <v>259</v>
      </c>
      <c r="N52">
        <f>_xlfn.XLOOKUP(Table4[[#This Row],[app_id]],Table7[app_id],Table7[rating_given],"",0)</f>
        <v>4</v>
      </c>
    </row>
    <row r="53" spans="1:14" x14ac:dyDescent="0.25">
      <c r="A53" t="s">
        <v>317</v>
      </c>
      <c r="B53" t="s">
        <v>143</v>
      </c>
      <c r="C53" t="str">
        <f>_xlfn.XLOOKUP(Table4[[#This Row],[app_id]],Table5[app_id],Table5[category],"",0)</f>
        <v>Entertainment</v>
      </c>
      <c r="D53" t="s">
        <v>271</v>
      </c>
      <c r="E53" t="s">
        <v>257</v>
      </c>
      <c r="F53" t="s">
        <v>258</v>
      </c>
      <c r="G53" t="s">
        <v>258</v>
      </c>
      <c r="H53" t="s">
        <v>258</v>
      </c>
      <c r="I53" t="s">
        <v>257</v>
      </c>
      <c r="J53" t="s">
        <v>258</v>
      </c>
      <c r="K53" t="s">
        <v>257</v>
      </c>
      <c r="L53" t="s">
        <v>257</v>
      </c>
      <c r="M53" t="s">
        <v>263</v>
      </c>
      <c r="N53">
        <f>_xlfn.XLOOKUP(Table4[[#This Row],[app_id]],Table7[app_id],Table7[rating_given],"",0)</f>
        <v>3</v>
      </c>
    </row>
    <row r="54" spans="1:14" x14ac:dyDescent="0.25">
      <c r="A54" t="s">
        <v>318</v>
      </c>
      <c r="B54" t="s">
        <v>145</v>
      </c>
      <c r="C54" t="str">
        <f>_xlfn.XLOOKUP(Table4[[#This Row],[app_id]],Table5[app_id],Table5[category],"",0)</f>
        <v>Entertainment</v>
      </c>
      <c r="D54" t="s">
        <v>256</v>
      </c>
      <c r="E54" t="s">
        <v>257</v>
      </c>
      <c r="F54" t="s">
        <v>258</v>
      </c>
      <c r="G54" t="s">
        <v>257</v>
      </c>
      <c r="H54" t="s">
        <v>258</v>
      </c>
      <c r="I54" t="s">
        <v>257</v>
      </c>
      <c r="J54" t="s">
        <v>257</v>
      </c>
      <c r="K54" t="s">
        <v>257</v>
      </c>
      <c r="L54" t="s">
        <v>258</v>
      </c>
      <c r="M54" t="s">
        <v>263</v>
      </c>
      <c r="N54">
        <f>_xlfn.XLOOKUP(Table4[[#This Row],[app_id]],Table7[app_id],Table7[rating_given],"",0)</f>
        <v>4</v>
      </c>
    </row>
    <row r="55" spans="1:14" x14ac:dyDescent="0.25">
      <c r="A55" t="s">
        <v>319</v>
      </c>
      <c r="B55" t="s">
        <v>147</v>
      </c>
      <c r="C55" t="str">
        <f>_xlfn.XLOOKUP(Table4[[#This Row],[app_id]],Table5[app_id],Table5[category],"",0)</f>
        <v>Entertainment</v>
      </c>
      <c r="D55" t="s">
        <v>261</v>
      </c>
      <c r="E55" t="s">
        <v>257</v>
      </c>
      <c r="F55" t="s">
        <v>258</v>
      </c>
      <c r="G55" t="s">
        <v>257</v>
      </c>
      <c r="H55" t="s">
        <v>258</v>
      </c>
      <c r="I55" t="s">
        <v>257</v>
      </c>
      <c r="J55" t="s">
        <v>257</v>
      </c>
      <c r="K55" t="s">
        <v>257</v>
      </c>
      <c r="L55" t="s">
        <v>257</v>
      </c>
      <c r="M55" t="s">
        <v>263</v>
      </c>
      <c r="N55">
        <f>_xlfn.XLOOKUP(Table4[[#This Row],[app_id]],Table7[app_id],Table7[rating_given],"",0)</f>
        <v>4</v>
      </c>
    </row>
    <row r="56" spans="1:14" x14ac:dyDescent="0.25">
      <c r="A56" t="s">
        <v>320</v>
      </c>
      <c r="B56" t="s">
        <v>149</v>
      </c>
      <c r="C56" t="str">
        <f>_xlfn.XLOOKUP(Table4[[#This Row],[app_id]],Table5[app_id],Table5[category],"",0)</f>
        <v>Entertainment</v>
      </c>
      <c r="D56" t="s">
        <v>271</v>
      </c>
      <c r="E56" t="s">
        <v>257</v>
      </c>
      <c r="F56" t="s">
        <v>258</v>
      </c>
      <c r="G56" t="s">
        <v>258</v>
      </c>
      <c r="H56" t="s">
        <v>257</v>
      </c>
      <c r="I56" t="s">
        <v>257</v>
      </c>
      <c r="J56" t="s">
        <v>257</v>
      </c>
      <c r="K56" t="s">
        <v>257</v>
      </c>
      <c r="L56" t="s">
        <v>258</v>
      </c>
      <c r="M56" t="s">
        <v>276</v>
      </c>
      <c r="N56">
        <f>_xlfn.XLOOKUP(Table4[[#This Row],[app_id]],Table7[app_id],Table7[rating_given],"",0)</f>
        <v>3</v>
      </c>
    </row>
    <row r="57" spans="1:14" x14ac:dyDescent="0.25">
      <c r="A57" t="s">
        <v>321</v>
      </c>
      <c r="B57" t="s">
        <v>151</v>
      </c>
      <c r="C57" t="str">
        <f>_xlfn.XLOOKUP(Table4[[#This Row],[app_id]],Table5[app_id],Table5[category],"",0)</f>
        <v>Entertainment</v>
      </c>
      <c r="D57" t="s">
        <v>271</v>
      </c>
      <c r="E57" t="s">
        <v>257</v>
      </c>
      <c r="F57" t="s">
        <v>257</v>
      </c>
      <c r="G57" t="s">
        <v>258</v>
      </c>
      <c r="H57" t="s">
        <v>257</v>
      </c>
      <c r="I57" t="s">
        <v>257</v>
      </c>
      <c r="J57" t="s">
        <v>257</v>
      </c>
      <c r="K57" t="s">
        <v>257</v>
      </c>
      <c r="L57" t="s">
        <v>258</v>
      </c>
      <c r="M57" t="s">
        <v>259</v>
      </c>
      <c r="N57">
        <f>_xlfn.XLOOKUP(Table4[[#This Row],[app_id]],Table7[app_id],Table7[rating_given],"",0)</f>
        <v>5</v>
      </c>
    </row>
    <row r="58" spans="1:14" x14ac:dyDescent="0.25">
      <c r="A58" t="s">
        <v>322</v>
      </c>
      <c r="B58" t="s">
        <v>153</v>
      </c>
      <c r="C58" t="str">
        <f>_xlfn.XLOOKUP(Table4[[#This Row],[app_id]],Table5[app_id],Table5[category],"",0)</f>
        <v>Entertainment</v>
      </c>
      <c r="D58" t="s">
        <v>288</v>
      </c>
      <c r="E58" t="s">
        <v>257</v>
      </c>
      <c r="F58" t="s">
        <v>258</v>
      </c>
      <c r="G58" t="s">
        <v>258</v>
      </c>
      <c r="H58" t="s">
        <v>257</v>
      </c>
      <c r="I58" t="s">
        <v>258</v>
      </c>
      <c r="J58" t="s">
        <v>257</v>
      </c>
      <c r="K58" t="s">
        <v>258</v>
      </c>
      <c r="L58" t="s">
        <v>258</v>
      </c>
      <c r="M58" t="s">
        <v>263</v>
      </c>
      <c r="N58">
        <f>_xlfn.XLOOKUP(Table4[[#This Row],[app_id]],Table7[app_id],Table7[rating_given],"",0)</f>
        <v>4</v>
      </c>
    </row>
    <row r="59" spans="1:14" x14ac:dyDescent="0.25">
      <c r="A59" t="s">
        <v>323</v>
      </c>
      <c r="B59" t="s">
        <v>155</v>
      </c>
      <c r="C59" t="str">
        <f>_xlfn.XLOOKUP(Table4[[#This Row],[app_id]],Table5[app_id],Table5[category],"",0)</f>
        <v>Entertainment</v>
      </c>
      <c r="D59" t="s">
        <v>261</v>
      </c>
      <c r="E59" t="s">
        <v>257</v>
      </c>
      <c r="F59" t="s">
        <v>258</v>
      </c>
      <c r="G59" t="s">
        <v>257</v>
      </c>
      <c r="H59" t="s">
        <v>257</v>
      </c>
      <c r="I59" t="s">
        <v>257</v>
      </c>
      <c r="J59" t="s">
        <v>257</v>
      </c>
      <c r="K59" t="s">
        <v>257</v>
      </c>
      <c r="L59" t="s">
        <v>258</v>
      </c>
      <c r="M59" t="s">
        <v>276</v>
      </c>
      <c r="N59">
        <f>_xlfn.XLOOKUP(Table4[[#This Row],[app_id]],Table7[app_id],Table7[rating_given],"",0)</f>
        <v>5</v>
      </c>
    </row>
    <row r="60" spans="1:14" x14ac:dyDescent="0.25">
      <c r="A60" t="s">
        <v>324</v>
      </c>
      <c r="B60" t="s">
        <v>157</v>
      </c>
      <c r="C60" t="str">
        <f>_xlfn.XLOOKUP(Table4[[#This Row],[app_id]],Table5[app_id],Table5[category],"",0)</f>
        <v>Entertainment</v>
      </c>
      <c r="D60" t="s">
        <v>261</v>
      </c>
      <c r="E60" t="s">
        <v>257</v>
      </c>
      <c r="F60" t="s">
        <v>258</v>
      </c>
      <c r="G60" t="s">
        <v>258</v>
      </c>
      <c r="H60" t="s">
        <v>258</v>
      </c>
      <c r="I60" t="s">
        <v>258</v>
      </c>
      <c r="J60" t="s">
        <v>257</v>
      </c>
      <c r="K60" t="s">
        <v>257</v>
      </c>
      <c r="L60" t="s">
        <v>258</v>
      </c>
      <c r="M60" t="s">
        <v>276</v>
      </c>
      <c r="N60">
        <f>_xlfn.XLOOKUP(Table4[[#This Row],[app_id]],Table7[app_id],Table7[rating_given],"",0)</f>
        <v>3</v>
      </c>
    </row>
    <row r="61" spans="1:14" x14ac:dyDescent="0.25">
      <c r="A61" t="s">
        <v>325</v>
      </c>
      <c r="B61" t="s">
        <v>159</v>
      </c>
      <c r="C61" t="str">
        <f>_xlfn.XLOOKUP(Table4[[#This Row],[app_id]],Table5[app_id],Table5[category],"",0)</f>
        <v>Entertainment</v>
      </c>
      <c r="D61" t="s">
        <v>256</v>
      </c>
      <c r="E61" t="s">
        <v>257</v>
      </c>
      <c r="F61" t="s">
        <v>258</v>
      </c>
      <c r="G61" t="s">
        <v>258</v>
      </c>
      <c r="H61" t="s">
        <v>258</v>
      </c>
      <c r="I61" t="s">
        <v>258</v>
      </c>
      <c r="J61" t="s">
        <v>257</v>
      </c>
      <c r="K61" t="s">
        <v>257</v>
      </c>
      <c r="L61" t="s">
        <v>258</v>
      </c>
      <c r="M61" t="s">
        <v>263</v>
      </c>
      <c r="N61">
        <f>_xlfn.XLOOKUP(Table4[[#This Row],[app_id]],Table7[app_id],Table7[rating_given],"",0)</f>
        <v>5</v>
      </c>
    </row>
    <row r="62" spans="1:14" x14ac:dyDescent="0.25">
      <c r="A62" t="s">
        <v>326</v>
      </c>
      <c r="B62" t="s">
        <v>161</v>
      </c>
      <c r="C62" t="str">
        <f>_xlfn.XLOOKUP(Table4[[#This Row],[app_id]],Table5[app_id],Table5[category],"",0)</f>
        <v>Food Delivery</v>
      </c>
      <c r="D62" t="s">
        <v>288</v>
      </c>
      <c r="E62" t="s">
        <v>258</v>
      </c>
      <c r="F62" t="s">
        <v>257</v>
      </c>
      <c r="G62" t="s">
        <v>258</v>
      </c>
      <c r="H62" t="s">
        <v>257</v>
      </c>
      <c r="I62" t="s">
        <v>257</v>
      </c>
      <c r="J62" t="s">
        <v>258</v>
      </c>
      <c r="K62" t="s">
        <v>257</v>
      </c>
      <c r="L62" t="s">
        <v>257</v>
      </c>
      <c r="M62" t="s">
        <v>263</v>
      </c>
      <c r="N62">
        <f>_xlfn.XLOOKUP(Table4[[#This Row],[app_id]],Table7[app_id],Table7[rating_given],"",0)</f>
        <v>3</v>
      </c>
    </row>
    <row r="63" spans="1:14" x14ac:dyDescent="0.25">
      <c r="A63" t="s">
        <v>327</v>
      </c>
      <c r="B63" t="s">
        <v>164</v>
      </c>
      <c r="C63" t="str">
        <f>_xlfn.XLOOKUP(Table4[[#This Row],[app_id]],Table5[app_id],Table5[category],"",0)</f>
        <v>Food Delivery</v>
      </c>
      <c r="D63" t="s">
        <v>266</v>
      </c>
      <c r="E63" t="s">
        <v>257</v>
      </c>
      <c r="F63" t="s">
        <v>258</v>
      </c>
      <c r="G63" t="s">
        <v>258</v>
      </c>
      <c r="H63" t="s">
        <v>257</v>
      </c>
      <c r="I63" t="s">
        <v>258</v>
      </c>
      <c r="J63" t="s">
        <v>257</v>
      </c>
      <c r="K63" t="s">
        <v>257</v>
      </c>
      <c r="L63" t="s">
        <v>258</v>
      </c>
      <c r="M63" t="s">
        <v>259</v>
      </c>
      <c r="N63">
        <f>_xlfn.XLOOKUP(Table4[[#This Row],[app_id]],Table7[app_id],Table7[rating_given],"",0)</f>
        <v>3</v>
      </c>
    </row>
    <row r="64" spans="1:14" x14ac:dyDescent="0.25">
      <c r="A64" t="s">
        <v>328</v>
      </c>
      <c r="B64" t="s">
        <v>166</v>
      </c>
      <c r="C64" t="str">
        <f>_xlfn.XLOOKUP(Table4[[#This Row],[app_id]],Table5[app_id],Table5[category],"",0)</f>
        <v>Food Delivery</v>
      </c>
      <c r="D64" t="s">
        <v>266</v>
      </c>
      <c r="E64" t="s">
        <v>257</v>
      </c>
      <c r="F64" t="s">
        <v>258</v>
      </c>
      <c r="G64" t="s">
        <v>257</v>
      </c>
      <c r="H64" t="s">
        <v>257</v>
      </c>
      <c r="I64" t="s">
        <v>258</v>
      </c>
      <c r="J64" t="s">
        <v>258</v>
      </c>
      <c r="K64" t="s">
        <v>257</v>
      </c>
      <c r="L64" t="s">
        <v>257</v>
      </c>
      <c r="M64" t="s">
        <v>259</v>
      </c>
      <c r="N64">
        <f>_xlfn.XLOOKUP(Table4[[#This Row],[app_id]],Table7[app_id],Table7[rating_given],"",0)</f>
        <v>3</v>
      </c>
    </row>
    <row r="65" spans="1:14" x14ac:dyDescent="0.25">
      <c r="A65" t="s">
        <v>329</v>
      </c>
      <c r="B65" t="s">
        <v>168</v>
      </c>
      <c r="C65" t="str">
        <f>_xlfn.XLOOKUP(Table4[[#This Row],[app_id]],Table5[app_id],Table5[category],"",0)</f>
        <v>Food Delivery</v>
      </c>
      <c r="D65" t="s">
        <v>266</v>
      </c>
      <c r="E65" t="s">
        <v>257</v>
      </c>
      <c r="F65" t="s">
        <v>258</v>
      </c>
      <c r="G65" t="s">
        <v>257</v>
      </c>
      <c r="H65" t="s">
        <v>258</v>
      </c>
      <c r="I65" t="s">
        <v>258</v>
      </c>
      <c r="J65" t="s">
        <v>257</v>
      </c>
      <c r="K65" t="s">
        <v>257</v>
      </c>
      <c r="L65" t="s">
        <v>258</v>
      </c>
      <c r="M65" t="s">
        <v>259</v>
      </c>
      <c r="N65">
        <f>_xlfn.XLOOKUP(Table4[[#This Row],[app_id]],Table7[app_id],Table7[rating_given],"",0)</f>
        <v>3</v>
      </c>
    </row>
    <row r="66" spans="1:14" x14ac:dyDescent="0.25">
      <c r="A66" t="s">
        <v>330</v>
      </c>
      <c r="B66" t="s">
        <v>170</v>
      </c>
      <c r="C66" t="str">
        <f>_xlfn.XLOOKUP(Table4[[#This Row],[app_id]],Table5[app_id],Table5[category],"",0)</f>
        <v>Food Delivery</v>
      </c>
      <c r="D66" t="s">
        <v>269</v>
      </c>
      <c r="E66" t="s">
        <v>257</v>
      </c>
      <c r="F66" t="s">
        <v>257</v>
      </c>
      <c r="G66" t="s">
        <v>258</v>
      </c>
      <c r="H66" t="s">
        <v>257</v>
      </c>
      <c r="I66" t="s">
        <v>257</v>
      </c>
      <c r="J66" t="s">
        <v>257</v>
      </c>
      <c r="K66" t="s">
        <v>257</v>
      </c>
      <c r="L66" t="s">
        <v>258</v>
      </c>
      <c r="M66" t="s">
        <v>259</v>
      </c>
      <c r="N66">
        <f>_xlfn.XLOOKUP(Table4[[#This Row],[app_id]],Table7[app_id],Table7[rating_given],"",0)</f>
        <v>5</v>
      </c>
    </row>
    <row r="67" spans="1:14" x14ac:dyDescent="0.25">
      <c r="A67" t="s">
        <v>331</v>
      </c>
      <c r="B67" t="s">
        <v>172</v>
      </c>
      <c r="C67" t="str">
        <f>_xlfn.XLOOKUP(Table4[[#This Row],[app_id]],Table5[app_id],Table5[category],"",0)</f>
        <v>Food Delivery</v>
      </c>
      <c r="D67" t="s">
        <v>288</v>
      </c>
      <c r="E67" t="s">
        <v>257</v>
      </c>
      <c r="F67" t="s">
        <v>258</v>
      </c>
      <c r="G67" t="s">
        <v>257</v>
      </c>
      <c r="H67" t="s">
        <v>257</v>
      </c>
      <c r="I67" t="s">
        <v>258</v>
      </c>
      <c r="J67" t="s">
        <v>257</v>
      </c>
      <c r="K67" t="s">
        <v>257</v>
      </c>
      <c r="L67" t="s">
        <v>258</v>
      </c>
      <c r="M67" t="s">
        <v>263</v>
      </c>
      <c r="N67">
        <f>_xlfn.XLOOKUP(Table4[[#This Row],[app_id]],Table7[app_id],Table7[rating_given],"",0)</f>
        <v>4</v>
      </c>
    </row>
    <row r="68" spans="1:14" x14ac:dyDescent="0.25">
      <c r="A68" t="s">
        <v>332</v>
      </c>
      <c r="B68" t="s">
        <v>174</v>
      </c>
      <c r="C68" t="str">
        <f>_xlfn.XLOOKUP(Table4[[#This Row],[app_id]],Table5[app_id],Table5[category],"",0)</f>
        <v>Food Delivery</v>
      </c>
      <c r="D68" t="s">
        <v>261</v>
      </c>
      <c r="E68" t="s">
        <v>257</v>
      </c>
      <c r="F68" t="s">
        <v>258</v>
      </c>
      <c r="G68" t="s">
        <v>257</v>
      </c>
      <c r="H68" t="s">
        <v>257</v>
      </c>
      <c r="I68" t="s">
        <v>258</v>
      </c>
      <c r="J68" t="s">
        <v>257</v>
      </c>
      <c r="K68" t="s">
        <v>258</v>
      </c>
      <c r="L68" t="s">
        <v>257</v>
      </c>
      <c r="M68" t="s">
        <v>263</v>
      </c>
      <c r="N68">
        <f>_xlfn.XLOOKUP(Table4[[#This Row],[app_id]],Table7[app_id],Table7[rating_given],"",0)</f>
        <v>3</v>
      </c>
    </row>
    <row r="69" spans="1:14" x14ac:dyDescent="0.25">
      <c r="A69" t="s">
        <v>333</v>
      </c>
      <c r="B69" t="s">
        <v>176</v>
      </c>
      <c r="C69" t="str">
        <f>_xlfn.XLOOKUP(Table4[[#This Row],[app_id]],Table5[app_id],Table5[category],"",0)</f>
        <v>Food Delivery</v>
      </c>
      <c r="D69" t="s">
        <v>266</v>
      </c>
      <c r="E69" t="s">
        <v>257</v>
      </c>
      <c r="F69" t="s">
        <v>257</v>
      </c>
      <c r="G69" t="s">
        <v>258</v>
      </c>
      <c r="H69" t="s">
        <v>258</v>
      </c>
      <c r="I69" t="s">
        <v>257</v>
      </c>
      <c r="J69" t="s">
        <v>258</v>
      </c>
      <c r="K69" t="s">
        <v>257</v>
      </c>
      <c r="L69" t="s">
        <v>258</v>
      </c>
      <c r="M69" t="s">
        <v>259</v>
      </c>
      <c r="N69">
        <f>_xlfn.XLOOKUP(Table4[[#This Row],[app_id]],Table7[app_id],Table7[rating_given],"",0)</f>
        <v>5</v>
      </c>
    </row>
    <row r="70" spans="1:14" x14ac:dyDescent="0.25">
      <c r="A70" t="s">
        <v>334</v>
      </c>
      <c r="B70" t="s">
        <v>178</v>
      </c>
      <c r="C70" t="str">
        <f>_xlfn.XLOOKUP(Table4[[#This Row],[app_id]],Table5[app_id],Table5[category],"",0)</f>
        <v>Food Delivery</v>
      </c>
      <c r="D70" t="s">
        <v>266</v>
      </c>
      <c r="E70" t="s">
        <v>257</v>
      </c>
      <c r="F70" t="s">
        <v>258</v>
      </c>
      <c r="G70" t="s">
        <v>258</v>
      </c>
      <c r="H70" t="s">
        <v>257</v>
      </c>
      <c r="I70" t="s">
        <v>257</v>
      </c>
      <c r="J70" t="s">
        <v>257</v>
      </c>
      <c r="K70" t="s">
        <v>257</v>
      </c>
      <c r="L70" t="s">
        <v>258</v>
      </c>
      <c r="M70" t="s">
        <v>259</v>
      </c>
      <c r="N70">
        <f>_xlfn.XLOOKUP(Table4[[#This Row],[app_id]],Table7[app_id],Table7[rating_given],"",0)</f>
        <v>4</v>
      </c>
    </row>
    <row r="71" spans="1:14" x14ac:dyDescent="0.25">
      <c r="A71" t="s">
        <v>335</v>
      </c>
      <c r="B71" t="s">
        <v>180</v>
      </c>
      <c r="C71" t="str">
        <f>_xlfn.XLOOKUP(Table4[[#This Row],[app_id]],Table5[app_id],Table5[category],"",0)</f>
        <v>Food Delivery</v>
      </c>
      <c r="D71" t="s">
        <v>266</v>
      </c>
      <c r="E71" t="s">
        <v>257</v>
      </c>
      <c r="F71" t="s">
        <v>258</v>
      </c>
      <c r="G71" t="s">
        <v>257</v>
      </c>
      <c r="H71" t="s">
        <v>257</v>
      </c>
      <c r="I71" t="s">
        <v>258</v>
      </c>
      <c r="J71" t="s">
        <v>257</v>
      </c>
      <c r="K71" t="s">
        <v>257</v>
      </c>
      <c r="L71" t="s">
        <v>258</v>
      </c>
      <c r="M71" t="s">
        <v>259</v>
      </c>
      <c r="N71">
        <f>_xlfn.XLOOKUP(Table4[[#This Row],[app_id]],Table7[app_id],Table7[rating_given],"",0)</f>
        <v>3</v>
      </c>
    </row>
    <row r="72" spans="1:14" x14ac:dyDescent="0.25">
      <c r="A72" t="s">
        <v>336</v>
      </c>
      <c r="B72" t="s">
        <v>182</v>
      </c>
      <c r="C72" t="str">
        <f>_xlfn.XLOOKUP(Table4[[#This Row],[app_id]],Table5[app_id],Table5[category],"",0)</f>
        <v>Travel</v>
      </c>
      <c r="D72" t="s">
        <v>288</v>
      </c>
      <c r="E72" t="s">
        <v>258</v>
      </c>
      <c r="F72" t="s">
        <v>258</v>
      </c>
      <c r="G72" t="s">
        <v>257</v>
      </c>
      <c r="H72" t="s">
        <v>257</v>
      </c>
      <c r="I72" t="s">
        <v>258</v>
      </c>
      <c r="J72" t="s">
        <v>258</v>
      </c>
      <c r="K72" t="s">
        <v>257</v>
      </c>
      <c r="L72" t="s">
        <v>258</v>
      </c>
      <c r="M72" t="s">
        <v>263</v>
      </c>
      <c r="N72">
        <f>_xlfn.XLOOKUP(Table4[[#This Row],[app_id]],Table7[app_id],Table7[rating_given],"",0)</f>
        <v>4</v>
      </c>
    </row>
    <row r="73" spans="1:14" x14ac:dyDescent="0.25">
      <c r="A73" t="s">
        <v>337</v>
      </c>
      <c r="B73" t="s">
        <v>185</v>
      </c>
      <c r="C73" t="str">
        <f>_xlfn.XLOOKUP(Table4[[#This Row],[app_id]],Table5[app_id],Table5[category],"",0)</f>
        <v>Travel</v>
      </c>
      <c r="D73" t="s">
        <v>288</v>
      </c>
      <c r="E73" t="s">
        <v>257</v>
      </c>
      <c r="F73" t="s">
        <v>257</v>
      </c>
      <c r="G73" t="s">
        <v>258</v>
      </c>
      <c r="H73" t="s">
        <v>257</v>
      </c>
      <c r="I73" t="s">
        <v>258</v>
      </c>
      <c r="J73" t="s">
        <v>257</v>
      </c>
      <c r="K73" t="s">
        <v>257</v>
      </c>
      <c r="L73" t="s">
        <v>258</v>
      </c>
      <c r="M73" t="s">
        <v>276</v>
      </c>
      <c r="N73">
        <f>_xlfn.XLOOKUP(Table4[[#This Row],[app_id]],Table7[app_id],Table7[rating_given],"",0)</f>
        <v>2</v>
      </c>
    </row>
    <row r="74" spans="1:14" x14ac:dyDescent="0.25">
      <c r="A74" t="s">
        <v>338</v>
      </c>
      <c r="B74" t="s">
        <v>187</v>
      </c>
      <c r="C74" t="str">
        <f>_xlfn.XLOOKUP(Table4[[#This Row],[app_id]],Table5[app_id],Table5[category],"",0)</f>
        <v>Travel</v>
      </c>
      <c r="D74" t="s">
        <v>288</v>
      </c>
      <c r="E74" t="s">
        <v>257</v>
      </c>
      <c r="F74" t="s">
        <v>257</v>
      </c>
      <c r="G74" t="s">
        <v>258</v>
      </c>
      <c r="H74" t="s">
        <v>257</v>
      </c>
      <c r="I74" t="s">
        <v>257</v>
      </c>
      <c r="J74" t="s">
        <v>257</v>
      </c>
      <c r="K74" t="s">
        <v>257</v>
      </c>
      <c r="L74" t="s">
        <v>257</v>
      </c>
      <c r="M74" t="s">
        <v>259</v>
      </c>
      <c r="N74">
        <f>_xlfn.XLOOKUP(Table4[[#This Row],[app_id]],Table7[app_id],Table7[rating_given],"",0)</f>
        <v>4</v>
      </c>
    </row>
    <row r="75" spans="1:14" x14ac:dyDescent="0.25">
      <c r="A75" t="s">
        <v>339</v>
      </c>
      <c r="B75" t="s">
        <v>189</v>
      </c>
      <c r="C75" t="str">
        <f>_xlfn.XLOOKUP(Table4[[#This Row],[app_id]],Table5[app_id],Table5[category],"",0)</f>
        <v>Travel</v>
      </c>
      <c r="D75" t="s">
        <v>261</v>
      </c>
      <c r="E75" t="s">
        <v>258</v>
      </c>
      <c r="F75" t="s">
        <v>257</v>
      </c>
      <c r="G75" t="s">
        <v>258</v>
      </c>
      <c r="H75" t="s">
        <v>257</v>
      </c>
      <c r="I75" t="s">
        <v>257</v>
      </c>
      <c r="J75" t="s">
        <v>257</v>
      </c>
      <c r="K75" t="s">
        <v>257</v>
      </c>
      <c r="L75" t="s">
        <v>258</v>
      </c>
      <c r="M75" t="s">
        <v>259</v>
      </c>
      <c r="N75">
        <f>_xlfn.XLOOKUP(Table4[[#This Row],[app_id]],Table7[app_id],Table7[rating_given],"",0)</f>
        <v>4</v>
      </c>
    </row>
    <row r="76" spans="1:14" x14ac:dyDescent="0.25">
      <c r="A76" t="s">
        <v>340</v>
      </c>
      <c r="B76" t="s">
        <v>191</v>
      </c>
      <c r="C76" t="str">
        <f>_xlfn.XLOOKUP(Table4[[#This Row],[app_id]],Table5[app_id],Table5[category],"",0)</f>
        <v>Travel</v>
      </c>
      <c r="D76" t="s">
        <v>269</v>
      </c>
      <c r="E76" t="s">
        <v>257</v>
      </c>
      <c r="F76" t="s">
        <v>257</v>
      </c>
      <c r="G76" t="s">
        <v>257</v>
      </c>
      <c r="H76" t="s">
        <v>258</v>
      </c>
      <c r="I76" t="s">
        <v>258</v>
      </c>
      <c r="J76" t="s">
        <v>257</v>
      </c>
      <c r="K76" t="s">
        <v>257</v>
      </c>
      <c r="L76" t="s">
        <v>258</v>
      </c>
      <c r="M76" t="s">
        <v>259</v>
      </c>
      <c r="N76">
        <f>_xlfn.XLOOKUP(Table4[[#This Row],[app_id]],Table7[app_id],Table7[rating_given],"",0)</f>
        <v>3</v>
      </c>
    </row>
    <row r="77" spans="1:14" x14ac:dyDescent="0.25">
      <c r="A77" t="s">
        <v>341</v>
      </c>
      <c r="B77" t="s">
        <v>193</v>
      </c>
      <c r="C77" t="str">
        <f>_xlfn.XLOOKUP(Table4[[#This Row],[app_id]],Table5[app_id],Table5[category],"",0)</f>
        <v>Travel</v>
      </c>
      <c r="D77" t="s">
        <v>288</v>
      </c>
      <c r="E77" t="s">
        <v>257</v>
      </c>
      <c r="F77" t="s">
        <v>258</v>
      </c>
      <c r="G77" t="s">
        <v>258</v>
      </c>
      <c r="H77" t="s">
        <v>257</v>
      </c>
      <c r="I77" t="s">
        <v>257</v>
      </c>
      <c r="J77" t="s">
        <v>257</v>
      </c>
      <c r="K77" t="s">
        <v>257</v>
      </c>
      <c r="L77" t="s">
        <v>258</v>
      </c>
      <c r="M77" t="s">
        <v>263</v>
      </c>
      <c r="N77">
        <f>_xlfn.XLOOKUP(Table4[[#This Row],[app_id]],Table7[app_id],Table7[rating_given],"",0)</f>
        <v>2</v>
      </c>
    </row>
    <row r="78" spans="1:14" x14ac:dyDescent="0.25">
      <c r="A78" t="s">
        <v>342</v>
      </c>
      <c r="B78" t="s">
        <v>195</v>
      </c>
      <c r="C78" t="str">
        <f>_xlfn.XLOOKUP(Table4[[#This Row],[app_id]],Table5[app_id],Table5[category],"",0)</f>
        <v>Travel</v>
      </c>
      <c r="D78" t="s">
        <v>256</v>
      </c>
      <c r="E78" t="s">
        <v>257</v>
      </c>
      <c r="F78" t="s">
        <v>258</v>
      </c>
      <c r="G78" t="s">
        <v>257</v>
      </c>
      <c r="H78" t="s">
        <v>257</v>
      </c>
      <c r="I78" t="s">
        <v>257</v>
      </c>
      <c r="J78" t="s">
        <v>257</v>
      </c>
      <c r="K78" t="s">
        <v>257</v>
      </c>
      <c r="L78" t="s">
        <v>257</v>
      </c>
      <c r="M78" t="s">
        <v>259</v>
      </c>
      <c r="N78">
        <f>_xlfn.XLOOKUP(Table4[[#This Row],[app_id]],Table7[app_id],Table7[rating_given],"",0)</f>
        <v>2</v>
      </c>
    </row>
    <row r="79" spans="1:14" x14ac:dyDescent="0.25">
      <c r="A79" t="s">
        <v>343</v>
      </c>
      <c r="B79" t="s">
        <v>197</v>
      </c>
      <c r="C79" t="str">
        <f>_xlfn.XLOOKUP(Table4[[#This Row],[app_id]],Table5[app_id],Table5[category],"",0)</f>
        <v>Travel</v>
      </c>
      <c r="D79" t="s">
        <v>269</v>
      </c>
      <c r="E79" t="s">
        <v>257</v>
      </c>
      <c r="F79" t="s">
        <v>257</v>
      </c>
      <c r="G79" t="s">
        <v>258</v>
      </c>
      <c r="H79" t="s">
        <v>257</v>
      </c>
      <c r="I79" t="s">
        <v>258</v>
      </c>
      <c r="J79" t="s">
        <v>257</v>
      </c>
      <c r="K79" t="s">
        <v>258</v>
      </c>
      <c r="L79" t="s">
        <v>258</v>
      </c>
      <c r="M79" t="s">
        <v>263</v>
      </c>
      <c r="N79">
        <f>_xlfn.XLOOKUP(Table4[[#This Row],[app_id]],Table7[app_id],Table7[rating_given],"",0)</f>
        <v>3</v>
      </c>
    </row>
    <row r="80" spans="1:14" x14ac:dyDescent="0.25">
      <c r="A80" t="s">
        <v>344</v>
      </c>
      <c r="B80" t="s">
        <v>199</v>
      </c>
      <c r="C80" t="str">
        <f>_xlfn.XLOOKUP(Table4[[#This Row],[app_id]],Table5[app_id],Table5[category],"",0)</f>
        <v>Travel</v>
      </c>
      <c r="D80" t="s">
        <v>271</v>
      </c>
      <c r="E80" t="s">
        <v>258</v>
      </c>
      <c r="F80" t="s">
        <v>257</v>
      </c>
      <c r="G80" t="s">
        <v>258</v>
      </c>
      <c r="H80" t="s">
        <v>257</v>
      </c>
      <c r="I80" t="s">
        <v>257</v>
      </c>
      <c r="J80" t="s">
        <v>257</v>
      </c>
      <c r="K80" t="s">
        <v>257</v>
      </c>
      <c r="L80" t="s">
        <v>257</v>
      </c>
      <c r="M80" t="s">
        <v>276</v>
      </c>
      <c r="N80">
        <f>_xlfn.XLOOKUP(Table4[[#This Row],[app_id]],Table7[app_id],Table7[rating_given],"",0)</f>
        <v>3</v>
      </c>
    </row>
    <row r="81" spans="1:14" x14ac:dyDescent="0.25">
      <c r="A81" t="s">
        <v>345</v>
      </c>
      <c r="B81" t="s">
        <v>201</v>
      </c>
      <c r="C81" t="str">
        <f>_xlfn.XLOOKUP(Table4[[#This Row],[app_id]],Table5[app_id],Table5[category],"",0)</f>
        <v>Travel</v>
      </c>
      <c r="D81" t="s">
        <v>266</v>
      </c>
      <c r="E81" t="s">
        <v>257</v>
      </c>
      <c r="F81" t="s">
        <v>257</v>
      </c>
      <c r="G81" t="s">
        <v>258</v>
      </c>
      <c r="H81" t="s">
        <v>257</v>
      </c>
      <c r="I81" t="s">
        <v>257</v>
      </c>
      <c r="J81" t="s">
        <v>258</v>
      </c>
      <c r="K81" t="s">
        <v>258</v>
      </c>
      <c r="L81" t="s">
        <v>258</v>
      </c>
      <c r="M81" t="s">
        <v>263</v>
      </c>
      <c r="N81">
        <f>_xlfn.XLOOKUP(Table4[[#This Row],[app_id]],Table7[app_id],Table7[rating_given],"",0)</f>
        <v>4</v>
      </c>
    </row>
    <row r="82" spans="1:14" x14ac:dyDescent="0.25">
      <c r="A82" t="s">
        <v>346</v>
      </c>
      <c r="B82" t="s">
        <v>203</v>
      </c>
      <c r="C82" t="str">
        <f>_xlfn.XLOOKUP(Table4[[#This Row],[app_id]],Table5[app_id],Table5[category],"",0)</f>
        <v>Productivity</v>
      </c>
      <c r="D82" t="s">
        <v>261</v>
      </c>
      <c r="E82" t="s">
        <v>257</v>
      </c>
      <c r="F82" t="s">
        <v>258</v>
      </c>
      <c r="G82" t="s">
        <v>258</v>
      </c>
      <c r="H82" t="s">
        <v>257</v>
      </c>
      <c r="I82" t="s">
        <v>258</v>
      </c>
      <c r="J82" t="s">
        <v>258</v>
      </c>
      <c r="K82" t="s">
        <v>258</v>
      </c>
      <c r="L82" t="s">
        <v>257</v>
      </c>
      <c r="M82" t="s">
        <v>263</v>
      </c>
      <c r="N82">
        <f>_xlfn.XLOOKUP(Table4[[#This Row],[app_id]],Table7[app_id],Table7[rating_given],"",0)</f>
        <v>4</v>
      </c>
    </row>
    <row r="83" spans="1:14" x14ac:dyDescent="0.25">
      <c r="A83" t="s">
        <v>347</v>
      </c>
      <c r="B83" t="s">
        <v>206</v>
      </c>
      <c r="C83" t="str">
        <f>_xlfn.XLOOKUP(Table4[[#This Row],[app_id]],Table5[app_id],Table5[category],"",0)</f>
        <v>Productivity</v>
      </c>
      <c r="D83" t="s">
        <v>256</v>
      </c>
      <c r="E83" t="s">
        <v>257</v>
      </c>
      <c r="F83" t="s">
        <v>257</v>
      </c>
      <c r="G83" t="s">
        <v>257</v>
      </c>
      <c r="H83" t="s">
        <v>258</v>
      </c>
      <c r="I83" t="s">
        <v>257</v>
      </c>
      <c r="J83" t="s">
        <v>257</v>
      </c>
      <c r="K83" t="s">
        <v>257</v>
      </c>
      <c r="L83" t="s">
        <v>258</v>
      </c>
      <c r="M83" t="s">
        <v>259</v>
      </c>
      <c r="N83">
        <f>_xlfn.XLOOKUP(Table4[[#This Row],[app_id]],Table7[app_id],Table7[rating_given],"",0)</f>
        <v>4</v>
      </c>
    </row>
    <row r="84" spans="1:14" x14ac:dyDescent="0.25">
      <c r="A84" t="s">
        <v>348</v>
      </c>
      <c r="B84" t="s">
        <v>208</v>
      </c>
      <c r="C84" t="str">
        <f>_xlfn.XLOOKUP(Table4[[#This Row],[app_id]],Table5[app_id],Table5[category],"",0)</f>
        <v>Productivity</v>
      </c>
      <c r="D84" t="s">
        <v>271</v>
      </c>
      <c r="E84" t="s">
        <v>257</v>
      </c>
      <c r="F84" t="s">
        <v>258</v>
      </c>
      <c r="G84" t="s">
        <v>257</v>
      </c>
      <c r="H84" t="s">
        <v>258</v>
      </c>
      <c r="I84" t="s">
        <v>258</v>
      </c>
      <c r="J84" t="s">
        <v>258</v>
      </c>
      <c r="K84" t="s">
        <v>257</v>
      </c>
      <c r="L84" t="s">
        <v>257</v>
      </c>
      <c r="M84" t="s">
        <v>259</v>
      </c>
      <c r="N84">
        <f>_xlfn.XLOOKUP(Table4[[#This Row],[app_id]],Table7[app_id],Table7[rating_given],"",0)</f>
        <v>4</v>
      </c>
    </row>
    <row r="85" spans="1:14" x14ac:dyDescent="0.25">
      <c r="A85" t="s">
        <v>349</v>
      </c>
      <c r="B85" t="s">
        <v>210</v>
      </c>
      <c r="C85" t="str">
        <f>_xlfn.XLOOKUP(Table4[[#This Row],[app_id]],Table5[app_id],Table5[category],"",0)</f>
        <v>Productivity</v>
      </c>
      <c r="D85" t="s">
        <v>261</v>
      </c>
      <c r="E85" t="s">
        <v>257</v>
      </c>
      <c r="F85" t="s">
        <v>257</v>
      </c>
      <c r="G85" t="s">
        <v>258</v>
      </c>
      <c r="H85" t="s">
        <v>258</v>
      </c>
      <c r="I85" t="s">
        <v>258</v>
      </c>
      <c r="J85" t="s">
        <v>258</v>
      </c>
      <c r="K85" t="s">
        <v>258</v>
      </c>
      <c r="L85" t="s">
        <v>257</v>
      </c>
      <c r="M85" t="s">
        <v>263</v>
      </c>
      <c r="N85">
        <f>_xlfn.XLOOKUP(Table4[[#This Row],[app_id]],Table7[app_id],Table7[rating_given],"",0)</f>
        <v>4</v>
      </c>
    </row>
    <row r="86" spans="1:14" x14ac:dyDescent="0.25">
      <c r="A86" t="s">
        <v>350</v>
      </c>
      <c r="B86" t="s">
        <v>212</v>
      </c>
      <c r="C86" t="str">
        <f>_xlfn.XLOOKUP(Table4[[#This Row],[app_id]],Table5[app_id],Table5[category],"",0)</f>
        <v>Productivity</v>
      </c>
      <c r="D86" t="s">
        <v>271</v>
      </c>
      <c r="E86" t="s">
        <v>257</v>
      </c>
      <c r="F86" t="s">
        <v>258</v>
      </c>
      <c r="G86" t="s">
        <v>257</v>
      </c>
      <c r="H86" t="s">
        <v>257</v>
      </c>
      <c r="I86" t="s">
        <v>258</v>
      </c>
      <c r="J86" t="s">
        <v>258</v>
      </c>
      <c r="K86" t="s">
        <v>257</v>
      </c>
      <c r="L86" t="s">
        <v>258</v>
      </c>
      <c r="M86" t="s">
        <v>263</v>
      </c>
      <c r="N86">
        <f>_xlfn.XLOOKUP(Table4[[#This Row],[app_id]],Table7[app_id],Table7[rating_given],"",0)</f>
        <v>3</v>
      </c>
    </row>
    <row r="87" spans="1:14" x14ac:dyDescent="0.25">
      <c r="A87" t="s">
        <v>351</v>
      </c>
      <c r="B87" t="s">
        <v>214</v>
      </c>
      <c r="C87" t="str">
        <f>_xlfn.XLOOKUP(Table4[[#This Row],[app_id]],Table5[app_id],Table5[category],"",0)</f>
        <v>Productivity</v>
      </c>
      <c r="D87" t="s">
        <v>256</v>
      </c>
      <c r="E87" t="s">
        <v>258</v>
      </c>
      <c r="F87" t="s">
        <v>257</v>
      </c>
      <c r="G87" t="s">
        <v>258</v>
      </c>
      <c r="H87" t="s">
        <v>258</v>
      </c>
      <c r="I87" t="s">
        <v>257</v>
      </c>
      <c r="J87" t="s">
        <v>257</v>
      </c>
      <c r="K87" t="s">
        <v>257</v>
      </c>
      <c r="L87" t="s">
        <v>257</v>
      </c>
      <c r="M87" t="s">
        <v>276</v>
      </c>
      <c r="N87">
        <f>_xlfn.XLOOKUP(Table4[[#This Row],[app_id]],Table7[app_id],Table7[rating_given],"",0)</f>
        <v>5</v>
      </c>
    </row>
    <row r="88" spans="1:14" x14ac:dyDescent="0.25">
      <c r="A88" t="s">
        <v>352</v>
      </c>
      <c r="B88" t="s">
        <v>216</v>
      </c>
      <c r="C88" t="str">
        <f>_xlfn.XLOOKUP(Table4[[#This Row],[app_id]],Table5[app_id],Table5[category],"",0)</f>
        <v>Productivity</v>
      </c>
      <c r="D88" t="s">
        <v>266</v>
      </c>
      <c r="E88" t="s">
        <v>258</v>
      </c>
      <c r="F88" t="s">
        <v>257</v>
      </c>
      <c r="G88" t="s">
        <v>257</v>
      </c>
      <c r="H88" t="s">
        <v>258</v>
      </c>
      <c r="I88" t="s">
        <v>257</v>
      </c>
      <c r="J88" t="s">
        <v>257</v>
      </c>
      <c r="K88" t="s">
        <v>258</v>
      </c>
      <c r="L88" t="s">
        <v>258</v>
      </c>
      <c r="M88" t="s">
        <v>263</v>
      </c>
      <c r="N88">
        <f>_xlfn.XLOOKUP(Table4[[#This Row],[app_id]],Table7[app_id],Table7[rating_given],"",0)</f>
        <v>3</v>
      </c>
    </row>
    <row r="89" spans="1:14" x14ac:dyDescent="0.25">
      <c r="A89" t="s">
        <v>353</v>
      </c>
      <c r="B89" t="s">
        <v>218</v>
      </c>
      <c r="C89" t="str">
        <f>_xlfn.XLOOKUP(Table4[[#This Row],[app_id]],Table5[app_id],Table5[category],"",0)</f>
        <v>Productivity</v>
      </c>
      <c r="D89" t="s">
        <v>261</v>
      </c>
      <c r="E89" t="s">
        <v>257</v>
      </c>
      <c r="F89" t="s">
        <v>257</v>
      </c>
      <c r="G89" t="s">
        <v>258</v>
      </c>
      <c r="H89" t="s">
        <v>257</v>
      </c>
      <c r="I89" t="s">
        <v>258</v>
      </c>
      <c r="J89" t="s">
        <v>257</v>
      </c>
      <c r="K89" t="s">
        <v>257</v>
      </c>
      <c r="L89" t="s">
        <v>258</v>
      </c>
      <c r="M89" t="s">
        <v>263</v>
      </c>
      <c r="N89">
        <f>_xlfn.XLOOKUP(Table4[[#This Row],[app_id]],Table7[app_id],Table7[rating_given],"",0)</f>
        <v>4</v>
      </c>
    </row>
    <row r="90" spans="1:14" x14ac:dyDescent="0.25">
      <c r="A90" t="s">
        <v>354</v>
      </c>
      <c r="B90" t="s">
        <v>220</v>
      </c>
      <c r="C90" t="str">
        <f>_xlfn.XLOOKUP(Table4[[#This Row],[app_id]],Table5[app_id],Table5[category],"",0)</f>
        <v>Productivity</v>
      </c>
      <c r="D90" t="s">
        <v>261</v>
      </c>
      <c r="E90" t="s">
        <v>257</v>
      </c>
      <c r="F90" t="s">
        <v>257</v>
      </c>
      <c r="G90" t="s">
        <v>257</v>
      </c>
      <c r="H90" t="s">
        <v>258</v>
      </c>
      <c r="I90" t="s">
        <v>258</v>
      </c>
      <c r="J90" t="s">
        <v>258</v>
      </c>
      <c r="K90" t="s">
        <v>257</v>
      </c>
      <c r="L90" t="s">
        <v>257</v>
      </c>
      <c r="M90" t="s">
        <v>263</v>
      </c>
      <c r="N90">
        <f>_xlfn.XLOOKUP(Table4[[#This Row],[app_id]],Table7[app_id],Table7[rating_given],"",0)</f>
        <v>3</v>
      </c>
    </row>
    <row r="91" spans="1:14" x14ac:dyDescent="0.25">
      <c r="A91" t="s">
        <v>355</v>
      </c>
      <c r="B91" t="s">
        <v>222</v>
      </c>
      <c r="C91" t="str">
        <f>_xlfn.XLOOKUP(Table4[[#This Row],[app_id]],Table5[app_id],Table5[category],"",0)</f>
        <v>Productivity</v>
      </c>
      <c r="D91" t="s">
        <v>288</v>
      </c>
      <c r="E91" t="s">
        <v>258</v>
      </c>
      <c r="F91" t="s">
        <v>257</v>
      </c>
      <c r="G91" t="s">
        <v>258</v>
      </c>
      <c r="H91" t="s">
        <v>258</v>
      </c>
      <c r="I91" t="s">
        <v>257</v>
      </c>
      <c r="J91" t="s">
        <v>257</v>
      </c>
      <c r="K91" t="s">
        <v>258</v>
      </c>
      <c r="L91" t="s">
        <v>258</v>
      </c>
      <c r="M91" t="s">
        <v>259</v>
      </c>
      <c r="N91">
        <f>_xlfn.XLOOKUP(Table4[[#This Row],[app_id]],Table7[app_id],Table7[rating_given],"",0)</f>
        <v>3</v>
      </c>
    </row>
    <row r="92" spans="1:14" x14ac:dyDescent="0.25">
      <c r="A92" t="s">
        <v>356</v>
      </c>
      <c r="B92" t="s">
        <v>223</v>
      </c>
      <c r="C92" t="str">
        <f>_xlfn.XLOOKUP(Table4[[#This Row],[app_id]],Table5[app_id],Table5[category],"",0)</f>
        <v>Health</v>
      </c>
      <c r="D92" t="s">
        <v>261</v>
      </c>
      <c r="E92" t="s">
        <v>257</v>
      </c>
      <c r="F92" t="s">
        <v>257</v>
      </c>
      <c r="G92" t="s">
        <v>257</v>
      </c>
      <c r="H92" t="s">
        <v>258</v>
      </c>
      <c r="I92" t="s">
        <v>258</v>
      </c>
      <c r="J92" t="s">
        <v>257</v>
      </c>
      <c r="K92" t="s">
        <v>257</v>
      </c>
      <c r="L92" t="s">
        <v>258</v>
      </c>
      <c r="M92" t="s">
        <v>259</v>
      </c>
      <c r="N92">
        <f>_xlfn.XLOOKUP(Table4[[#This Row],[app_id]],Table7[app_id],Table7[rating_given],"",0)</f>
        <v>5</v>
      </c>
    </row>
    <row r="93" spans="1:14" x14ac:dyDescent="0.25">
      <c r="A93" t="s">
        <v>357</v>
      </c>
      <c r="B93" t="s">
        <v>226</v>
      </c>
      <c r="C93" t="str">
        <f>_xlfn.XLOOKUP(Table4[[#This Row],[app_id]],Table5[app_id],Table5[category],"",0)</f>
        <v>Health</v>
      </c>
      <c r="D93" t="s">
        <v>266</v>
      </c>
      <c r="E93" t="s">
        <v>257</v>
      </c>
      <c r="F93" t="s">
        <v>257</v>
      </c>
      <c r="G93" t="s">
        <v>257</v>
      </c>
      <c r="H93" t="s">
        <v>258</v>
      </c>
      <c r="I93" t="s">
        <v>258</v>
      </c>
      <c r="J93" t="s">
        <v>257</v>
      </c>
      <c r="K93" t="s">
        <v>258</v>
      </c>
      <c r="L93" t="s">
        <v>258</v>
      </c>
      <c r="M93" t="s">
        <v>259</v>
      </c>
      <c r="N93">
        <f>_xlfn.XLOOKUP(Table4[[#This Row],[app_id]],Table7[app_id],Table7[rating_given],"",0)</f>
        <v>3</v>
      </c>
    </row>
    <row r="94" spans="1:14" x14ac:dyDescent="0.25">
      <c r="A94" t="s">
        <v>358</v>
      </c>
      <c r="B94" t="s">
        <v>228</v>
      </c>
      <c r="C94" t="str">
        <f>_xlfn.XLOOKUP(Table4[[#This Row],[app_id]],Table5[app_id],Table5[category],"",0)</f>
        <v>Health</v>
      </c>
      <c r="D94" t="s">
        <v>288</v>
      </c>
      <c r="E94" t="s">
        <v>258</v>
      </c>
      <c r="F94" t="s">
        <v>257</v>
      </c>
      <c r="G94" t="s">
        <v>257</v>
      </c>
      <c r="H94" t="s">
        <v>258</v>
      </c>
      <c r="I94" t="s">
        <v>258</v>
      </c>
      <c r="J94" t="s">
        <v>258</v>
      </c>
      <c r="K94" t="s">
        <v>257</v>
      </c>
      <c r="L94" t="s">
        <v>258</v>
      </c>
      <c r="M94" t="s">
        <v>276</v>
      </c>
      <c r="N94">
        <f>_xlfn.XLOOKUP(Table4[[#This Row],[app_id]],Table7[app_id],Table7[rating_given],"",0)</f>
        <v>3</v>
      </c>
    </row>
    <row r="95" spans="1:14" x14ac:dyDescent="0.25">
      <c r="A95" t="s">
        <v>359</v>
      </c>
      <c r="B95" t="s">
        <v>230</v>
      </c>
      <c r="C95" t="str">
        <f>_xlfn.XLOOKUP(Table4[[#This Row],[app_id]],Table5[app_id],Table5[category],"",0)</f>
        <v>Health</v>
      </c>
      <c r="D95" t="s">
        <v>271</v>
      </c>
      <c r="E95" t="s">
        <v>257</v>
      </c>
      <c r="F95" t="s">
        <v>258</v>
      </c>
      <c r="G95" t="s">
        <v>258</v>
      </c>
      <c r="H95" t="s">
        <v>258</v>
      </c>
      <c r="I95" t="s">
        <v>258</v>
      </c>
      <c r="J95" t="s">
        <v>257</v>
      </c>
      <c r="K95" t="s">
        <v>258</v>
      </c>
      <c r="L95" t="s">
        <v>258</v>
      </c>
      <c r="M95" t="s">
        <v>276</v>
      </c>
      <c r="N95">
        <f>_xlfn.XLOOKUP(Table4[[#This Row],[app_id]],Table7[app_id],Table7[rating_given],"",0)</f>
        <v>5</v>
      </c>
    </row>
    <row r="96" spans="1:14" x14ac:dyDescent="0.25">
      <c r="A96" t="s">
        <v>360</v>
      </c>
      <c r="B96" t="s">
        <v>232</v>
      </c>
      <c r="C96" t="str">
        <f>_xlfn.XLOOKUP(Table4[[#This Row],[app_id]],Table5[app_id],Table5[category],"",0)</f>
        <v>Health</v>
      </c>
      <c r="D96" t="s">
        <v>256</v>
      </c>
      <c r="E96" t="s">
        <v>257</v>
      </c>
      <c r="F96" t="s">
        <v>257</v>
      </c>
      <c r="G96" t="s">
        <v>258</v>
      </c>
      <c r="H96" t="s">
        <v>258</v>
      </c>
      <c r="I96" t="s">
        <v>257</v>
      </c>
      <c r="J96" t="s">
        <v>257</v>
      </c>
      <c r="K96" t="s">
        <v>257</v>
      </c>
      <c r="L96" t="s">
        <v>258</v>
      </c>
      <c r="M96" t="s">
        <v>263</v>
      </c>
      <c r="N96">
        <f>_xlfn.XLOOKUP(Table4[[#This Row],[app_id]],Table7[app_id],Table7[rating_given],"",0)</f>
        <v>3</v>
      </c>
    </row>
    <row r="97" spans="1:14" x14ac:dyDescent="0.25">
      <c r="A97" t="s">
        <v>361</v>
      </c>
      <c r="B97" t="s">
        <v>234</v>
      </c>
      <c r="C97" t="str">
        <f>_xlfn.XLOOKUP(Table4[[#This Row],[app_id]],Table5[app_id],Table5[category],"",0)</f>
        <v>Health</v>
      </c>
      <c r="D97" t="s">
        <v>266</v>
      </c>
      <c r="E97" t="s">
        <v>258</v>
      </c>
      <c r="F97" t="s">
        <v>257</v>
      </c>
      <c r="G97" t="s">
        <v>257</v>
      </c>
      <c r="H97" t="s">
        <v>258</v>
      </c>
      <c r="I97" t="s">
        <v>258</v>
      </c>
      <c r="J97" t="s">
        <v>257</v>
      </c>
      <c r="K97" t="s">
        <v>258</v>
      </c>
      <c r="L97" t="s">
        <v>258</v>
      </c>
      <c r="M97" t="s">
        <v>276</v>
      </c>
      <c r="N97">
        <f>_xlfn.XLOOKUP(Table4[[#This Row],[app_id]],Table7[app_id],Table7[rating_given],"",0)</f>
        <v>4</v>
      </c>
    </row>
    <row r="98" spans="1:14" x14ac:dyDescent="0.25">
      <c r="A98" t="s">
        <v>362</v>
      </c>
      <c r="B98" t="s">
        <v>236</v>
      </c>
      <c r="C98" t="str">
        <f>_xlfn.XLOOKUP(Table4[[#This Row],[app_id]],Table5[app_id],Table5[category],"",0)</f>
        <v>Health</v>
      </c>
      <c r="D98" t="s">
        <v>261</v>
      </c>
      <c r="E98" t="s">
        <v>257</v>
      </c>
      <c r="F98" t="s">
        <v>257</v>
      </c>
      <c r="G98" t="s">
        <v>258</v>
      </c>
      <c r="H98" t="s">
        <v>258</v>
      </c>
      <c r="I98" t="s">
        <v>257</v>
      </c>
      <c r="J98" t="s">
        <v>257</v>
      </c>
      <c r="K98" t="s">
        <v>257</v>
      </c>
      <c r="L98" t="s">
        <v>258</v>
      </c>
      <c r="M98" t="s">
        <v>259</v>
      </c>
      <c r="N98">
        <f>_xlfn.XLOOKUP(Table4[[#This Row],[app_id]],Table7[app_id],Table7[rating_given],"",0)</f>
        <v>3</v>
      </c>
    </row>
    <row r="99" spans="1:14" x14ac:dyDescent="0.25">
      <c r="A99" t="s">
        <v>363</v>
      </c>
      <c r="B99" t="s">
        <v>238</v>
      </c>
      <c r="C99" t="str">
        <f>_xlfn.XLOOKUP(Table4[[#This Row],[app_id]],Table5[app_id],Table5[category],"",0)</f>
        <v>Health</v>
      </c>
      <c r="D99" t="s">
        <v>261</v>
      </c>
      <c r="E99" t="s">
        <v>257</v>
      </c>
      <c r="F99" t="s">
        <v>258</v>
      </c>
      <c r="G99" t="s">
        <v>257</v>
      </c>
      <c r="H99" t="s">
        <v>258</v>
      </c>
      <c r="I99" t="s">
        <v>257</v>
      </c>
      <c r="J99" t="s">
        <v>258</v>
      </c>
      <c r="K99" t="s">
        <v>257</v>
      </c>
      <c r="L99" t="s">
        <v>258</v>
      </c>
      <c r="M99" t="s">
        <v>259</v>
      </c>
      <c r="N99">
        <f>_xlfn.XLOOKUP(Table4[[#This Row],[app_id]],Table7[app_id],Table7[rating_given],"",0)</f>
        <v>4</v>
      </c>
    </row>
    <row r="100" spans="1:14" x14ac:dyDescent="0.25">
      <c r="A100" t="s">
        <v>364</v>
      </c>
      <c r="B100" t="s">
        <v>240</v>
      </c>
      <c r="C100" t="str">
        <f>_xlfn.XLOOKUP(Table4[[#This Row],[app_id]],Table5[app_id],Table5[category],"",0)</f>
        <v>Health</v>
      </c>
      <c r="D100" t="s">
        <v>271</v>
      </c>
      <c r="E100" t="s">
        <v>257</v>
      </c>
      <c r="F100" t="s">
        <v>257</v>
      </c>
      <c r="G100" t="s">
        <v>257</v>
      </c>
      <c r="H100" t="s">
        <v>258</v>
      </c>
      <c r="I100" t="s">
        <v>257</v>
      </c>
      <c r="J100" t="s">
        <v>257</v>
      </c>
      <c r="K100" t="s">
        <v>257</v>
      </c>
      <c r="L100" t="s">
        <v>257</v>
      </c>
      <c r="M100" t="s">
        <v>263</v>
      </c>
      <c r="N100">
        <f>_xlfn.XLOOKUP(Table4[[#This Row],[app_id]],Table7[app_id],Table7[rating_given],"",0)</f>
        <v>4</v>
      </c>
    </row>
    <row r="101" spans="1:14" x14ac:dyDescent="0.25">
      <c r="A101" t="s">
        <v>365</v>
      </c>
      <c r="B101" t="s">
        <v>242</v>
      </c>
      <c r="C101" t="str">
        <f>_xlfn.XLOOKUP(Table4[[#This Row],[app_id]],Table5[app_id],Table5[category],"",0)</f>
        <v>Health</v>
      </c>
      <c r="D101" t="s">
        <v>261</v>
      </c>
      <c r="E101" t="s">
        <v>257</v>
      </c>
      <c r="F101" t="s">
        <v>257</v>
      </c>
      <c r="G101" t="s">
        <v>258</v>
      </c>
      <c r="H101" t="s">
        <v>258</v>
      </c>
      <c r="I101" t="s">
        <v>257</v>
      </c>
      <c r="J101" t="s">
        <v>257</v>
      </c>
      <c r="K101" t="s">
        <v>257</v>
      </c>
      <c r="L101" t="s">
        <v>258</v>
      </c>
      <c r="M101" t="s">
        <v>259</v>
      </c>
      <c r="N101">
        <f>_xlfn.XLOOKUP(Table4[[#This Row],[app_id]],Table7[app_id],Table7[rating_given],"",0)</f>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01E6-1093-4C02-919F-37D3E86F46E5}">
  <dimension ref="A1:M116"/>
  <sheetViews>
    <sheetView workbookViewId="0">
      <selection activeCell="A108" sqref="A108"/>
    </sheetView>
  </sheetViews>
  <sheetFormatPr defaultRowHeight="15" x14ac:dyDescent="0.25"/>
  <cols>
    <col min="1" max="1" width="12.42578125" customWidth="1"/>
    <col min="3" max="3" width="14" bestFit="1" customWidth="1"/>
    <col min="4" max="4" width="19.5703125" customWidth="1"/>
    <col min="5" max="5" width="15.7109375" customWidth="1"/>
    <col min="6" max="6" width="13.140625" customWidth="1"/>
    <col min="7" max="7" width="21.85546875" customWidth="1"/>
    <col min="8" max="8" width="17.7109375" customWidth="1"/>
    <col min="9" max="9" width="16.85546875" customWidth="1"/>
    <col min="10" max="10" width="13.140625" customWidth="1"/>
    <col min="11" max="11" width="24.7109375" customWidth="1"/>
    <col min="12" max="12" width="18.5703125" customWidth="1"/>
    <col min="16" max="16" width="17.7109375" bestFit="1" customWidth="1"/>
    <col min="18" max="18" width="9.28515625" bestFit="1" customWidth="1"/>
    <col min="21" max="21" width="14" bestFit="1" customWidth="1"/>
    <col min="22" max="22" width="13.42578125" bestFit="1" customWidth="1"/>
    <col min="24" max="24" width="11.7109375" bestFit="1" customWidth="1"/>
  </cols>
  <sheetData>
    <row r="1" spans="1:13" x14ac:dyDescent="0.25">
      <c r="A1" t="s">
        <v>244</v>
      </c>
      <c r="B1" t="s">
        <v>0</v>
      </c>
      <c r="C1" t="s">
        <v>2</v>
      </c>
      <c r="D1" t="s">
        <v>246</v>
      </c>
      <c r="E1" t="s">
        <v>247</v>
      </c>
      <c r="F1" t="s">
        <v>248</v>
      </c>
      <c r="G1" t="s">
        <v>249</v>
      </c>
      <c r="H1" t="s">
        <v>250</v>
      </c>
      <c r="I1" t="s">
        <v>251</v>
      </c>
      <c r="J1" t="s">
        <v>252</v>
      </c>
      <c r="K1" t="s">
        <v>253</v>
      </c>
      <c r="L1" t="s">
        <v>254</v>
      </c>
      <c r="M1" t="s">
        <v>2545</v>
      </c>
    </row>
    <row r="2" spans="1:13" hidden="1" x14ac:dyDescent="0.25">
      <c r="A2" t="s">
        <v>255</v>
      </c>
      <c r="B2" t="s">
        <v>12</v>
      </c>
      <c r="C2" t="str">
        <f>_xlfn.XLOOKUP(Table49[[#This Row],[app_id]],Table5[app_id],Table5[category],"",0)</f>
        <v>Finance</v>
      </c>
      <c r="D2">
        <f>IF(_xlfn.XLOOKUP(Table49[[#This Row],[app_id]],Table4[app_id],Table4[push_notifications],"",0)="Yes",1,0)</f>
        <v>1</v>
      </c>
      <c r="E2">
        <f>IF(_xlfn.XLOOKUP(Table49[[#This Row],[app_id]],Table4[app_id],Table4[offline_access],"",0)="Yes",1,0)</f>
        <v>0</v>
      </c>
      <c r="F2">
        <f>IF(_xlfn.XLOOKUP(Table49[[#This Row],[app_id]],Table4[app_id],Table4[ai_features],"",0)="Yes",1,0)</f>
        <v>0</v>
      </c>
      <c r="G2">
        <f>IF(_xlfn.XLOOKUP(Table49[[#This Row],[app_id]],Table4[app_id],Table4[payment_integration],"",0)="Yes",1,0)</f>
        <v>1</v>
      </c>
      <c r="H2">
        <f>IF(_xlfn.XLOOKUP(Table49[[#This Row],[app_id]],Table4[app_id],Table4[chatbot_support],"",0)="Yes",1,0)</f>
        <v>0</v>
      </c>
      <c r="I2">
        <f>IF(_xlfn.XLOOKUP(Table49[[#This Row],[app_id]],Table4[app_id],Table4[personalization],"",0)="Yes",1,0)</f>
        <v>1</v>
      </c>
      <c r="J2">
        <f>IF(_xlfn.XLOOKUP(Table49[[#This Row],[app_id]],Table4[app_id],Table4[dark_mode],"",0)="Yes",1,0)</f>
        <v>1</v>
      </c>
      <c r="K2">
        <f>IF(_xlfn.XLOOKUP(Table49[[#This Row],[app_id]],Table4[app_id],Table4[multi_language_support],"",0)="Yes",1,0)</f>
        <v>1</v>
      </c>
      <c r="L2" cm="1">
        <f t="array" ref="L2">_xlfn.IFS(_xlfn.XLOOKUP(Table49[[#This Row],[app_id]],Table4[app_id],Table4[security_features])="Basic",0,_xlfn.XLOOKUP(Table49[[#This Row],[app_id]],Table4[app_id],Table4[security_features])="Advanced",1,_xlfn.XLOOKUP(Table49[[#This Row],[app_id]],Table4[app_id],Table4[security_features])="Biometric",3,TRUE,"")</f>
        <v>0</v>
      </c>
      <c r="M2">
        <f>_xlfn.XLOOKUP(Table49[[#This Row],[app_id]],Table7[app_id],Table7[rating_given],"",0)</f>
        <v>3</v>
      </c>
    </row>
    <row r="3" spans="1:13" hidden="1" x14ac:dyDescent="0.25">
      <c r="A3" t="s">
        <v>260</v>
      </c>
      <c r="B3" t="s">
        <v>19</v>
      </c>
      <c r="C3" t="str">
        <f>_xlfn.XLOOKUP(Table49[[#This Row],[app_id]],Table5[app_id],Table5[category],"",0)</f>
        <v>Finance</v>
      </c>
      <c r="D3">
        <f>IF(_xlfn.XLOOKUP(Table49[[#This Row],[app_id]],Table4[app_id],Table4[push_notifications],"",0)="Yes",1,0)</f>
        <v>1</v>
      </c>
      <c r="E3">
        <f>IF(_xlfn.XLOOKUP(Table49[[#This Row],[app_id]],Table4[app_id],Table4[offline_access],"",0)="Yes",1,0)</f>
        <v>1</v>
      </c>
      <c r="F3">
        <f>IF(_xlfn.XLOOKUP(Table49[[#This Row],[app_id]],Table4[app_id],Table4[ai_features],"",0)="Yes",1,0)</f>
        <v>0</v>
      </c>
      <c r="G3">
        <f>IF(_xlfn.XLOOKUP(Table49[[#This Row],[app_id]],Table4[app_id],Table4[payment_integration],"",0)="Yes",1,0)</f>
        <v>1</v>
      </c>
      <c r="H3">
        <f>IF(_xlfn.XLOOKUP(Table49[[#This Row],[app_id]],Table4[app_id],Table4[chatbot_support],"",0)="Yes",1,0)</f>
        <v>1</v>
      </c>
      <c r="I3">
        <f>IF(_xlfn.XLOOKUP(Table49[[#This Row],[app_id]],Table4[app_id],Table4[personalization],"",0)="Yes",1,0)</f>
        <v>0</v>
      </c>
      <c r="J3">
        <f>IF(_xlfn.XLOOKUP(Table49[[#This Row],[app_id]],Table4[app_id],Table4[dark_mode],"",0)="Yes",1,0)</f>
        <v>1</v>
      </c>
      <c r="K3">
        <f>IF(_xlfn.XLOOKUP(Table49[[#This Row],[app_id]],Table4[app_id],Table4[multi_language_support],"",0)="Yes",1,0)</f>
        <v>1</v>
      </c>
      <c r="L3" cm="1">
        <f t="array" ref="L3">_xlfn.IFS(_xlfn.XLOOKUP(Table49[[#This Row],[app_id]],Table4[app_id],Table4[security_features])="Basic",0,_xlfn.XLOOKUP(Table49[[#This Row],[app_id]],Table4[app_id],Table4[security_features])="Advanced",1,_xlfn.XLOOKUP(Table49[[#This Row],[app_id]],Table4[app_id],Table4[security_features])="Biometric",3,TRUE,"")</f>
        <v>0</v>
      </c>
      <c r="M3">
        <f>_xlfn.XLOOKUP(Table49[[#This Row],[app_id]],Table7[app_id],Table7[rating_given],"",0)</f>
        <v>3</v>
      </c>
    </row>
    <row r="4" spans="1:13" hidden="1" x14ac:dyDescent="0.25">
      <c r="A4" t="s">
        <v>262</v>
      </c>
      <c r="B4" t="s">
        <v>24</v>
      </c>
      <c r="C4" t="str">
        <f>_xlfn.XLOOKUP(Table49[[#This Row],[app_id]],Table5[app_id],Table5[category],"",0)</f>
        <v>Finance</v>
      </c>
      <c r="D4">
        <f>IF(_xlfn.XLOOKUP(Table49[[#This Row],[app_id]],Table4[app_id],Table4[push_notifications],"",0)="Yes",1,0)</f>
        <v>1</v>
      </c>
      <c r="E4">
        <f>IF(_xlfn.XLOOKUP(Table49[[#This Row],[app_id]],Table4[app_id],Table4[offline_access],"",0)="Yes",1,0)</f>
        <v>1</v>
      </c>
      <c r="F4">
        <f>IF(_xlfn.XLOOKUP(Table49[[#This Row],[app_id]],Table4[app_id],Table4[ai_features],"",0)="Yes",1,0)</f>
        <v>0</v>
      </c>
      <c r="G4">
        <f>IF(_xlfn.XLOOKUP(Table49[[#This Row],[app_id]],Table4[app_id],Table4[payment_integration],"",0)="Yes",1,0)</f>
        <v>1</v>
      </c>
      <c r="H4">
        <f>IF(_xlfn.XLOOKUP(Table49[[#This Row],[app_id]],Table4[app_id],Table4[chatbot_support],"",0)="Yes",1,0)</f>
        <v>0</v>
      </c>
      <c r="I4">
        <f>IF(_xlfn.XLOOKUP(Table49[[#This Row],[app_id]],Table4[app_id],Table4[personalization],"",0)="Yes",1,0)</f>
        <v>1</v>
      </c>
      <c r="J4">
        <f>IF(_xlfn.XLOOKUP(Table49[[#This Row],[app_id]],Table4[app_id],Table4[dark_mode],"",0)="Yes",1,0)</f>
        <v>0</v>
      </c>
      <c r="K4">
        <f>IF(_xlfn.XLOOKUP(Table49[[#This Row],[app_id]],Table4[app_id],Table4[multi_language_support],"",0)="Yes",1,0)</f>
        <v>0</v>
      </c>
      <c r="L4" cm="1">
        <f t="array" ref="L4">_xlfn.IFS(_xlfn.XLOOKUP(Table49[[#This Row],[app_id]],Table4[app_id],Table4[security_features])="Basic",0,_xlfn.XLOOKUP(Table49[[#This Row],[app_id]],Table4[app_id],Table4[security_features])="Advanced",1,_xlfn.XLOOKUP(Table49[[#This Row],[app_id]],Table4[app_id],Table4[security_features])="Biometric",3,TRUE,"")</f>
        <v>1</v>
      </c>
      <c r="M4">
        <f>_xlfn.XLOOKUP(Table49[[#This Row],[app_id]],Table7[app_id],Table7[rating_given],"",0)</f>
        <v>3</v>
      </c>
    </row>
    <row r="5" spans="1:13" hidden="1" x14ac:dyDescent="0.25">
      <c r="A5" t="s">
        <v>264</v>
      </c>
      <c r="B5" t="s">
        <v>27</v>
      </c>
      <c r="C5" t="str">
        <f>_xlfn.XLOOKUP(Table49[[#This Row],[app_id]],Table5[app_id],Table5[category],"",0)</f>
        <v>Finance</v>
      </c>
      <c r="D5">
        <f>IF(_xlfn.XLOOKUP(Table49[[#This Row],[app_id]],Table4[app_id],Table4[push_notifications],"",0)="Yes",1,0)</f>
        <v>1</v>
      </c>
      <c r="E5">
        <f>IF(_xlfn.XLOOKUP(Table49[[#This Row],[app_id]],Table4[app_id],Table4[offline_access],"",0)="Yes",1,0)</f>
        <v>1</v>
      </c>
      <c r="F5">
        <f>IF(_xlfn.XLOOKUP(Table49[[#This Row],[app_id]],Table4[app_id],Table4[ai_features],"",0)="Yes",1,0)</f>
        <v>0</v>
      </c>
      <c r="G5">
        <f>IF(_xlfn.XLOOKUP(Table49[[#This Row],[app_id]],Table4[app_id],Table4[payment_integration],"",0)="Yes",1,0)</f>
        <v>1</v>
      </c>
      <c r="H5">
        <f>IF(_xlfn.XLOOKUP(Table49[[#This Row],[app_id]],Table4[app_id],Table4[chatbot_support],"",0)="Yes",1,0)</f>
        <v>1</v>
      </c>
      <c r="I5">
        <f>IF(_xlfn.XLOOKUP(Table49[[#This Row],[app_id]],Table4[app_id],Table4[personalization],"",0)="Yes",1,0)</f>
        <v>1</v>
      </c>
      <c r="J5">
        <f>IF(_xlfn.XLOOKUP(Table49[[#This Row],[app_id]],Table4[app_id],Table4[dark_mode],"",0)="Yes",1,0)</f>
        <v>0</v>
      </c>
      <c r="K5">
        <f>IF(_xlfn.XLOOKUP(Table49[[#This Row],[app_id]],Table4[app_id],Table4[multi_language_support],"",0)="Yes",1,0)</f>
        <v>1</v>
      </c>
      <c r="L5" cm="1">
        <f t="array" ref="L5">_xlfn.IFS(_xlfn.XLOOKUP(Table49[[#This Row],[app_id]],Table4[app_id],Table4[security_features])="Basic",0,_xlfn.XLOOKUP(Table49[[#This Row],[app_id]],Table4[app_id],Table4[security_features])="Advanced",1,_xlfn.XLOOKUP(Table49[[#This Row],[app_id]],Table4[app_id],Table4[security_features])="Biometric",3,TRUE,"")</f>
        <v>1</v>
      </c>
      <c r="M5">
        <f>_xlfn.XLOOKUP(Table49[[#This Row],[app_id]],Table7[app_id],Table7[rating_given],"",0)</f>
        <v>4</v>
      </c>
    </row>
    <row r="6" spans="1:13" hidden="1" x14ac:dyDescent="0.25">
      <c r="A6" t="s">
        <v>265</v>
      </c>
      <c r="B6" t="s">
        <v>31</v>
      </c>
      <c r="C6" t="str">
        <f>_xlfn.XLOOKUP(Table49[[#This Row],[app_id]],Table5[app_id],Table5[category],"",0)</f>
        <v>Finance</v>
      </c>
      <c r="D6">
        <f>IF(_xlfn.XLOOKUP(Table49[[#This Row],[app_id]],Table4[app_id],Table4[push_notifications],"",0)="Yes",1,0)</f>
        <v>1</v>
      </c>
      <c r="E6">
        <f>IF(_xlfn.XLOOKUP(Table49[[#This Row],[app_id]],Table4[app_id],Table4[offline_access],"",0)="Yes",1,0)</f>
        <v>0</v>
      </c>
      <c r="F6">
        <f>IF(_xlfn.XLOOKUP(Table49[[#This Row],[app_id]],Table4[app_id],Table4[ai_features],"",0)="Yes",1,0)</f>
        <v>0</v>
      </c>
      <c r="G6">
        <f>IF(_xlfn.XLOOKUP(Table49[[#This Row],[app_id]],Table4[app_id],Table4[payment_integration],"",0)="Yes",1,0)</f>
        <v>1</v>
      </c>
      <c r="H6">
        <f>IF(_xlfn.XLOOKUP(Table49[[#This Row],[app_id]],Table4[app_id],Table4[chatbot_support],"",0)="Yes",1,0)</f>
        <v>0</v>
      </c>
      <c r="I6">
        <f>IF(_xlfn.XLOOKUP(Table49[[#This Row],[app_id]],Table4[app_id],Table4[personalization],"",0)="Yes",1,0)</f>
        <v>1</v>
      </c>
      <c r="J6">
        <f>IF(_xlfn.XLOOKUP(Table49[[#This Row],[app_id]],Table4[app_id],Table4[dark_mode],"",0)="Yes",1,0)</f>
        <v>1</v>
      </c>
      <c r="K6">
        <f>IF(_xlfn.XLOOKUP(Table49[[#This Row],[app_id]],Table4[app_id],Table4[multi_language_support],"",0)="Yes",1,0)</f>
        <v>0</v>
      </c>
      <c r="L6" cm="1">
        <f t="array" ref="L6">_xlfn.IFS(_xlfn.XLOOKUP(Table49[[#This Row],[app_id]],Table4[app_id],Table4[security_features])="Basic",0,_xlfn.XLOOKUP(Table49[[#This Row],[app_id]],Table4[app_id],Table4[security_features])="Advanced",1,_xlfn.XLOOKUP(Table49[[#This Row],[app_id]],Table4[app_id],Table4[security_features])="Biometric",3,TRUE,"")</f>
        <v>1</v>
      </c>
      <c r="M6">
        <f>_xlfn.XLOOKUP(Table49[[#This Row],[app_id]],Table7[app_id],Table7[rating_given],"",0)</f>
        <v>5</v>
      </c>
    </row>
    <row r="7" spans="1:13" hidden="1" x14ac:dyDescent="0.25">
      <c r="A7" t="s">
        <v>267</v>
      </c>
      <c r="B7" t="s">
        <v>36</v>
      </c>
      <c r="C7" t="str">
        <f>_xlfn.XLOOKUP(Table49[[#This Row],[app_id]],Table5[app_id],Table5[category],"",0)</f>
        <v>Finance</v>
      </c>
      <c r="D7">
        <f>IF(_xlfn.XLOOKUP(Table49[[#This Row],[app_id]],Table4[app_id],Table4[push_notifications],"",0)="Yes",1,0)</f>
        <v>1</v>
      </c>
      <c r="E7">
        <f>IF(_xlfn.XLOOKUP(Table49[[#This Row],[app_id]],Table4[app_id],Table4[offline_access],"",0)="Yes",1,0)</f>
        <v>0</v>
      </c>
      <c r="F7">
        <f>IF(_xlfn.XLOOKUP(Table49[[#This Row],[app_id]],Table4[app_id],Table4[ai_features],"",0)="Yes",1,0)</f>
        <v>1</v>
      </c>
      <c r="G7">
        <f>IF(_xlfn.XLOOKUP(Table49[[#This Row],[app_id]],Table4[app_id],Table4[payment_integration],"",0)="Yes",1,0)</f>
        <v>1</v>
      </c>
      <c r="H7">
        <f>IF(_xlfn.XLOOKUP(Table49[[#This Row],[app_id]],Table4[app_id],Table4[chatbot_support],"",0)="Yes",1,0)</f>
        <v>0</v>
      </c>
      <c r="I7">
        <f>IF(_xlfn.XLOOKUP(Table49[[#This Row],[app_id]],Table4[app_id],Table4[personalization],"",0)="Yes",1,0)</f>
        <v>1</v>
      </c>
      <c r="J7">
        <f>IF(_xlfn.XLOOKUP(Table49[[#This Row],[app_id]],Table4[app_id],Table4[dark_mode],"",0)="Yes",1,0)</f>
        <v>0</v>
      </c>
      <c r="K7">
        <f>IF(_xlfn.XLOOKUP(Table49[[#This Row],[app_id]],Table4[app_id],Table4[multi_language_support],"",0)="Yes",1,0)</f>
        <v>1</v>
      </c>
      <c r="L7" cm="1">
        <f t="array" ref="L7">_xlfn.IFS(_xlfn.XLOOKUP(Table49[[#This Row],[app_id]],Table4[app_id],Table4[security_features])="Basic",0,_xlfn.XLOOKUP(Table49[[#This Row],[app_id]],Table4[app_id],Table4[security_features])="Advanced",1,_xlfn.XLOOKUP(Table49[[#This Row],[app_id]],Table4[app_id],Table4[security_features])="Biometric",3,TRUE,"")</f>
        <v>0</v>
      </c>
      <c r="M7">
        <f>_xlfn.XLOOKUP(Table49[[#This Row],[app_id]],Table7[app_id],Table7[rating_given],"",0)</f>
        <v>5</v>
      </c>
    </row>
    <row r="8" spans="1:13" hidden="1" x14ac:dyDescent="0.25">
      <c r="A8" t="s">
        <v>268</v>
      </c>
      <c r="B8" t="s">
        <v>39</v>
      </c>
      <c r="C8" t="str">
        <f>_xlfn.XLOOKUP(Table49[[#This Row],[app_id]],Table5[app_id],Table5[category],"",0)</f>
        <v>Finance</v>
      </c>
      <c r="D8">
        <f>IF(_xlfn.XLOOKUP(Table49[[#This Row],[app_id]],Table4[app_id],Table4[push_notifications],"",0)="Yes",1,0)</f>
        <v>1</v>
      </c>
      <c r="E8">
        <f>IF(_xlfn.XLOOKUP(Table49[[#This Row],[app_id]],Table4[app_id],Table4[offline_access],"",0)="Yes",1,0)</f>
        <v>0</v>
      </c>
      <c r="F8">
        <f>IF(_xlfn.XLOOKUP(Table49[[#This Row],[app_id]],Table4[app_id],Table4[ai_features],"",0)="Yes",1,0)</f>
        <v>1</v>
      </c>
      <c r="G8">
        <f>IF(_xlfn.XLOOKUP(Table49[[#This Row],[app_id]],Table4[app_id],Table4[payment_integration],"",0)="Yes",1,0)</f>
        <v>1</v>
      </c>
      <c r="H8">
        <f>IF(_xlfn.XLOOKUP(Table49[[#This Row],[app_id]],Table4[app_id],Table4[chatbot_support],"",0)="Yes",1,0)</f>
        <v>0</v>
      </c>
      <c r="I8">
        <f>IF(_xlfn.XLOOKUP(Table49[[#This Row],[app_id]],Table4[app_id],Table4[personalization],"",0)="Yes",1,0)</f>
        <v>1</v>
      </c>
      <c r="J8">
        <f>IF(_xlfn.XLOOKUP(Table49[[#This Row],[app_id]],Table4[app_id],Table4[dark_mode],"",0)="Yes",1,0)</f>
        <v>1</v>
      </c>
      <c r="K8">
        <f>IF(_xlfn.XLOOKUP(Table49[[#This Row],[app_id]],Table4[app_id],Table4[multi_language_support],"",0)="Yes",1,0)</f>
        <v>1</v>
      </c>
      <c r="L8" cm="1">
        <f t="array" ref="L8">_xlfn.IFS(_xlfn.XLOOKUP(Table49[[#This Row],[app_id]],Table4[app_id],Table4[security_features])="Basic",0,_xlfn.XLOOKUP(Table49[[#This Row],[app_id]],Table4[app_id],Table4[security_features])="Advanced",1,_xlfn.XLOOKUP(Table49[[#This Row],[app_id]],Table4[app_id],Table4[security_features])="Biometric",3,TRUE,"")</f>
        <v>1</v>
      </c>
      <c r="M8">
        <f>_xlfn.XLOOKUP(Table49[[#This Row],[app_id]],Table7[app_id],Table7[rating_given],"",0)</f>
        <v>4</v>
      </c>
    </row>
    <row r="9" spans="1:13" hidden="1" x14ac:dyDescent="0.25">
      <c r="A9" t="s">
        <v>270</v>
      </c>
      <c r="B9" t="s">
        <v>42</v>
      </c>
      <c r="C9" t="str">
        <f>_xlfn.XLOOKUP(Table49[[#This Row],[app_id]],Table5[app_id],Table5[category],"",0)</f>
        <v>Finance</v>
      </c>
      <c r="D9">
        <f>IF(_xlfn.XLOOKUP(Table49[[#This Row],[app_id]],Table4[app_id],Table4[push_notifications],"",0)="Yes",1,0)</f>
        <v>1</v>
      </c>
      <c r="E9">
        <f>IF(_xlfn.XLOOKUP(Table49[[#This Row],[app_id]],Table4[app_id],Table4[offline_access],"",0)="Yes",1,0)</f>
        <v>0</v>
      </c>
      <c r="F9">
        <f>IF(_xlfn.XLOOKUP(Table49[[#This Row],[app_id]],Table4[app_id],Table4[ai_features],"",0)="Yes",1,0)</f>
        <v>0</v>
      </c>
      <c r="G9">
        <f>IF(_xlfn.XLOOKUP(Table49[[#This Row],[app_id]],Table4[app_id],Table4[payment_integration],"",0)="Yes",1,0)</f>
        <v>1</v>
      </c>
      <c r="H9">
        <f>IF(_xlfn.XLOOKUP(Table49[[#This Row],[app_id]],Table4[app_id],Table4[chatbot_support],"",0)="Yes",1,0)</f>
        <v>1</v>
      </c>
      <c r="I9">
        <f>IF(_xlfn.XLOOKUP(Table49[[#This Row],[app_id]],Table4[app_id],Table4[personalization],"",0)="Yes",1,0)</f>
        <v>1</v>
      </c>
      <c r="J9">
        <f>IF(_xlfn.XLOOKUP(Table49[[#This Row],[app_id]],Table4[app_id],Table4[dark_mode],"",0)="Yes",1,0)</f>
        <v>1</v>
      </c>
      <c r="K9">
        <f>IF(_xlfn.XLOOKUP(Table49[[#This Row],[app_id]],Table4[app_id],Table4[multi_language_support],"",0)="Yes",1,0)</f>
        <v>0</v>
      </c>
      <c r="L9" cm="1">
        <f t="array" ref="L9">_xlfn.IFS(_xlfn.XLOOKUP(Table49[[#This Row],[app_id]],Table4[app_id],Table4[security_features])="Basic",0,_xlfn.XLOOKUP(Table49[[#This Row],[app_id]],Table4[app_id],Table4[security_features])="Advanced",1,_xlfn.XLOOKUP(Table49[[#This Row],[app_id]],Table4[app_id],Table4[security_features])="Biometric",3,TRUE,"")</f>
        <v>0</v>
      </c>
      <c r="M9">
        <f>_xlfn.XLOOKUP(Table49[[#This Row],[app_id]],Table7[app_id],Table7[rating_given],"",0)</f>
        <v>3</v>
      </c>
    </row>
    <row r="10" spans="1:13" hidden="1" x14ac:dyDescent="0.25">
      <c r="A10" t="s">
        <v>272</v>
      </c>
      <c r="B10" t="s">
        <v>47</v>
      </c>
      <c r="C10" t="str">
        <f>_xlfn.XLOOKUP(Table49[[#This Row],[app_id]],Table5[app_id],Table5[category],"",0)</f>
        <v>Finance</v>
      </c>
      <c r="D10">
        <f>IF(_xlfn.XLOOKUP(Table49[[#This Row],[app_id]],Table4[app_id],Table4[push_notifications],"",0)="Yes",1,0)</f>
        <v>1</v>
      </c>
      <c r="E10">
        <f>IF(_xlfn.XLOOKUP(Table49[[#This Row],[app_id]],Table4[app_id],Table4[offline_access],"",0)="Yes",1,0)</f>
        <v>0</v>
      </c>
      <c r="F10">
        <f>IF(_xlfn.XLOOKUP(Table49[[#This Row],[app_id]],Table4[app_id],Table4[ai_features],"",0)="Yes",1,0)</f>
        <v>1</v>
      </c>
      <c r="G10">
        <f>IF(_xlfn.XLOOKUP(Table49[[#This Row],[app_id]],Table4[app_id],Table4[payment_integration],"",0)="Yes",1,0)</f>
        <v>1</v>
      </c>
      <c r="H10">
        <f>IF(_xlfn.XLOOKUP(Table49[[#This Row],[app_id]],Table4[app_id],Table4[chatbot_support],"",0)="Yes",1,0)</f>
        <v>0</v>
      </c>
      <c r="I10">
        <f>IF(_xlfn.XLOOKUP(Table49[[#This Row],[app_id]],Table4[app_id],Table4[personalization],"",0)="Yes",1,0)</f>
        <v>1</v>
      </c>
      <c r="J10">
        <f>IF(_xlfn.XLOOKUP(Table49[[#This Row],[app_id]],Table4[app_id],Table4[dark_mode],"",0)="Yes",1,0)</f>
        <v>1</v>
      </c>
      <c r="K10">
        <f>IF(_xlfn.XLOOKUP(Table49[[#This Row],[app_id]],Table4[app_id],Table4[multi_language_support],"",0)="Yes",1,0)</f>
        <v>0</v>
      </c>
      <c r="L10" cm="1">
        <f t="array" ref="L10">_xlfn.IFS(_xlfn.XLOOKUP(Table49[[#This Row],[app_id]],Table4[app_id],Table4[security_features])="Basic",0,_xlfn.XLOOKUP(Table49[[#This Row],[app_id]],Table4[app_id],Table4[security_features])="Advanced",1,_xlfn.XLOOKUP(Table49[[#This Row],[app_id]],Table4[app_id],Table4[security_features])="Biometric",3,TRUE,"")</f>
        <v>1</v>
      </c>
      <c r="M10">
        <f>_xlfn.XLOOKUP(Table49[[#This Row],[app_id]],Table7[app_id],Table7[rating_given],"",0)</f>
        <v>5</v>
      </c>
    </row>
    <row r="11" spans="1:13" hidden="1" x14ac:dyDescent="0.25">
      <c r="A11" t="s">
        <v>273</v>
      </c>
      <c r="B11" t="s">
        <v>49</v>
      </c>
      <c r="C11" t="str">
        <f>_xlfn.XLOOKUP(Table49[[#This Row],[app_id]],Table5[app_id],Table5[category],"",0)</f>
        <v>Finance</v>
      </c>
      <c r="D11">
        <f>IF(_xlfn.XLOOKUP(Table49[[#This Row],[app_id]],Table4[app_id],Table4[push_notifications],"",0)="Yes",1,0)</f>
        <v>1</v>
      </c>
      <c r="E11">
        <f>IF(_xlfn.XLOOKUP(Table49[[#This Row],[app_id]],Table4[app_id],Table4[offline_access],"",0)="Yes",1,0)</f>
        <v>1</v>
      </c>
      <c r="F11">
        <f>IF(_xlfn.XLOOKUP(Table49[[#This Row],[app_id]],Table4[app_id],Table4[ai_features],"",0)="Yes",1,0)</f>
        <v>1</v>
      </c>
      <c r="G11">
        <f>IF(_xlfn.XLOOKUP(Table49[[#This Row],[app_id]],Table4[app_id],Table4[payment_integration],"",0)="Yes",1,0)</f>
        <v>0</v>
      </c>
      <c r="H11">
        <f>IF(_xlfn.XLOOKUP(Table49[[#This Row],[app_id]],Table4[app_id],Table4[chatbot_support],"",0)="Yes",1,0)</f>
        <v>0</v>
      </c>
      <c r="I11">
        <f>IF(_xlfn.XLOOKUP(Table49[[#This Row],[app_id]],Table4[app_id],Table4[personalization],"",0)="Yes",1,0)</f>
        <v>1</v>
      </c>
      <c r="J11">
        <f>IF(_xlfn.XLOOKUP(Table49[[#This Row],[app_id]],Table4[app_id],Table4[dark_mode],"",0)="Yes",1,0)</f>
        <v>0</v>
      </c>
      <c r="K11">
        <f>IF(_xlfn.XLOOKUP(Table49[[#This Row],[app_id]],Table4[app_id],Table4[multi_language_support],"",0)="Yes",1,0)</f>
        <v>1</v>
      </c>
      <c r="L11" cm="1">
        <f t="array" ref="L11">_xlfn.IFS(_xlfn.XLOOKUP(Table49[[#This Row],[app_id]],Table4[app_id],Table4[security_features])="Basic",0,_xlfn.XLOOKUP(Table49[[#This Row],[app_id]],Table4[app_id],Table4[security_features])="Advanced",1,_xlfn.XLOOKUP(Table49[[#This Row],[app_id]],Table4[app_id],Table4[security_features])="Biometric",3,TRUE,"")</f>
        <v>0</v>
      </c>
      <c r="M11">
        <f>_xlfn.XLOOKUP(Table49[[#This Row],[app_id]],Table7[app_id],Table7[rating_given],"",0)</f>
        <v>3</v>
      </c>
    </row>
    <row r="12" spans="1:13" hidden="1" x14ac:dyDescent="0.25">
      <c r="A12" t="s">
        <v>274</v>
      </c>
      <c r="B12" t="s">
        <v>51</v>
      </c>
      <c r="C12" t="str">
        <f>_xlfn.XLOOKUP(Table49[[#This Row],[app_id]],Table5[app_id],Table5[category],"",0)</f>
        <v>Finance</v>
      </c>
      <c r="D12">
        <f>IF(_xlfn.XLOOKUP(Table49[[#This Row],[app_id]],Table4[app_id],Table4[push_notifications],"",0)="Yes",1,0)</f>
        <v>0</v>
      </c>
      <c r="E12">
        <f>IF(_xlfn.XLOOKUP(Table49[[#This Row],[app_id]],Table4[app_id],Table4[offline_access],"",0)="Yes",1,0)</f>
        <v>1</v>
      </c>
      <c r="F12">
        <f>IF(_xlfn.XLOOKUP(Table49[[#This Row],[app_id]],Table4[app_id],Table4[ai_features],"",0)="Yes",1,0)</f>
        <v>0</v>
      </c>
      <c r="G12">
        <f>IF(_xlfn.XLOOKUP(Table49[[#This Row],[app_id]],Table4[app_id],Table4[payment_integration],"",0)="Yes",1,0)</f>
        <v>1</v>
      </c>
      <c r="H12">
        <f>IF(_xlfn.XLOOKUP(Table49[[#This Row],[app_id]],Table4[app_id],Table4[chatbot_support],"",0)="Yes",1,0)</f>
        <v>0</v>
      </c>
      <c r="I12">
        <f>IF(_xlfn.XLOOKUP(Table49[[#This Row],[app_id]],Table4[app_id],Table4[personalization],"",0)="Yes",1,0)</f>
        <v>0</v>
      </c>
      <c r="J12">
        <f>IF(_xlfn.XLOOKUP(Table49[[#This Row],[app_id]],Table4[app_id],Table4[dark_mode],"",0)="Yes",1,0)</f>
        <v>0</v>
      </c>
      <c r="K12">
        <f>IF(_xlfn.XLOOKUP(Table49[[#This Row],[app_id]],Table4[app_id],Table4[multi_language_support],"",0)="Yes",1,0)</f>
        <v>1</v>
      </c>
      <c r="L12" cm="1">
        <f t="array" ref="L12">_xlfn.IFS(_xlfn.XLOOKUP(Table49[[#This Row],[app_id]],Table4[app_id],Table4[security_features])="Basic",0,_xlfn.XLOOKUP(Table49[[#This Row],[app_id]],Table4[app_id],Table4[security_features])="Advanced",1,_xlfn.XLOOKUP(Table49[[#This Row],[app_id]],Table4[app_id],Table4[security_features])="Biometric",3,TRUE,"")</f>
        <v>0</v>
      </c>
      <c r="M12">
        <f>_xlfn.XLOOKUP(Table49[[#This Row],[app_id]],Table7[app_id],Table7[rating_given],"",0)</f>
        <v>5</v>
      </c>
    </row>
    <row r="13" spans="1:13" hidden="1" x14ac:dyDescent="0.25">
      <c r="A13" t="s">
        <v>275</v>
      </c>
      <c r="B13" t="s">
        <v>53</v>
      </c>
      <c r="C13" t="str">
        <f>_xlfn.XLOOKUP(Table49[[#This Row],[app_id]],Table5[app_id],Table5[category],"",0)</f>
        <v>Finance</v>
      </c>
      <c r="D13">
        <f>IF(_xlfn.XLOOKUP(Table49[[#This Row],[app_id]],Table4[app_id],Table4[push_notifications],"",0)="Yes",1,0)</f>
        <v>1</v>
      </c>
      <c r="E13">
        <f>IF(_xlfn.XLOOKUP(Table49[[#This Row],[app_id]],Table4[app_id],Table4[offline_access],"",0)="Yes",1,0)</f>
        <v>0</v>
      </c>
      <c r="F13">
        <f>IF(_xlfn.XLOOKUP(Table49[[#This Row],[app_id]],Table4[app_id],Table4[ai_features],"",0)="Yes",1,0)</f>
        <v>0</v>
      </c>
      <c r="G13">
        <f>IF(_xlfn.XLOOKUP(Table49[[#This Row],[app_id]],Table4[app_id],Table4[payment_integration],"",0)="Yes",1,0)</f>
        <v>0</v>
      </c>
      <c r="H13">
        <f>IF(_xlfn.XLOOKUP(Table49[[#This Row],[app_id]],Table4[app_id],Table4[chatbot_support],"",0)="Yes",1,0)</f>
        <v>1</v>
      </c>
      <c r="I13">
        <f>IF(_xlfn.XLOOKUP(Table49[[#This Row],[app_id]],Table4[app_id],Table4[personalization],"",0)="Yes",1,0)</f>
        <v>0</v>
      </c>
      <c r="J13">
        <f>IF(_xlfn.XLOOKUP(Table49[[#This Row],[app_id]],Table4[app_id],Table4[dark_mode],"",0)="Yes",1,0)</f>
        <v>1</v>
      </c>
      <c r="K13">
        <f>IF(_xlfn.XLOOKUP(Table49[[#This Row],[app_id]],Table4[app_id],Table4[multi_language_support],"",0)="Yes",1,0)</f>
        <v>0</v>
      </c>
      <c r="L13" cm="1">
        <f t="array" ref="L13">_xlfn.IFS(_xlfn.XLOOKUP(Table49[[#This Row],[app_id]],Table4[app_id],Table4[security_features])="Basic",0,_xlfn.XLOOKUP(Table49[[#This Row],[app_id]],Table4[app_id],Table4[security_features])="Advanced",1,_xlfn.XLOOKUP(Table49[[#This Row],[app_id]],Table4[app_id],Table4[security_features])="Biometric",3,TRUE,"")</f>
        <v>3</v>
      </c>
      <c r="M13">
        <f>_xlfn.XLOOKUP(Table49[[#This Row],[app_id]],Table7[app_id],Table7[rating_given],"",0)</f>
        <v>3</v>
      </c>
    </row>
    <row r="14" spans="1:13" hidden="1" x14ac:dyDescent="0.25">
      <c r="A14" t="s">
        <v>277</v>
      </c>
      <c r="B14" t="s">
        <v>56</v>
      </c>
      <c r="C14" t="str">
        <f>_xlfn.XLOOKUP(Table49[[#This Row],[app_id]],Table5[app_id],Table5[category],"",0)</f>
        <v>Shopping</v>
      </c>
      <c r="D14">
        <f>IF(_xlfn.XLOOKUP(Table49[[#This Row],[app_id]],Table4[app_id],Table4[push_notifications],"",0)="Yes",1,0)</f>
        <v>1</v>
      </c>
      <c r="E14">
        <f>IF(_xlfn.XLOOKUP(Table49[[#This Row],[app_id]],Table4[app_id],Table4[offline_access],"",0)="Yes",1,0)</f>
        <v>0</v>
      </c>
      <c r="F14">
        <f>IF(_xlfn.XLOOKUP(Table49[[#This Row],[app_id]],Table4[app_id],Table4[ai_features],"",0)="Yes",1,0)</f>
        <v>0</v>
      </c>
      <c r="G14">
        <f>IF(_xlfn.XLOOKUP(Table49[[#This Row],[app_id]],Table4[app_id],Table4[payment_integration],"",0)="Yes",1,0)</f>
        <v>1</v>
      </c>
      <c r="H14">
        <f>IF(_xlfn.XLOOKUP(Table49[[#This Row],[app_id]],Table4[app_id],Table4[chatbot_support],"",0)="Yes",1,0)</f>
        <v>0</v>
      </c>
      <c r="I14">
        <f>IF(_xlfn.XLOOKUP(Table49[[#This Row],[app_id]],Table4[app_id],Table4[personalization],"",0)="Yes",1,0)</f>
        <v>1</v>
      </c>
      <c r="J14">
        <f>IF(_xlfn.XLOOKUP(Table49[[#This Row],[app_id]],Table4[app_id],Table4[dark_mode],"",0)="Yes",1,0)</f>
        <v>0</v>
      </c>
      <c r="K14">
        <f>IF(_xlfn.XLOOKUP(Table49[[#This Row],[app_id]],Table4[app_id],Table4[multi_language_support],"",0)="Yes",1,0)</f>
        <v>1</v>
      </c>
      <c r="L14" cm="1">
        <f t="array" ref="L14">_xlfn.IFS(_xlfn.XLOOKUP(Table49[[#This Row],[app_id]],Table4[app_id],Table4[security_features])="Basic",0,_xlfn.XLOOKUP(Table49[[#This Row],[app_id]],Table4[app_id],Table4[security_features])="Advanced",1,_xlfn.XLOOKUP(Table49[[#This Row],[app_id]],Table4[app_id],Table4[security_features])="Biometric",3,TRUE,"")</f>
        <v>1</v>
      </c>
      <c r="M14">
        <f>_xlfn.XLOOKUP(Table49[[#This Row],[app_id]],Table7[app_id],Table7[rating_given],"",0)</f>
        <v>2</v>
      </c>
    </row>
    <row r="15" spans="1:13" hidden="1" x14ac:dyDescent="0.25">
      <c r="A15" t="s">
        <v>278</v>
      </c>
      <c r="B15" t="s">
        <v>62</v>
      </c>
      <c r="C15" t="str">
        <f>_xlfn.XLOOKUP(Table49[[#This Row],[app_id]],Table5[app_id],Table5[category],"",0)</f>
        <v>Shopping</v>
      </c>
      <c r="D15">
        <f>IF(_xlfn.XLOOKUP(Table49[[#This Row],[app_id]],Table4[app_id],Table4[push_notifications],"",0)="Yes",1,0)</f>
        <v>1</v>
      </c>
      <c r="E15">
        <f>IF(_xlfn.XLOOKUP(Table49[[#This Row],[app_id]],Table4[app_id],Table4[offline_access],"",0)="Yes",1,0)</f>
        <v>0</v>
      </c>
      <c r="F15">
        <f>IF(_xlfn.XLOOKUP(Table49[[#This Row],[app_id]],Table4[app_id],Table4[ai_features],"",0)="Yes",1,0)</f>
        <v>1</v>
      </c>
      <c r="G15">
        <f>IF(_xlfn.XLOOKUP(Table49[[#This Row],[app_id]],Table4[app_id],Table4[payment_integration],"",0)="Yes",1,0)</f>
        <v>1</v>
      </c>
      <c r="H15">
        <f>IF(_xlfn.XLOOKUP(Table49[[#This Row],[app_id]],Table4[app_id],Table4[chatbot_support],"",0)="Yes",1,0)</f>
        <v>0</v>
      </c>
      <c r="I15">
        <f>IF(_xlfn.XLOOKUP(Table49[[#This Row],[app_id]],Table4[app_id],Table4[personalization],"",0)="Yes",1,0)</f>
        <v>1</v>
      </c>
      <c r="J15">
        <f>IF(_xlfn.XLOOKUP(Table49[[#This Row],[app_id]],Table4[app_id],Table4[dark_mode],"",0)="Yes",1,0)</f>
        <v>1</v>
      </c>
      <c r="K15">
        <f>IF(_xlfn.XLOOKUP(Table49[[#This Row],[app_id]],Table4[app_id],Table4[multi_language_support],"",0)="Yes",1,0)</f>
        <v>1</v>
      </c>
      <c r="L15" cm="1">
        <f t="array" ref="L15">_xlfn.IFS(_xlfn.XLOOKUP(Table49[[#This Row],[app_id]],Table4[app_id],Table4[security_features])="Basic",0,_xlfn.XLOOKUP(Table49[[#This Row],[app_id]],Table4[app_id],Table4[security_features])="Advanced",1,_xlfn.XLOOKUP(Table49[[#This Row],[app_id]],Table4[app_id],Table4[security_features])="Biometric",3,TRUE,"")</f>
        <v>0</v>
      </c>
      <c r="M15">
        <f>_xlfn.XLOOKUP(Table49[[#This Row],[app_id]],Table7[app_id],Table7[rating_given],"",0)</f>
        <v>5</v>
      </c>
    </row>
    <row r="16" spans="1:13" hidden="1" x14ac:dyDescent="0.25">
      <c r="A16" t="s">
        <v>279</v>
      </c>
      <c r="B16" t="s">
        <v>65</v>
      </c>
      <c r="C16" t="str">
        <f>_xlfn.XLOOKUP(Table49[[#This Row],[app_id]],Table5[app_id],Table5[category],"",0)</f>
        <v>Shopping</v>
      </c>
      <c r="D16">
        <f>IF(_xlfn.XLOOKUP(Table49[[#This Row],[app_id]],Table4[app_id],Table4[push_notifications],"",0)="Yes",1,0)</f>
        <v>1</v>
      </c>
      <c r="E16">
        <f>IF(_xlfn.XLOOKUP(Table49[[#This Row],[app_id]],Table4[app_id],Table4[offline_access],"",0)="Yes",1,0)</f>
        <v>0</v>
      </c>
      <c r="F16">
        <f>IF(_xlfn.XLOOKUP(Table49[[#This Row],[app_id]],Table4[app_id],Table4[ai_features],"",0)="Yes",1,0)</f>
        <v>0</v>
      </c>
      <c r="G16">
        <f>IF(_xlfn.XLOOKUP(Table49[[#This Row],[app_id]],Table4[app_id],Table4[payment_integration],"",0)="Yes",1,0)</f>
        <v>1</v>
      </c>
      <c r="H16">
        <f>IF(_xlfn.XLOOKUP(Table49[[#This Row],[app_id]],Table4[app_id],Table4[chatbot_support],"",0)="Yes",1,0)</f>
        <v>0</v>
      </c>
      <c r="I16">
        <f>IF(_xlfn.XLOOKUP(Table49[[#This Row],[app_id]],Table4[app_id],Table4[personalization],"",0)="Yes",1,0)</f>
        <v>1</v>
      </c>
      <c r="J16">
        <f>IF(_xlfn.XLOOKUP(Table49[[#This Row],[app_id]],Table4[app_id],Table4[dark_mode],"",0)="Yes",1,0)</f>
        <v>0</v>
      </c>
      <c r="K16">
        <f>IF(_xlfn.XLOOKUP(Table49[[#This Row],[app_id]],Table4[app_id],Table4[multi_language_support],"",0)="Yes",1,0)</f>
        <v>1</v>
      </c>
      <c r="L16" cm="1">
        <f t="array" ref="L16">_xlfn.IFS(_xlfn.XLOOKUP(Table49[[#This Row],[app_id]],Table4[app_id],Table4[security_features])="Basic",0,_xlfn.XLOOKUP(Table49[[#This Row],[app_id]],Table4[app_id],Table4[security_features])="Advanced",1,_xlfn.XLOOKUP(Table49[[#This Row],[app_id]],Table4[app_id],Table4[security_features])="Biometric",3,TRUE,"")</f>
        <v>3</v>
      </c>
      <c r="M16">
        <f>_xlfn.XLOOKUP(Table49[[#This Row],[app_id]],Table7[app_id],Table7[rating_given],"",0)</f>
        <v>4</v>
      </c>
    </row>
    <row r="17" spans="1:13" hidden="1" x14ac:dyDescent="0.25">
      <c r="A17" t="s">
        <v>280</v>
      </c>
      <c r="B17" t="s">
        <v>67</v>
      </c>
      <c r="C17" t="str">
        <f>_xlfn.XLOOKUP(Table49[[#This Row],[app_id]],Table5[app_id],Table5[category],"",0)</f>
        <v>Shopping</v>
      </c>
      <c r="D17">
        <f>IF(_xlfn.XLOOKUP(Table49[[#This Row],[app_id]],Table4[app_id],Table4[push_notifications],"",0)="Yes",1,0)</f>
        <v>0</v>
      </c>
      <c r="E17">
        <f>IF(_xlfn.XLOOKUP(Table49[[#This Row],[app_id]],Table4[app_id],Table4[offline_access],"",0)="Yes",1,0)</f>
        <v>0</v>
      </c>
      <c r="F17">
        <f>IF(_xlfn.XLOOKUP(Table49[[#This Row],[app_id]],Table4[app_id],Table4[ai_features],"",0)="Yes",1,0)</f>
        <v>0</v>
      </c>
      <c r="G17">
        <f>IF(_xlfn.XLOOKUP(Table49[[#This Row],[app_id]],Table4[app_id],Table4[payment_integration],"",0)="Yes",1,0)</f>
        <v>1</v>
      </c>
      <c r="H17">
        <f>IF(_xlfn.XLOOKUP(Table49[[#This Row],[app_id]],Table4[app_id],Table4[chatbot_support],"",0)="Yes",1,0)</f>
        <v>0</v>
      </c>
      <c r="I17">
        <f>IF(_xlfn.XLOOKUP(Table49[[#This Row],[app_id]],Table4[app_id],Table4[personalization],"",0)="Yes",1,0)</f>
        <v>1</v>
      </c>
      <c r="J17">
        <f>IF(_xlfn.XLOOKUP(Table49[[#This Row],[app_id]],Table4[app_id],Table4[dark_mode],"",0)="Yes",1,0)</f>
        <v>0</v>
      </c>
      <c r="K17">
        <f>IF(_xlfn.XLOOKUP(Table49[[#This Row],[app_id]],Table4[app_id],Table4[multi_language_support],"",0)="Yes",1,0)</f>
        <v>0</v>
      </c>
      <c r="L17" cm="1">
        <f t="array" ref="L17">_xlfn.IFS(_xlfn.XLOOKUP(Table49[[#This Row],[app_id]],Table4[app_id],Table4[security_features])="Basic",0,_xlfn.XLOOKUP(Table49[[#This Row],[app_id]],Table4[app_id],Table4[security_features])="Advanced",1,_xlfn.XLOOKUP(Table49[[#This Row],[app_id]],Table4[app_id],Table4[security_features])="Biometric",3,TRUE,"")</f>
        <v>0</v>
      </c>
      <c r="M17">
        <f>_xlfn.XLOOKUP(Table49[[#This Row],[app_id]],Table7[app_id],Table7[rating_given],"",0)</f>
        <v>3</v>
      </c>
    </row>
    <row r="18" spans="1:13" hidden="1" x14ac:dyDescent="0.25">
      <c r="A18" t="s">
        <v>281</v>
      </c>
      <c r="B18" t="s">
        <v>70</v>
      </c>
      <c r="C18" t="str">
        <f>_xlfn.XLOOKUP(Table49[[#This Row],[app_id]],Table5[app_id],Table5[category],"",0)</f>
        <v>Shopping</v>
      </c>
      <c r="D18">
        <f>IF(_xlfn.XLOOKUP(Table49[[#This Row],[app_id]],Table4[app_id],Table4[push_notifications],"",0)="Yes",1,0)</f>
        <v>1</v>
      </c>
      <c r="E18">
        <f>IF(_xlfn.XLOOKUP(Table49[[#This Row],[app_id]],Table4[app_id],Table4[offline_access],"",0)="Yes",1,0)</f>
        <v>0</v>
      </c>
      <c r="F18">
        <f>IF(_xlfn.XLOOKUP(Table49[[#This Row],[app_id]],Table4[app_id],Table4[ai_features],"",0)="Yes",1,0)</f>
        <v>0</v>
      </c>
      <c r="G18">
        <f>IF(_xlfn.XLOOKUP(Table49[[#This Row],[app_id]],Table4[app_id],Table4[payment_integration],"",0)="Yes",1,0)</f>
        <v>1</v>
      </c>
      <c r="H18">
        <f>IF(_xlfn.XLOOKUP(Table49[[#This Row],[app_id]],Table4[app_id],Table4[chatbot_support],"",0)="Yes",1,0)</f>
        <v>0</v>
      </c>
      <c r="I18">
        <f>IF(_xlfn.XLOOKUP(Table49[[#This Row],[app_id]],Table4[app_id],Table4[personalization],"",0)="Yes",1,0)</f>
        <v>1</v>
      </c>
      <c r="J18">
        <f>IF(_xlfn.XLOOKUP(Table49[[#This Row],[app_id]],Table4[app_id],Table4[dark_mode],"",0)="Yes",1,0)</f>
        <v>1</v>
      </c>
      <c r="K18">
        <f>IF(_xlfn.XLOOKUP(Table49[[#This Row],[app_id]],Table4[app_id],Table4[multi_language_support],"",0)="Yes",1,0)</f>
        <v>1</v>
      </c>
      <c r="L18" cm="1">
        <f t="array" ref="L18">_xlfn.IFS(_xlfn.XLOOKUP(Table49[[#This Row],[app_id]],Table4[app_id],Table4[security_features])="Basic",0,_xlfn.XLOOKUP(Table49[[#This Row],[app_id]],Table4[app_id],Table4[security_features])="Advanced",1,_xlfn.XLOOKUP(Table49[[#This Row],[app_id]],Table4[app_id],Table4[security_features])="Biometric",3,TRUE,"")</f>
        <v>1</v>
      </c>
      <c r="M18">
        <f>_xlfn.XLOOKUP(Table49[[#This Row],[app_id]],Table7[app_id],Table7[rating_given],"",0)</f>
        <v>3</v>
      </c>
    </row>
    <row r="19" spans="1:13" hidden="1" x14ac:dyDescent="0.25">
      <c r="A19" t="s">
        <v>282</v>
      </c>
      <c r="B19" t="s">
        <v>72</v>
      </c>
      <c r="C19" t="str">
        <f>_xlfn.XLOOKUP(Table49[[#This Row],[app_id]],Table5[app_id],Table5[category],"",0)</f>
        <v>Shopping</v>
      </c>
      <c r="D19">
        <f>IF(_xlfn.XLOOKUP(Table49[[#This Row],[app_id]],Table4[app_id],Table4[push_notifications],"",0)="Yes",1,0)</f>
        <v>1</v>
      </c>
      <c r="E19">
        <f>IF(_xlfn.XLOOKUP(Table49[[#This Row],[app_id]],Table4[app_id],Table4[offline_access],"",0)="Yes",1,0)</f>
        <v>0</v>
      </c>
      <c r="F19">
        <f>IF(_xlfn.XLOOKUP(Table49[[#This Row],[app_id]],Table4[app_id],Table4[ai_features],"",0)="Yes",1,0)</f>
        <v>1</v>
      </c>
      <c r="G19">
        <f>IF(_xlfn.XLOOKUP(Table49[[#This Row],[app_id]],Table4[app_id],Table4[payment_integration],"",0)="Yes",1,0)</f>
        <v>1</v>
      </c>
      <c r="H19">
        <f>IF(_xlfn.XLOOKUP(Table49[[#This Row],[app_id]],Table4[app_id],Table4[chatbot_support],"",0)="Yes",1,0)</f>
        <v>1</v>
      </c>
      <c r="I19">
        <f>IF(_xlfn.XLOOKUP(Table49[[#This Row],[app_id]],Table4[app_id],Table4[personalization],"",0)="Yes",1,0)</f>
        <v>1</v>
      </c>
      <c r="J19">
        <f>IF(_xlfn.XLOOKUP(Table49[[#This Row],[app_id]],Table4[app_id],Table4[dark_mode],"",0)="Yes",1,0)</f>
        <v>0</v>
      </c>
      <c r="K19">
        <f>IF(_xlfn.XLOOKUP(Table49[[#This Row],[app_id]],Table4[app_id],Table4[multi_language_support],"",0)="Yes",1,0)</f>
        <v>0</v>
      </c>
      <c r="L19" cm="1">
        <f t="array" ref="L19">_xlfn.IFS(_xlfn.XLOOKUP(Table49[[#This Row],[app_id]],Table4[app_id],Table4[security_features])="Basic",0,_xlfn.XLOOKUP(Table49[[#This Row],[app_id]],Table4[app_id],Table4[security_features])="Advanced",1,_xlfn.XLOOKUP(Table49[[#This Row],[app_id]],Table4[app_id],Table4[security_features])="Biometric",3,TRUE,"")</f>
        <v>0</v>
      </c>
      <c r="M19">
        <f>_xlfn.XLOOKUP(Table49[[#This Row],[app_id]],Table7[app_id],Table7[rating_given],"",0)</f>
        <v>5</v>
      </c>
    </row>
    <row r="20" spans="1:13" hidden="1" x14ac:dyDescent="0.25">
      <c r="A20" t="s">
        <v>283</v>
      </c>
      <c r="B20" t="s">
        <v>74</v>
      </c>
      <c r="C20" t="str">
        <f>_xlfn.XLOOKUP(Table49[[#This Row],[app_id]],Table5[app_id],Table5[category],"",0)</f>
        <v>Shopping</v>
      </c>
      <c r="D20">
        <f>IF(_xlfn.XLOOKUP(Table49[[#This Row],[app_id]],Table4[app_id],Table4[push_notifications],"",0)="Yes",1,0)</f>
        <v>1</v>
      </c>
      <c r="E20">
        <f>IF(_xlfn.XLOOKUP(Table49[[#This Row],[app_id]],Table4[app_id],Table4[offline_access],"",0)="Yes",1,0)</f>
        <v>0</v>
      </c>
      <c r="F20">
        <f>IF(_xlfn.XLOOKUP(Table49[[#This Row],[app_id]],Table4[app_id],Table4[ai_features],"",0)="Yes",1,0)</f>
        <v>1</v>
      </c>
      <c r="G20">
        <f>IF(_xlfn.XLOOKUP(Table49[[#This Row],[app_id]],Table4[app_id],Table4[payment_integration],"",0)="Yes",1,0)</f>
        <v>1</v>
      </c>
      <c r="H20">
        <f>IF(_xlfn.XLOOKUP(Table49[[#This Row],[app_id]],Table4[app_id],Table4[chatbot_support],"",0)="Yes",1,0)</f>
        <v>1</v>
      </c>
      <c r="I20">
        <f>IF(_xlfn.XLOOKUP(Table49[[#This Row],[app_id]],Table4[app_id],Table4[personalization],"",0)="Yes",1,0)</f>
        <v>1</v>
      </c>
      <c r="J20">
        <f>IF(_xlfn.XLOOKUP(Table49[[#This Row],[app_id]],Table4[app_id],Table4[dark_mode],"",0)="Yes",1,0)</f>
        <v>1</v>
      </c>
      <c r="K20">
        <f>IF(_xlfn.XLOOKUP(Table49[[#This Row],[app_id]],Table4[app_id],Table4[multi_language_support],"",0)="Yes",1,0)</f>
        <v>1</v>
      </c>
      <c r="L20" cm="1">
        <f t="array" ref="L20">_xlfn.IFS(_xlfn.XLOOKUP(Table49[[#This Row],[app_id]],Table4[app_id],Table4[security_features])="Basic",0,_xlfn.XLOOKUP(Table49[[#This Row],[app_id]],Table4[app_id],Table4[security_features])="Advanced",1,_xlfn.XLOOKUP(Table49[[#This Row],[app_id]],Table4[app_id],Table4[security_features])="Biometric",3,TRUE,"")</f>
        <v>0</v>
      </c>
      <c r="M20">
        <f>_xlfn.XLOOKUP(Table49[[#This Row],[app_id]],Table7[app_id],Table7[rating_given],"",0)</f>
        <v>4</v>
      </c>
    </row>
    <row r="21" spans="1:13" hidden="1" x14ac:dyDescent="0.25">
      <c r="A21" t="s">
        <v>284</v>
      </c>
      <c r="B21" t="s">
        <v>76</v>
      </c>
      <c r="C21" t="str">
        <f>_xlfn.XLOOKUP(Table49[[#This Row],[app_id]],Table5[app_id],Table5[category],"",0)</f>
        <v>Shopping</v>
      </c>
      <c r="D21">
        <f>IF(_xlfn.XLOOKUP(Table49[[#This Row],[app_id]],Table4[app_id],Table4[push_notifications],"",0)="Yes",1,0)</f>
        <v>1</v>
      </c>
      <c r="E21">
        <f>IF(_xlfn.XLOOKUP(Table49[[#This Row],[app_id]],Table4[app_id],Table4[offline_access],"",0)="Yes",1,0)</f>
        <v>0</v>
      </c>
      <c r="F21">
        <f>IF(_xlfn.XLOOKUP(Table49[[#This Row],[app_id]],Table4[app_id],Table4[ai_features],"",0)="Yes",1,0)</f>
        <v>1</v>
      </c>
      <c r="G21">
        <f>IF(_xlfn.XLOOKUP(Table49[[#This Row],[app_id]],Table4[app_id],Table4[payment_integration],"",0)="Yes",1,0)</f>
        <v>1</v>
      </c>
      <c r="H21">
        <f>IF(_xlfn.XLOOKUP(Table49[[#This Row],[app_id]],Table4[app_id],Table4[chatbot_support],"",0)="Yes",1,0)</f>
        <v>0</v>
      </c>
      <c r="I21">
        <f>IF(_xlfn.XLOOKUP(Table49[[#This Row],[app_id]],Table4[app_id],Table4[personalization],"",0)="Yes",1,0)</f>
        <v>1</v>
      </c>
      <c r="J21">
        <f>IF(_xlfn.XLOOKUP(Table49[[#This Row],[app_id]],Table4[app_id],Table4[dark_mode],"",0)="Yes",1,0)</f>
        <v>1</v>
      </c>
      <c r="K21">
        <f>IF(_xlfn.XLOOKUP(Table49[[#This Row],[app_id]],Table4[app_id],Table4[multi_language_support],"",0)="Yes",1,0)</f>
        <v>0</v>
      </c>
      <c r="L21" cm="1">
        <f t="array" ref="L21">_xlfn.IFS(_xlfn.XLOOKUP(Table49[[#This Row],[app_id]],Table4[app_id],Table4[security_features])="Basic",0,_xlfn.XLOOKUP(Table49[[#This Row],[app_id]],Table4[app_id],Table4[security_features])="Advanced",1,_xlfn.XLOOKUP(Table49[[#This Row],[app_id]],Table4[app_id],Table4[security_features])="Biometric",3,TRUE,"")</f>
        <v>1</v>
      </c>
      <c r="M21">
        <f>_xlfn.XLOOKUP(Table49[[#This Row],[app_id]],Table7[app_id],Table7[rating_given],"",0)</f>
        <v>3</v>
      </c>
    </row>
    <row r="22" spans="1:13" hidden="1" x14ac:dyDescent="0.25">
      <c r="A22" t="s">
        <v>285</v>
      </c>
      <c r="B22" t="s">
        <v>78</v>
      </c>
      <c r="C22" t="str">
        <f>_xlfn.XLOOKUP(Table49[[#This Row],[app_id]],Table5[app_id],Table5[category],"",0)</f>
        <v>Shopping</v>
      </c>
      <c r="D22">
        <f>IF(_xlfn.XLOOKUP(Table49[[#This Row],[app_id]],Table4[app_id],Table4[push_notifications],"",0)="Yes",1,0)</f>
        <v>1</v>
      </c>
      <c r="E22">
        <f>IF(_xlfn.XLOOKUP(Table49[[#This Row],[app_id]],Table4[app_id],Table4[offline_access],"",0)="Yes",1,0)</f>
        <v>0</v>
      </c>
      <c r="F22">
        <f>IF(_xlfn.XLOOKUP(Table49[[#This Row],[app_id]],Table4[app_id],Table4[ai_features],"",0)="Yes",1,0)</f>
        <v>0</v>
      </c>
      <c r="G22">
        <f>IF(_xlfn.XLOOKUP(Table49[[#This Row],[app_id]],Table4[app_id],Table4[payment_integration],"",0)="Yes",1,0)</f>
        <v>1</v>
      </c>
      <c r="H22">
        <f>IF(_xlfn.XLOOKUP(Table49[[#This Row],[app_id]],Table4[app_id],Table4[chatbot_support],"",0)="Yes",1,0)</f>
        <v>0</v>
      </c>
      <c r="I22">
        <f>IF(_xlfn.XLOOKUP(Table49[[#This Row],[app_id]],Table4[app_id],Table4[personalization],"",0)="Yes",1,0)</f>
        <v>1</v>
      </c>
      <c r="J22">
        <f>IF(_xlfn.XLOOKUP(Table49[[#This Row],[app_id]],Table4[app_id],Table4[dark_mode],"",0)="Yes",1,0)</f>
        <v>1</v>
      </c>
      <c r="K22">
        <f>IF(_xlfn.XLOOKUP(Table49[[#This Row],[app_id]],Table4[app_id],Table4[multi_language_support],"",0)="Yes",1,0)</f>
        <v>0</v>
      </c>
      <c r="L22" cm="1">
        <f t="array" ref="L22">_xlfn.IFS(_xlfn.XLOOKUP(Table49[[#This Row],[app_id]],Table4[app_id],Table4[security_features])="Basic",0,_xlfn.XLOOKUP(Table49[[#This Row],[app_id]],Table4[app_id],Table4[security_features])="Advanced",1,_xlfn.XLOOKUP(Table49[[#This Row],[app_id]],Table4[app_id],Table4[security_features])="Biometric",3,TRUE,"")</f>
        <v>3</v>
      </c>
      <c r="M22">
        <f>_xlfn.XLOOKUP(Table49[[#This Row],[app_id]],Table7[app_id],Table7[rating_given],"",0)</f>
        <v>2</v>
      </c>
    </row>
    <row r="23" spans="1:13" hidden="1" x14ac:dyDescent="0.25">
      <c r="A23" t="s">
        <v>286</v>
      </c>
      <c r="B23" t="s">
        <v>80</v>
      </c>
      <c r="C23" t="str">
        <f>_xlfn.XLOOKUP(Table49[[#This Row],[app_id]],Table5[app_id],Table5[category],"",0)</f>
        <v>Shopping</v>
      </c>
      <c r="D23">
        <f>IF(_xlfn.XLOOKUP(Table49[[#This Row],[app_id]],Table4[app_id],Table4[push_notifications],"",0)="Yes",1,0)</f>
        <v>1</v>
      </c>
      <c r="E23">
        <f>IF(_xlfn.XLOOKUP(Table49[[#This Row],[app_id]],Table4[app_id],Table4[offline_access],"",0)="Yes",1,0)</f>
        <v>0</v>
      </c>
      <c r="F23">
        <f>IF(_xlfn.XLOOKUP(Table49[[#This Row],[app_id]],Table4[app_id],Table4[ai_features],"",0)="Yes",1,0)</f>
        <v>1</v>
      </c>
      <c r="G23">
        <f>IF(_xlfn.XLOOKUP(Table49[[#This Row],[app_id]],Table4[app_id],Table4[payment_integration],"",0)="Yes",1,0)</f>
        <v>1</v>
      </c>
      <c r="H23">
        <f>IF(_xlfn.XLOOKUP(Table49[[#This Row],[app_id]],Table4[app_id],Table4[chatbot_support],"",0)="Yes",1,0)</f>
        <v>1</v>
      </c>
      <c r="I23">
        <f>IF(_xlfn.XLOOKUP(Table49[[#This Row],[app_id]],Table4[app_id],Table4[personalization],"",0)="Yes",1,0)</f>
        <v>1</v>
      </c>
      <c r="J23">
        <f>IF(_xlfn.XLOOKUP(Table49[[#This Row],[app_id]],Table4[app_id],Table4[dark_mode],"",0)="Yes",1,0)</f>
        <v>1</v>
      </c>
      <c r="K23">
        <f>IF(_xlfn.XLOOKUP(Table49[[#This Row],[app_id]],Table4[app_id],Table4[multi_language_support],"",0)="Yes",1,0)</f>
        <v>0</v>
      </c>
      <c r="L23" cm="1">
        <f t="array" ref="L23">_xlfn.IFS(_xlfn.XLOOKUP(Table49[[#This Row],[app_id]],Table4[app_id],Table4[security_features])="Basic",0,_xlfn.XLOOKUP(Table49[[#This Row],[app_id]],Table4[app_id],Table4[security_features])="Advanced",1,_xlfn.XLOOKUP(Table49[[#This Row],[app_id]],Table4[app_id],Table4[security_features])="Biometric",3,TRUE,"")</f>
        <v>1</v>
      </c>
      <c r="M23">
        <f>_xlfn.XLOOKUP(Table49[[#This Row],[app_id]],Table7[app_id],Table7[rating_given],"",0)</f>
        <v>4</v>
      </c>
    </row>
    <row r="24" spans="1:13" hidden="1" x14ac:dyDescent="0.25">
      <c r="A24" t="s">
        <v>287</v>
      </c>
      <c r="B24" t="s">
        <v>83</v>
      </c>
      <c r="C24" t="str">
        <f>_xlfn.XLOOKUP(Table49[[#This Row],[app_id]],Table5[app_id],Table5[category],"",0)</f>
        <v>Shopping</v>
      </c>
      <c r="D24">
        <f>IF(_xlfn.XLOOKUP(Table49[[#This Row],[app_id]],Table4[app_id],Table4[push_notifications],"",0)="Yes",1,0)</f>
        <v>1</v>
      </c>
      <c r="E24">
        <f>IF(_xlfn.XLOOKUP(Table49[[#This Row],[app_id]],Table4[app_id],Table4[offline_access],"",0)="Yes",1,0)</f>
        <v>0</v>
      </c>
      <c r="F24">
        <f>IF(_xlfn.XLOOKUP(Table49[[#This Row],[app_id]],Table4[app_id],Table4[ai_features],"",0)="Yes",1,0)</f>
        <v>0</v>
      </c>
      <c r="G24">
        <f>IF(_xlfn.XLOOKUP(Table49[[#This Row],[app_id]],Table4[app_id],Table4[payment_integration],"",0)="Yes",1,0)</f>
        <v>1</v>
      </c>
      <c r="H24">
        <f>IF(_xlfn.XLOOKUP(Table49[[#This Row],[app_id]],Table4[app_id],Table4[chatbot_support],"",0)="Yes",1,0)</f>
        <v>0</v>
      </c>
      <c r="I24">
        <f>IF(_xlfn.XLOOKUP(Table49[[#This Row],[app_id]],Table4[app_id],Table4[personalization],"",0)="Yes",1,0)</f>
        <v>0</v>
      </c>
      <c r="J24">
        <f>IF(_xlfn.XLOOKUP(Table49[[#This Row],[app_id]],Table4[app_id],Table4[dark_mode],"",0)="Yes",1,0)</f>
        <v>0</v>
      </c>
      <c r="K24">
        <f>IF(_xlfn.XLOOKUP(Table49[[#This Row],[app_id]],Table4[app_id],Table4[multi_language_support],"",0)="Yes",1,0)</f>
        <v>1</v>
      </c>
      <c r="L24" cm="1">
        <f t="array" ref="L24">_xlfn.IFS(_xlfn.XLOOKUP(Table49[[#This Row],[app_id]],Table4[app_id],Table4[security_features])="Basic",0,_xlfn.XLOOKUP(Table49[[#This Row],[app_id]],Table4[app_id],Table4[security_features])="Advanced",1,_xlfn.XLOOKUP(Table49[[#This Row],[app_id]],Table4[app_id],Table4[security_features])="Biometric",3,TRUE,"")</f>
        <v>3</v>
      </c>
      <c r="M24">
        <f>_xlfn.XLOOKUP(Table49[[#This Row],[app_id]],Table7[app_id],Table7[rating_given],"",0)</f>
        <v>3</v>
      </c>
    </row>
    <row r="25" spans="1:13" hidden="1" x14ac:dyDescent="0.25">
      <c r="A25" t="s">
        <v>289</v>
      </c>
      <c r="B25" t="s">
        <v>85</v>
      </c>
      <c r="C25" t="str">
        <f>_xlfn.XLOOKUP(Table49[[#This Row],[app_id]],Table5[app_id],Table5[category],"",0)</f>
        <v>Shopping</v>
      </c>
      <c r="D25">
        <f>IF(_xlfn.XLOOKUP(Table49[[#This Row],[app_id]],Table4[app_id],Table4[push_notifications],"",0)="Yes",1,0)</f>
        <v>0</v>
      </c>
      <c r="E25">
        <f>IF(_xlfn.XLOOKUP(Table49[[#This Row],[app_id]],Table4[app_id],Table4[offline_access],"",0)="Yes",1,0)</f>
        <v>0</v>
      </c>
      <c r="F25">
        <f>IF(_xlfn.XLOOKUP(Table49[[#This Row],[app_id]],Table4[app_id],Table4[ai_features],"",0)="Yes",1,0)</f>
        <v>0</v>
      </c>
      <c r="G25">
        <f>IF(_xlfn.XLOOKUP(Table49[[#This Row],[app_id]],Table4[app_id],Table4[payment_integration],"",0)="Yes",1,0)</f>
        <v>1</v>
      </c>
      <c r="H25">
        <f>IF(_xlfn.XLOOKUP(Table49[[#This Row],[app_id]],Table4[app_id],Table4[chatbot_support],"",0)="Yes",1,0)</f>
        <v>1</v>
      </c>
      <c r="I25">
        <f>IF(_xlfn.XLOOKUP(Table49[[#This Row],[app_id]],Table4[app_id],Table4[personalization],"",0)="Yes",1,0)</f>
        <v>1</v>
      </c>
      <c r="J25">
        <f>IF(_xlfn.XLOOKUP(Table49[[#This Row],[app_id]],Table4[app_id],Table4[dark_mode],"",0)="Yes",1,0)</f>
        <v>1</v>
      </c>
      <c r="K25">
        <f>IF(_xlfn.XLOOKUP(Table49[[#This Row],[app_id]],Table4[app_id],Table4[multi_language_support],"",0)="Yes",1,0)</f>
        <v>0</v>
      </c>
      <c r="L25" cm="1">
        <f t="array" ref="L25">_xlfn.IFS(_xlfn.XLOOKUP(Table49[[#This Row],[app_id]],Table4[app_id],Table4[security_features])="Basic",0,_xlfn.XLOOKUP(Table49[[#This Row],[app_id]],Table4[app_id],Table4[security_features])="Advanced",1,_xlfn.XLOOKUP(Table49[[#This Row],[app_id]],Table4[app_id],Table4[security_features])="Biometric",3,TRUE,"")</f>
        <v>1</v>
      </c>
      <c r="M25">
        <f>_xlfn.XLOOKUP(Table49[[#This Row],[app_id]],Table7[app_id],Table7[rating_given],"",0)</f>
        <v>3</v>
      </c>
    </row>
    <row r="26" spans="1:13" hidden="1" x14ac:dyDescent="0.25">
      <c r="A26" t="s">
        <v>290</v>
      </c>
      <c r="B26" t="s">
        <v>87</v>
      </c>
      <c r="C26" t="str">
        <f>_xlfn.XLOOKUP(Table49[[#This Row],[app_id]],Table5[app_id],Table5[category],"",0)</f>
        <v>Fitness</v>
      </c>
      <c r="D26">
        <f>IF(_xlfn.XLOOKUP(Table49[[#This Row],[app_id]],Table4[app_id],Table4[push_notifications],"",0)="Yes",1,0)</f>
        <v>1</v>
      </c>
      <c r="E26">
        <f>IF(_xlfn.XLOOKUP(Table49[[#This Row],[app_id]],Table4[app_id],Table4[offline_access],"",0)="Yes",1,0)</f>
        <v>0</v>
      </c>
      <c r="F26">
        <f>IF(_xlfn.XLOOKUP(Table49[[#This Row],[app_id]],Table4[app_id],Table4[ai_features],"",0)="Yes",1,0)</f>
        <v>1</v>
      </c>
      <c r="G26">
        <f>IF(_xlfn.XLOOKUP(Table49[[#This Row],[app_id]],Table4[app_id],Table4[payment_integration],"",0)="Yes",1,0)</f>
        <v>0</v>
      </c>
      <c r="H26">
        <f>IF(_xlfn.XLOOKUP(Table49[[#This Row],[app_id]],Table4[app_id],Table4[chatbot_support],"",0)="Yes",1,0)</f>
        <v>0</v>
      </c>
      <c r="I26">
        <f>IF(_xlfn.XLOOKUP(Table49[[#This Row],[app_id]],Table4[app_id],Table4[personalization],"",0)="Yes",1,0)</f>
        <v>1</v>
      </c>
      <c r="J26">
        <f>IF(_xlfn.XLOOKUP(Table49[[#This Row],[app_id]],Table4[app_id],Table4[dark_mode],"",0)="Yes",1,0)</f>
        <v>1</v>
      </c>
      <c r="K26">
        <f>IF(_xlfn.XLOOKUP(Table49[[#This Row],[app_id]],Table4[app_id],Table4[multi_language_support],"",0)="Yes",1,0)</f>
        <v>0</v>
      </c>
      <c r="L26" cm="1">
        <f t="array" ref="L26">_xlfn.IFS(_xlfn.XLOOKUP(Table49[[#This Row],[app_id]],Table4[app_id],Table4[security_features])="Basic",0,_xlfn.XLOOKUP(Table49[[#This Row],[app_id]],Table4[app_id],Table4[security_features])="Advanced",1,_xlfn.XLOOKUP(Table49[[#This Row],[app_id]],Table4[app_id],Table4[security_features])="Biometric",3,TRUE,"")</f>
        <v>1</v>
      </c>
      <c r="M26">
        <f>_xlfn.XLOOKUP(Table49[[#This Row],[app_id]],Table7[app_id],Table7[rating_given],"",0)</f>
        <v>3</v>
      </c>
    </row>
    <row r="27" spans="1:13" hidden="1" x14ac:dyDescent="0.25">
      <c r="A27" t="s">
        <v>291</v>
      </c>
      <c r="B27" t="s">
        <v>90</v>
      </c>
      <c r="C27" t="str">
        <f>_xlfn.XLOOKUP(Table49[[#This Row],[app_id]],Table5[app_id],Table5[category],"",0)</f>
        <v>Fitness</v>
      </c>
      <c r="D27">
        <f>IF(_xlfn.XLOOKUP(Table49[[#This Row],[app_id]],Table4[app_id],Table4[push_notifications],"",0)="Yes",1,0)</f>
        <v>0</v>
      </c>
      <c r="E27">
        <f>IF(_xlfn.XLOOKUP(Table49[[#This Row],[app_id]],Table4[app_id],Table4[offline_access],"",0)="Yes",1,0)</f>
        <v>1</v>
      </c>
      <c r="F27">
        <f>IF(_xlfn.XLOOKUP(Table49[[#This Row],[app_id]],Table4[app_id],Table4[ai_features],"",0)="Yes",1,0)</f>
        <v>0</v>
      </c>
      <c r="G27">
        <f>IF(_xlfn.XLOOKUP(Table49[[#This Row],[app_id]],Table4[app_id],Table4[payment_integration],"",0)="Yes",1,0)</f>
        <v>0</v>
      </c>
      <c r="H27">
        <f>IF(_xlfn.XLOOKUP(Table49[[#This Row],[app_id]],Table4[app_id],Table4[chatbot_support],"",0)="Yes",1,0)</f>
        <v>0</v>
      </c>
      <c r="I27">
        <f>IF(_xlfn.XLOOKUP(Table49[[#This Row],[app_id]],Table4[app_id],Table4[personalization],"",0)="Yes",1,0)</f>
        <v>1</v>
      </c>
      <c r="J27">
        <f>IF(_xlfn.XLOOKUP(Table49[[#This Row],[app_id]],Table4[app_id],Table4[dark_mode],"",0)="Yes",1,0)</f>
        <v>1</v>
      </c>
      <c r="K27">
        <f>IF(_xlfn.XLOOKUP(Table49[[#This Row],[app_id]],Table4[app_id],Table4[multi_language_support],"",0)="Yes",1,0)</f>
        <v>1</v>
      </c>
      <c r="L27" cm="1">
        <f t="array" ref="L27">_xlfn.IFS(_xlfn.XLOOKUP(Table49[[#This Row],[app_id]],Table4[app_id],Table4[security_features])="Basic",0,_xlfn.XLOOKUP(Table49[[#This Row],[app_id]],Table4[app_id],Table4[security_features])="Advanced",1,_xlfn.XLOOKUP(Table49[[#This Row],[app_id]],Table4[app_id],Table4[security_features])="Biometric",3,TRUE,"")</f>
        <v>0</v>
      </c>
      <c r="M27">
        <f>_xlfn.XLOOKUP(Table49[[#This Row],[app_id]],Table7[app_id],Table7[rating_given],"",0)</f>
        <v>4</v>
      </c>
    </row>
    <row r="28" spans="1:13" hidden="1" x14ac:dyDescent="0.25">
      <c r="A28" t="s">
        <v>292</v>
      </c>
      <c r="B28" t="s">
        <v>92</v>
      </c>
      <c r="C28" t="str">
        <f>_xlfn.XLOOKUP(Table49[[#This Row],[app_id]],Table5[app_id],Table5[category],"",0)</f>
        <v>Fitness</v>
      </c>
      <c r="D28">
        <f>IF(_xlfn.XLOOKUP(Table49[[#This Row],[app_id]],Table4[app_id],Table4[push_notifications],"",0)="Yes",1,0)</f>
        <v>1</v>
      </c>
      <c r="E28">
        <f>IF(_xlfn.XLOOKUP(Table49[[#This Row],[app_id]],Table4[app_id],Table4[offline_access],"",0)="Yes",1,0)</f>
        <v>0</v>
      </c>
      <c r="F28">
        <f>IF(_xlfn.XLOOKUP(Table49[[#This Row],[app_id]],Table4[app_id],Table4[ai_features],"",0)="Yes",1,0)</f>
        <v>1</v>
      </c>
      <c r="G28">
        <f>IF(_xlfn.XLOOKUP(Table49[[#This Row],[app_id]],Table4[app_id],Table4[payment_integration],"",0)="Yes",1,0)</f>
        <v>0</v>
      </c>
      <c r="H28">
        <f>IF(_xlfn.XLOOKUP(Table49[[#This Row],[app_id]],Table4[app_id],Table4[chatbot_support],"",0)="Yes",1,0)</f>
        <v>0</v>
      </c>
      <c r="I28">
        <f>IF(_xlfn.XLOOKUP(Table49[[#This Row],[app_id]],Table4[app_id],Table4[personalization],"",0)="Yes",1,0)</f>
        <v>0</v>
      </c>
      <c r="J28">
        <f>IF(_xlfn.XLOOKUP(Table49[[#This Row],[app_id]],Table4[app_id],Table4[dark_mode],"",0)="Yes",1,0)</f>
        <v>1</v>
      </c>
      <c r="K28">
        <f>IF(_xlfn.XLOOKUP(Table49[[#This Row],[app_id]],Table4[app_id],Table4[multi_language_support],"",0)="Yes",1,0)</f>
        <v>0</v>
      </c>
      <c r="L28" cm="1">
        <f t="array" ref="L28">_xlfn.IFS(_xlfn.XLOOKUP(Table49[[#This Row],[app_id]],Table4[app_id],Table4[security_features])="Basic",0,_xlfn.XLOOKUP(Table49[[#This Row],[app_id]],Table4[app_id],Table4[security_features])="Advanced",1,_xlfn.XLOOKUP(Table49[[#This Row],[app_id]],Table4[app_id],Table4[security_features])="Biometric",3,TRUE,"")</f>
        <v>0</v>
      </c>
      <c r="M28">
        <f>_xlfn.XLOOKUP(Table49[[#This Row],[app_id]],Table7[app_id],Table7[rating_given],"",0)</f>
        <v>3</v>
      </c>
    </row>
    <row r="29" spans="1:13" hidden="1" x14ac:dyDescent="0.25">
      <c r="A29" t="s">
        <v>293</v>
      </c>
      <c r="B29" t="s">
        <v>94</v>
      </c>
      <c r="C29" t="str">
        <f>_xlfn.XLOOKUP(Table49[[#This Row],[app_id]],Table5[app_id],Table5[category],"",0)</f>
        <v>Fitness</v>
      </c>
      <c r="D29">
        <f>IF(_xlfn.XLOOKUP(Table49[[#This Row],[app_id]],Table4[app_id],Table4[push_notifications],"",0)="Yes",1,0)</f>
        <v>1</v>
      </c>
      <c r="E29">
        <f>IF(_xlfn.XLOOKUP(Table49[[#This Row],[app_id]],Table4[app_id],Table4[offline_access],"",0)="Yes",1,0)</f>
        <v>0</v>
      </c>
      <c r="F29">
        <f>IF(_xlfn.XLOOKUP(Table49[[#This Row],[app_id]],Table4[app_id],Table4[ai_features],"",0)="Yes",1,0)</f>
        <v>0</v>
      </c>
      <c r="G29">
        <f>IF(_xlfn.XLOOKUP(Table49[[#This Row],[app_id]],Table4[app_id],Table4[payment_integration],"",0)="Yes",1,0)</f>
        <v>1</v>
      </c>
      <c r="H29">
        <f>IF(_xlfn.XLOOKUP(Table49[[#This Row],[app_id]],Table4[app_id],Table4[chatbot_support],"",0)="Yes",1,0)</f>
        <v>0</v>
      </c>
      <c r="I29">
        <f>IF(_xlfn.XLOOKUP(Table49[[#This Row],[app_id]],Table4[app_id],Table4[personalization],"",0)="Yes",1,0)</f>
        <v>1</v>
      </c>
      <c r="J29">
        <f>IF(_xlfn.XLOOKUP(Table49[[#This Row],[app_id]],Table4[app_id],Table4[dark_mode],"",0)="Yes",1,0)</f>
        <v>0</v>
      </c>
      <c r="K29">
        <f>IF(_xlfn.XLOOKUP(Table49[[#This Row],[app_id]],Table4[app_id],Table4[multi_language_support],"",0)="Yes",1,0)</f>
        <v>1</v>
      </c>
      <c r="L29" cm="1">
        <f t="array" ref="L29">_xlfn.IFS(_xlfn.XLOOKUP(Table49[[#This Row],[app_id]],Table4[app_id],Table4[security_features])="Basic",0,_xlfn.XLOOKUP(Table49[[#This Row],[app_id]],Table4[app_id],Table4[security_features])="Advanced",1,_xlfn.XLOOKUP(Table49[[#This Row],[app_id]],Table4[app_id],Table4[security_features])="Biometric",3,TRUE,"")</f>
        <v>0</v>
      </c>
      <c r="M29">
        <f>_xlfn.XLOOKUP(Table49[[#This Row],[app_id]],Table7[app_id],Table7[rating_given],"",0)</f>
        <v>5</v>
      </c>
    </row>
    <row r="30" spans="1:13" hidden="1" x14ac:dyDescent="0.25">
      <c r="A30" t="s">
        <v>294</v>
      </c>
      <c r="B30" t="s">
        <v>96</v>
      </c>
      <c r="C30" t="str">
        <f>_xlfn.XLOOKUP(Table49[[#This Row],[app_id]],Table5[app_id],Table5[category],"",0)</f>
        <v>Fitness</v>
      </c>
      <c r="D30">
        <f>IF(_xlfn.XLOOKUP(Table49[[#This Row],[app_id]],Table4[app_id],Table4[push_notifications],"",0)="Yes",1,0)</f>
        <v>1</v>
      </c>
      <c r="E30">
        <f>IF(_xlfn.XLOOKUP(Table49[[#This Row],[app_id]],Table4[app_id],Table4[offline_access],"",0)="Yes",1,0)</f>
        <v>0</v>
      </c>
      <c r="F30">
        <f>IF(_xlfn.XLOOKUP(Table49[[#This Row],[app_id]],Table4[app_id],Table4[ai_features],"",0)="Yes",1,0)</f>
        <v>1</v>
      </c>
      <c r="G30">
        <f>IF(_xlfn.XLOOKUP(Table49[[#This Row],[app_id]],Table4[app_id],Table4[payment_integration],"",0)="Yes",1,0)</f>
        <v>0</v>
      </c>
      <c r="H30">
        <f>IF(_xlfn.XLOOKUP(Table49[[#This Row],[app_id]],Table4[app_id],Table4[chatbot_support],"",0)="Yes",1,0)</f>
        <v>1</v>
      </c>
      <c r="I30">
        <f>IF(_xlfn.XLOOKUP(Table49[[#This Row],[app_id]],Table4[app_id],Table4[personalization],"",0)="Yes",1,0)</f>
        <v>0</v>
      </c>
      <c r="J30">
        <f>IF(_xlfn.XLOOKUP(Table49[[#This Row],[app_id]],Table4[app_id],Table4[dark_mode],"",0)="Yes",1,0)</f>
        <v>1</v>
      </c>
      <c r="K30">
        <f>IF(_xlfn.XLOOKUP(Table49[[#This Row],[app_id]],Table4[app_id],Table4[multi_language_support],"",0)="Yes",1,0)</f>
        <v>0</v>
      </c>
      <c r="L30" cm="1">
        <f t="array" ref="L30">_xlfn.IFS(_xlfn.XLOOKUP(Table49[[#This Row],[app_id]],Table4[app_id],Table4[security_features])="Basic",0,_xlfn.XLOOKUP(Table49[[#This Row],[app_id]],Table4[app_id],Table4[security_features])="Advanced",1,_xlfn.XLOOKUP(Table49[[#This Row],[app_id]],Table4[app_id],Table4[security_features])="Biometric",3,TRUE,"")</f>
        <v>0</v>
      </c>
      <c r="M30">
        <f>_xlfn.XLOOKUP(Table49[[#This Row],[app_id]],Table7[app_id],Table7[rating_given],"",0)</f>
        <v>3</v>
      </c>
    </row>
    <row r="31" spans="1:13" hidden="1" x14ac:dyDescent="0.25">
      <c r="A31" t="s">
        <v>295</v>
      </c>
      <c r="B31" t="s">
        <v>98</v>
      </c>
      <c r="C31" t="str">
        <f>_xlfn.XLOOKUP(Table49[[#This Row],[app_id]],Table5[app_id],Table5[category],"",0)</f>
        <v>Fitness</v>
      </c>
      <c r="D31">
        <f>IF(_xlfn.XLOOKUP(Table49[[#This Row],[app_id]],Table4[app_id],Table4[push_notifications],"",0)="Yes",1,0)</f>
        <v>1</v>
      </c>
      <c r="E31">
        <f>IF(_xlfn.XLOOKUP(Table49[[#This Row],[app_id]],Table4[app_id],Table4[offline_access],"",0)="Yes",1,0)</f>
        <v>0</v>
      </c>
      <c r="F31">
        <f>IF(_xlfn.XLOOKUP(Table49[[#This Row],[app_id]],Table4[app_id],Table4[ai_features],"",0)="Yes",1,0)</f>
        <v>0</v>
      </c>
      <c r="G31">
        <f>IF(_xlfn.XLOOKUP(Table49[[#This Row],[app_id]],Table4[app_id],Table4[payment_integration],"",0)="Yes",1,0)</f>
        <v>0</v>
      </c>
      <c r="H31">
        <f>IF(_xlfn.XLOOKUP(Table49[[#This Row],[app_id]],Table4[app_id],Table4[chatbot_support],"",0)="Yes",1,0)</f>
        <v>1</v>
      </c>
      <c r="I31">
        <f>IF(_xlfn.XLOOKUP(Table49[[#This Row],[app_id]],Table4[app_id],Table4[personalization],"",0)="Yes",1,0)</f>
        <v>1</v>
      </c>
      <c r="J31">
        <f>IF(_xlfn.XLOOKUP(Table49[[#This Row],[app_id]],Table4[app_id],Table4[dark_mode],"",0)="Yes",1,0)</f>
        <v>1</v>
      </c>
      <c r="K31">
        <f>IF(_xlfn.XLOOKUP(Table49[[#This Row],[app_id]],Table4[app_id],Table4[multi_language_support],"",0)="Yes",1,0)</f>
        <v>0</v>
      </c>
      <c r="L31" cm="1">
        <f t="array" ref="L31">_xlfn.IFS(_xlfn.XLOOKUP(Table49[[#This Row],[app_id]],Table4[app_id],Table4[security_features])="Basic",0,_xlfn.XLOOKUP(Table49[[#This Row],[app_id]],Table4[app_id],Table4[security_features])="Advanced",1,_xlfn.XLOOKUP(Table49[[#This Row],[app_id]],Table4[app_id],Table4[security_features])="Biometric",3,TRUE,"")</f>
        <v>1</v>
      </c>
      <c r="M31">
        <f>_xlfn.XLOOKUP(Table49[[#This Row],[app_id]],Table7[app_id],Table7[rating_given],"",0)</f>
        <v>3</v>
      </c>
    </row>
    <row r="32" spans="1:13" hidden="1" x14ac:dyDescent="0.25">
      <c r="A32" t="s">
        <v>296</v>
      </c>
      <c r="B32" t="s">
        <v>100</v>
      </c>
      <c r="C32" t="str">
        <f>_xlfn.XLOOKUP(Table49[[#This Row],[app_id]],Table5[app_id],Table5[category],"",0)</f>
        <v>Fitness</v>
      </c>
      <c r="D32">
        <f>IF(_xlfn.XLOOKUP(Table49[[#This Row],[app_id]],Table4[app_id],Table4[push_notifications],"",0)="Yes",1,0)</f>
        <v>1</v>
      </c>
      <c r="E32">
        <f>IF(_xlfn.XLOOKUP(Table49[[#This Row],[app_id]],Table4[app_id],Table4[offline_access],"",0)="Yes",1,0)</f>
        <v>0</v>
      </c>
      <c r="F32">
        <f>IF(_xlfn.XLOOKUP(Table49[[#This Row],[app_id]],Table4[app_id],Table4[ai_features],"",0)="Yes",1,0)</f>
        <v>0</v>
      </c>
      <c r="G32">
        <f>IF(_xlfn.XLOOKUP(Table49[[#This Row],[app_id]],Table4[app_id],Table4[payment_integration],"",0)="Yes",1,0)</f>
        <v>0</v>
      </c>
      <c r="H32">
        <f>IF(_xlfn.XLOOKUP(Table49[[#This Row],[app_id]],Table4[app_id],Table4[chatbot_support],"",0)="Yes",1,0)</f>
        <v>1</v>
      </c>
      <c r="I32">
        <f>IF(_xlfn.XLOOKUP(Table49[[#This Row],[app_id]],Table4[app_id],Table4[personalization],"",0)="Yes",1,0)</f>
        <v>1</v>
      </c>
      <c r="J32">
        <f>IF(_xlfn.XLOOKUP(Table49[[#This Row],[app_id]],Table4[app_id],Table4[dark_mode],"",0)="Yes",1,0)</f>
        <v>1</v>
      </c>
      <c r="K32">
        <f>IF(_xlfn.XLOOKUP(Table49[[#This Row],[app_id]],Table4[app_id],Table4[multi_language_support],"",0)="Yes",1,0)</f>
        <v>0</v>
      </c>
      <c r="L32" cm="1">
        <f t="array" ref="L32">_xlfn.IFS(_xlfn.XLOOKUP(Table49[[#This Row],[app_id]],Table4[app_id],Table4[security_features])="Basic",0,_xlfn.XLOOKUP(Table49[[#This Row],[app_id]],Table4[app_id],Table4[security_features])="Advanced",1,_xlfn.XLOOKUP(Table49[[#This Row],[app_id]],Table4[app_id],Table4[security_features])="Biometric",3,TRUE,"")</f>
        <v>0</v>
      </c>
      <c r="M32">
        <f>_xlfn.XLOOKUP(Table49[[#This Row],[app_id]],Table7[app_id],Table7[rating_given],"",0)</f>
        <v>5</v>
      </c>
    </row>
    <row r="33" spans="1:13" hidden="1" x14ac:dyDescent="0.25">
      <c r="A33" t="s">
        <v>297</v>
      </c>
      <c r="B33" t="s">
        <v>102</v>
      </c>
      <c r="C33" t="str">
        <f>_xlfn.XLOOKUP(Table49[[#This Row],[app_id]],Table5[app_id],Table5[category],"",0)</f>
        <v>Fitness</v>
      </c>
      <c r="D33">
        <f>IF(_xlfn.XLOOKUP(Table49[[#This Row],[app_id]],Table4[app_id],Table4[push_notifications],"",0)="Yes",1,0)</f>
        <v>1</v>
      </c>
      <c r="E33">
        <f>IF(_xlfn.XLOOKUP(Table49[[#This Row],[app_id]],Table4[app_id],Table4[offline_access],"",0)="Yes",1,0)</f>
        <v>1</v>
      </c>
      <c r="F33">
        <f>IF(_xlfn.XLOOKUP(Table49[[#This Row],[app_id]],Table4[app_id],Table4[ai_features],"",0)="Yes",1,0)</f>
        <v>1</v>
      </c>
      <c r="G33">
        <f>IF(_xlfn.XLOOKUP(Table49[[#This Row],[app_id]],Table4[app_id],Table4[payment_integration],"",0)="Yes",1,0)</f>
        <v>0</v>
      </c>
      <c r="H33">
        <f>IF(_xlfn.XLOOKUP(Table49[[#This Row],[app_id]],Table4[app_id],Table4[chatbot_support],"",0)="Yes",1,0)</f>
        <v>1</v>
      </c>
      <c r="I33">
        <f>IF(_xlfn.XLOOKUP(Table49[[#This Row],[app_id]],Table4[app_id],Table4[personalization],"",0)="Yes",1,0)</f>
        <v>1</v>
      </c>
      <c r="J33">
        <f>IF(_xlfn.XLOOKUP(Table49[[#This Row],[app_id]],Table4[app_id],Table4[dark_mode],"",0)="Yes",1,0)</f>
        <v>1</v>
      </c>
      <c r="K33">
        <f>IF(_xlfn.XLOOKUP(Table49[[#This Row],[app_id]],Table4[app_id],Table4[multi_language_support],"",0)="Yes",1,0)</f>
        <v>0</v>
      </c>
      <c r="L33" cm="1">
        <f t="array" ref="L33">_xlfn.IFS(_xlfn.XLOOKUP(Table49[[#This Row],[app_id]],Table4[app_id],Table4[security_features])="Basic",0,_xlfn.XLOOKUP(Table49[[#This Row],[app_id]],Table4[app_id],Table4[security_features])="Advanced",1,_xlfn.XLOOKUP(Table49[[#This Row],[app_id]],Table4[app_id],Table4[security_features])="Biometric",3,TRUE,"")</f>
        <v>1</v>
      </c>
      <c r="M33">
        <f>_xlfn.XLOOKUP(Table49[[#This Row],[app_id]],Table7[app_id],Table7[rating_given],"",0)</f>
        <v>4</v>
      </c>
    </row>
    <row r="34" spans="1:13" hidden="1" x14ac:dyDescent="0.25">
      <c r="A34" t="s">
        <v>298</v>
      </c>
      <c r="B34" t="s">
        <v>104</v>
      </c>
      <c r="C34" t="str">
        <f>_xlfn.XLOOKUP(Table49[[#This Row],[app_id]],Table5[app_id],Table5[category],"",0)</f>
        <v>Fitness</v>
      </c>
      <c r="D34">
        <f>IF(_xlfn.XLOOKUP(Table49[[#This Row],[app_id]],Table4[app_id],Table4[push_notifications],"",0)="Yes",1,0)</f>
        <v>1</v>
      </c>
      <c r="E34">
        <f>IF(_xlfn.XLOOKUP(Table49[[#This Row],[app_id]],Table4[app_id],Table4[offline_access],"",0)="Yes",1,0)</f>
        <v>0</v>
      </c>
      <c r="F34">
        <f>IF(_xlfn.XLOOKUP(Table49[[#This Row],[app_id]],Table4[app_id],Table4[ai_features],"",0)="Yes",1,0)</f>
        <v>0</v>
      </c>
      <c r="G34">
        <f>IF(_xlfn.XLOOKUP(Table49[[#This Row],[app_id]],Table4[app_id],Table4[payment_integration],"",0)="Yes",1,0)</f>
        <v>0</v>
      </c>
      <c r="H34">
        <f>IF(_xlfn.XLOOKUP(Table49[[#This Row],[app_id]],Table4[app_id],Table4[chatbot_support],"",0)="Yes",1,0)</f>
        <v>0</v>
      </c>
      <c r="I34">
        <f>IF(_xlfn.XLOOKUP(Table49[[#This Row],[app_id]],Table4[app_id],Table4[personalization],"",0)="Yes",1,0)</f>
        <v>0</v>
      </c>
      <c r="J34">
        <f>IF(_xlfn.XLOOKUP(Table49[[#This Row],[app_id]],Table4[app_id],Table4[dark_mode],"",0)="Yes",1,0)</f>
        <v>1</v>
      </c>
      <c r="K34">
        <f>IF(_xlfn.XLOOKUP(Table49[[#This Row],[app_id]],Table4[app_id],Table4[multi_language_support],"",0)="Yes",1,0)</f>
        <v>0</v>
      </c>
      <c r="L34" cm="1">
        <f t="array" ref="L34">_xlfn.IFS(_xlfn.XLOOKUP(Table49[[#This Row],[app_id]],Table4[app_id],Table4[security_features])="Basic",0,_xlfn.XLOOKUP(Table49[[#This Row],[app_id]],Table4[app_id],Table4[security_features])="Advanced",1,_xlfn.XLOOKUP(Table49[[#This Row],[app_id]],Table4[app_id],Table4[security_features])="Biometric",3,TRUE,"")</f>
        <v>1</v>
      </c>
      <c r="M34">
        <f>_xlfn.XLOOKUP(Table49[[#This Row],[app_id]],Table7[app_id],Table7[rating_given],"",0)</f>
        <v>4</v>
      </c>
    </row>
    <row r="35" spans="1:13" hidden="1" x14ac:dyDescent="0.25">
      <c r="A35" t="s">
        <v>299</v>
      </c>
      <c r="B35" t="s">
        <v>105</v>
      </c>
      <c r="C35" t="str">
        <f>_xlfn.XLOOKUP(Table49[[#This Row],[app_id]],Table5[app_id],Table5[category],"",0)</f>
        <v>Fitness</v>
      </c>
      <c r="D35">
        <f>IF(_xlfn.XLOOKUP(Table49[[#This Row],[app_id]],Table4[app_id],Table4[push_notifications],"",0)="Yes",1,0)</f>
        <v>1</v>
      </c>
      <c r="E35">
        <f>IF(_xlfn.XLOOKUP(Table49[[#This Row],[app_id]],Table4[app_id],Table4[offline_access],"",0)="Yes",1,0)</f>
        <v>0</v>
      </c>
      <c r="F35">
        <f>IF(_xlfn.XLOOKUP(Table49[[#This Row],[app_id]],Table4[app_id],Table4[ai_features],"",0)="Yes",1,0)</f>
        <v>1</v>
      </c>
      <c r="G35">
        <f>IF(_xlfn.XLOOKUP(Table49[[#This Row],[app_id]],Table4[app_id],Table4[payment_integration],"",0)="Yes",1,0)</f>
        <v>0</v>
      </c>
      <c r="H35">
        <f>IF(_xlfn.XLOOKUP(Table49[[#This Row],[app_id]],Table4[app_id],Table4[chatbot_support],"",0)="Yes",1,0)</f>
        <v>1</v>
      </c>
      <c r="I35">
        <f>IF(_xlfn.XLOOKUP(Table49[[#This Row],[app_id]],Table4[app_id],Table4[personalization],"",0)="Yes",1,0)</f>
        <v>1</v>
      </c>
      <c r="J35">
        <f>IF(_xlfn.XLOOKUP(Table49[[#This Row],[app_id]],Table4[app_id],Table4[dark_mode],"",0)="Yes",1,0)</f>
        <v>1</v>
      </c>
      <c r="K35">
        <f>IF(_xlfn.XLOOKUP(Table49[[#This Row],[app_id]],Table4[app_id],Table4[multi_language_support],"",0)="Yes",1,0)</f>
        <v>0</v>
      </c>
      <c r="L35" cm="1">
        <f t="array" ref="L35">_xlfn.IFS(_xlfn.XLOOKUP(Table49[[#This Row],[app_id]],Table4[app_id],Table4[security_features])="Basic",0,_xlfn.XLOOKUP(Table49[[#This Row],[app_id]],Table4[app_id],Table4[security_features])="Advanced",1,_xlfn.XLOOKUP(Table49[[#This Row],[app_id]],Table4[app_id],Table4[security_features])="Biometric",3,TRUE,"")</f>
        <v>1</v>
      </c>
      <c r="M35">
        <f>_xlfn.XLOOKUP(Table49[[#This Row],[app_id]],Table7[app_id],Table7[rating_given],"",0)</f>
        <v>4</v>
      </c>
    </row>
    <row r="36" spans="1:13" hidden="1" x14ac:dyDescent="0.25">
      <c r="A36" t="s">
        <v>300</v>
      </c>
      <c r="B36" t="s">
        <v>107</v>
      </c>
      <c r="C36" t="str">
        <f>_xlfn.XLOOKUP(Table49[[#This Row],[app_id]],Table5[app_id],Table5[category],"",0)</f>
        <v>Fitness</v>
      </c>
      <c r="D36">
        <f>IF(_xlfn.XLOOKUP(Table49[[#This Row],[app_id]],Table4[app_id],Table4[push_notifications],"",0)="Yes",1,0)</f>
        <v>1</v>
      </c>
      <c r="E36">
        <f>IF(_xlfn.XLOOKUP(Table49[[#This Row],[app_id]],Table4[app_id],Table4[offline_access],"",0)="Yes",1,0)</f>
        <v>1</v>
      </c>
      <c r="F36">
        <f>IF(_xlfn.XLOOKUP(Table49[[#This Row],[app_id]],Table4[app_id],Table4[ai_features],"",0)="Yes",1,0)</f>
        <v>0</v>
      </c>
      <c r="G36">
        <f>IF(_xlfn.XLOOKUP(Table49[[#This Row],[app_id]],Table4[app_id],Table4[payment_integration],"",0)="Yes",1,0)</f>
        <v>1</v>
      </c>
      <c r="H36">
        <f>IF(_xlfn.XLOOKUP(Table49[[#This Row],[app_id]],Table4[app_id],Table4[chatbot_support],"",0)="Yes",1,0)</f>
        <v>0</v>
      </c>
      <c r="I36">
        <f>IF(_xlfn.XLOOKUP(Table49[[#This Row],[app_id]],Table4[app_id],Table4[personalization],"",0)="Yes",1,0)</f>
        <v>1</v>
      </c>
      <c r="J36">
        <f>IF(_xlfn.XLOOKUP(Table49[[#This Row],[app_id]],Table4[app_id],Table4[dark_mode],"",0)="Yes",1,0)</f>
        <v>1</v>
      </c>
      <c r="K36">
        <f>IF(_xlfn.XLOOKUP(Table49[[#This Row],[app_id]],Table4[app_id],Table4[multi_language_support],"",0)="Yes",1,0)</f>
        <v>0</v>
      </c>
      <c r="L36" cm="1">
        <f t="array" ref="L36">_xlfn.IFS(_xlfn.XLOOKUP(Table49[[#This Row],[app_id]],Table4[app_id],Table4[security_features])="Basic",0,_xlfn.XLOOKUP(Table49[[#This Row],[app_id]],Table4[app_id],Table4[security_features])="Advanced",1,_xlfn.XLOOKUP(Table49[[#This Row],[app_id]],Table4[app_id],Table4[security_features])="Biometric",3,TRUE,"")</f>
        <v>0</v>
      </c>
      <c r="M36">
        <f>_xlfn.XLOOKUP(Table49[[#This Row],[app_id]],Table7[app_id],Table7[rating_given],"",0)</f>
        <v>3</v>
      </c>
    </row>
    <row r="37" spans="1:13" hidden="1" x14ac:dyDescent="0.25">
      <c r="A37" t="s">
        <v>301</v>
      </c>
      <c r="B37" t="s">
        <v>109</v>
      </c>
      <c r="C37" t="str">
        <f>_xlfn.XLOOKUP(Table49[[#This Row],[app_id]],Table5[app_id],Table5[category],"",0)</f>
        <v>Fitness</v>
      </c>
      <c r="D37">
        <f>IF(_xlfn.XLOOKUP(Table49[[#This Row],[app_id]],Table4[app_id],Table4[push_notifications],"",0)="Yes",1,0)</f>
        <v>1</v>
      </c>
      <c r="E37">
        <f>IF(_xlfn.XLOOKUP(Table49[[#This Row],[app_id]],Table4[app_id],Table4[offline_access],"",0)="Yes",1,0)</f>
        <v>0</v>
      </c>
      <c r="F37">
        <f>IF(_xlfn.XLOOKUP(Table49[[#This Row],[app_id]],Table4[app_id],Table4[ai_features],"",0)="Yes",1,0)</f>
        <v>0</v>
      </c>
      <c r="G37">
        <f>IF(_xlfn.XLOOKUP(Table49[[#This Row],[app_id]],Table4[app_id],Table4[payment_integration],"",0)="Yes",1,0)</f>
        <v>0</v>
      </c>
      <c r="H37">
        <f>IF(_xlfn.XLOOKUP(Table49[[#This Row],[app_id]],Table4[app_id],Table4[chatbot_support],"",0)="Yes",1,0)</f>
        <v>1</v>
      </c>
      <c r="I37">
        <f>IF(_xlfn.XLOOKUP(Table49[[#This Row],[app_id]],Table4[app_id],Table4[personalization],"",0)="Yes",1,0)</f>
        <v>0</v>
      </c>
      <c r="J37">
        <f>IF(_xlfn.XLOOKUP(Table49[[#This Row],[app_id]],Table4[app_id],Table4[dark_mode],"",0)="Yes",1,0)</f>
        <v>0</v>
      </c>
      <c r="K37">
        <f>IF(_xlfn.XLOOKUP(Table49[[#This Row],[app_id]],Table4[app_id],Table4[multi_language_support],"",0)="Yes",1,0)</f>
        <v>0</v>
      </c>
      <c r="L37" cm="1">
        <f t="array" ref="L37">_xlfn.IFS(_xlfn.XLOOKUP(Table49[[#This Row],[app_id]],Table4[app_id],Table4[security_features])="Basic",0,_xlfn.XLOOKUP(Table49[[#This Row],[app_id]],Table4[app_id],Table4[security_features])="Advanced",1,_xlfn.XLOOKUP(Table49[[#This Row],[app_id]],Table4[app_id],Table4[security_features])="Biometric",3,TRUE,"")</f>
        <v>1</v>
      </c>
      <c r="M37">
        <f>_xlfn.XLOOKUP(Table49[[#This Row],[app_id]],Table7[app_id],Table7[rating_given],"",0)</f>
        <v>5</v>
      </c>
    </row>
    <row r="38" spans="1:13" x14ac:dyDescent="0.25">
      <c r="A38" t="s">
        <v>302</v>
      </c>
      <c r="B38" t="s">
        <v>111</v>
      </c>
      <c r="C38" t="str">
        <f>_xlfn.XLOOKUP(Table49[[#This Row],[app_id]],Table5[app_id],Table5[category],"",0)</f>
        <v>Education</v>
      </c>
      <c r="D38">
        <f>IF(_xlfn.XLOOKUP(Table49[[#This Row],[app_id]],Table4[app_id],Table4[push_notifications],"",0)="Yes",1,0)</f>
        <v>0</v>
      </c>
      <c r="E38">
        <f>IF(_xlfn.XLOOKUP(Table49[[#This Row],[app_id]],Table4[app_id],Table4[offline_access],"",0)="Yes",1,0)</f>
        <v>0</v>
      </c>
      <c r="F38">
        <f>IF(_xlfn.XLOOKUP(Table49[[#This Row],[app_id]],Table4[app_id],Table4[ai_features],"",0)="Yes",1,0)</f>
        <v>1</v>
      </c>
      <c r="G38">
        <f>IF(_xlfn.XLOOKUP(Table49[[#This Row],[app_id]],Table4[app_id],Table4[payment_integration],"",0)="Yes",1,0)</f>
        <v>0</v>
      </c>
      <c r="H38">
        <f>IF(_xlfn.XLOOKUP(Table49[[#This Row],[app_id]],Table4[app_id],Table4[chatbot_support],"",0)="Yes",1,0)</f>
        <v>1</v>
      </c>
      <c r="I38">
        <f>IF(_xlfn.XLOOKUP(Table49[[#This Row],[app_id]],Table4[app_id],Table4[personalization],"",0)="Yes",1,0)</f>
        <v>0</v>
      </c>
      <c r="J38">
        <f>IF(_xlfn.XLOOKUP(Table49[[#This Row],[app_id]],Table4[app_id],Table4[dark_mode],"",0)="Yes",1,0)</f>
        <v>1</v>
      </c>
      <c r="K38">
        <f>IF(_xlfn.XLOOKUP(Table49[[#This Row],[app_id]],Table4[app_id],Table4[multi_language_support],"",0)="Yes",1,0)</f>
        <v>0</v>
      </c>
      <c r="L38" cm="1">
        <f t="array" ref="L38">_xlfn.IFS(_xlfn.XLOOKUP(Table49[[#This Row],[app_id]],Table4[app_id],Table4[security_features])="Basic",0,_xlfn.XLOOKUP(Table49[[#This Row],[app_id]],Table4[app_id],Table4[security_features])="Advanced",1,_xlfn.XLOOKUP(Table49[[#This Row],[app_id]],Table4[app_id],Table4[security_features])="Biometric",3,TRUE,"")</f>
        <v>3</v>
      </c>
      <c r="M38">
        <f>_xlfn.XLOOKUP(Table49[[#This Row],[app_id]],Table7[app_id],Table7[rating_given],"",0)</f>
        <v>2</v>
      </c>
    </row>
    <row r="39" spans="1:13" x14ac:dyDescent="0.25">
      <c r="A39" t="s">
        <v>303</v>
      </c>
      <c r="B39" t="s">
        <v>114</v>
      </c>
      <c r="C39" t="str">
        <f>_xlfn.XLOOKUP(Table49[[#This Row],[app_id]],Table5[app_id],Table5[category],"",0)</f>
        <v>Education</v>
      </c>
      <c r="D39">
        <f>IF(_xlfn.XLOOKUP(Table49[[#This Row],[app_id]],Table4[app_id],Table4[push_notifications],"",0)="Yes",1,0)</f>
        <v>1</v>
      </c>
      <c r="E39">
        <f>IF(_xlfn.XLOOKUP(Table49[[#This Row],[app_id]],Table4[app_id],Table4[offline_access],"",0)="Yes",1,0)</f>
        <v>1</v>
      </c>
      <c r="F39">
        <f>IF(_xlfn.XLOOKUP(Table49[[#This Row],[app_id]],Table4[app_id],Table4[ai_features],"",0)="Yes",1,0)</f>
        <v>1</v>
      </c>
      <c r="G39">
        <f>IF(_xlfn.XLOOKUP(Table49[[#This Row],[app_id]],Table4[app_id],Table4[payment_integration],"",0)="Yes",1,0)</f>
        <v>0</v>
      </c>
      <c r="H39">
        <f>IF(_xlfn.XLOOKUP(Table49[[#This Row],[app_id]],Table4[app_id],Table4[chatbot_support],"",0)="Yes",1,0)</f>
        <v>0</v>
      </c>
      <c r="I39">
        <f>IF(_xlfn.XLOOKUP(Table49[[#This Row],[app_id]],Table4[app_id],Table4[personalization],"",0)="Yes",1,0)</f>
        <v>0</v>
      </c>
      <c r="J39">
        <f>IF(_xlfn.XLOOKUP(Table49[[#This Row],[app_id]],Table4[app_id],Table4[dark_mode],"",0)="Yes",1,0)</f>
        <v>1</v>
      </c>
      <c r="K39">
        <f>IF(_xlfn.XLOOKUP(Table49[[#This Row],[app_id]],Table4[app_id],Table4[multi_language_support],"",0)="Yes",1,0)</f>
        <v>0</v>
      </c>
      <c r="L39" cm="1">
        <f t="array" ref="L39">_xlfn.IFS(_xlfn.XLOOKUP(Table49[[#This Row],[app_id]],Table4[app_id],Table4[security_features])="Basic",0,_xlfn.XLOOKUP(Table49[[#This Row],[app_id]],Table4[app_id],Table4[security_features])="Advanced",1,_xlfn.XLOOKUP(Table49[[#This Row],[app_id]],Table4[app_id],Table4[security_features])="Biometric",3,TRUE,"")</f>
        <v>1</v>
      </c>
      <c r="M39">
        <f>_xlfn.XLOOKUP(Table49[[#This Row],[app_id]],Table7[app_id],Table7[rating_given],"",0)</f>
        <v>2</v>
      </c>
    </row>
    <row r="40" spans="1:13" x14ac:dyDescent="0.25">
      <c r="A40" t="s">
        <v>304</v>
      </c>
      <c r="B40" t="s">
        <v>116</v>
      </c>
      <c r="C40" t="str">
        <f>_xlfn.XLOOKUP(Table49[[#This Row],[app_id]],Table5[app_id],Table5[category],"",0)</f>
        <v>Education</v>
      </c>
      <c r="D40">
        <f>IF(_xlfn.XLOOKUP(Table49[[#This Row],[app_id]],Table4[app_id],Table4[push_notifications],"",0)="Yes",1,0)</f>
        <v>1</v>
      </c>
      <c r="E40">
        <f>IF(_xlfn.XLOOKUP(Table49[[#This Row],[app_id]],Table4[app_id],Table4[offline_access],"",0)="Yes",1,0)</f>
        <v>0</v>
      </c>
      <c r="F40">
        <f>IF(_xlfn.XLOOKUP(Table49[[#This Row],[app_id]],Table4[app_id],Table4[ai_features],"",0)="Yes",1,0)</f>
        <v>0</v>
      </c>
      <c r="G40">
        <f>IF(_xlfn.XLOOKUP(Table49[[#This Row],[app_id]],Table4[app_id],Table4[payment_integration],"",0)="Yes",1,0)</f>
        <v>0</v>
      </c>
      <c r="H40">
        <f>IF(_xlfn.XLOOKUP(Table49[[#This Row],[app_id]],Table4[app_id],Table4[chatbot_support],"",0)="Yes",1,0)</f>
        <v>0</v>
      </c>
      <c r="I40">
        <f>IF(_xlfn.XLOOKUP(Table49[[#This Row],[app_id]],Table4[app_id],Table4[personalization],"",0)="Yes",1,0)</f>
        <v>1</v>
      </c>
      <c r="J40">
        <f>IF(_xlfn.XLOOKUP(Table49[[#This Row],[app_id]],Table4[app_id],Table4[dark_mode],"",0)="Yes",1,0)</f>
        <v>0</v>
      </c>
      <c r="K40">
        <f>IF(_xlfn.XLOOKUP(Table49[[#This Row],[app_id]],Table4[app_id],Table4[multi_language_support],"",0)="Yes",1,0)</f>
        <v>1</v>
      </c>
      <c r="L40" cm="1">
        <f t="array" ref="L40">_xlfn.IFS(_xlfn.XLOOKUP(Table49[[#This Row],[app_id]],Table4[app_id],Table4[security_features])="Basic",0,_xlfn.XLOOKUP(Table49[[#This Row],[app_id]],Table4[app_id],Table4[security_features])="Advanced",1,_xlfn.XLOOKUP(Table49[[#This Row],[app_id]],Table4[app_id],Table4[security_features])="Biometric",3,TRUE,"")</f>
        <v>0</v>
      </c>
      <c r="M40">
        <f>_xlfn.XLOOKUP(Table49[[#This Row],[app_id]],Table7[app_id],Table7[rating_given],"",0)</f>
        <v>4</v>
      </c>
    </row>
    <row r="41" spans="1:13" x14ac:dyDescent="0.25">
      <c r="A41" t="s">
        <v>305</v>
      </c>
      <c r="B41" t="s">
        <v>118</v>
      </c>
      <c r="C41" t="str">
        <f>_xlfn.XLOOKUP(Table49[[#This Row],[app_id]],Table5[app_id],Table5[category],"",0)</f>
        <v>Education</v>
      </c>
      <c r="D41">
        <f>IF(_xlfn.XLOOKUP(Table49[[#This Row],[app_id]],Table4[app_id],Table4[push_notifications],"",0)="Yes",1,0)</f>
        <v>1</v>
      </c>
      <c r="E41">
        <f>IF(_xlfn.XLOOKUP(Table49[[#This Row],[app_id]],Table4[app_id],Table4[offline_access],"",0)="Yes",1,0)</f>
        <v>1</v>
      </c>
      <c r="F41">
        <f>IF(_xlfn.XLOOKUP(Table49[[#This Row],[app_id]],Table4[app_id],Table4[ai_features],"",0)="Yes",1,0)</f>
        <v>0</v>
      </c>
      <c r="G41">
        <f>IF(_xlfn.XLOOKUP(Table49[[#This Row],[app_id]],Table4[app_id],Table4[payment_integration],"",0)="Yes",1,0)</f>
        <v>0</v>
      </c>
      <c r="H41">
        <f>IF(_xlfn.XLOOKUP(Table49[[#This Row],[app_id]],Table4[app_id],Table4[chatbot_support],"",0)="Yes",1,0)</f>
        <v>0</v>
      </c>
      <c r="I41">
        <f>IF(_xlfn.XLOOKUP(Table49[[#This Row],[app_id]],Table4[app_id],Table4[personalization],"",0)="Yes",1,0)</f>
        <v>1</v>
      </c>
      <c r="J41">
        <f>IF(_xlfn.XLOOKUP(Table49[[#This Row],[app_id]],Table4[app_id],Table4[dark_mode],"",0)="Yes",1,0)</f>
        <v>0</v>
      </c>
      <c r="K41">
        <f>IF(_xlfn.XLOOKUP(Table49[[#This Row],[app_id]],Table4[app_id],Table4[multi_language_support],"",0)="Yes",1,0)</f>
        <v>1</v>
      </c>
      <c r="L41" cm="1">
        <f t="array" ref="L41">_xlfn.IFS(_xlfn.XLOOKUP(Table49[[#This Row],[app_id]],Table4[app_id],Table4[security_features])="Basic",0,_xlfn.XLOOKUP(Table49[[#This Row],[app_id]],Table4[app_id],Table4[security_features])="Advanced",1,_xlfn.XLOOKUP(Table49[[#This Row],[app_id]],Table4[app_id],Table4[security_features])="Biometric",3,TRUE,"")</f>
        <v>3</v>
      </c>
      <c r="M41">
        <f>_xlfn.XLOOKUP(Table49[[#This Row],[app_id]],Table7[app_id],Table7[rating_given],"",0)</f>
        <v>2</v>
      </c>
    </row>
    <row r="42" spans="1:13" x14ac:dyDescent="0.25">
      <c r="A42" t="s">
        <v>306</v>
      </c>
      <c r="B42" t="s">
        <v>120</v>
      </c>
      <c r="C42" t="str">
        <f>_xlfn.XLOOKUP(Table49[[#This Row],[app_id]],Table5[app_id],Table5[category],"",0)</f>
        <v>Education</v>
      </c>
      <c r="D42">
        <f>IF(_xlfn.XLOOKUP(Table49[[#This Row],[app_id]],Table4[app_id],Table4[push_notifications],"",0)="Yes",1,0)</f>
        <v>0</v>
      </c>
      <c r="E42">
        <f>IF(_xlfn.XLOOKUP(Table49[[#This Row],[app_id]],Table4[app_id],Table4[offline_access],"",0)="Yes",1,0)</f>
        <v>1</v>
      </c>
      <c r="F42">
        <f>IF(_xlfn.XLOOKUP(Table49[[#This Row],[app_id]],Table4[app_id],Table4[ai_features],"",0)="Yes",1,0)</f>
        <v>1</v>
      </c>
      <c r="G42">
        <f>IF(_xlfn.XLOOKUP(Table49[[#This Row],[app_id]],Table4[app_id],Table4[payment_integration],"",0)="Yes",1,0)</f>
        <v>0</v>
      </c>
      <c r="H42">
        <f>IF(_xlfn.XLOOKUP(Table49[[#This Row],[app_id]],Table4[app_id],Table4[chatbot_support],"",0)="Yes",1,0)</f>
        <v>0</v>
      </c>
      <c r="I42">
        <f>IF(_xlfn.XLOOKUP(Table49[[#This Row],[app_id]],Table4[app_id],Table4[personalization],"",0)="Yes",1,0)</f>
        <v>1</v>
      </c>
      <c r="J42">
        <f>IF(_xlfn.XLOOKUP(Table49[[#This Row],[app_id]],Table4[app_id],Table4[dark_mode],"",0)="Yes",1,0)</f>
        <v>1</v>
      </c>
      <c r="K42">
        <f>IF(_xlfn.XLOOKUP(Table49[[#This Row],[app_id]],Table4[app_id],Table4[multi_language_support],"",0)="Yes",1,0)</f>
        <v>1</v>
      </c>
      <c r="L42" cm="1">
        <f t="array" ref="L42">_xlfn.IFS(_xlfn.XLOOKUP(Table49[[#This Row],[app_id]],Table4[app_id],Table4[security_features])="Basic",0,_xlfn.XLOOKUP(Table49[[#This Row],[app_id]],Table4[app_id],Table4[security_features])="Advanced",1,_xlfn.XLOOKUP(Table49[[#This Row],[app_id]],Table4[app_id],Table4[security_features])="Biometric",3,TRUE,"")</f>
        <v>0</v>
      </c>
      <c r="M42">
        <f>_xlfn.XLOOKUP(Table49[[#This Row],[app_id]],Table7[app_id],Table7[rating_given],"",0)</f>
        <v>4</v>
      </c>
    </row>
    <row r="43" spans="1:13" x14ac:dyDescent="0.25">
      <c r="A43" t="s">
        <v>307</v>
      </c>
      <c r="B43" t="s">
        <v>122</v>
      </c>
      <c r="C43" t="str">
        <f>_xlfn.XLOOKUP(Table49[[#This Row],[app_id]],Table5[app_id],Table5[category],"",0)</f>
        <v>Education</v>
      </c>
      <c r="D43">
        <f>IF(_xlfn.XLOOKUP(Table49[[#This Row],[app_id]],Table4[app_id],Table4[push_notifications],"",0)="Yes",1,0)</f>
        <v>1</v>
      </c>
      <c r="E43">
        <f>IF(_xlfn.XLOOKUP(Table49[[#This Row],[app_id]],Table4[app_id],Table4[offline_access],"",0)="Yes",1,0)</f>
        <v>1</v>
      </c>
      <c r="F43">
        <f>IF(_xlfn.XLOOKUP(Table49[[#This Row],[app_id]],Table4[app_id],Table4[ai_features],"",0)="Yes",1,0)</f>
        <v>1</v>
      </c>
      <c r="G43">
        <f>IF(_xlfn.XLOOKUP(Table49[[#This Row],[app_id]],Table4[app_id],Table4[payment_integration],"",0)="Yes",1,0)</f>
        <v>0</v>
      </c>
      <c r="H43">
        <f>IF(_xlfn.XLOOKUP(Table49[[#This Row],[app_id]],Table4[app_id],Table4[chatbot_support],"",0)="Yes",1,0)</f>
        <v>0</v>
      </c>
      <c r="I43">
        <f>IF(_xlfn.XLOOKUP(Table49[[#This Row],[app_id]],Table4[app_id],Table4[personalization],"",0)="Yes",1,0)</f>
        <v>1</v>
      </c>
      <c r="J43">
        <f>IF(_xlfn.XLOOKUP(Table49[[#This Row],[app_id]],Table4[app_id],Table4[dark_mode],"",0)="Yes",1,0)</f>
        <v>0</v>
      </c>
      <c r="K43">
        <f>IF(_xlfn.XLOOKUP(Table49[[#This Row],[app_id]],Table4[app_id],Table4[multi_language_support],"",0)="Yes",1,0)</f>
        <v>0</v>
      </c>
      <c r="L43" cm="1">
        <f t="array" ref="L43">_xlfn.IFS(_xlfn.XLOOKUP(Table49[[#This Row],[app_id]],Table4[app_id],Table4[security_features])="Basic",0,_xlfn.XLOOKUP(Table49[[#This Row],[app_id]],Table4[app_id],Table4[security_features])="Advanced",1,_xlfn.XLOOKUP(Table49[[#This Row],[app_id]],Table4[app_id],Table4[security_features])="Biometric",3,TRUE,"")</f>
        <v>0</v>
      </c>
      <c r="M43">
        <f>_xlfn.XLOOKUP(Table49[[#This Row],[app_id]],Table7[app_id],Table7[rating_given],"",0)</f>
        <v>5</v>
      </c>
    </row>
    <row r="44" spans="1:13" x14ac:dyDescent="0.25">
      <c r="A44" t="s">
        <v>308</v>
      </c>
      <c r="B44" t="s">
        <v>124</v>
      </c>
      <c r="C44" t="str">
        <f>_xlfn.XLOOKUP(Table49[[#This Row],[app_id]],Table5[app_id],Table5[category],"",0)</f>
        <v>Education</v>
      </c>
      <c r="D44">
        <f>IF(_xlfn.XLOOKUP(Table49[[#This Row],[app_id]],Table4[app_id],Table4[push_notifications],"",0)="Yes",1,0)</f>
        <v>1</v>
      </c>
      <c r="E44">
        <f>IF(_xlfn.XLOOKUP(Table49[[#This Row],[app_id]],Table4[app_id],Table4[offline_access],"",0)="Yes",1,0)</f>
        <v>1</v>
      </c>
      <c r="F44">
        <f>IF(_xlfn.XLOOKUP(Table49[[#This Row],[app_id]],Table4[app_id],Table4[ai_features],"",0)="Yes",1,0)</f>
        <v>0</v>
      </c>
      <c r="G44">
        <f>IF(_xlfn.XLOOKUP(Table49[[#This Row],[app_id]],Table4[app_id],Table4[payment_integration],"",0)="Yes",1,0)</f>
        <v>0</v>
      </c>
      <c r="H44">
        <f>IF(_xlfn.XLOOKUP(Table49[[#This Row],[app_id]],Table4[app_id],Table4[chatbot_support],"",0)="Yes",1,0)</f>
        <v>1</v>
      </c>
      <c r="I44">
        <f>IF(_xlfn.XLOOKUP(Table49[[#This Row],[app_id]],Table4[app_id],Table4[personalization],"",0)="Yes",1,0)</f>
        <v>1</v>
      </c>
      <c r="J44">
        <f>IF(_xlfn.XLOOKUP(Table49[[#This Row],[app_id]],Table4[app_id],Table4[dark_mode],"",0)="Yes",1,0)</f>
        <v>0</v>
      </c>
      <c r="K44">
        <f>IF(_xlfn.XLOOKUP(Table49[[#This Row],[app_id]],Table4[app_id],Table4[multi_language_support],"",0)="Yes",1,0)</f>
        <v>0</v>
      </c>
      <c r="L44" cm="1">
        <f t="array" ref="L44">_xlfn.IFS(_xlfn.XLOOKUP(Table49[[#This Row],[app_id]],Table4[app_id],Table4[security_features])="Basic",0,_xlfn.XLOOKUP(Table49[[#This Row],[app_id]],Table4[app_id],Table4[security_features])="Advanced",1,_xlfn.XLOOKUP(Table49[[#This Row],[app_id]],Table4[app_id],Table4[security_features])="Biometric",3,TRUE,"")</f>
        <v>1</v>
      </c>
      <c r="M44">
        <f>_xlfn.XLOOKUP(Table49[[#This Row],[app_id]],Table7[app_id],Table7[rating_given],"",0)</f>
        <v>4</v>
      </c>
    </row>
    <row r="45" spans="1:13" x14ac:dyDescent="0.25">
      <c r="A45" t="s">
        <v>309</v>
      </c>
      <c r="B45" t="s">
        <v>126</v>
      </c>
      <c r="C45" t="str">
        <f>_xlfn.XLOOKUP(Table49[[#This Row],[app_id]],Table5[app_id],Table5[category],"",0)</f>
        <v>Education</v>
      </c>
      <c r="D45">
        <f>IF(_xlfn.XLOOKUP(Table49[[#This Row],[app_id]],Table4[app_id],Table4[push_notifications],"",0)="Yes",1,0)</f>
        <v>1</v>
      </c>
      <c r="E45">
        <f>IF(_xlfn.XLOOKUP(Table49[[#This Row],[app_id]],Table4[app_id],Table4[offline_access],"",0)="Yes",1,0)</f>
        <v>0</v>
      </c>
      <c r="F45">
        <f>IF(_xlfn.XLOOKUP(Table49[[#This Row],[app_id]],Table4[app_id],Table4[ai_features],"",0)="Yes",1,0)</f>
        <v>0</v>
      </c>
      <c r="G45">
        <f>IF(_xlfn.XLOOKUP(Table49[[#This Row],[app_id]],Table4[app_id],Table4[payment_integration],"",0)="Yes",1,0)</f>
        <v>0</v>
      </c>
      <c r="H45">
        <f>IF(_xlfn.XLOOKUP(Table49[[#This Row],[app_id]],Table4[app_id],Table4[chatbot_support],"",0)="Yes",1,0)</f>
        <v>0</v>
      </c>
      <c r="I45">
        <f>IF(_xlfn.XLOOKUP(Table49[[#This Row],[app_id]],Table4[app_id],Table4[personalization],"",0)="Yes",1,0)</f>
        <v>1</v>
      </c>
      <c r="J45">
        <f>IF(_xlfn.XLOOKUP(Table49[[#This Row],[app_id]],Table4[app_id],Table4[dark_mode],"",0)="Yes",1,0)</f>
        <v>0</v>
      </c>
      <c r="K45">
        <f>IF(_xlfn.XLOOKUP(Table49[[#This Row],[app_id]],Table4[app_id],Table4[multi_language_support],"",0)="Yes",1,0)</f>
        <v>0</v>
      </c>
      <c r="L45" cm="1">
        <f t="array" ref="L45">_xlfn.IFS(_xlfn.XLOOKUP(Table49[[#This Row],[app_id]],Table4[app_id],Table4[security_features])="Basic",0,_xlfn.XLOOKUP(Table49[[#This Row],[app_id]],Table4[app_id],Table4[security_features])="Advanced",1,_xlfn.XLOOKUP(Table49[[#This Row],[app_id]],Table4[app_id],Table4[security_features])="Biometric",3,TRUE,"")</f>
        <v>0</v>
      </c>
      <c r="M45">
        <f>_xlfn.XLOOKUP(Table49[[#This Row],[app_id]],Table7[app_id],Table7[rating_given],"",0)</f>
        <v>4</v>
      </c>
    </row>
    <row r="46" spans="1:13" x14ac:dyDescent="0.25">
      <c r="A46" t="s">
        <v>310</v>
      </c>
      <c r="B46" t="s">
        <v>128</v>
      </c>
      <c r="C46" t="str">
        <f>_xlfn.XLOOKUP(Table49[[#This Row],[app_id]],Table5[app_id],Table5[category],"",0)</f>
        <v>Education</v>
      </c>
      <c r="D46">
        <f>IF(_xlfn.XLOOKUP(Table49[[#This Row],[app_id]],Table4[app_id],Table4[push_notifications],"",0)="Yes",1,0)</f>
        <v>1</v>
      </c>
      <c r="E46">
        <f>IF(_xlfn.XLOOKUP(Table49[[#This Row],[app_id]],Table4[app_id],Table4[offline_access],"",0)="Yes",1,0)</f>
        <v>1</v>
      </c>
      <c r="F46">
        <f>IF(_xlfn.XLOOKUP(Table49[[#This Row],[app_id]],Table4[app_id],Table4[ai_features],"",0)="Yes",1,0)</f>
        <v>0</v>
      </c>
      <c r="G46">
        <f>IF(_xlfn.XLOOKUP(Table49[[#This Row],[app_id]],Table4[app_id],Table4[payment_integration],"",0)="Yes",1,0)</f>
        <v>0</v>
      </c>
      <c r="H46">
        <f>IF(_xlfn.XLOOKUP(Table49[[#This Row],[app_id]],Table4[app_id],Table4[chatbot_support],"",0)="Yes",1,0)</f>
        <v>0</v>
      </c>
      <c r="I46">
        <f>IF(_xlfn.XLOOKUP(Table49[[#This Row],[app_id]],Table4[app_id],Table4[personalization],"",0)="Yes",1,0)</f>
        <v>0</v>
      </c>
      <c r="J46">
        <f>IF(_xlfn.XLOOKUP(Table49[[#This Row],[app_id]],Table4[app_id],Table4[dark_mode],"",0)="Yes",1,0)</f>
        <v>1</v>
      </c>
      <c r="K46">
        <f>IF(_xlfn.XLOOKUP(Table49[[#This Row],[app_id]],Table4[app_id],Table4[multi_language_support],"",0)="Yes",1,0)</f>
        <v>0</v>
      </c>
      <c r="L46" cm="1">
        <f t="array" ref="L46">_xlfn.IFS(_xlfn.XLOOKUP(Table49[[#This Row],[app_id]],Table4[app_id],Table4[security_features])="Basic",0,_xlfn.XLOOKUP(Table49[[#This Row],[app_id]],Table4[app_id],Table4[security_features])="Advanced",1,_xlfn.XLOOKUP(Table49[[#This Row],[app_id]],Table4[app_id],Table4[security_features])="Biometric",3,TRUE,"")</f>
        <v>1</v>
      </c>
      <c r="M46">
        <f>_xlfn.XLOOKUP(Table49[[#This Row],[app_id]],Table7[app_id],Table7[rating_given],"",0)</f>
        <v>2</v>
      </c>
    </row>
    <row r="47" spans="1:13" x14ac:dyDescent="0.25">
      <c r="A47" t="s">
        <v>311</v>
      </c>
      <c r="B47" t="s">
        <v>130</v>
      </c>
      <c r="C47" t="str">
        <f>_xlfn.XLOOKUP(Table49[[#This Row],[app_id]],Table5[app_id],Table5[category],"",0)</f>
        <v>Education</v>
      </c>
      <c r="D47">
        <f>IF(_xlfn.XLOOKUP(Table49[[#This Row],[app_id]],Table4[app_id],Table4[push_notifications],"",0)="Yes",1,0)</f>
        <v>1</v>
      </c>
      <c r="E47">
        <f>IF(_xlfn.XLOOKUP(Table49[[#This Row],[app_id]],Table4[app_id],Table4[offline_access],"",0)="Yes",1,0)</f>
        <v>1</v>
      </c>
      <c r="F47">
        <f>IF(_xlfn.XLOOKUP(Table49[[#This Row],[app_id]],Table4[app_id],Table4[ai_features],"",0)="Yes",1,0)</f>
        <v>1</v>
      </c>
      <c r="G47">
        <f>IF(_xlfn.XLOOKUP(Table49[[#This Row],[app_id]],Table4[app_id],Table4[payment_integration],"",0)="Yes",1,0)</f>
        <v>0</v>
      </c>
      <c r="H47">
        <f>IF(_xlfn.XLOOKUP(Table49[[#This Row],[app_id]],Table4[app_id],Table4[chatbot_support],"",0)="Yes",1,0)</f>
        <v>0</v>
      </c>
      <c r="I47">
        <f>IF(_xlfn.XLOOKUP(Table49[[#This Row],[app_id]],Table4[app_id],Table4[personalization],"",0)="Yes",1,0)</f>
        <v>1</v>
      </c>
      <c r="J47">
        <f>IF(_xlfn.XLOOKUP(Table49[[#This Row],[app_id]],Table4[app_id],Table4[dark_mode],"",0)="Yes",1,0)</f>
        <v>1</v>
      </c>
      <c r="K47">
        <f>IF(_xlfn.XLOOKUP(Table49[[#This Row],[app_id]],Table4[app_id],Table4[multi_language_support],"",0)="Yes",1,0)</f>
        <v>0</v>
      </c>
      <c r="L47" cm="1">
        <f t="array" ref="L47">_xlfn.IFS(_xlfn.XLOOKUP(Table49[[#This Row],[app_id]],Table4[app_id],Table4[security_features])="Basic",0,_xlfn.XLOOKUP(Table49[[#This Row],[app_id]],Table4[app_id],Table4[security_features])="Advanced",1,_xlfn.XLOOKUP(Table49[[#This Row],[app_id]],Table4[app_id],Table4[security_features])="Biometric",3,TRUE,"")</f>
        <v>3</v>
      </c>
      <c r="M47">
        <f>_xlfn.XLOOKUP(Table49[[#This Row],[app_id]],Table7[app_id],Table7[rating_given],"",0)</f>
        <v>3</v>
      </c>
    </row>
    <row r="48" spans="1:13" x14ac:dyDescent="0.25">
      <c r="A48" t="s">
        <v>312</v>
      </c>
      <c r="B48" t="s">
        <v>132</v>
      </c>
      <c r="C48" t="str">
        <f>_xlfn.XLOOKUP(Table49[[#This Row],[app_id]],Table5[app_id],Table5[category],"",0)</f>
        <v>Education</v>
      </c>
      <c r="D48">
        <f>IF(_xlfn.XLOOKUP(Table49[[#This Row],[app_id]],Table4[app_id],Table4[push_notifications],"",0)="Yes",1,0)</f>
        <v>1</v>
      </c>
      <c r="E48">
        <f>IF(_xlfn.XLOOKUP(Table49[[#This Row],[app_id]],Table4[app_id],Table4[offline_access],"",0)="Yes",1,0)</f>
        <v>1</v>
      </c>
      <c r="F48">
        <f>IF(_xlfn.XLOOKUP(Table49[[#This Row],[app_id]],Table4[app_id],Table4[ai_features],"",0)="Yes",1,0)</f>
        <v>1</v>
      </c>
      <c r="G48">
        <f>IF(_xlfn.XLOOKUP(Table49[[#This Row],[app_id]],Table4[app_id],Table4[payment_integration],"",0)="Yes",1,0)</f>
        <v>0</v>
      </c>
      <c r="H48">
        <f>IF(_xlfn.XLOOKUP(Table49[[#This Row],[app_id]],Table4[app_id],Table4[chatbot_support],"",0)="Yes",1,0)</f>
        <v>0</v>
      </c>
      <c r="I48">
        <f>IF(_xlfn.XLOOKUP(Table49[[#This Row],[app_id]],Table4[app_id],Table4[personalization],"",0)="Yes",1,0)</f>
        <v>1</v>
      </c>
      <c r="J48">
        <f>IF(_xlfn.XLOOKUP(Table49[[#This Row],[app_id]],Table4[app_id],Table4[dark_mode],"",0)="Yes",1,0)</f>
        <v>0</v>
      </c>
      <c r="K48">
        <f>IF(_xlfn.XLOOKUP(Table49[[#This Row],[app_id]],Table4[app_id],Table4[multi_language_support],"",0)="Yes",1,0)</f>
        <v>1</v>
      </c>
      <c r="L48" cm="1">
        <f t="array" ref="L48">_xlfn.IFS(_xlfn.XLOOKUP(Table49[[#This Row],[app_id]],Table4[app_id],Table4[security_features])="Basic",0,_xlfn.XLOOKUP(Table49[[#This Row],[app_id]],Table4[app_id],Table4[security_features])="Advanced",1,_xlfn.XLOOKUP(Table49[[#This Row],[app_id]],Table4[app_id],Table4[security_features])="Biometric",3,TRUE,"")</f>
        <v>3</v>
      </c>
      <c r="M48">
        <f>_xlfn.XLOOKUP(Table49[[#This Row],[app_id]],Table7[app_id],Table7[rating_given],"",0)</f>
        <v>3</v>
      </c>
    </row>
    <row r="49" spans="1:13" x14ac:dyDescent="0.25">
      <c r="A49" t="s">
        <v>313</v>
      </c>
      <c r="B49" t="s">
        <v>134</v>
      </c>
      <c r="C49" t="str">
        <f>_xlfn.XLOOKUP(Table49[[#This Row],[app_id]],Table5[app_id],Table5[category],"",0)</f>
        <v>Education</v>
      </c>
      <c r="D49">
        <f>IF(_xlfn.XLOOKUP(Table49[[#This Row],[app_id]],Table4[app_id],Table4[push_notifications],"",0)="Yes",1,0)</f>
        <v>0</v>
      </c>
      <c r="E49">
        <f>IF(_xlfn.XLOOKUP(Table49[[#This Row],[app_id]],Table4[app_id],Table4[offline_access],"",0)="Yes",1,0)</f>
        <v>0</v>
      </c>
      <c r="F49">
        <f>IF(_xlfn.XLOOKUP(Table49[[#This Row],[app_id]],Table4[app_id],Table4[ai_features],"",0)="Yes",1,0)</f>
        <v>1</v>
      </c>
      <c r="G49">
        <f>IF(_xlfn.XLOOKUP(Table49[[#This Row],[app_id]],Table4[app_id],Table4[payment_integration],"",0)="Yes",1,0)</f>
        <v>0</v>
      </c>
      <c r="H49">
        <f>IF(_xlfn.XLOOKUP(Table49[[#This Row],[app_id]],Table4[app_id],Table4[chatbot_support],"",0)="Yes",1,0)</f>
        <v>0</v>
      </c>
      <c r="I49">
        <f>IF(_xlfn.XLOOKUP(Table49[[#This Row],[app_id]],Table4[app_id],Table4[personalization],"",0)="Yes",1,0)</f>
        <v>1</v>
      </c>
      <c r="J49">
        <f>IF(_xlfn.XLOOKUP(Table49[[#This Row],[app_id]],Table4[app_id],Table4[dark_mode],"",0)="Yes",1,0)</f>
        <v>1</v>
      </c>
      <c r="K49">
        <f>IF(_xlfn.XLOOKUP(Table49[[#This Row],[app_id]],Table4[app_id],Table4[multi_language_support],"",0)="Yes",1,0)</f>
        <v>0</v>
      </c>
      <c r="L49" cm="1">
        <f t="array" ref="L49">_xlfn.IFS(_xlfn.XLOOKUP(Table49[[#This Row],[app_id]],Table4[app_id],Table4[security_features])="Basic",0,_xlfn.XLOOKUP(Table49[[#This Row],[app_id]],Table4[app_id],Table4[security_features])="Advanced",1,_xlfn.XLOOKUP(Table49[[#This Row],[app_id]],Table4[app_id],Table4[security_features])="Biometric",3,TRUE,"")</f>
        <v>0</v>
      </c>
      <c r="M49">
        <f>_xlfn.XLOOKUP(Table49[[#This Row],[app_id]],Table7[app_id],Table7[rating_given],"",0)</f>
        <v>5</v>
      </c>
    </row>
    <row r="50" spans="1:13" hidden="1" x14ac:dyDescent="0.25">
      <c r="A50" t="s">
        <v>314</v>
      </c>
      <c r="B50" t="s">
        <v>136</v>
      </c>
      <c r="C50" t="str">
        <f>_xlfn.XLOOKUP(Table49[[#This Row],[app_id]],Table5[app_id],Table5[category],"",0)</f>
        <v>Entertainment</v>
      </c>
      <c r="D50">
        <f>IF(_xlfn.XLOOKUP(Table49[[#This Row],[app_id]],Table4[app_id],Table4[push_notifications],"",0)="Yes",1,0)</f>
        <v>1</v>
      </c>
      <c r="E50">
        <f>IF(_xlfn.XLOOKUP(Table49[[#This Row],[app_id]],Table4[app_id],Table4[offline_access],"",0)="Yes",1,0)</f>
        <v>0</v>
      </c>
      <c r="F50">
        <f>IF(_xlfn.XLOOKUP(Table49[[#This Row],[app_id]],Table4[app_id],Table4[ai_features],"",0)="Yes",1,0)</f>
        <v>0</v>
      </c>
      <c r="G50">
        <f>IF(_xlfn.XLOOKUP(Table49[[#This Row],[app_id]],Table4[app_id],Table4[payment_integration],"",0)="Yes",1,0)</f>
        <v>1</v>
      </c>
      <c r="H50">
        <f>IF(_xlfn.XLOOKUP(Table49[[#This Row],[app_id]],Table4[app_id],Table4[chatbot_support],"",0)="Yes",1,0)</f>
        <v>0</v>
      </c>
      <c r="I50">
        <f>IF(_xlfn.XLOOKUP(Table49[[#This Row],[app_id]],Table4[app_id],Table4[personalization],"",0)="Yes",1,0)</f>
        <v>0</v>
      </c>
      <c r="J50">
        <f>IF(_xlfn.XLOOKUP(Table49[[#This Row],[app_id]],Table4[app_id],Table4[dark_mode],"",0)="Yes",1,0)</f>
        <v>1</v>
      </c>
      <c r="K50">
        <f>IF(_xlfn.XLOOKUP(Table49[[#This Row],[app_id]],Table4[app_id],Table4[multi_language_support],"",0)="Yes",1,0)</f>
        <v>1</v>
      </c>
      <c r="L50" cm="1">
        <f t="array" ref="L50">_xlfn.IFS(_xlfn.XLOOKUP(Table49[[#This Row],[app_id]],Table4[app_id],Table4[security_features])="Basic",0,_xlfn.XLOOKUP(Table49[[#This Row],[app_id]],Table4[app_id],Table4[security_features])="Advanced",1,_xlfn.XLOOKUP(Table49[[#This Row],[app_id]],Table4[app_id],Table4[security_features])="Biometric",3,TRUE,"")</f>
        <v>1</v>
      </c>
      <c r="M50">
        <f>_xlfn.XLOOKUP(Table49[[#This Row],[app_id]],Table7[app_id],Table7[rating_given],"",0)</f>
        <v>4</v>
      </c>
    </row>
    <row r="51" spans="1:13" hidden="1" x14ac:dyDescent="0.25">
      <c r="A51" t="s">
        <v>315</v>
      </c>
      <c r="B51" t="s">
        <v>139</v>
      </c>
      <c r="C51" t="str">
        <f>_xlfn.XLOOKUP(Table49[[#This Row],[app_id]],Table5[app_id],Table5[category],"",0)</f>
        <v>Entertainment</v>
      </c>
      <c r="D51">
        <f>IF(_xlfn.XLOOKUP(Table49[[#This Row],[app_id]],Table4[app_id],Table4[push_notifications],"",0)="Yes",1,0)</f>
        <v>1</v>
      </c>
      <c r="E51">
        <f>IF(_xlfn.XLOOKUP(Table49[[#This Row],[app_id]],Table4[app_id],Table4[offline_access],"",0)="Yes",1,0)</f>
        <v>1</v>
      </c>
      <c r="F51">
        <f>IF(_xlfn.XLOOKUP(Table49[[#This Row],[app_id]],Table4[app_id],Table4[ai_features],"",0)="Yes",1,0)</f>
        <v>1</v>
      </c>
      <c r="G51">
        <f>IF(_xlfn.XLOOKUP(Table49[[#This Row],[app_id]],Table4[app_id],Table4[payment_integration],"",0)="Yes",1,0)</f>
        <v>0</v>
      </c>
      <c r="H51">
        <f>IF(_xlfn.XLOOKUP(Table49[[#This Row],[app_id]],Table4[app_id],Table4[chatbot_support],"",0)="Yes",1,0)</f>
        <v>0</v>
      </c>
      <c r="I51">
        <f>IF(_xlfn.XLOOKUP(Table49[[#This Row],[app_id]],Table4[app_id],Table4[personalization],"",0)="Yes",1,0)</f>
        <v>0</v>
      </c>
      <c r="J51">
        <f>IF(_xlfn.XLOOKUP(Table49[[#This Row],[app_id]],Table4[app_id],Table4[dark_mode],"",0)="Yes",1,0)</f>
        <v>0</v>
      </c>
      <c r="K51">
        <f>IF(_xlfn.XLOOKUP(Table49[[#This Row],[app_id]],Table4[app_id],Table4[multi_language_support],"",0)="Yes",1,0)</f>
        <v>0</v>
      </c>
      <c r="L51" cm="1">
        <f t="array" ref="L51">_xlfn.IFS(_xlfn.XLOOKUP(Table49[[#This Row],[app_id]],Table4[app_id],Table4[security_features])="Basic",0,_xlfn.XLOOKUP(Table49[[#This Row],[app_id]],Table4[app_id],Table4[security_features])="Advanced",1,_xlfn.XLOOKUP(Table49[[#This Row],[app_id]],Table4[app_id],Table4[security_features])="Biometric",3,TRUE,"")</f>
        <v>0</v>
      </c>
      <c r="M51">
        <f>_xlfn.XLOOKUP(Table49[[#This Row],[app_id]],Table7[app_id],Table7[rating_given],"",0)</f>
        <v>4</v>
      </c>
    </row>
    <row r="52" spans="1:13" hidden="1" x14ac:dyDescent="0.25">
      <c r="A52" t="s">
        <v>316</v>
      </c>
      <c r="B52" t="s">
        <v>141</v>
      </c>
      <c r="C52" t="str">
        <f>_xlfn.XLOOKUP(Table49[[#This Row],[app_id]],Table5[app_id],Table5[category],"",0)</f>
        <v>Entertainment</v>
      </c>
      <c r="D52">
        <f>IF(_xlfn.XLOOKUP(Table49[[#This Row],[app_id]],Table4[app_id],Table4[push_notifications],"",0)="Yes",1,0)</f>
        <v>1</v>
      </c>
      <c r="E52">
        <f>IF(_xlfn.XLOOKUP(Table49[[#This Row],[app_id]],Table4[app_id],Table4[offline_access],"",0)="Yes",1,0)</f>
        <v>0</v>
      </c>
      <c r="F52">
        <f>IF(_xlfn.XLOOKUP(Table49[[#This Row],[app_id]],Table4[app_id],Table4[ai_features],"",0)="Yes",1,0)</f>
        <v>1</v>
      </c>
      <c r="G52">
        <f>IF(_xlfn.XLOOKUP(Table49[[#This Row],[app_id]],Table4[app_id],Table4[payment_integration],"",0)="Yes",1,0)</f>
        <v>1</v>
      </c>
      <c r="H52">
        <f>IF(_xlfn.XLOOKUP(Table49[[#This Row],[app_id]],Table4[app_id],Table4[chatbot_support],"",0)="Yes",1,0)</f>
        <v>0</v>
      </c>
      <c r="I52">
        <f>IF(_xlfn.XLOOKUP(Table49[[#This Row],[app_id]],Table4[app_id],Table4[personalization],"",0)="Yes",1,0)</f>
        <v>1</v>
      </c>
      <c r="J52">
        <f>IF(_xlfn.XLOOKUP(Table49[[#This Row],[app_id]],Table4[app_id],Table4[dark_mode],"",0)="Yes",1,0)</f>
        <v>0</v>
      </c>
      <c r="K52">
        <f>IF(_xlfn.XLOOKUP(Table49[[#This Row],[app_id]],Table4[app_id],Table4[multi_language_support],"",0)="Yes",1,0)</f>
        <v>1</v>
      </c>
      <c r="L52" cm="1">
        <f t="array" ref="L52">_xlfn.IFS(_xlfn.XLOOKUP(Table49[[#This Row],[app_id]],Table4[app_id],Table4[security_features])="Basic",0,_xlfn.XLOOKUP(Table49[[#This Row],[app_id]],Table4[app_id],Table4[security_features])="Advanced",1,_xlfn.XLOOKUP(Table49[[#This Row],[app_id]],Table4[app_id],Table4[security_features])="Biometric",3,TRUE,"")</f>
        <v>0</v>
      </c>
      <c r="M52">
        <f>_xlfn.XLOOKUP(Table49[[#This Row],[app_id]],Table7[app_id],Table7[rating_given],"",0)</f>
        <v>4</v>
      </c>
    </row>
    <row r="53" spans="1:13" hidden="1" x14ac:dyDescent="0.25">
      <c r="A53" t="s">
        <v>317</v>
      </c>
      <c r="B53" t="s">
        <v>143</v>
      </c>
      <c r="C53" t="str">
        <f>_xlfn.XLOOKUP(Table49[[#This Row],[app_id]],Table5[app_id],Table5[category],"",0)</f>
        <v>Entertainment</v>
      </c>
      <c r="D53">
        <f>IF(_xlfn.XLOOKUP(Table49[[#This Row],[app_id]],Table4[app_id],Table4[push_notifications],"",0)="Yes",1,0)</f>
        <v>1</v>
      </c>
      <c r="E53">
        <f>IF(_xlfn.XLOOKUP(Table49[[#This Row],[app_id]],Table4[app_id],Table4[offline_access],"",0)="Yes",1,0)</f>
        <v>0</v>
      </c>
      <c r="F53">
        <f>IF(_xlfn.XLOOKUP(Table49[[#This Row],[app_id]],Table4[app_id],Table4[ai_features],"",0)="Yes",1,0)</f>
        <v>0</v>
      </c>
      <c r="G53">
        <f>IF(_xlfn.XLOOKUP(Table49[[#This Row],[app_id]],Table4[app_id],Table4[payment_integration],"",0)="Yes",1,0)</f>
        <v>0</v>
      </c>
      <c r="H53">
        <f>IF(_xlfn.XLOOKUP(Table49[[#This Row],[app_id]],Table4[app_id],Table4[chatbot_support],"",0)="Yes",1,0)</f>
        <v>1</v>
      </c>
      <c r="I53">
        <f>IF(_xlfn.XLOOKUP(Table49[[#This Row],[app_id]],Table4[app_id],Table4[personalization],"",0)="Yes",1,0)</f>
        <v>0</v>
      </c>
      <c r="J53">
        <f>IF(_xlfn.XLOOKUP(Table49[[#This Row],[app_id]],Table4[app_id],Table4[dark_mode],"",0)="Yes",1,0)</f>
        <v>1</v>
      </c>
      <c r="K53">
        <f>IF(_xlfn.XLOOKUP(Table49[[#This Row],[app_id]],Table4[app_id],Table4[multi_language_support],"",0)="Yes",1,0)</f>
        <v>1</v>
      </c>
      <c r="L53" cm="1">
        <f t="array" ref="L53">_xlfn.IFS(_xlfn.XLOOKUP(Table49[[#This Row],[app_id]],Table4[app_id],Table4[security_features])="Basic",0,_xlfn.XLOOKUP(Table49[[#This Row],[app_id]],Table4[app_id],Table4[security_features])="Advanced",1,_xlfn.XLOOKUP(Table49[[#This Row],[app_id]],Table4[app_id],Table4[security_features])="Biometric",3,TRUE,"")</f>
        <v>1</v>
      </c>
      <c r="M53">
        <f>_xlfn.XLOOKUP(Table49[[#This Row],[app_id]],Table7[app_id],Table7[rating_given],"",0)</f>
        <v>3</v>
      </c>
    </row>
    <row r="54" spans="1:13" hidden="1" x14ac:dyDescent="0.25">
      <c r="A54" t="s">
        <v>318</v>
      </c>
      <c r="B54" t="s">
        <v>145</v>
      </c>
      <c r="C54" t="str">
        <f>_xlfn.XLOOKUP(Table49[[#This Row],[app_id]],Table5[app_id],Table5[category],"",0)</f>
        <v>Entertainment</v>
      </c>
      <c r="D54">
        <f>IF(_xlfn.XLOOKUP(Table49[[#This Row],[app_id]],Table4[app_id],Table4[push_notifications],"",0)="Yes",1,0)</f>
        <v>1</v>
      </c>
      <c r="E54">
        <f>IF(_xlfn.XLOOKUP(Table49[[#This Row],[app_id]],Table4[app_id],Table4[offline_access],"",0)="Yes",1,0)</f>
        <v>0</v>
      </c>
      <c r="F54">
        <f>IF(_xlfn.XLOOKUP(Table49[[#This Row],[app_id]],Table4[app_id],Table4[ai_features],"",0)="Yes",1,0)</f>
        <v>1</v>
      </c>
      <c r="G54">
        <f>IF(_xlfn.XLOOKUP(Table49[[#This Row],[app_id]],Table4[app_id],Table4[payment_integration],"",0)="Yes",1,0)</f>
        <v>0</v>
      </c>
      <c r="H54">
        <f>IF(_xlfn.XLOOKUP(Table49[[#This Row],[app_id]],Table4[app_id],Table4[chatbot_support],"",0)="Yes",1,0)</f>
        <v>1</v>
      </c>
      <c r="I54">
        <f>IF(_xlfn.XLOOKUP(Table49[[#This Row],[app_id]],Table4[app_id],Table4[personalization],"",0)="Yes",1,0)</f>
        <v>1</v>
      </c>
      <c r="J54">
        <f>IF(_xlfn.XLOOKUP(Table49[[#This Row],[app_id]],Table4[app_id],Table4[dark_mode],"",0)="Yes",1,0)</f>
        <v>1</v>
      </c>
      <c r="K54">
        <f>IF(_xlfn.XLOOKUP(Table49[[#This Row],[app_id]],Table4[app_id],Table4[multi_language_support],"",0)="Yes",1,0)</f>
        <v>0</v>
      </c>
      <c r="L54" cm="1">
        <f t="array" ref="L54">_xlfn.IFS(_xlfn.XLOOKUP(Table49[[#This Row],[app_id]],Table4[app_id],Table4[security_features])="Basic",0,_xlfn.XLOOKUP(Table49[[#This Row],[app_id]],Table4[app_id],Table4[security_features])="Advanced",1,_xlfn.XLOOKUP(Table49[[#This Row],[app_id]],Table4[app_id],Table4[security_features])="Biometric",3,TRUE,"")</f>
        <v>1</v>
      </c>
      <c r="M54">
        <f>_xlfn.XLOOKUP(Table49[[#This Row],[app_id]],Table7[app_id],Table7[rating_given],"",0)</f>
        <v>4</v>
      </c>
    </row>
    <row r="55" spans="1:13" hidden="1" x14ac:dyDescent="0.25">
      <c r="A55" t="s">
        <v>319</v>
      </c>
      <c r="B55" t="s">
        <v>147</v>
      </c>
      <c r="C55" t="str">
        <f>_xlfn.XLOOKUP(Table49[[#This Row],[app_id]],Table5[app_id],Table5[category],"",0)</f>
        <v>Entertainment</v>
      </c>
      <c r="D55">
        <f>IF(_xlfn.XLOOKUP(Table49[[#This Row],[app_id]],Table4[app_id],Table4[push_notifications],"",0)="Yes",1,0)</f>
        <v>1</v>
      </c>
      <c r="E55">
        <f>IF(_xlfn.XLOOKUP(Table49[[#This Row],[app_id]],Table4[app_id],Table4[offline_access],"",0)="Yes",1,0)</f>
        <v>0</v>
      </c>
      <c r="F55">
        <f>IF(_xlfn.XLOOKUP(Table49[[#This Row],[app_id]],Table4[app_id],Table4[ai_features],"",0)="Yes",1,0)</f>
        <v>1</v>
      </c>
      <c r="G55">
        <f>IF(_xlfn.XLOOKUP(Table49[[#This Row],[app_id]],Table4[app_id],Table4[payment_integration],"",0)="Yes",1,0)</f>
        <v>0</v>
      </c>
      <c r="H55">
        <f>IF(_xlfn.XLOOKUP(Table49[[#This Row],[app_id]],Table4[app_id],Table4[chatbot_support],"",0)="Yes",1,0)</f>
        <v>1</v>
      </c>
      <c r="I55">
        <f>IF(_xlfn.XLOOKUP(Table49[[#This Row],[app_id]],Table4[app_id],Table4[personalization],"",0)="Yes",1,0)</f>
        <v>1</v>
      </c>
      <c r="J55">
        <f>IF(_xlfn.XLOOKUP(Table49[[#This Row],[app_id]],Table4[app_id],Table4[dark_mode],"",0)="Yes",1,0)</f>
        <v>1</v>
      </c>
      <c r="K55">
        <f>IF(_xlfn.XLOOKUP(Table49[[#This Row],[app_id]],Table4[app_id],Table4[multi_language_support],"",0)="Yes",1,0)</f>
        <v>1</v>
      </c>
      <c r="L55" cm="1">
        <f t="array" ref="L55">_xlfn.IFS(_xlfn.XLOOKUP(Table49[[#This Row],[app_id]],Table4[app_id],Table4[security_features])="Basic",0,_xlfn.XLOOKUP(Table49[[#This Row],[app_id]],Table4[app_id],Table4[security_features])="Advanced",1,_xlfn.XLOOKUP(Table49[[#This Row],[app_id]],Table4[app_id],Table4[security_features])="Biometric",3,TRUE,"")</f>
        <v>1</v>
      </c>
      <c r="M55">
        <f>_xlfn.XLOOKUP(Table49[[#This Row],[app_id]],Table7[app_id],Table7[rating_given],"",0)</f>
        <v>4</v>
      </c>
    </row>
    <row r="56" spans="1:13" hidden="1" x14ac:dyDescent="0.25">
      <c r="A56" t="s">
        <v>320</v>
      </c>
      <c r="B56" t="s">
        <v>149</v>
      </c>
      <c r="C56" t="str">
        <f>_xlfn.XLOOKUP(Table49[[#This Row],[app_id]],Table5[app_id],Table5[category],"",0)</f>
        <v>Entertainment</v>
      </c>
      <c r="D56">
        <f>IF(_xlfn.XLOOKUP(Table49[[#This Row],[app_id]],Table4[app_id],Table4[push_notifications],"",0)="Yes",1,0)</f>
        <v>1</v>
      </c>
      <c r="E56">
        <f>IF(_xlfn.XLOOKUP(Table49[[#This Row],[app_id]],Table4[app_id],Table4[offline_access],"",0)="Yes",1,0)</f>
        <v>0</v>
      </c>
      <c r="F56">
        <f>IF(_xlfn.XLOOKUP(Table49[[#This Row],[app_id]],Table4[app_id],Table4[ai_features],"",0)="Yes",1,0)</f>
        <v>0</v>
      </c>
      <c r="G56">
        <f>IF(_xlfn.XLOOKUP(Table49[[#This Row],[app_id]],Table4[app_id],Table4[payment_integration],"",0)="Yes",1,0)</f>
        <v>1</v>
      </c>
      <c r="H56">
        <f>IF(_xlfn.XLOOKUP(Table49[[#This Row],[app_id]],Table4[app_id],Table4[chatbot_support],"",0)="Yes",1,0)</f>
        <v>1</v>
      </c>
      <c r="I56">
        <f>IF(_xlfn.XLOOKUP(Table49[[#This Row],[app_id]],Table4[app_id],Table4[personalization],"",0)="Yes",1,0)</f>
        <v>1</v>
      </c>
      <c r="J56">
        <f>IF(_xlfn.XLOOKUP(Table49[[#This Row],[app_id]],Table4[app_id],Table4[dark_mode],"",0)="Yes",1,0)</f>
        <v>1</v>
      </c>
      <c r="K56">
        <f>IF(_xlfn.XLOOKUP(Table49[[#This Row],[app_id]],Table4[app_id],Table4[multi_language_support],"",0)="Yes",1,0)</f>
        <v>0</v>
      </c>
      <c r="L56" cm="1">
        <f t="array" ref="L56">_xlfn.IFS(_xlfn.XLOOKUP(Table49[[#This Row],[app_id]],Table4[app_id],Table4[security_features])="Basic",0,_xlfn.XLOOKUP(Table49[[#This Row],[app_id]],Table4[app_id],Table4[security_features])="Advanced",1,_xlfn.XLOOKUP(Table49[[#This Row],[app_id]],Table4[app_id],Table4[security_features])="Biometric",3,TRUE,"")</f>
        <v>3</v>
      </c>
      <c r="M56">
        <f>_xlfn.XLOOKUP(Table49[[#This Row],[app_id]],Table7[app_id],Table7[rating_given],"",0)</f>
        <v>3</v>
      </c>
    </row>
    <row r="57" spans="1:13" hidden="1" x14ac:dyDescent="0.25">
      <c r="A57" t="s">
        <v>321</v>
      </c>
      <c r="B57" t="s">
        <v>151</v>
      </c>
      <c r="C57" t="str">
        <f>_xlfn.XLOOKUP(Table49[[#This Row],[app_id]],Table5[app_id],Table5[category],"",0)</f>
        <v>Entertainment</v>
      </c>
      <c r="D57">
        <f>IF(_xlfn.XLOOKUP(Table49[[#This Row],[app_id]],Table4[app_id],Table4[push_notifications],"",0)="Yes",1,0)</f>
        <v>1</v>
      </c>
      <c r="E57">
        <f>IF(_xlfn.XLOOKUP(Table49[[#This Row],[app_id]],Table4[app_id],Table4[offline_access],"",0)="Yes",1,0)</f>
        <v>1</v>
      </c>
      <c r="F57">
        <f>IF(_xlfn.XLOOKUP(Table49[[#This Row],[app_id]],Table4[app_id],Table4[ai_features],"",0)="Yes",1,0)</f>
        <v>0</v>
      </c>
      <c r="G57">
        <f>IF(_xlfn.XLOOKUP(Table49[[#This Row],[app_id]],Table4[app_id],Table4[payment_integration],"",0)="Yes",1,0)</f>
        <v>1</v>
      </c>
      <c r="H57">
        <f>IF(_xlfn.XLOOKUP(Table49[[#This Row],[app_id]],Table4[app_id],Table4[chatbot_support],"",0)="Yes",1,0)</f>
        <v>1</v>
      </c>
      <c r="I57">
        <f>IF(_xlfn.XLOOKUP(Table49[[#This Row],[app_id]],Table4[app_id],Table4[personalization],"",0)="Yes",1,0)</f>
        <v>1</v>
      </c>
      <c r="J57">
        <f>IF(_xlfn.XLOOKUP(Table49[[#This Row],[app_id]],Table4[app_id],Table4[dark_mode],"",0)="Yes",1,0)</f>
        <v>1</v>
      </c>
      <c r="K57">
        <f>IF(_xlfn.XLOOKUP(Table49[[#This Row],[app_id]],Table4[app_id],Table4[multi_language_support],"",0)="Yes",1,0)</f>
        <v>0</v>
      </c>
      <c r="L57" cm="1">
        <f t="array" ref="L57">_xlfn.IFS(_xlfn.XLOOKUP(Table49[[#This Row],[app_id]],Table4[app_id],Table4[security_features])="Basic",0,_xlfn.XLOOKUP(Table49[[#This Row],[app_id]],Table4[app_id],Table4[security_features])="Advanced",1,_xlfn.XLOOKUP(Table49[[#This Row],[app_id]],Table4[app_id],Table4[security_features])="Biometric",3,TRUE,"")</f>
        <v>0</v>
      </c>
      <c r="M57">
        <f>_xlfn.XLOOKUP(Table49[[#This Row],[app_id]],Table7[app_id],Table7[rating_given],"",0)</f>
        <v>5</v>
      </c>
    </row>
    <row r="58" spans="1:13" hidden="1" x14ac:dyDescent="0.25">
      <c r="A58" t="s">
        <v>322</v>
      </c>
      <c r="B58" t="s">
        <v>153</v>
      </c>
      <c r="C58" t="str">
        <f>_xlfn.XLOOKUP(Table49[[#This Row],[app_id]],Table5[app_id],Table5[category],"",0)</f>
        <v>Entertainment</v>
      </c>
      <c r="D58">
        <f>IF(_xlfn.XLOOKUP(Table49[[#This Row],[app_id]],Table4[app_id],Table4[push_notifications],"",0)="Yes",1,0)</f>
        <v>1</v>
      </c>
      <c r="E58">
        <f>IF(_xlfn.XLOOKUP(Table49[[#This Row],[app_id]],Table4[app_id],Table4[offline_access],"",0)="Yes",1,0)</f>
        <v>0</v>
      </c>
      <c r="F58">
        <f>IF(_xlfn.XLOOKUP(Table49[[#This Row],[app_id]],Table4[app_id],Table4[ai_features],"",0)="Yes",1,0)</f>
        <v>0</v>
      </c>
      <c r="G58">
        <f>IF(_xlfn.XLOOKUP(Table49[[#This Row],[app_id]],Table4[app_id],Table4[payment_integration],"",0)="Yes",1,0)</f>
        <v>1</v>
      </c>
      <c r="H58">
        <f>IF(_xlfn.XLOOKUP(Table49[[#This Row],[app_id]],Table4[app_id],Table4[chatbot_support],"",0)="Yes",1,0)</f>
        <v>0</v>
      </c>
      <c r="I58">
        <f>IF(_xlfn.XLOOKUP(Table49[[#This Row],[app_id]],Table4[app_id],Table4[personalization],"",0)="Yes",1,0)</f>
        <v>1</v>
      </c>
      <c r="J58">
        <f>IF(_xlfn.XLOOKUP(Table49[[#This Row],[app_id]],Table4[app_id],Table4[dark_mode],"",0)="Yes",1,0)</f>
        <v>0</v>
      </c>
      <c r="K58">
        <f>IF(_xlfn.XLOOKUP(Table49[[#This Row],[app_id]],Table4[app_id],Table4[multi_language_support],"",0)="Yes",1,0)</f>
        <v>0</v>
      </c>
      <c r="L58" cm="1">
        <f t="array" ref="L58">_xlfn.IFS(_xlfn.XLOOKUP(Table49[[#This Row],[app_id]],Table4[app_id],Table4[security_features])="Basic",0,_xlfn.XLOOKUP(Table49[[#This Row],[app_id]],Table4[app_id],Table4[security_features])="Advanced",1,_xlfn.XLOOKUP(Table49[[#This Row],[app_id]],Table4[app_id],Table4[security_features])="Biometric",3,TRUE,"")</f>
        <v>1</v>
      </c>
      <c r="M58">
        <f>_xlfn.XLOOKUP(Table49[[#This Row],[app_id]],Table7[app_id],Table7[rating_given],"",0)</f>
        <v>4</v>
      </c>
    </row>
    <row r="59" spans="1:13" hidden="1" x14ac:dyDescent="0.25">
      <c r="A59" t="s">
        <v>323</v>
      </c>
      <c r="B59" t="s">
        <v>155</v>
      </c>
      <c r="C59" t="str">
        <f>_xlfn.XLOOKUP(Table49[[#This Row],[app_id]],Table5[app_id],Table5[category],"",0)</f>
        <v>Entertainment</v>
      </c>
      <c r="D59">
        <f>IF(_xlfn.XLOOKUP(Table49[[#This Row],[app_id]],Table4[app_id],Table4[push_notifications],"",0)="Yes",1,0)</f>
        <v>1</v>
      </c>
      <c r="E59">
        <f>IF(_xlfn.XLOOKUP(Table49[[#This Row],[app_id]],Table4[app_id],Table4[offline_access],"",0)="Yes",1,0)</f>
        <v>0</v>
      </c>
      <c r="F59">
        <f>IF(_xlfn.XLOOKUP(Table49[[#This Row],[app_id]],Table4[app_id],Table4[ai_features],"",0)="Yes",1,0)</f>
        <v>1</v>
      </c>
      <c r="G59">
        <f>IF(_xlfn.XLOOKUP(Table49[[#This Row],[app_id]],Table4[app_id],Table4[payment_integration],"",0)="Yes",1,0)</f>
        <v>1</v>
      </c>
      <c r="H59">
        <f>IF(_xlfn.XLOOKUP(Table49[[#This Row],[app_id]],Table4[app_id],Table4[chatbot_support],"",0)="Yes",1,0)</f>
        <v>1</v>
      </c>
      <c r="I59">
        <f>IF(_xlfn.XLOOKUP(Table49[[#This Row],[app_id]],Table4[app_id],Table4[personalization],"",0)="Yes",1,0)</f>
        <v>1</v>
      </c>
      <c r="J59">
        <f>IF(_xlfn.XLOOKUP(Table49[[#This Row],[app_id]],Table4[app_id],Table4[dark_mode],"",0)="Yes",1,0)</f>
        <v>1</v>
      </c>
      <c r="K59">
        <f>IF(_xlfn.XLOOKUP(Table49[[#This Row],[app_id]],Table4[app_id],Table4[multi_language_support],"",0)="Yes",1,0)</f>
        <v>0</v>
      </c>
      <c r="L59" cm="1">
        <f t="array" ref="L59">_xlfn.IFS(_xlfn.XLOOKUP(Table49[[#This Row],[app_id]],Table4[app_id],Table4[security_features])="Basic",0,_xlfn.XLOOKUP(Table49[[#This Row],[app_id]],Table4[app_id],Table4[security_features])="Advanced",1,_xlfn.XLOOKUP(Table49[[#This Row],[app_id]],Table4[app_id],Table4[security_features])="Biometric",3,TRUE,"")</f>
        <v>3</v>
      </c>
      <c r="M59">
        <f>_xlfn.XLOOKUP(Table49[[#This Row],[app_id]],Table7[app_id],Table7[rating_given],"",0)</f>
        <v>5</v>
      </c>
    </row>
    <row r="60" spans="1:13" hidden="1" x14ac:dyDescent="0.25">
      <c r="A60" t="s">
        <v>324</v>
      </c>
      <c r="B60" t="s">
        <v>157</v>
      </c>
      <c r="C60" t="str">
        <f>_xlfn.XLOOKUP(Table49[[#This Row],[app_id]],Table5[app_id],Table5[category],"",0)</f>
        <v>Entertainment</v>
      </c>
      <c r="D60">
        <f>IF(_xlfn.XLOOKUP(Table49[[#This Row],[app_id]],Table4[app_id],Table4[push_notifications],"",0)="Yes",1,0)</f>
        <v>1</v>
      </c>
      <c r="E60">
        <f>IF(_xlfn.XLOOKUP(Table49[[#This Row],[app_id]],Table4[app_id],Table4[offline_access],"",0)="Yes",1,0)</f>
        <v>0</v>
      </c>
      <c r="F60">
        <f>IF(_xlfn.XLOOKUP(Table49[[#This Row],[app_id]],Table4[app_id],Table4[ai_features],"",0)="Yes",1,0)</f>
        <v>0</v>
      </c>
      <c r="G60">
        <f>IF(_xlfn.XLOOKUP(Table49[[#This Row],[app_id]],Table4[app_id],Table4[payment_integration],"",0)="Yes",1,0)</f>
        <v>0</v>
      </c>
      <c r="H60">
        <f>IF(_xlfn.XLOOKUP(Table49[[#This Row],[app_id]],Table4[app_id],Table4[chatbot_support],"",0)="Yes",1,0)</f>
        <v>0</v>
      </c>
      <c r="I60">
        <f>IF(_xlfn.XLOOKUP(Table49[[#This Row],[app_id]],Table4[app_id],Table4[personalization],"",0)="Yes",1,0)</f>
        <v>1</v>
      </c>
      <c r="J60">
        <f>IF(_xlfn.XLOOKUP(Table49[[#This Row],[app_id]],Table4[app_id],Table4[dark_mode],"",0)="Yes",1,0)</f>
        <v>1</v>
      </c>
      <c r="K60">
        <f>IF(_xlfn.XLOOKUP(Table49[[#This Row],[app_id]],Table4[app_id],Table4[multi_language_support],"",0)="Yes",1,0)</f>
        <v>0</v>
      </c>
      <c r="L60" cm="1">
        <f t="array" ref="L60">_xlfn.IFS(_xlfn.XLOOKUP(Table49[[#This Row],[app_id]],Table4[app_id],Table4[security_features])="Basic",0,_xlfn.XLOOKUP(Table49[[#This Row],[app_id]],Table4[app_id],Table4[security_features])="Advanced",1,_xlfn.XLOOKUP(Table49[[#This Row],[app_id]],Table4[app_id],Table4[security_features])="Biometric",3,TRUE,"")</f>
        <v>3</v>
      </c>
      <c r="M60">
        <f>_xlfn.XLOOKUP(Table49[[#This Row],[app_id]],Table7[app_id],Table7[rating_given],"",0)</f>
        <v>3</v>
      </c>
    </row>
    <row r="61" spans="1:13" hidden="1" x14ac:dyDescent="0.25">
      <c r="A61" t="s">
        <v>325</v>
      </c>
      <c r="B61" t="s">
        <v>159</v>
      </c>
      <c r="C61" t="str">
        <f>_xlfn.XLOOKUP(Table49[[#This Row],[app_id]],Table5[app_id],Table5[category],"",0)</f>
        <v>Entertainment</v>
      </c>
      <c r="D61">
        <f>IF(_xlfn.XLOOKUP(Table49[[#This Row],[app_id]],Table4[app_id],Table4[push_notifications],"",0)="Yes",1,0)</f>
        <v>1</v>
      </c>
      <c r="E61">
        <f>IF(_xlfn.XLOOKUP(Table49[[#This Row],[app_id]],Table4[app_id],Table4[offline_access],"",0)="Yes",1,0)</f>
        <v>0</v>
      </c>
      <c r="F61">
        <f>IF(_xlfn.XLOOKUP(Table49[[#This Row],[app_id]],Table4[app_id],Table4[ai_features],"",0)="Yes",1,0)</f>
        <v>0</v>
      </c>
      <c r="G61">
        <f>IF(_xlfn.XLOOKUP(Table49[[#This Row],[app_id]],Table4[app_id],Table4[payment_integration],"",0)="Yes",1,0)</f>
        <v>0</v>
      </c>
      <c r="H61">
        <f>IF(_xlfn.XLOOKUP(Table49[[#This Row],[app_id]],Table4[app_id],Table4[chatbot_support],"",0)="Yes",1,0)</f>
        <v>0</v>
      </c>
      <c r="I61">
        <f>IF(_xlfn.XLOOKUP(Table49[[#This Row],[app_id]],Table4[app_id],Table4[personalization],"",0)="Yes",1,0)</f>
        <v>1</v>
      </c>
      <c r="J61">
        <f>IF(_xlfn.XLOOKUP(Table49[[#This Row],[app_id]],Table4[app_id],Table4[dark_mode],"",0)="Yes",1,0)</f>
        <v>1</v>
      </c>
      <c r="K61">
        <f>IF(_xlfn.XLOOKUP(Table49[[#This Row],[app_id]],Table4[app_id],Table4[multi_language_support],"",0)="Yes",1,0)</f>
        <v>0</v>
      </c>
      <c r="L61" cm="1">
        <f t="array" ref="L61">_xlfn.IFS(_xlfn.XLOOKUP(Table49[[#This Row],[app_id]],Table4[app_id],Table4[security_features])="Basic",0,_xlfn.XLOOKUP(Table49[[#This Row],[app_id]],Table4[app_id],Table4[security_features])="Advanced",1,_xlfn.XLOOKUP(Table49[[#This Row],[app_id]],Table4[app_id],Table4[security_features])="Biometric",3,TRUE,"")</f>
        <v>1</v>
      </c>
      <c r="M61">
        <f>_xlfn.XLOOKUP(Table49[[#This Row],[app_id]],Table7[app_id],Table7[rating_given],"",0)</f>
        <v>5</v>
      </c>
    </row>
    <row r="62" spans="1:13" hidden="1" x14ac:dyDescent="0.25">
      <c r="A62" t="s">
        <v>326</v>
      </c>
      <c r="B62" t="s">
        <v>161</v>
      </c>
      <c r="C62" t="str">
        <f>_xlfn.XLOOKUP(Table49[[#This Row],[app_id]],Table5[app_id],Table5[category],"",0)</f>
        <v>Food Delivery</v>
      </c>
      <c r="D62">
        <f>IF(_xlfn.XLOOKUP(Table49[[#This Row],[app_id]],Table4[app_id],Table4[push_notifications],"",0)="Yes",1,0)</f>
        <v>0</v>
      </c>
      <c r="E62">
        <f>IF(_xlfn.XLOOKUP(Table49[[#This Row],[app_id]],Table4[app_id],Table4[offline_access],"",0)="Yes",1,0)</f>
        <v>1</v>
      </c>
      <c r="F62">
        <f>IF(_xlfn.XLOOKUP(Table49[[#This Row],[app_id]],Table4[app_id],Table4[ai_features],"",0)="Yes",1,0)</f>
        <v>0</v>
      </c>
      <c r="G62">
        <f>IF(_xlfn.XLOOKUP(Table49[[#This Row],[app_id]],Table4[app_id],Table4[payment_integration],"",0)="Yes",1,0)</f>
        <v>1</v>
      </c>
      <c r="H62">
        <f>IF(_xlfn.XLOOKUP(Table49[[#This Row],[app_id]],Table4[app_id],Table4[chatbot_support],"",0)="Yes",1,0)</f>
        <v>1</v>
      </c>
      <c r="I62">
        <f>IF(_xlfn.XLOOKUP(Table49[[#This Row],[app_id]],Table4[app_id],Table4[personalization],"",0)="Yes",1,0)</f>
        <v>0</v>
      </c>
      <c r="J62">
        <f>IF(_xlfn.XLOOKUP(Table49[[#This Row],[app_id]],Table4[app_id],Table4[dark_mode],"",0)="Yes",1,0)</f>
        <v>1</v>
      </c>
      <c r="K62">
        <f>IF(_xlfn.XLOOKUP(Table49[[#This Row],[app_id]],Table4[app_id],Table4[multi_language_support],"",0)="Yes",1,0)</f>
        <v>1</v>
      </c>
      <c r="L62" cm="1">
        <f t="array" ref="L62">_xlfn.IFS(_xlfn.XLOOKUP(Table49[[#This Row],[app_id]],Table4[app_id],Table4[security_features])="Basic",0,_xlfn.XLOOKUP(Table49[[#This Row],[app_id]],Table4[app_id],Table4[security_features])="Advanced",1,_xlfn.XLOOKUP(Table49[[#This Row],[app_id]],Table4[app_id],Table4[security_features])="Biometric",3,TRUE,"")</f>
        <v>1</v>
      </c>
      <c r="M62">
        <f>_xlfn.XLOOKUP(Table49[[#This Row],[app_id]],Table7[app_id],Table7[rating_given],"",0)</f>
        <v>3</v>
      </c>
    </row>
    <row r="63" spans="1:13" hidden="1" x14ac:dyDescent="0.25">
      <c r="A63" t="s">
        <v>327</v>
      </c>
      <c r="B63" t="s">
        <v>164</v>
      </c>
      <c r="C63" t="str">
        <f>_xlfn.XLOOKUP(Table49[[#This Row],[app_id]],Table5[app_id],Table5[category],"",0)</f>
        <v>Food Delivery</v>
      </c>
      <c r="D63">
        <f>IF(_xlfn.XLOOKUP(Table49[[#This Row],[app_id]],Table4[app_id],Table4[push_notifications],"",0)="Yes",1,0)</f>
        <v>1</v>
      </c>
      <c r="E63">
        <f>IF(_xlfn.XLOOKUP(Table49[[#This Row],[app_id]],Table4[app_id],Table4[offline_access],"",0)="Yes",1,0)</f>
        <v>0</v>
      </c>
      <c r="F63">
        <f>IF(_xlfn.XLOOKUP(Table49[[#This Row],[app_id]],Table4[app_id],Table4[ai_features],"",0)="Yes",1,0)</f>
        <v>0</v>
      </c>
      <c r="G63">
        <f>IF(_xlfn.XLOOKUP(Table49[[#This Row],[app_id]],Table4[app_id],Table4[payment_integration],"",0)="Yes",1,0)</f>
        <v>1</v>
      </c>
      <c r="H63">
        <f>IF(_xlfn.XLOOKUP(Table49[[#This Row],[app_id]],Table4[app_id],Table4[chatbot_support],"",0)="Yes",1,0)</f>
        <v>0</v>
      </c>
      <c r="I63">
        <f>IF(_xlfn.XLOOKUP(Table49[[#This Row],[app_id]],Table4[app_id],Table4[personalization],"",0)="Yes",1,0)</f>
        <v>1</v>
      </c>
      <c r="J63">
        <f>IF(_xlfn.XLOOKUP(Table49[[#This Row],[app_id]],Table4[app_id],Table4[dark_mode],"",0)="Yes",1,0)</f>
        <v>1</v>
      </c>
      <c r="K63">
        <f>IF(_xlfn.XLOOKUP(Table49[[#This Row],[app_id]],Table4[app_id],Table4[multi_language_support],"",0)="Yes",1,0)</f>
        <v>0</v>
      </c>
      <c r="L63" cm="1">
        <f t="array" ref="L63">_xlfn.IFS(_xlfn.XLOOKUP(Table49[[#This Row],[app_id]],Table4[app_id],Table4[security_features])="Basic",0,_xlfn.XLOOKUP(Table49[[#This Row],[app_id]],Table4[app_id],Table4[security_features])="Advanced",1,_xlfn.XLOOKUP(Table49[[#This Row],[app_id]],Table4[app_id],Table4[security_features])="Biometric",3,TRUE,"")</f>
        <v>0</v>
      </c>
      <c r="M63">
        <f>_xlfn.XLOOKUP(Table49[[#This Row],[app_id]],Table7[app_id],Table7[rating_given],"",0)</f>
        <v>3</v>
      </c>
    </row>
    <row r="64" spans="1:13" hidden="1" x14ac:dyDescent="0.25">
      <c r="A64" t="s">
        <v>328</v>
      </c>
      <c r="B64" t="s">
        <v>166</v>
      </c>
      <c r="C64" t="str">
        <f>_xlfn.XLOOKUP(Table49[[#This Row],[app_id]],Table5[app_id],Table5[category],"",0)</f>
        <v>Food Delivery</v>
      </c>
      <c r="D64">
        <f>IF(_xlfn.XLOOKUP(Table49[[#This Row],[app_id]],Table4[app_id],Table4[push_notifications],"",0)="Yes",1,0)</f>
        <v>1</v>
      </c>
      <c r="E64">
        <f>IF(_xlfn.XLOOKUP(Table49[[#This Row],[app_id]],Table4[app_id],Table4[offline_access],"",0)="Yes",1,0)</f>
        <v>0</v>
      </c>
      <c r="F64">
        <f>IF(_xlfn.XLOOKUP(Table49[[#This Row],[app_id]],Table4[app_id],Table4[ai_features],"",0)="Yes",1,0)</f>
        <v>1</v>
      </c>
      <c r="G64">
        <f>IF(_xlfn.XLOOKUP(Table49[[#This Row],[app_id]],Table4[app_id],Table4[payment_integration],"",0)="Yes",1,0)</f>
        <v>1</v>
      </c>
      <c r="H64">
        <f>IF(_xlfn.XLOOKUP(Table49[[#This Row],[app_id]],Table4[app_id],Table4[chatbot_support],"",0)="Yes",1,0)</f>
        <v>0</v>
      </c>
      <c r="I64">
        <f>IF(_xlfn.XLOOKUP(Table49[[#This Row],[app_id]],Table4[app_id],Table4[personalization],"",0)="Yes",1,0)</f>
        <v>0</v>
      </c>
      <c r="J64">
        <f>IF(_xlfn.XLOOKUP(Table49[[#This Row],[app_id]],Table4[app_id],Table4[dark_mode],"",0)="Yes",1,0)</f>
        <v>1</v>
      </c>
      <c r="K64">
        <f>IF(_xlfn.XLOOKUP(Table49[[#This Row],[app_id]],Table4[app_id],Table4[multi_language_support],"",0)="Yes",1,0)</f>
        <v>1</v>
      </c>
      <c r="L64" cm="1">
        <f t="array" ref="L64">_xlfn.IFS(_xlfn.XLOOKUP(Table49[[#This Row],[app_id]],Table4[app_id],Table4[security_features])="Basic",0,_xlfn.XLOOKUP(Table49[[#This Row],[app_id]],Table4[app_id],Table4[security_features])="Advanced",1,_xlfn.XLOOKUP(Table49[[#This Row],[app_id]],Table4[app_id],Table4[security_features])="Biometric",3,TRUE,"")</f>
        <v>0</v>
      </c>
      <c r="M64">
        <f>_xlfn.XLOOKUP(Table49[[#This Row],[app_id]],Table7[app_id],Table7[rating_given],"",0)</f>
        <v>3</v>
      </c>
    </row>
    <row r="65" spans="1:13" hidden="1" x14ac:dyDescent="0.25">
      <c r="A65" t="s">
        <v>329</v>
      </c>
      <c r="B65" t="s">
        <v>168</v>
      </c>
      <c r="C65" t="str">
        <f>_xlfn.XLOOKUP(Table49[[#This Row],[app_id]],Table5[app_id],Table5[category],"",0)</f>
        <v>Food Delivery</v>
      </c>
      <c r="D65">
        <f>IF(_xlfn.XLOOKUP(Table49[[#This Row],[app_id]],Table4[app_id],Table4[push_notifications],"",0)="Yes",1,0)</f>
        <v>1</v>
      </c>
      <c r="E65">
        <f>IF(_xlfn.XLOOKUP(Table49[[#This Row],[app_id]],Table4[app_id],Table4[offline_access],"",0)="Yes",1,0)</f>
        <v>0</v>
      </c>
      <c r="F65">
        <f>IF(_xlfn.XLOOKUP(Table49[[#This Row],[app_id]],Table4[app_id],Table4[ai_features],"",0)="Yes",1,0)</f>
        <v>1</v>
      </c>
      <c r="G65">
        <f>IF(_xlfn.XLOOKUP(Table49[[#This Row],[app_id]],Table4[app_id],Table4[payment_integration],"",0)="Yes",1,0)</f>
        <v>0</v>
      </c>
      <c r="H65">
        <f>IF(_xlfn.XLOOKUP(Table49[[#This Row],[app_id]],Table4[app_id],Table4[chatbot_support],"",0)="Yes",1,0)</f>
        <v>0</v>
      </c>
      <c r="I65">
        <f>IF(_xlfn.XLOOKUP(Table49[[#This Row],[app_id]],Table4[app_id],Table4[personalization],"",0)="Yes",1,0)</f>
        <v>1</v>
      </c>
      <c r="J65">
        <f>IF(_xlfn.XLOOKUP(Table49[[#This Row],[app_id]],Table4[app_id],Table4[dark_mode],"",0)="Yes",1,0)</f>
        <v>1</v>
      </c>
      <c r="K65">
        <f>IF(_xlfn.XLOOKUP(Table49[[#This Row],[app_id]],Table4[app_id],Table4[multi_language_support],"",0)="Yes",1,0)</f>
        <v>0</v>
      </c>
      <c r="L65" cm="1">
        <f t="array" ref="L65">_xlfn.IFS(_xlfn.XLOOKUP(Table49[[#This Row],[app_id]],Table4[app_id],Table4[security_features])="Basic",0,_xlfn.XLOOKUP(Table49[[#This Row],[app_id]],Table4[app_id],Table4[security_features])="Advanced",1,_xlfn.XLOOKUP(Table49[[#This Row],[app_id]],Table4[app_id],Table4[security_features])="Biometric",3,TRUE,"")</f>
        <v>0</v>
      </c>
      <c r="M65">
        <f>_xlfn.XLOOKUP(Table49[[#This Row],[app_id]],Table7[app_id],Table7[rating_given],"",0)</f>
        <v>3</v>
      </c>
    </row>
    <row r="66" spans="1:13" hidden="1" x14ac:dyDescent="0.25">
      <c r="A66" t="s">
        <v>330</v>
      </c>
      <c r="B66" t="s">
        <v>170</v>
      </c>
      <c r="C66" t="str">
        <f>_xlfn.XLOOKUP(Table49[[#This Row],[app_id]],Table5[app_id],Table5[category],"",0)</f>
        <v>Food Delivery</v>
      </c>
      <c r="D66">
        <f>IF(_xlfn.XLOOKUP(Table49[[#This Row],[app_id]],Table4[app_id],Table4[push_notifications],"",0)="Yes",1,0)</f>
        <v>1</v>
      </c>
      <c r="E66">
        <f>IF(_xlfn.XLOOKUP(Table49[[#This Row],[app_id]],Table4[app_id],Table4[offline_access],"",0)="Yes",1,0)</f>
        <v>1</v>
      </c>
      <c r="F66">
        <f>IF(_xlfn.XLOOKUP(Table49[[#This Row],[app_id]],Table4[app_id],Table4[ai_features],"",0)="Yes",1,0)</f>
        <v>0</v>
      </c>
      <c r="G66">
        <f>IF(_xlfn.XLOOKUP(Table49[[#This Row],[app_id]],Table4[app_id],Table4[payment_integration],"",0)="Yes",1,0)</f>
        <v>1</v>
      </c>
      <c r="H66">
        <f>IF(_xlfn.XLOOKUP(Table49[[#This Row],[app_id]],Table4[app_id],Table4[chatbot_support],"",0)="Yes",1,0)</f>
        <v>1</v>
      </c>
      <c r="I66">
        <f>IF(_xlfn.XLOOKUP(Table49[[#This Row],[app_id]],Table4[app_id],Table4[personalization],"",0)="Yes",1,0)</f>
        <v>1</v>
      </c>
      <c r="J66">
        <f>IF(_xlfn.XLOOKUP(Table49[[#This Row],[app_id]],Table4[app_id],Table4[dark_mode],"",0)="Yes",1,0)</f>
        <v>1</v>
      </c>
      <c r="K66">
        <f>IF(_xlfn.XLOOKUP(Table49[[#This Row],[app_id]],Table4[app_id],Table4[multi_language_support],"",0)="Yes",1,0)</f>
        <v>0</v>
      </c>
      <c r="L66" cm="1">
        <f t="array" ref="L66">_xlfn.IFS(_xlfn.XLOOKUP(Table49[[#This Row],[app_id]],Table4[app_id],Table4[security_features])="Basic",0,_xlfn.XLOOKUP(Table49[[#This Row],[app_id]],Table4[app_id],Table4[security_features])="Advanced",1,_xlfn.XLOOKUP(Table49[[#This Row],[app_id]],Table4[app_id],Table4[security_features])="Biometric",3,TRUE,"")</f>
        <v>0</v>
      </c>
      <c r="M66">
        <f>_xlfn.XLOOKUP(Table49[[#This Row],[app_id]],Table7[app_id],Table7[rating_given],"",0)</f>
        <v>5</v>
      </c>
    </row>
    <row r="67" spans="1:13" hidden="1" x14ac:dyDescent="0.25">
      <c r="A67" t="s">
        <v>331</v>
      </c>
      <c r="B67" t="s">
        <v>172</v>
      </c>
      <c r="C67" t="str">
        <f>_xlfn.XLOOKUP(Table49[[#This Row],[app_id]],Table5[app_id],Table5[category],"",0)</f>
        <v>Food Delivery</v>
      </c>
      <c r="D67">
        <f>IF(_xlfn.XLOOKUP(Table49[[#This Row],[app_id]],Table4[app_id],Table4[push_notifications],"",0)="Yes",1,0)</f>
        <v>1</v>
      </c>
      <c r="E67">
        <f>IF(_xlfn.XLOOKUP(Table49[[#This Row],[app_id]],Table4[app_id],Table4[offline_access],"",0)="Yes",1,0)</f>
        <v>0</v>
      </c>
      <c r="F67">
        <f>IF(_xlfn.XLOOKUP(Table49[[#This Row],[app_id]],Table4[app_id],Table4[ai_features],"",0)="Yes",1,0)</f>
        <v>1</v>
      </c>
      <c r="G67">
        <f>IF(_xlfn.XLOOKUP(Table49[[#This Row],[app_id]],Table4[app_id],Table4[payment_integration],"",0)="Yes",1,0)</f>
        <v>1</v>
      </c>
      <c r="H67">
        <f>IF(_xlfn.XLOOKUP(Table49[[#This Row],[app_id]],Table4[app_id],Table4[chatbot_support],"",0)="Yes",1,0)</f>
        <v>0</v>
      </c>
      <c r="I67">
        <f>IF(_xlfn.XLOOKUP(Table49[[#This Row],[app_id]],Table4[app_id],Table4[personalization],"",0)="Yes",1,0)</f>
        <v>1</v>
      </c>
      <c r="J67">
        <f>IF(_xlfn.XLOOKUP(Table49[[#This Row],[app_id]],Table4[app_id],Table4[dark_mode],"",0)="Yes",1,0)</f>
        <v>1</v>
      </c>
      <c r="K67">
        <f>IF(_xlfn.XLOOKUP(Table49[[#This Row],[app_id]],Table4[app_id],Table4[multi_language_support],"",0)="Yes",1,0)</f>
        <v>0</v>
      </c>
      <c r="L67" cm="1">
        <f t="array" ref="L67">_xlfn.IFS(_xlfn.XLOOKUP(Table49[[#This Row],[app_id]],Table4[app_id],Table4[security_features])="Basic",0,_xlfn.XLOOKUP(Table49[[#This Row],[app_id]],Table4[app_id],Table4[security_features])="Advanced",1,_xlfn.XLOOKUP(Table49[[#This Row],[app_id]],Table4[app_id],Table4[security_features])="Biometric",3,TRUE,"")</f>
        <v>1</v>
      </c>
      <c r="M67">
        <f>_xlfn.XLOOKUP(Table49[[#This Row],[app_id]],Table7[app_id],Table7[rating_given],"",0)</f>
        <v>4</v>
      </c>
    </row>
    <row r="68" spans="1:13" hidden="1" x14ac:dyDescent="0.25">
      <c r="A68" t="s">
        <v>332</v>
      </c>
      <c r="B68" t="s">
        <v>174</v>
      </c>
      <c r="C68" t="str">
        <f>_xlfn.XLOOKUP(Table49[[#This Row],[app_id]],Table5[app_id],Table5[category],"",0)</f>
        <v>Food Delivery</v>
      </c>
      <c r="D68">
        <f>IF(_xlfn.XLOOKUP(Table49[[#This Row],[app_id]],Table4[app_id],Table4[push_notifications],"",0)="Yes",1,0)</f>
        <v>1</v>
      </c>
      <c r="E68">
        <f>IF(_xlfn.XLOOKUP(Table49[[#This Row],[app_id]],Table4[app_id],Table4[offline_access],"",0)="Yes",1,0)</f>
        <v>0</v>
      </c>
      <c r="F68">
        <f>IF(_xlfn.XLOOKUP(Table49[[#This Row],[app_id]],Table4[app_id],Table4[ai_features],"",0)="Yes",1,0)</f>
        <v>1</v>
      </c>
      <c r="G68">
        <f>IF(_xlfn.XLOOKUP(Table49[[#This Row],[app_id]],Table4[app_id],Table4[payment_integration],"",0)="Yes",1,0)</f>
        <v>1</v>
      </c>
      <c r="H68">
        <f>IF(_xlfn.XLOOKUP(Table49[[#This Row],[app_id]],Table4[app_id],Table4[chatbot_support],"",0)="Yes",1,0)</f>
        <v>0</v>
      </c>
      <c r="I68">
        <f>IF(_xlfn.XLOOKUP(Table49[[#This Row],[app_id]],Table4[app_id],Table4[personalization],"",0)="Yes",1,0)</f>
        <v>1</v>
      </c>
      <c r="J68">
        <f>IF(_xlfn.XLOOKUP(Table49[[#This Row],[app_id]],Table4[app_id],Table4[dark_mode],"",0)="Yes",1,0)</f>
        <v>0</v>
      </c>
      <c r="K68">
        <f>IF(_xlfn.XLOOKUP(Table49[[#This Row],[app_id]],Table4[app_id],Table4[multi_language_support],"",0)="Yes",1,0)</f>
        <v>1</v>
      </c>
      <c r="L68" cm="1">
        <f t="array" ref="L68">_xlfn.IFS(_xlfn.XLOOKUP(Table49[[#This Row],[app_id]],Table4[app_id],Table4[security_features])="Basic",0,_xlfn.XLOOKUP(Table49[[#This Row],[app_id]],Table4[app_id],Table4[security_features])="Advanced",1,_xlfn.XLOOKUP(Table49[[#This Row],[app_id]],Table4[app_id],Table4[security_features])="Biometric",3,TRUE,"")</f>
        <v>1</v>
      </c>
      <c r="M68">
        <f>_xlfn.XLOOKUP(Table49[[#This Row],[app_id]],Table7[app_id],Table7[rating_given],"",0)</f>
        <v>3</v>
      </c>
    </row>
    <row r="69" spans="1:13" hidden="1" x14ac:dyDescent="0.25">
      <c r="A69" t="s">
        <v>333</v>
      </c>
      <c r="B69" t="s">
        <v>176</v>
      </c>
      <c r="C69" t="str">
        <f>_xlfn.XLOOKUP(Table49[[#This Row],[app_id]],Table5[app_id],Table5[category],"",0)</f>
        <v>Food Delivery</v>
      </c>
      <c r="D69">
        <f>IF(_xlfn.XLOOKUP(Table49[[#This Row],[app_id]],Table4[app_id],Table4[push_notifications],"",0)="Yes",1,0)</f>
        <v>1</v>
      </c>
      <c r="E69">
        <f>IF(_xlfn.XLOOKUP(Table49[[#This Row],[app_id]],Table4[app_id],Table4[offline_access],"",0)="Yes",1,0)</f>
        <v>1</v>
      </c>
      <c r="F69">
        <f>IF(_xlfn.XLOOKUP(Table49[[#This Row],[app_id]],Table4[app_id],Table4[ai_features],"",0)="Yes",1,0)</f>
        <v>0</v>
      </c>
      <c r="G69">
        <f>IF(_xlfn.XLOOKUP(Table49[[#This Row],[app_id]],Table4[app_id],Table4[payment_integration],"",0)="Yes",1,0)</f>
        <v>0</v>
      </c>
      <c r="H69">
        <f>IF(_xlfn.XLOOKUP(Table49[[#This Row],[app_id]],Table4[app_id],Table4[chatbot_support],"",0)="Yes",1,0)</f>
        <v>1</v>
      </c>
      <c r="I69">
        <f>IF(_xlfn.XLOOKUP(Table49[[#This Row],[app_id]],Table4[app_id],Table4[personalization],"",0)="Yes",1,0)</f>
        <v>0</v>
      </c>
      <c r="J69">
        <f>IF(_xlfn.XLOOKUP(Table49[[#This Row],[app_id]],Table4[app_id],Table4[dark_mode],"",0)="Yes",1,0)</f>
        <v>1</v>
      </c>
      <c r="K69">
        <f>IF(_xlfn.XLOOKUP(Table49[[#This Row],[app_id]],Table4[app_id],Table4[multi_language_support],"",0)="Yes",1,0)</f>
        <v>0</v>
      </c>
      <c r="L69" cm="1">
        <f t="array" ref="L69">_xlfn.IFS(_xlfn.XLOOKUP(Table49[[#This Row],[app_id]],Table4[app_id],Table4[security_features])="Basic",0,_xlfn.XLOOKUP(Table49[[#This Row],[app_id]],Table4[app_id],Table4[security_features])="Advanced",1,_xlfn.XLOOKUP(Table49[[#This Row],[app_id]],Table4[app_id],Table4[security_features])="Biometric",3,TRUE,"")</f>
        <v>0</v>
      </c>
      <c r="M69">
        <f>_xlfn.XLOOKUP(Table49[[#This Row],[app_id]],Table7[app_id],Table7[rating_given],"",0)</f>
        <v>5</v>
      </c>
    </row>
    <row r="70" spans="1:13" hidden="1" x14ac:dyDescent="0.25">
      <c r="A70" t="s">
        <v>334</v>
      </c>
      <c r="B70" t="s">
        <v>178</v>
      </c>
      <c r="C70" t="str">
        <f>_xlfn.XLOOKUP(Table49[[#This Row],[app_id]],Table5[app_id],Table5[category],"",0)</f>
        <v>Food Delivery</v>
      </c>
      <c r="D70">
        <f>IF(_xlfn.XLOOKUP(Table49[[#This Row],[app_id]],Table4[app_id],Table4[push_notifications],"",0)="Yes",1,0)</f>
        <v>1</v>
      </c>
      <c r="E70">
        <f>IF(_xlfn.XLOOKUP(Table49[[#This Row],[app_id]],Table4[app_id],Table4[offline_access],"",0)="Yes",1,0)</f>
        <v>0</v>
      </c>
      <c r="F70">
        <f>IF(_xlfn.XLOOKUP(Table49[[#This Row],[app_id]],Table4[app_id],Table4[ai_features],"",0)="Yes",1,0)</f>
        <v>0</v>
      </c>
      <c r="G70">
        <f>IF(_xlfn.XLOOKUP(Table49[[#This Row],[app_id]],Table4[app_id],Table4[payment_integration],"",0)="Yes",1,0)</f>
        <v>1</v>
      </c>
      <c r="H70">
        <f>IF(_xlfn.XLOOKUP(Table49[[#This Row],[app_id]],Table4[app_id],Table4[chatbot_support],"",0)="Yes",1,0)</f>
        <v>1</v>
      </c>
      <c r="I70">
        <f>IF(_xlfn.XLOOKUP(Table49[[#This Row],[app_id]],Table4[app_id],Table4[personalization],"",0)="Yes",1,0)</f>
        <v>1</v>
      </c>
      <c r="J70">
        <f>IF(_xlfn.XLOOKUP(Table49[[#This Row],[app_id]],Table4[app_id],Table4[dark_mode],"",0)="Yes",1,0)</f>
        <v>1</v>
      </c>
      <c r="K70">
        <f>IF(_xlfn.XLOOKUP(Table49[[#This Row],[app_id]],Table4[app_id],Table4[multi_language_support],"",0)="Yes",1,0)</f>
        <v>0</v>
      </c>
      <c r="L70" cm="1">
        <f t="array" ref="L70">_xlfn.IFS(_xlfn.XLOOKUP(Table49[[#This Row],[app_id]],Table4[app_id],Table4[security_features])="Basic",0,_xlfn.XLOOKUP(Table49[[#This Row],[app_id]],Table4[app_id],Table4[security_features])="Advanced",1,_xlfn.XLOOKUP(Table49[[#This Row],[app_id]],Table4[app_id],Table4[security_features])="Biometric",3,TRUE,"")</f>
        <v>0</v>
      </c>
      <c r="M70">
        <f>_xlfn.XLOOKUP(Table49[[#This Row],[app_id]],Table7[app_id],Table7[rating_given],"",0)</f>
        <v>4</v>
      </c>
    </row>
    <row r="71" spans="1:13" hidden="1" x14ac:dyDescent="0.25">
      <c r="A71" t="s">
        <v>335</v>
      </c>
      <c r="B71" t="s">
        <v>180</v>
      </c>
      <c r="C71" t="str">
        <f>_xlfn.XLOOKUP(Table49[[#This Row],[app_id]],Table5[app_id],Table5[category],"",0)</f>
        <v>Food Delivery</v>
      </c>
      <c r="D71">
        <f>IF(_xlfn.XLOOKUP(Table49[[#This Row],[app_id]],Table4[app_id],Table4[push_notifications],"",0)="Yes",1,0)</f>
        <v>1</v>
      </c>
      <c r="E71">
        <f>IF(_xlfn.XLOOKUP(Table49[[#This Row],[app_id]],Table4[app_id],Table4[offline_access],"",0)="Yes",1,0)</f>
        <v>0</v>
      </c>
      <c r="F71">
        <f>IF(_xlfn.XLOOKUP(Table49[[#This Row],[app_id]],Table4[app_id],Table4[ai_features],"",0)="Yes",1,0)</f>
        <v>1</v>
      </c>
      <c r="G71">
        <f>IF(_xlfn.XLOOKUP(Table49[[#This Row],[app_id]],Table4[app_id],Table4[payment_integration],"",0)="Yes",1,0)</f>
        <v>1</v>
      </c>
      <c r="H71">
        <f>IF(_xlfn.XLOOKUP(Table49[[#This Row],[app_id]],Table4[app_id],Table4[chatbot_support],"",0)="Yes",1,0)</f>
        <v>0</v>
      </c>
      <c r="I71">
        <f>IF(_xlfn.XLOOKUP(Table49[[#This Row],[app_id]],Table4[app_id],Table4[personalization],"",0)="Yes",1,0)</f>
        <v>1</v>
      </c>
      <c r="J71">
        <f>IF(_xlfn.XLOOKUP(Table49[[#This Row],[app_id]],Table4[app_id],Table4[dark_mode],"",0)="Yes",1,0)</f>
        <v>1</v>
      </c>
      <c r="K71">
        <f>IF(_xlfn.XLOOKUP(Table49[[#This Row],[app_id]],Table4[app_id],Table4[multi_language_support],"",0)="Yes",1,0)</f>
        <v>0</v>
      </c>
      <c r="L71" cm="1">
        <f t="array" ref="L71">_xlfn.IFS(_xlfn.XLOOKUP(Table49[[#This Row],[app_id]],Table4[app_id],Table4[security_features])="Basic",0,_xlfn.XLOOKUP(Table49[[#This Row],[app_id]],Table4[app_id],Table4[security_features])="Advanced",1,_xlfn.XLOOKUP(Table49[[#This Row],[app_id]],Table4[app_id],Table4[security_features])="Biometric",3,TRUE,"")</f>
        <v>0</v>
      </c>
      <c r="M71">
        <f>_xlfn.XLOOKUP(Table49[[#This Row],[app_id]],Table7[app_id],Table7[rating_given],"",0)</f>
        <v>3</v>
      </c>
    </row>
    <row r="72" spans="1:13" hidden="1" x14ac:dyDescent="0.25">
      <c r="A72" t="s">
        <v>336</v>
      </c>
      <c r="B72" t="s">
        <v>182</v>
      </c>
      <c r="C72" t="str">
        <f>_xlfn.XLOOKUP(Table49[[#This Row],[app_id]],Table5[app_id],Table5[category],"",0)</f>
        <v>Travel</v>
      </c>
      <c r="D72">
        <f>IF(_xlfn.XLOOKUP(Table49[[#This Row],[app_id]],Table4[app_id],Table4[push_notifications],"",0)="Yes",1,0)</f>
        <v>0</v>
      </c>
      <c r="E72">
        <f>IF(_xlfn.XLOOKUP(Table49[[#This Row],[app_id]],Table4[app_id],Table4[offline_access],"",0)="Yes",1,0)</f>
        <v>0</v>
      </c>
      <c r="F72">
        <f>IF(_xlfn.XLOOKUP(Table49[[#This Row],[app_id]],Table4[app_id],Table4[ai_features],"",0)="Yes",1,0)</f>
        <v>1</v>
      </c>
      <c r="G72">
        <f>IF(_xlfn.XLOOKUP(Table49[[#This Row],[app_id]],Table4[app_id],Table4[payment_integration],"",0)="Yes",1,0)</f>
        <v>1</v>
      </c>
      <c r="H72">
        <f>IF(_xlfn.XLOOKUP(Table49[[#This Row],[app_id]],Table4[app_id],Table4[chatbot_support],"",0)="Yes",1,0)</f>
        <v>0</v>
      </c>
      <c r="I72">
        <f>IF(_xlfn.XLOOKUP(Table49[[#This Row],[app_id]],Table4[app_id],Table4[personalization],"",0)="Yes",1,0)</f>
        <v>0</v>
      </c>
      <c r="J72">
        <f>IF(_xlfn.XLOOKUP(Table49[[#This Row],[app_id]],Table4[app_id],Table4[dark_mode],"",0)="Yes",1,0)</f>
        <v>1</v>
      </c>
      <c r="K72">
        <f>IF(_xlfn.XLOOKUP(Table49[[#This Row],[app_id]],Table4[app_id],Table4[multi_language_support],"",0)="Yes",1,0)</f>
        <v>0</v>
      </c>
      <c r="L72" cm="1">
        <f t="array" ref="L72">_xlfn.IFS(_xlfn.XLOOKUP(Table49[[#This Row],[app_id]],Table4[app_id],Table4[security_features])="Basic",0,_xlfn.XLOOKUP(Table49[[#This Row],[app_id]],Table4[app_id],Table4[security_features])="Advanced",1,_xlfn.XLOOKUP(Table49[[#This Row],[app_id]],Table4[app_id],Table4[security_features])="Biometric",3,TRUE,"")</f>
        <v>1</v>
      </c>
      <c r="M72">
        <f>_xlfn.XLOOKUP(Table49[[#This Row],[app_id]],Table7[app_id],Table7[rating_given],"",0)</f>
        <v>4</v>
      </c>
    </row>
    <row r="73" spans="1:13" hidden="1" x14ac:dyDescent="0.25">
      <c r="A73" t="s">
        <v>337</v>
      </c>
      <c r="B73" t="s">
        <v>185</v>
      </c>
      <c r="C73" t="str">
        <f>_xlfn.XLOOKUP(Table49[[#This Row],[app_id]],Table5[app_id],Table5[category],"",0)</f>
        <v>Travel</v>
      </c>
      <c r="D73">
        <f>IF(_xlfn.XLOOKUP(Table49[[#This Row],[app_id]],Table4[app_id],Table4[push_notifications],"",0)="Yes",1,0)</f>
        <v>1</v>
      </c>
      <c r="E73">
        <f>IF(_xlfn.XLOOKUP(Table49[[#This Row],[app_id]],Table4[app_id],Table4[offline_access],"",0)="Yes",1,0)</f>
        <v>1</v>
      </c>
      <c r="F73">
        <f>IF(_xlfn.XLOOKUP(Table49[[#This Row],[app_id]],Table4[app_id],Table4[ai_features],"",0)="Yes",1,0)</f>
        <v>0</v>
      </c>
      <c r="G73">
        <f>IF(_xlfn.XLOOKUP(Table49[[#This Row],[app_id]],Table4[app_id],Table4[payment_integration],"",0)="Yes",1,0)</f>
        <v>1</v>
      </c>
      <c r="H73">
        <f>IF(_xlfn.XLOOKUP(Table49[[#This Row],[app_id]],Table4[app_id],Table4[chatbot_support],"",0)="Yes",1,0)</f>
        <v>0</v>
      </c>
      <c r="I73">
        <f>IF(_xlfn.XLOOKUP(Table49[[#This Row],[app_id]],Table4[app_id],Table4[personalization],"",0)="Yes",1,0)</f>
        <v>1</v>
      </c>
      <c r="J73">
        <f>IF(_xlfn.XLOOKUP(Table49[[#This Row],[app_id]],Table4[app_id],Table4[dark_mode],"",0)="Yes",1,0)</f>
        <v>1</v>
      </c>
      <c r="K73">
        <f>IF(_xlfn.XLOOKUP(Table49[[#This Row],[app_id]],Table4[app_id],Table4[multi_language_support],"",0)="Yes",1,0)</f>
        <v>0</v>
      </c>
      <c r="L73" cm="1">
        <f t="array" ref="L73">_xlfn.IFS(_xlfn.XLOOKUP(Table49[[#This Row],[app_id]],Table4[app_id],Table4[security_features])="Basic",0,_xlfn.XLOOKUP(Table49[[#This Row],[app_id]],Table4[app_id],Table4[security_features])="Advanced",1,_xlfn.XLOOKUP(Table49[[#This Row],[app_id]],Table4[app_id],Table4[security_features])="Biometric",3,TRUE,"")</f>
        <v>3</v>
      </c>
      <c r="M73">
        <f>_xlfn.XLOOKUP(Table49[[#This Row],[app_id]],Table7[app_id],Table7[rating_given],"",0)</f>
        <v>2</v>
      </c>
    </row>
    <row r="74" spans="1:13" hidden="1" x14ac:dyDescent="0.25">
      <c r="A74" t="s">
        <v>338</v>
      </c>
      <c r="B74" t="s">
        <v>187</v>
      </c>
      <c r="C74" t="str">
        <f>_xlfn.XLOOKUP(Table49[[#This Row],[app_id]],Table5[app_id],Table5[category],"",0)</f>
        <v>Travel</v>
      </c>
      <c r="D74">
        <f>IF(_xlfn.XLOOKUP(Table49[[#This Row],[app_id]],Table4[app_id],Table4[push_notifications],"",0)="Yes",1,0)</f>
        <v>1</v>
      </c>
      <c r="E74">
        <f>IF(_xlfn.XLOOKUP(Table49[[#This Row],[app_id]],Table4[app_id],Table4[offline_access],"",0)="Yes",1,0)</f>
        <v>1</v>
      </c>
      <c r="F74">
        <f>IF(_xlfn.XLOOKUP(Table49[[#This Row],[app_id]],Table4[app_id],Table4[ai_features],"",0)="Yes",1,0)</f>
        <v>0</v>
      </c>
      <c r="G74">
        <f>IF(_xlfn.XLOOKUP(Table49[[#This Row],[app_id]],Table4[app_id],Table4[payment_integration],"",0)="Yes",1,0)</f>
        <v>1</v>
      </c>
      <c r="H74">
        <f>IF(_xlfn.XLOOKUP(Table49[[#This Row],[app_id]],Table4[app_id],Table4[chatbot_support],"",0)="Yes",1,0)</f>
        <v>1</v>
      </c>
      <c r="I74">
        <f>IF(_xlfn.XLOOKUP(Table49[[#This Row],[app_id]],Table4[app_id],Table4[personalization],"",0)="Yes",1,0)</f>
        <v>1</v>
      </c>
      <c r="J74">
        <f>IF(_xlfn.XLOOKUP(Table49[[#This Row],[app_id]],Table4[app_id],Table4[dark_mode],"",0)="Yes",1,0)</f>
        <v>1</v>
      </c>
      <c r="K74">
        <f>IF(_xlfn.XLOOKUP(Table49[[#This Row],[app_id]],Table4[app_id],Table4[multi_language_support],"",0)="Yes",1,0)</f>
        <v>1</v>
      </c>
      <c r="L74" cm="1">
        <f t="array" ref="L74">_xlfn.IFS(_xlfn.XLOOKUP(Table49[[#This Row],[app_id]],Table4[app_id],Table4[security_features])="Basic",0,_xlfn.XLOOKUP(Table49[[#This Row],[app_id]],Table4[app_id],Table4[security_features])="Advanced",1,_xlfn.XLOOKUP(Table49[[#This Row],[app_id]],Table4[app_id],Table4[security_features])="Biometric",3,TRUE,"")</f>
        <v>0</v>
      </c>
      <c r="M74">
        <f>_xlfn.XLOOKUP(Table49[[#This Row],[app_id]],Table7[app_id],Table7[rating_given],"",0)</f>
        <v>4</v>
      </c>
    </row>
    <row r="75" spans="1:13" hidden="1" x14ac:dyDescent="0.25">
      <c r="A75" t="s">
        <v>339</v>
      </c>
      <c r="B75" t="s">
        <v>189</v>
      </c>
      <c r="C75" t="str">
        <f>_xlfn.XLOOKUP(Table49[[#This Row],[app_id]],Table5[app_id],Table5[category],"",0)</f>
        <v>Travel</v>
      </c>
      <c r="D75">
        <f>IF(_xlfn.XLOOKUP(Table49[[#This Row],[app_id]],Table4[app_id],Table4[push_notifications],"",0)="Yes",1,0)</f>
        <v>0</v>
      </c>
      <c r="E75">
        <f>IF(_xlfn.XLOOKUP(Table49[[#This Row],[app_id]],Table4[app_id],Table4[offline_access],"",0)="Yes",1,0)</f>
        <v>1</v>
      </c>
      <c r="F75">
        <f>IF(_xlfn.XLOOKUP(Table49[[#This Row],[app_id]],Table4[app_id],Table4[ai_features],"",0)="Yes",1,0)</f>
        <v>0</v>
      </c>
      <c r="G75">
        <f>IF(_xlfn.XLOOKUP(Table49[[#This Row],[app_id]],Table4[app_id],Table4[payment_integration],"",0)="Yes",1,0)</f>
        <v>1</v>
      </c>
      <c r="H75">
        <f>IF(_xlfn.XLOOKUP(Table49[[#This Row],[app_id]],Table4[app_id],Table4[chatbot_support],"",0)="Yes",1,0)</f>
        <v>1</v>
      </c>
      <c r="I75">
        <f>IF(_xlfn.XLOOKUP(Table49[[#This Row],[app_id]],Table4[app_id],Table4[personalization],"",0)="Yes",1,0)</f>
        <v>1</v>
      </c>
      <c r="J75">
        <f>IF(_xlfn.XLOOKUP(Table49[[#This Row],[app_id]],Table4[app_id],Table4[dark_mode],"",0)="Yes",1,0)</f>
        <v>1</v>
      </c>
      <c r="K75">
        <f>IF(_xlfn.XLOOKUP(Table49[[#This Row],[app_id]],Table4[app_id],Table4[multi_language_support],"",0)="Yes",1,0)</f>
        <v>0</v>
      </c>
      <c r="L75" cm="1">
        <f t="array" ref="L75">_xlfn.IFS(_xlfn.XLOOKUP(Table49[[#This Row],[app_id]],Table4[app_id],Table4[security_features])="Basic",0,_xlfn.XLOOKUP(Table49[[#This Row],[app_id]],Table4[app_id],Table4[security_features])="Advanced",1,_xlfn.XLOOKUP(Table49[[#This Row],[app_id]],Table4[app_id],Table4[security_features])="Biometric",3,TRUE,"")</f>
        <v>0</v>
      </c>
      <c r="M75">
        <f>_xlfn.XLOOKUP(Table49[[#This Row],[app_id]],Table7[app_id],Table7[rating_given],"",0)</f>
        <v>4</v>
      </c>
    </row>
    <row r="76" spans="1:13" hidden="1" x14ac:dyDescent="0.25">
      <c r="A76" t="s">
        <v>340</v>
      </c>
      <c r="B76" t="s">
        <v>191</v>
      </c>
      <c r="C76" t="str">
        <f>_xlfn.XLOOKUP(Table49[[#This Row],[app_id]],Table5[app_id],Table5[category],"",0)</f>
        <v>Travel</v>
      </c>
      <c r="D76">
        <f>IF(_xlfn.XLOOKUP(Table49[[#This Row],[app_id]],Table4[app_id],Table4[push_notifications],"",0)="Yes",1,0)</f>
        <v>1</v>
      </c>
      <c r="E76">
        <f>IF(_xlfn.XLOOKUP(Table49[[#This Row],[app_id]],Table4[app_id],Table4[offline_access],"",0)="Yes",1,0)</f>
        <v>1</v>
      </c>
      <c r="F76">
        <f>IF(_xlfn.XLOOKUP(Table49[[#This Row],[app_id]],Table4[app_id],Table4[ai_features],"",0)="Yes",1,0)</f>
        <v>1</v>
      </c>
      <c r="G76">
        <f>IF(_xlfn.XLOOKUP(Table49[[#This Row],[app_id]],Table4[app_id],Table4[payment_integration],"",0)="Yes",1,0)</f>
        <v>0</v>
      </c>
      <c r="H76">
        <f>IF(_xlfn.XLOOKUP(Table49[[#This Row],[app_id]],Table4[app_id],Table4[chatbot_support],"",0)="Yes",1,0)</f>
        <v>0</v>
      </c>
      <c r="I76">
        <f>IF(_xlfn.XLOOKUP(Table49[[#This Row],[app_id]],Table4[app_id],Table4[personalization],"",0)="Yes",1,0)</f>
        <v>1</v>
      </c>
      <c r="J76">
        <f>IF(_xlfn.XLOOKUP(Table49[[#This Row],[app_id]],Table4[app_id],Table4[dark_mode],"",0)="Yes",1,0)</f>
        <v>1</v>
      </c>
      <c r="K76">
        <f>IF(_xlfn.XLOOKUP(Table49[[#This Row],[app_id]],Table4[app_id],Table4[multi_language_support],"",0)="Yes",1,0)</f>
        <v>0</v>
      </c>
      <c r="L76" cm="1">
        <f t="array" ref="L76">_xlfn.IFS(_xlfn.XLOOKUP(Table49[[#This Row],[app_id]],Table4[app_id],Table4[security_features])="Basic",0,_xlfn.XLOOKUP(Table49[[#This Row],[app_id]],Table4[app_id],Table4[security_features])="Advanced",1,_xlfn.XLOOKUP(Table49[[#This Row],[app_id]],Table4[app_id],Table4[security_features])="Biometric",3,TRUE,"")</f>
        <v>0</v>
      </c>
      <c r="M76">
        <f>_xlfn.XLOOKUP(Table49[[#This Row],[app_id]],Table7[app_id],Table7[rating_given],"",0)</f>
        <v>3</v>
      </c>
    </row>
    <row r="77" spans="1:13" hidden="1" x14ac:dyDescent="0.25">
      <c r="A77" t="s">
        <v>341</v>
      </c>
      <c r="B77" t="s">
        <v>193</v>
      </c>
      <c r="C77" t="str">
        <f>_xlfn.XLOOKUP(Table49[[#This Row],[app_id]],Table5[app_id],Table5[category],"",0)</f>
        <v>Travel</v>
      </c>
      <c r="D77">
        <f>IF(_xlfn.XLOOKUP(Table49[[#This Row],[app_id]],Table4[app_id],Table4[push_notifications],"",0)="Yes",1,0)</f>
        <v>1</v>
      </c>
      <c r="E77">
        <f>IF(_xlfn.XLOOKUP(Table49[[#This Row],[app_id]],Table4[app_id],Table4[offline_access],"",0)="Yes",1,0)</f>
        <v>0</v>
      </c>
      <c r="F77">
        <f>IF(_xlfn.XLOOKUP(Table49[[#This Row],[app_id]],Table4[app_id],Table4[ai_features],"",0)="Yes",1,0)</f>
        <v>0</v>
      </c>
      <c r="G77">
        <f>IF(_xlfn.XLOOKUP(Table49[[#This Row],[app_id]],Table4[app_id],Table4[payment_integration],"",0)="Yes",1,0)</f>
        <v>1</v>
      </c>
      <c r="H77">
        <f>IF(_xlfn.XLOOKUP(Table49[[#This Row],[app_id]],Table4[app_id],Table4[chatbot_support],"",0)="Yes",1,0)</f>
        <v>1</v>
      </c>
      <c r="I77">
        <f>IF(_xlfn.XLOOKUP(Table49[[#This Row],[app_id]],Table4[app_id],Table4[personalization],"",0)="Yes",1,0)</f>
        <v>1</v>
      </c>
      <c r="J77">
        <f>IF(_xlfn.XLOOKUP(Table49[[#This Row],[app_id]],Table4[app_id],Table4[dark_mode],"",0)="Yes",1,0)</f>
        <v>1</v>
      </c>
      <c r="K77">
        <f>IF(_xlfn.XLOOKUP(Table49[[#This Row],[app_id]],Table4[app_id],Table4[multi_language_support],"",0)="Yes",1,0)</f>
        <v>0</v>
      </c>
      <c r="L77" cm="1">
        <f t="array" ref="L77">_xlfn.IFS(_xlfn.XLOOKUP(Table49[[#This Row],[app_id]],Table4[app_id],Table4[security_features])="Basic",0,_xlfn.XLOOKUP(Table49[[#This Row],[app_id]],Table4[app_id],Table4[security_features])="Advanced",1,_xlfn.XLOOKUP(Table49[[#This Row],[app_id]],Table4[app_id],Table4[security_features])="Biometric",3,TRUE,"")</f>
        <v>1</v>
      </c>
      <c r="M77">
        <f>_xlfn.XLOOKUP(Table49[[#This Row],[app_id]],Table7[app_id],Table7[rating_given],"",0)</f>
        <v>2</v>
      </c>
    </row>
    <row r="78" spans="1:13" hidden="1" x14ac:dyDescent="0.25">
      <c r="A78" t="s">
        <v>342</v>
      </c>
      <c r="B78" t="s">
        <v>195</v>
      </c>
      <c r="C78" t="str">
        <f>_xlfn.XLOOKUP(Table49[[#This Row],[app_id]],Table5[app_id],Table5[category],"",0)</f>
        <v>Travel</v>
      </c>
      <c r="D78">
        <f>IF(_xlfn.XLOOKUP(Table49[[#This Row],[app_id]],Table4[app_id],Table4[push_notifications],"",0)="Yes",1,0)</f>
        <v>1</v>
      </c>
      <c r="E78">
        <f>IF(_xlfn.XLOOKUP(Table49[[#This Row],[app_id]],Table4[app_id],Table4[offline_access],"",0)="Yes",1,0)</f>
        <v>0</v>
      </c>
      <c r="F78">
        <f>IF(_xlfn.XLOOKUP(Table49[[#This Row],[app_id]],Table4[app_id],Table4[ai_features],"",0)="Yes",1,0)</f>
        <v>1</v>
      </c>
      <c r="G78">
        <f>IF(_xlfn.XLOOKUP(Table49[[#This Row],[app_id]],Table4[app_id],Table4[payment_integration],"",0)="Yes",1,0)</f>
        <v>1</v>
      </c>
      <c r="H78">
        <f>IF(_xlfn.XLOOKUP(Table49[[#This Row],[app_id]],Table4[app_id],Table4[chatbot_support],"",0)="Yes",1,0)</f>
        <v>1</v>
      </c>
      <c r="I78">
        <f>IF(_xlfn.XLOOKUP(Table49[[#This Row],[app_id]],Table4[app_id],Table4[personalization],"",0)="Yes",1,0)</f>
        <v>1</v>
      </c>
      <c r="J78">
        <f>IF(_xlfn.XLOOKUP(Table49[[#This Row],[app_id]],Table4[app_id],Table4[dark_mode],"",0)="Yes",1,0)</f>
        <v>1</v>
      </c>
      <c r="K78">
        <f>IF(_xlfn.XLOOKUP(Table49[[#This Row],[app_id]],Table4[app_id],Table4[multi_language_support],"",0)="Yes",1,0)</f>
        <v>1</v>
      </c>
      <c r="L78" cm="1">
        <f t="array" ref="L78">_xlfn.IFS(_xlfn.XLOOKUP(Table49[[#This Row],[app_id]],Table4[app_id],Table4[security_features])="Basic",0,_xlfn.XLOOKUP(Table49[[#This Row],[app_id]],Table4[app_id],Table4[security_features])="Advanced",1,_xlfn.XLOOKUP(Table49[[#This Row],[app_id]],Table4[app_id],Table4[security_features])="Biometric",3,TRUE,"")</f>
        <v>0</v>
      </c>
      <c r="M78">
        <f>_xlfn.XLOOKUP(Table49[[#This Row],[app_id]],Table7[app_id],Table7[rating_given],"",0)</f>
        <v>2</v>
      </c>
    </row>
    <row r="79" spans="1:13" hidden="1" x14ac:dyDescent="0.25">
      <c r="A79" t="s">
        <v>343</v>
      </c>
      <c r="B79" t="s">
        <v>197</v>
      </c>
      <c r="C79" t="str">
        <f>_xlfn.XLOOKUP(Table49[[#This Row],[app_id]],Table5[app_id],Table5[category],"",0)</f>
        <v>Travel</v>
      </c>
      <c r="D79">
        <f>IF(_xlfn.XLOOKUP(Table49[[#This Row],[app_id]],Table4[app_id],Table4[push_notifications],"",0)="Yes",1,0)</f>
        <v>1</v>
      </c>
      <c r="E79">
        <f>IF(_xlfn.XLOOKUP(Table49[[#This Row],[app_id]],Table4[app_id],Table4[offline_access],"",0)="Yes",1,0)</f>
        <v>1</v>
      </c>
      <c r="F79">
        <f>IF(_xlfn.XLOOKUP(Table49[[#This Row],[app_id]],Table4[app_id],Table4[ai_features],"",0)="Yes",1,0)</f>
        <v>0</v>
      </c>
      <c r="G79">
        <f>IF(_xlfn.XLOOKUP(Table49[[#This Row],[app_id]],Table4[app_id],Table4[payment_integration],"",0)="Yes",1,0)</f>
        <v>1</v>
      </c>
      <c r="H79">
        <f>IF(_xlfn.XLOOKUP(Table49[[#This Row],[app_id]],Table4[app_id],Table4[chatbot_support],"",0)="Yes",1,0)</f>
        <v>0</v>
      </c>
      <c r="I79">
        <f>IF(_xlfn.XLOOKUP(Table49[[#This Row],[app_id]],Table4[app_id],Table4[personalization],"",0)="Yes",1,0)</f>
        <v>1</v>
      </c>
      <c r="J79">
        <f>IF(_xlfn.XLOOKUP(Table49[[#This Row],[app_id]],Table4[app_id],Table4[dark_mode],"",0)="Yes",1,0)</f>
        <v>0</v>
      </c>
      <c r="K79">
        <f>IF(_xlfn.XLOOKUP(Table49[[#This Row],[app_id]],Table4[app_id],Table4[multi_language_support],"",0)="Yes",1,0)</f>
        <v>0</v>
      </c>
      <c r="L79" cm="1">
        <f t="array" ref="L79">_xlfn.IFS(_xlfn.XLOOKUP(Table49[[#This Row],[app_id]],Table4[app_id],Table4[security_features])="Basic",0,_xlfn.XLOOKUP(Table49[[#This Row],[app_id]],Table4[app_id],Table4[security_features])="Advanced",1,_xlfn.XLOOKUP(Table49[[#This Row],[app_id]],Table4[app_id],Table4[security_features])="Biometric",3,TRUE,"")</f>
        <v>1</v>
      </c>
      <c r="M79">
        <f>_xlfn.XLOOKUP(Table49[[#This Row],[app_id]],Table7[app_id],Table7[rating_given],"",0)</f>
        <v>3</v>
      </c>
    </row>
    <row r="80" spans="1:13" hidden="1" x14ac:dyDescent="0.25">
      <c r="A80" t="s">
        <v>344</v>
      </c>
      <c r="B80" t="s">
        <v>199</v>
      </c>
      <c r="C80" t="str">
        <f>_xlfn.XLOOKUP(Table49[[#This Row],[app_id]],Table5[app_id],Table5[category],"",0)</f>
        <v>Travel</v>
      </c>
      <c r="D80">
        <f>IF(_xlfn.XLOOKUP(Table49[[#This Row],[app_id]],Table4[app_id],Table4[push_notifications],"",0)="Yes",1,0)</f>
        <v>0</v>
      </c>
      <c r="E80">
        <f>IF(_xlfn.XLOOKUP(Table49[[#This Row],[app_id]],Table4[app_id],Table4[offline_access],"",0)="Yes",1,0)</f>
        <v>1</v>
      </c>
      <c r="F80">
        <f>IF(_xlfn.XLOOKUP(Table49[[#This Row],[app_id]],Table4[app_id],Table4[ai_features],"",0)="Yes",1,0)</f>
        <v>0</v>
      </c>
      <c r="G80">
        <f>IF(_xlfn.XLOOKUP(Table49[[#This Row],[app_id]],Table4[app_id],Table4[payment_integration],"",0)="Yes",1,0)</f>
        <v>1</v>
      </c>
      <c r="H80">
        <f>IF(_xlfn.XLOOKUP(Table49[[#This Row],[app_id]],Table4[app_id],Table4[chatbot_support],"",0)="Yes",1,0)</f>
        <v>1</v>
      </c>
      <c r="I80">
        <f>IF(_xlfn.XLOOKUP(Table49[[#This Row],[app_id]],Table4[app_id],Table4[personalization],"",0)="Yes",1,0)</f>
        <v>1</v>
      </c>
      <c r="J80">
        <f>IF(_xlfn.XLOOKUP(Table49[[#This Row],[app_id]],Table4[app_id],Table4[dark_mode],"",0)="Yes",1,0)</f>
        <v>1</v>
      </c>
      <c r="K80">
        <f>IF(_xlfn.XLOOKUP(Table49[[#This Row],[app_id]],Table4[app_id],Table4[multi_language_support],"",0)="Yes",1,0)</f>
        <v>1</v>
      </c>
      <c r="L80" cm="1">
        <f t="array" ref="L80">_xlfn.IFS(_xlfn.XLOOKUP(Table49[[#This Row],[app_id]],Table4[app_id],Table4[security_features])="Basic",0,_xlfn.XLOOKUP(Table49[[#This Row],[app_id]],Table4[app_id],Table4[security_features])="Advanced",1,_xlfn.XLOOKUP(Table49[[#This Row],[app_id]],Table4[app_id],Table4[security_features])="Biometric",3,TRUE,"")</f>
        <v>3</v>
      </c>
      <c r="M80">
        <f>_xlfn.XLOOKUP(Table49[[#This Row],[app_id]],Table7[app_id],Table7[rating_given],"",0)</f>
        <v>3</v>
      </c>
    </row>
    <row r="81" spans="1:13" hidden="1" x14ac:dyDescent="0.25">
      <c r="A81" t="s">
        <v>345</v>
      </c>
      <c r="B81" t="s">
        <v>201</v>
      </c>
      <c r="C81" t="str">
        <f>_xlfn.XLOOKUP(Table49[[#This Row],[app_id]],Table5[app_id],Table5[category],"",0)</f>
        <v>Travel</v>
      </c>
      <c r="D81">
        <f>IF(_xlfn.XLOOKUP(Table49[[#This Row],[app_id]],Table4[app_id],Table4[push_notifications],"",0)="Yes",1,0)</f>
        <v>1</v>
      </c>
      <c r="E81">
        <f>IF(_xlfn.XLOOKUP(Table49[[#This Row],[app_id]],Table4[app_id],Table4[offline_access],"",0)="Yes",1,0)</f>
        <v>1</v>
      </c>
      <c r="F81">
        <f>IF(_xlfn.XLOOKUP(Table49[[#This Row],[app_id]],Table4[app_id],Table4[ai_features],"",0)="Yes",1,0)</f>
        <v>0</v>
      </c>
      <c r="G81">
        <f>IF(_xlfn.XLOOKUP(Table49[[#This Row],[app_id]],Table4[app_id],Table4[payment_integration],"",0)="Yes",1,0)</f>
        <v>1</v>
      </c>
      <c r="H81">
        <f>IF(_xlfn.XLOOKUP(Table49[[#This Row],[app_id]],Table4[app_id],Table4[chatbot_support],"",0)="Yes",1,0)</f>
        <v>1</v>
      </c>
      <c r="I81">
        <f>IF(_xlfn.XLOOKUP(Table49[[#This Row],[app_id]],Table4[app_id],Table4[personalization],"",0)="Yes",1,0)</f>
        <v>0</v>
      </c>
      <c r="J81">
        <f>IF(_xlfn.XLOOKUP(Table49[[#This Row],[app_id]],Table4[app_id],Table4[dark_mode],"",0)="Yes",1,0)</f>
        <v>0</v>
      </c>
      <c r="K81">
        <f>IF(_xlfn.XLOOKUP(Table49[[#This Row],[app_id]],Table4[app_id],Table4[multi_language_support],"",0)="Yes",1,0)</f>
        <v>0</v>
      </c>
      <c r="L81" cm="1">
        <f t="array" ref="L81">_xlfn.IFS(_xlfn.XLOOKUP(Table49[[#This Row],[app_id]],Table4[app_id],Table4[security_features])="Basic",0,_xlfn.XLOOKUP(Table49[[#This Row],[app_id]],Table4[app_id],Table4[security_features])="Advanced",1,_xlfn.XLOOKUP(Table49[[#This Row],[app_id]],Table4[app_id],Table4[security_features])="Biometric",3,TRUE,"")</f>
        <v>1</v>
      </c>
      <c r="M81">
        <f>_xlfn.XLOOKUP(Table49[[#This Row],[app_id]],Table7[app_id],Table7[rating_given],"",0)</f>
        <v>4</v>
      </c>
    </row>
    <row r="82" spans="1:13" hidden="1" x14ac:dyDescent="0.25">
      <c r="A82" t="s">
        <v>346</v>
      </c>
      <c r="B82" t="s">
        <v>203</v>
      </c>
      <c r="C82" t="str">
        <f>_xlfn.XLOOKUP(Table49[[#This Row],[app_id]],Table5[app_id],Table5[category],"",0)</f>
        <v>Productivity</v>
      </c>
      <c r="D82">
        <f>IF(_xlfn.XLOOKUP(Table49[[#This Row],[app_id]],Table4[app_id],Table4[push_notifications],"",0)="Yes",1,0)</f>
        <v>1</v>
      </c>
      <c r="E82">
        <f>IF(_xlfn.XLOOKUP(Table49[[#This Row],[app_id]],Table4[app_id],Table4[offline_access],"",0)="Yes",1,0)</f>
        <v>0</v>
      </c>
      <c r="F82">
        <f>IF(_xlfn.XLOOKUP(Table49[[#This Row],[app_id]],Table4[app_id],Table4[ai_features],"",0)="Yes",1,0)</f>
        <v>0</v>
      </c>
      <c r="G82">
        <f>IF(_xlfn.XLOOKUP(Table49[[#This Row],[app_id]],Table4[app_id],Table4[payment_integration],"",0)="Yes",1,0)</f>
        <v>1</v>
      </c>
      <c r="H82">
        <f>IF(_xlfn.XLOOKUP(Table49[[#This Row],[app_id]],Table4[app_id],Table4[chatbot_support],"",0)="Yes",1,0)</f>
        <v>0</v>
      </c>
      <c r="I82">
        <f>IF(_xlfn.XLOOKUP(Table49[[#This Row],[app_id]],Table4[app_id],Table4[personalization],"",0)="Yes",1,0)</f>
        <v>0</v>
      </c>
      <c r="J82">
        <f>IF(_xlfn.XLOOKUP(Table49[[#This Row],[app_id]],Table4[app_id],Table4[dark_mode],"",0)="Yes",1,0)</f>
        <v>0</v>
      </c>
      <c r="K82">
        <f>IF(_xlfn.XLOOKUP(Table49[[#This Row],[app_id]],Table4[app_id],Table4[multi_language_support],"",0)="Yes",1,0)</f>
        <v>1</v>
      </c>
      <c r="L82" cm="1">
        <f t="array" ref="L82">_xlfn.IFS(_xlfn.XLOOKUP(Table49[[#This Row],[app_id]],Table4[app_id],Table4[security_features])="Basic",0,_xlfn.XLOOKUP(Table49[[#This Row],[app_id]],Table4[app_id],Table4[security_features])="Advanced",1,_xlfn.XLOOKUP(Table49[[#This Row],[app_id]],Table4[app_id],Table4[security_features])="Biometric",3,TRUE,"")</f>
        <v>1</v>
      </c>
      <c r="M82">
        <f>_xlfn.XLOOKUP(Table49[[#This Row],[app_id]],Table7[app_id],Table7[rating_given],"",0)</f>
        <v>4</v>
      </c>
    </row>
    <row r="83" spans="1:13" hidden="1" x14ac:dyDescent="0.25">
      <c r="A83" t="s">
        <v>347</v>
      </c>
      <c r="B83" t="s">
        <v>206</v>
      </c>
      <c r="C83" t="str">
        <f>_xlfn.XLOOKUP(Table49[[#This Row],[app_id]],Table5[app_id],Table5[category],"",0)</f>
        <v>Productivity</v>
      </c>
      <c r="D83">
        <f>IF(_xlfn.XLOOKUP(Table49[[#This Row],[app_id]],Table4[app_id],Table4[push_notifications],"",0)="Yes",1,0)</f>
        <v>1</v>
      </c>
      <c r="E83">
        <f>IF(_xlfn.XLOOKUP(Table49[[#This Row],[app_id]],Table4[app_id],Table4[offline_access],"",0)="Yes",1,0)</f>
        <v>1</v>
      </c>
      <c r="F83">
        <f>IF(_xlfn.XLOOKUP(Table49[[#This Row],[app_id]],Table4[app_id],Table4[ai_features],"",0)="Yes",1,0)</f>
        <v>1</v>
      </c>
      <c r="G83">
        <f>IF(_xlfn.XLOOKUP(Table49[[#This Row],[app_id]],Table4[app_id],Table4[payment_integration],"",0)="Yes",1,0)</f>
        <v>0</v>
      </c>
      <c r="H83">
        <f>IF(_xlfn.XLOOKUP(Table49[[#This Row],[app_id]],Table4[app_id],Table4[chatbot_support],"",0)="Yes",1,0)</f>
        <v>1</v>
      </c>
      <c r="I83">
        <f>IF(_xlfn.XLOOKUP(Table49[[#This Row],[app_id]],Table4[app_id],Table4[personalization],"",0)="Yes",1,0)</f>
        <v>1</v>
      </c>
      <c r="J83">
        <f>IF(_xlfn.XLOOKUP(Table49[[#This Row],[app_id]],Table4[app_id],Table4[dark_mode],"",0)="Yes",1,0)</f>
        <v>1</v>
      </c>
      <c r="K83">
        <f>IF(_xlfn.XLOOKUP(Table49[[#This Row],[app_id]],Table4[app_id],Table4[multi_language_support],"",0)="Yes",1,0)</f>
        <v>0</v>
      </c>
      <c r="L83" cm="1">
        <f t="array" ref="L83">_xlfn.IFS(_xlfn.XLOOKUP(Table49[[#This Row],[app_id]],Table4[app_id],Table4[security_features])="Basic",0,_xlfn.XLOOKUP(Table49[[#This Row],[app_id]],Table4[app_id],Table4[security_features])="Advanced",1,_xlfn.XLOOKUP(Table49[[#This Row],[app_id]],Table4[app_id],Table4[security_features])="Biometric",3,TRUE,"")</f>
        <v>0</v>
      </c>
      <c r="M83">
        <f>_xlfn.XLOOKUP(Table49[[#This Row],[app_id]],Table7[app_id],Table7[rating_given],"",0)</f>
        <v>4</v>
      </c>
    </row>
    <row r="84" spans="1:13" hidden="1" x14ac:dyDescent="0.25">
      <c r="A84" t="s">
        <v>348</v>
      </c>
      <c r="B84" t="s">
        <v>208</v>
      </c>
      <c r="C84" t="str">
        <f>_xlfn.XLOOKUP(Table49[[#This Row],[app_id]],Table5[app_id],Table5[category],"",0)</f>
        <v>Productivity</v>
      </c>
      <c r="D84">
        <f>IF(_xlfn.XLOOKUP(Table49[[#This Row],[app_id]],Table4[app_id],Table4[push_notifications],"",0)="Yes",1,0)</f>
        <v>1</v>
      </c>
      <c r="E84">
        <f>IF(_xlfn.XLOOKUP(Table49[[#This Row],[app_id]],Table4[app_id],Table4[offline_access],"",0)="Yes",1,0)</f>
        <v>0</v>
      </c>
      <c r="F84">
        <f>IF(_xlfn.XLOOKUP(Table49[[#This Row],[app_id]],Table4[app_id],Table4[ai_features],"",0)="Yes",1,0)</f>
        <v>1</v>
      </c>
      <c r="G84">
        <f>IF(_xlfn.XLOOKUP(Table49[[#This Row],[app_id]],Table4[app_id],Table4[payment_integration],"",0)="Yes",1,0)</f>
        <v>0</v>
      </c>
      <c r="H84">
        <f>IF(_xlfn.XLOOKUP(Table49[[#This Row],[app_id]],Table4[app_id],Table4[chatbot_support],"",0)="Yes",1,0)</f>
        <v>0</v>
      </c>
      <c r="I84">
        <f>IF(_xlfn.XLOOKUP(Table49[[#This Row],[app_id]],Table4[app_id],Table4[personalization],"",0)="Yes",1,0)</f>
        <v>0</v>
      </c>
      <c r="J84">
        <f>IF(_xlfn.XLOOKUP(Table49[[#This Row],[app_id]],Table4[app_id],Table4[dark_mode],"",0)="Yes",1,0)</f>
        <v>1</v>
      </c>
      <c r="K84">
        <f>IF(_xlfn.XLOOKUP(Table49[[#This Row],[app_id]],Table4[app_id],Table4[multi_language_support],"",0)="Yes",1,0)</f>
        <v>1</v>
      </c>
      <c r="L84" cm="1">
        <f t="array" ref="L84">_xlfn.IFS(_xlfn.XLOOKUP(Table49[[#This Row],[app_id]],Table4[app_id],Table4[security_features])="Basic",0,_xlfn.XLOOKUP(Table49[[#This Row],[app_id]],Table4[app_id],Table4[security_features])="Advanced",1,_xlfn.XLOOKUP(Table49[[#This Row],[app_id]],Table4[app_id],Table4[security_features])="Biometric",3,TRUE,"")</f>
        <v>0</v>
      </c>
      <c r="M84">
        <f>_xlfn.XLOOKUP(Table49[[#This Row],[app_id]],Table7[app_id],Table7[rating_given],"",0)</f>
        <v>4</v>
      </c>
    </row>
    <row r="85" spans="1:13" hidden="1" x14ac:dyDescent="0.25">
      <c r="A85" t="s">
        <v>349</v>
      </c>
      <c r="B85" t="s">
        <v>210</v>
      </c>
      <c r="C85" t="str">
        <f>_xlfn.XLOOKUP(Table49[[#This Row],[app_id]],Table5[app_id],Table5[category],"",0)</f>
        <v>Productivity</v>
      </c>
      <c r="D85">
        <f>IF(_xlfn.XLOOKUP(Table49[[#This Row],[app_id]],Table4[app_id],Table4[push_notifications],"",0)="Yes",1,0)</f>
        <v>1</v>
      </c>
      <c r="E85">
        <f>IF(_xlfn.XLOOKUP(Table49[[#This Row],[app_id]],Table4[app_id],Table4[offline_access],"",0)="Yes",1,0)</f>
        <v>1</v>
      </c>
      <c r="F85">
        <f>IF(_xlfn.XLOOKUP(Table49[[#This Row],[app_id]],Table4[app_id],Table4[ai_features],"",0)="Yes",1,0)</f>
        <v>0</v>
      </c>
      <c r="G85">
        <f>IF(_xlfn.XLOOKUP(Table49[[#This Row],[app_id]],Table4[app_id],Table4[payment_integration],"",0)="Yes",1,0)</f>
        <v>0</v>
      </c>
      <c r="H85">
        <f>IF(_xlfn.XLOOKUP(Table49[[#This Row],[app_id]],Table4[app_id],Table4[chatbot_support],"",0)="Yes",1,0)</f>
        <v>0</v>
      </c>
      <c r="I85">
        <f>IF(_xlfn.XLOOKUP(Table49[[#This Row],[app_id]],Table4[app_id],Table4[personalization],"",0)="Yes",1,0)</f>
        <v>0</v>
      </c>
      <c r="J85">
        <f>IF(_xlfn.XLOOKUP(Table49[[#This Row],[app_id]],Table4[app_id],Table4[dark_mode],"",0)="Yes",1,0)</f>
        <v>0</v>
      </c>
      <c r="K85">
        <f>IF(_xlfn.XLOOKUP(Table49[[#This Row],[app_id]],Table4[app_id],Table4[multi_language_support],"",0)="Yes",1,0)</f>
        <v>1</v>
      </c>
      <c r="L85" cm="1">
        <f t="array" ref="L85">_xlfn.IFS(_xlfn.XLOOKUP(Table49[[#This Row],[app_id]],Table4[app_id],Table4[security_features])="Basic",0,_xlfn.XLOOKUP(Table49[[#This Row],[app_id]],Table4[app_id],Table4[security_features])="Advanced",1,_xlfn.XLOOKUP(Table49[[#This Row],[app_id]],Table4[app_id],Table4[security_features])="Biometric",3,TRUE,"")</f>
        <v>1</v>
      </c>
      <c r="M85">
        <f>_xlfn.XLOOKUP(Table49[[#This Row],[app_id]],Table7[app_id],Table7[rating_given],"",0)</f>
        <v>4</v>
      </c>
    </row>
    <row r="86" spans="1:13" hidden="1" x14ac:dyDescent="0.25">
      <c r="A86" t="s">
        <v>350</v>
      </c>
      <c r="B86" t="s">
        <v>212</v>
      </c>
      <c r="C86" t="str">
        <f>_xlfn.XLOOKUP(Table49[[#This Row],[app_id]],Table5[app_id],Table5[category],"",0)</f>
        <v>Productivity</v>
      </c>
      <c r="D86">
        <f>IF(_xlfn.XLOOKUP(Table49[[#This Row],[app_id]],Table4[app_id],Table4[push_notifications],"",0)="Yes",1,0)</f>
        <v>1</v>
      </c>
      <c r="E86">
        <f>IF(_xlfn.XLOOKUP(Table49[[#This Row],[app_id]],Table4[app_id],Table4[offline_access],"",0)="Yes",1,0)</f>
        <v>0</v>
      </c>
      <c r="F86">
        <f>IF(_xlfn.XLOOKUP(Table49[[#This Row],[app_id]],Table4[app_id],Table4[ai_features],"",0)="Yes",1,0)</f>
        <v>1</v>
      </c>
      <c r="G86">
        <f>IF(_xlfn.XLOOKUP(Table49[[#This Row],[app_id]],Table4[app_id],Table4[payment_integration],"",0)="Yes",1,0)</f>
        <v>1</v>
      </c>
      <c r="H86">
        <f>IF(_xlfn.XLOOKUP(Table49[[#This Row],[app_id]],Table4[app_id],Table4[chatbot_support],"",0)="Yes",1,0)</f>
        <v>0</v>
      </c>
      <c r="I86">
        <f>IF(_xlfn.XLOOKUP(Table49[[#This Row],[app_id]],Table4[app_id],Table4[personalization],"",0)="Yes",1,0)</f>
        <v>0</v>
      </c>
      <c r="J86">
        <f>IF(_xlfn.XLOOKUP(Table49[[#This Row],[app_id]],Table4[app_id],Table4[dark_mode],"",0)="Yes",1,0)</f>
        <v>1</v>
      </c>
      <c r="K86">
        <f>IF(_xlfn.XLOOKUP(Table49[[#This Row],[app_id]],Table4[app_id],Table4[multi_language_support],"",0)="Yes",1,0)</f>
        <v>0</v>
      </c>
      <c r="L86" cm="1">
        <f t="array" ref="L86">_xlfn.IFS(_xlfn.XLOOKUP(Table49[[#This Row],[app_id]],Table4[app_id],Table4[security_features])="Basic",0,_xlfn.XLOOKUP(Table49[[#This Row],[app_id]],Table4[app_id],Table4[security_features])="Advanced",1,_xlfn.XLOOKUP(Table49[[#This Row],[app_id]],Table4[app_id],Table4[security_features])="Biometric",3,TRUE,"")</f>
        <v>1</v>
      </c>
      <c r="M86">
        <f>_xlfn.XLOOKUP(Table49[[#This Row],[app_id]],Table7[app_id],Table7[rating_given],"",0)</f>
        <v>3</v>
      </c>
    </row>
    <row r="87" spans="1:13" hidden="1" x14ac:dyDescent="0.25">
      <c r="A87" t="s">
        <v>351</v>
      </c>
      <c r="B87" t="s">
        <v>214</v>
      </c>
      <c r="C87" t="str">
        <f>_xlfn.XLOOKUP(Table49[[#This Row],[app_id]],Table5[app_id],Table5[category],"",0)</f>
        <v>Productivity</v>
      </c>
      <c r="D87">
        <f>IF(_xlfn.XLOOKUP(Table49[[#This Row],[app_id]],Table4[app_id],Table4[push_notifications],"",0)="Yes",1,0)</f>
        <v>0</v>
      </c>
      <c r="E87">
        <f>IF(_xlfn.XLOOKUP(Table49[[#This Row],[app_id]],Table4[app_id],Table4[offline_access],"",0)="Yes",1,0)</f>
        <v>1</v>
      </c>
      <c r="F87">
        <f>IF(_xlfn.XLOOKUP(Table49[[#This Row],[app_id]],Table4[app_id],Table4[ai_features],"",0)="Yes",1,0)</f>
        <v>0</v>
      </c>
      <c r="G87">
        <f>IF(_xlfn.XLOOKUP(Table49[[#This Row],[app_id]],Table4[app_id],Table4[payment_integration],"",0)="Yes",1,0)</f>
        <v>0</v>
      </c>
      <c r="H87">
        <f>IF(_xlfn.XLOOKUP(Table49[[#This Row],[app_id]],Table4[app_id],Table4[chatbot_support],"",0)="Yes",1,0)</f>
        <v>1</v>
      </c>
      <c r="I87">
        <f>IF(_xlfn.XLOOKUP(Table49[[#This Row],[app_id]],Table4[app_id],Table4[personalization],"",0)="Yes",1,0)</f>
        <v>1</v>
      </c>
      <c r="J87">
        <f>IF(_xlfn.XLOOKUP(Table49[[#This Row],[app_id]],Table4[app_id],Table4[dark_mode],"",0)="Yes",1,0)</f>
        <v>1</v>
      </c>
      <c r="K87">
        <f>IF(_xlfn.XLOOKUP(Table49[[#This Row],[app_id]],Table4[app_id],Table4[multi_language_support],"",0)="Yes",1,0)</f>
        <v>1</v>
      </c>
      <c r="L87" cm="1">
        <f t="array" ref="L87">_xlfn.IFS(_xlfn.XLOOKUP(Table49[[#This Row],[app_id]],Table4[app_id],Table4[security_features])="Basic",0,_xlfn.XLOOKUP(Table49[[#This Row],[app_id]],Table4[app_id],Table4[security_features])="Advanced",1,_xlfn.XLOOKUP(Table49[[#This Row],[app_id]],Table4[app_id],Table4[security_features])="Biometric",3,TRUE,"")</f>
        <v>3</v>
      </c>
      <c r="M87">
        <f>_xlfn.XLOOKUP(Table49[[#This Row],[app_id]],Table7[app_id],Table7[rating_given],"",0)</f>
        <v>5</v>
      </c>
    </row>
    <row r="88" spans="1:13" hidden="1" x14ac:dyDescent="0.25">
      <c r="A88" t="s">
        <v>352</v>
      </c>
      <c r="B88" t="s">
        <v>216</v>
      </c>
      <c r="C88" t="str">
        <f>_xlfn.XLOOKUP(Table49[[#This Row],[app_id]],Table5[app_id],Table5[category],"",0)</f>
        <v>Productivity</v>
      </c>
      <c r="D88">
        <f>IF(_xlfn.XLOOKUP(Table49[[#This Row],[app_id]],Table4[app_id],Table4[push_notifications],"",0)="Yes",1,0)</f>
        <v>0</v>
      </c>
      <c r="E88">
        <f>IF(_xlfn.XLOOKUP(Table49[[#This Row],[app_id]],Table4[app_id],Table4[offline_access],"",0)="Yes",1,0)</f>
        <v>1</v>
      </c>
      <c r="F88">
        <f>IF(_xlfn.XLOOKUP(Table49[[#This Row],[app_id]],Table4[app_id],Table4[ai_features],"",0)="Yes",1,0)</f>
        <v>1</v>
      </c>
      <c r="G88">
        <f>IF(_xlfn.XLOOKUP(Table49[[#This Row],[app_id]],Table4[app_id],Table4[payment_integration],"",0)="Yes",1,0)</f>
        <v>0</v>
      </c>
      <c r="H88">
        <f>IF(_xlfn.XLOOKUP(Table49[[#This Row],[app_id]],Table4[app_id],Table4[chatbot_support],"",0)="Yes",1,0)</f>
        <v>1</v>
      </c>
      <c r="I88">
        <f>IF(_xlfn.XLOOKUP(Table49[[#This Row],[app_id]],Table4[app_id],Table4[personalization],"",0)="Yes",1,0)</f>
        <v>1</v>
      </c>
      <c r="J88">
        <f>IF(_xlfn.XLOOKUP(Table49[[#This Row],[app_id]],Table4[app_id],Table4[dark_mode],"",0)="Yes",1,0)</f>
        <v>0</v>
      </c>
      <c r="K88">
        <f>IF(_xlfn.XLOOKUP(Table49[[#This Row],[app_id]],Table4[app_id],Table4[multi_language_support],"",0)="Yes",1,0)</f>
        <v>0</v>
      </c>
      <c r="L88" cm="1">
        <f t="array" ref="L88">_xlfn.IFS(_xlfn.XLOOKUP(Table49[[#This Row],[app_id]],Table4[app_id],Table4[security_features])="Basic",0,_xlfn.XLOOKUP(Table49[[#This Row],[app_id]],Table4[app_id],Table4[security_features])="Advanced",1,_xlfn.XLOOKUP(Table49[[#This Row],[app_id]],Table4[app_id],Table4[security_features])="Biometric",3,TRUE,"")</f>
        <v>1</v>
      </c>
      <c r="M88">
        <f>_xlfn.XLOOKUP(Table49[[#This Row],[app_id]],Table7[app_id],Table7[rating_given],"",0)</f>
        <v>3</v>
      </c>
    </row>
    <row r="89" spans="1:13" hidden="1" x14ac:dyDescent="0.25">
      <c r="A89" t="s">
        <v>353</v>
      </c>
      <c r="B89" t="s">
        <v>218</v>
      </c>
      <c r="C89" t="str">
        <f>_xlfn.XLOOKUP(Table49[[#This Row],[app_id]],Table5[app_id],Table5[category],"",0)</f>
        <v>Productivity</v>
      </c>
      <c r="D89">
        <f>IF(_xlfn.XLOOKUP(Table49[[#This Row],[app_id]],Table4[app_id],Table4[push_notifications],"",0)="Yes",1,0)</f>
        <v>1</v>
      </c>
      <c r="E89">
        <f>IF(_xlfn.XLOOKUP(Table49[[#This Row],[app_id]],Table4[app_id],Table4[offline_access],"",0)="Yes",1,0)</f>
        <v>1</v>
      </c>
      <c r="F89">
        <f>IF(_xlfn.XLOOKUP(Table49[[#This Row],[app_id]],Table4[app_id],Table4[ai_features],"",0)="Yes",1,0)</f>
        <v>0</v>
      </c>
      <c r="G89">
        <f>IF(_xlfn.XLOOKUP(Table49[[#This Row],[app_id]],Table4[app_id],Table4[payment_integration],"",0)="Yes",1,0)</f>
        <v>1</v>
      </c>
      <c r="H89">
        <f>IF(_xlfn.XLOOKUP(Table49[[#This Row],[app_id]],Table4[app_id],Table4[chatbot_support],"",0)="Yes",1,0)</f>
        <v>0</v>
      </c>
      <c r="I89">
        <f>IF(_xlfn.XLOOKUP(Table49[[#This Row],[app_id]],Table4[app_id],Table4[personalization],"",0)="Yes",1,0)</f>
        <v>1</v>
      </c>
      <c r="J89">
        <f>IF(_xlfn.XLOOKUP(Table49[[#This Row],[app_id]],Table4[app_id],Table4[dark_mode],"",0)="Yes",1,0)</f>
        <v>1</v>
      </c>
      <c r="K89">
        <f>IF(_xlfn.XLOOKUP(Table49[[#This Row],[app_id]],Table4[app_id],Table4[multi_language_support],"",0)="Yes",1,0)</f>
        <v>0</v>
      </c>
      <c r="L89" cm="1">
        <f t="array" ref="L89">_xlfn.IFS(_xlfn.XLOOKUP(Table49[[#This Row],[app_id]],Table4[app_id],Table4[security_features])="Basic",0,_xlfn.XLOOKUP(Table49[[#This Row],[app_id]],Table4[app_id],Table4[security_features])="Advanced",1,_xlfn.XLOOKUP(Table49[[#This Row],[app_id]],Table4[app_id],Table4[security_features])="Biometric",3,TRUE,"")</f>
        <v>1</v>
      </c>
      <c r="M89">
        <f>_xlfn.XLOOKUP(Table49[[#This Row],[app_id]],Table7[app_id],Table7[rating_given],"",0)</f>
        <v>4</v>
      </c>
    </row>
    <row r="90" spans="1:13" hidden="1" x14ac:dyDescent="0.25">
      <c r="A90" t="s">
        <v>354</v>
      </c>
      <c r="B90" t="s">
        <v>220</v>
      </c>
      <c r="C90" t="str">
        <f>_xlfn.XLOOKUP(Table49[[#This Row],[app_id]],Table5[app_id],Table5[category],"",0)</f>
        <v>Productivity</v>
      </c>
      <c r="D90">
        <f>IF(_xlfn.XLOOKUP(Table49[[#This Row],[app_id]],Table4[app_id],Table4[push_notifications],"",0)="Yes",1,0)</f>
        <v>1</v>
      </c>
      <c r="E90">
        <f>IF(_xlfn.XLOOKUP(Table49[[#This Row],[app_id]],Table4[app_id],Table4[offline_access],"",0)="Yes",1,0)</f>
        <v>1</v>
      </c>
      <c r="F90">
        <f>IF(_xlfn.XLOOKUP(Table49[[#This Row],[app_id]],Table4[app_id],Table4[ai_features],"",0)="Yes",1,0)</f>
        <v>1</v>
      </c>
      <c r="G90">
        <f>IF(_xlfn.XLOOKUP(Table49[[#This Row],[app_id]],Table4[app_id],Table4[payment_integration],"",0)="Yes",1,0)</f>
        <v>0</v>
      </c>
      <c r="H90">
        <f>IF(_xlfn.XLOOKUP(Table49[[#This Row],[app_id]],Table4[app_id],Table4[chatbot_support],"",0)="Yes",1,0)</f>
        <v>0</v>
      </c>
      <c r="I90">
        <f>IF(_xlfn.XLOOKUP(Table49[[#This Row],[app_id]],Table4[app_id],Table4[personalization],"",0)="Yes",1,0)</f>
        <v>0</v>
      </c>
      <c r="J90">
        <f>IF(_xlfn.XLOOKUP(Table49[[#This Row],[app_id]],Table4[app_id],Table4[dark_mode],"",0)="Yes",1,0)</f>
        <v>1</v>
      </c>
      <c r="K90">
        <f>IF(_xlfn.XLOOKUP(Table49[[#This Row],[app_id]],Table4[app_id],Table4[multi_language_support],"",0)="Yes",1,0)</f>
        <v>1</v>
      </c>
      <c r="L90" cm="1">
        <f t="array" ref="L90">_xlfn.IFS(_xlfn.XLOOKUP(Table49[[#This Row],[app_id]],Table4[app_id],Table4[security_features])="Basic",0,_xlfn.XLOOKUP(Table49[[#This Row],[app_id]],Table4[app_id],Table4[security_features])="Advanced",1,_xlfn.XLOOKUP(Table49[[#This Row],[app_id]],Table4[app_id],Table4[security_features])="Biometric",3,TRUE,"")</f>
        <v>1</v>
      </c>
      <c r="M90">
        <f>_xlfn.XLOOKUP(Table49[[#This Row],[app_id]],Table7[app_id],Table7[rating_given],"",0)</f>
        <v>3</v>
      </c>
    </row>
    <row r="91" spans="1:13" hidden="1" x14ac:dyDescent="0.25">
      <c r="A91" t="s">
        <v>355</v>
      </c>
      <c r="B91" t="s">
        <v>222</v>
      </c>
      <c r="C91" t="str">
        <f>_xlfn.XLOOKUP(Table49[[#This Row],[app_id]],Table5[app_id],Table5[category],"",0)</f>
        <v>Productivity</v>
      </c>
      <c r="D91">
        <f>IF(_xlfn.XLOOKUP(Table49[[#This Row],[app_id]],Table4[app_id],Table4[push_notifications],"",0)="Yes",1,0)</f>
        <v>0</v>
      </c>
      <c r="E91">
        <f>IF(_xlfn.XLOOKUP(Table49[[#This Row],[app_id]],Table4[app_id],Table4[offline_access],"",0)="Yes",1,0)</f>
        <v>1</v>
      </c>
      <c r="F91">
        <f>IF(_xlfn.XLOOKUP(Table49[[#This Row],[app_id]],Table4[app_id],Table4[ai_features],"",0)="Yes",1,0)</f>
        <v>0</v>
      </c>
      <c r="G91">
        <f>IF(_xlfn.XLOOKUP(Table49[[#This Row],[app_id]],Table4[app_id],Table4[payment_integration],"",0)="Yes",1,0)</f>
        <v>0</v>
      </c>
      <c r="H91">
        <f>IF(_xlfn.XLOOKUP(Table49[[#This Row],[app_id]],Table4[app_id],Table4[chatbot_support],"",0)="Yes",1,0)</f>
        <v>1</v>
      </c>
      <c r="I91">
        <f>IF(_xlfn.XLOOKUP(Table49[[#This Row],[app_id]],Table4[app_id],Table4[personalization],"",0)="Yes",1,0)</f>
        <v>1</v>
      </c>
      <c r="J91">
        <f>IF(_xlfn.XLOOKUP(Table49[[#This Row],[app_id]],Table4[app_id],Table4[dark_mode],"",0)="Yes",1,0)</f>
        <v>0</v>
      </c>
      <c r="K91">
        <f>IF(_xlfn.XLOOKUP(Table49[[#This Row],[app_id]],Table4[app_id],Table4[multi_language_support],"",0)="Yes",1,0)</f>
        <v>0</v>
      </c>
      <c r="L91" cm="1">
        <f t="array" ref="L91">_xlfn.IFS(_xlfn.XLOOKUP(Table49[[#This Row],[app_id]],Table4[app_id],Table4[security_features])="Basic",0,_xlfn.XLOOKUP(Table49[[#This Row],[app_id]],Table4[app_id],Table4[security_features])="Advanced",1,_xlfn.XLOOKUP(Table49[[#This Row],[app_id]],Table4[app_id],Table4[security_features])="Biometric",3,TRUE,"")</f>
        <v>0</v>
      </c>
      <c r="M91">
        <f>_xlfn.XLOOKUP(Table49[[#This Row],[app_id]],Table7[app_id],Table7[rating_given],"",0)</f>
        <v>3</v>
      </c>
    </row>
    <row r="92" spans="1:13" hidden="1" x14ac:dyDescent="0.25">
      <c r="A92" t="s">
        <v>356</v>
      </c>
      <c r="B92" t="s">
        <v>223</v>
      </c>
      <c r="C92" t="str">
        <f>_xlfn.XLOOKUP(Table49[[#This Row],[app_id]],Table5[app_id],Table5[category],"",0)</f>
        <v>Health</v>
      </c>
      <c r="D92">
        <f>IF(_xlfn.XLOOKUP(Table49[[#This Row],[app_id]],Table4[app_id],Table4[push_notifications],"",0)="Yes",1,0)</f>
        <v>1</v>
      </c>
      <c r="E92">
        <f>IF(_xlfn.XLOOKUP(Table49[[#This Row],[app_id]],Table4[app_id],Table4[offline_access],"",0)="Yes",1,0)</f>
        <v>1</v>
      </c>
      <c r="F92">
        <f>IF(_xlfn.XLOOKUP(Table49[[#This Row],[app_id]],Table4[app_id],Table4[ai_features],"",0)="Yes",1,0)</f>
        <v>1</v>
      </c>
      <c r="G92">
        <f>IF(_xlfn.XLOOKUP(Table49[[#This Row],[app_id]],Table4[app_id],Table4[payment_integration],"",0)="Yes",1,0)</f>
        <v>0</v>
      </c>
      <c r="H92">
        <f>IF(_xlfn.XLOOKUP(Table49[[#This Row],[app_id]],Table4[app_id],Table4[chatbot_support],"",0)="Yes",1,0)</f>
        <v>0</v>
      </c>
      <c r="I92">
        <f>IF(_xlfn.XLOOKUP(Table49[[#This Row],[app_id]],Table4[app_id],Table4[personalization],"",0)="Yes",1,0)</f>
        <v>1</v>
      </c>
      <c r="J92">
        <f>IF(_xlfn.XLOOKUP(Table49[[#This Row],[app_id]],Table4[app_id],Table4[dark_mode],"",0)="Yes",1,0)</f>
        <v>1</v>
      </c>
      <c r="K92">
        <f>IF(_xlfn.XLOOKUP(Table49[[#This Row],[app_id]],Table4[app_id],Table4[multi_language_support],"",0)="Yes",1,0)</f>
        <v>0</v>
      </c>
      <c r="L92" cm="1">
        <f t="array" ref="L92">_xlfn.IFS(_xlfn.XLOOKUP(Table49[[#This Row],[app_id]],Table4[app_id],Table4[security_features])="Basic",0,_xlfn.XLOOKUP(Table49[[#This Row],[app_id]],Table4[app_id],Table4[security_features])="Advanced",1,_xlfn.XLOOKUP(Table49[[#This Row],[app_id]],Table4[app_id],Table4[security_features])="Biometric",3,TRUE,"")</f>
        <v>0</v>
      </c>
      <c r="M92">
        <f>_xlfn.XLOOKUP(Table49[[#This Row],[app_id]],Table7[app_id],Table7[rating_given],"",0)</f>
        <v>5</v>
      </c>
    </row>
    <row r="93" spans="1:13" hidden="1" x14ac:dyDescent="0.25">
      <c r="A93" t="s">
        <v>357</v>
      </c>
      <c r="B93" t="s">
        <v>226</v>
      </c>
      <c r="C93" t="str">
        <f>_xlfn.XLOOKUP(Table49[[#This Row],[app_id]],Table5[app_id],Table5[category],"",0)</f>
        <v>Health</v>
      </c>
      <c r="D93">
        <f>IF(_xlfn.XLOOKUP(Table49[[#This Row],[app_id]],Table4[app_id],Table4[push_notifications],"",0)="Yes",1,0)</f>
        <v>1</v>
      </c>
      <c r="E93">
        <f>IF(_xlfn.XLOOKUP(Table49[[#This Row],[app_id]],Table4[app_id],Table4[offline_access],"",0)="Yes",1,0)</f>
        <v>1</v>
      </c>
      <c r="F93">
        <f>IF(_xlfn.XLOOKUP(Table49[[#This Row],[app_id]],Table4[app_id],Table4[ai_features],"",0)="Yes",1,0)</f>
        <v>1</v>
      </c>
      <c r="G93">
        <f>IF(_xlfn.XLOOKUP(Table49[[#This Row],[app_id]],Table4[app_id],Table4[payment_integration],"",0)="Yes",1,0)</f>
        <v>0</v>
      </c>
      <c r="H93">
        <f>IF(_xlfn.XLOOKUP(Table49[[#This Row],[app_id]],Table4[app_id],Table4[chatbot_support],"",0)="Yes",1,0)</f>
        <v>0</v>
      </c>
      <c r="I93">
        <f>IF(_xlfn.XLOOKUP(Table49[[#This Row],[app_id]],Table4[app_id],Table4[personalization],"",0)="Yes",1,0)</f>
        <v>1</v>
      </c>
      <c r="J93">
        <f>IF(_xlfn.XLOOKUP(Table49[[#This Row],[app_id]],Table4[app_id],Table4[dark_mode],"",0)="Yes",1,0)</f>
        <v>0</v>
      </c>
      <c r="K93">
        <f>IF(_xlfn.XLOOKUP(Table49[[#This Row],[app_id]],Table4[app_id],Table4[multi_language_support],"",0)="Yes",1,0)</f>
        <v>0</v>
      </c>
      <c r="L93" cm="1">
        <f t="array" ref="L93">_xlfn.IFS(_xlfn.XLOOKUP(Table49[[#This Row],[app_id]],Table4[app_id],Table4[security_features])="Basic",0,_xlfn.XLOOKUP(Table49[[#This Row],[app_id]],Table4[app_id],Table4[security_features])="Advanced",1,_xlfn.XLOOKUP(Table49[[#This Row],[app_id]],Table4[app_id],Table4[security_features])="Biometric",3,TRUE,"")</f>
        <v>0</v>
      </c>
      <c r="M93">
        <f>_xlfn.XLOOKUP(Table49[[#This Row],[app_id]],Table7[app_id],Table7[rating_given],"",0)</f>
        <v>3</v>
      </c>
    </row>
    <row r="94" spans="1:13" hidden="1" x14ac:dyDescent="0.25">
      <c r="A94" t="s">
        <v>358</v>
      </c>
      <c r="B94" t="s">
        <v>228</v>
      </c>
      <c r="C94" t="str">
        <f>_xlfn.XLOOKUP(Table49[[#This Row],[app_id]],Table5[app_id],Table5[category],"",0)</f>
        <v>Health</v>
      </c>
      <c r="D94">
        <f>IF(_xlfn.XLOOKUP(Table49[[#This Row],[app_id]],Table4[app_id],Table4[push_notifications],"",0)="Yes",1,0)</f>
        <v>0</v>
      </c>
      <c r="E94">
        <f>IF(_xlfn.XLOOKUP(Table49[[#This Row],[app_id]],Table4[app_id],Table4[offline_access],"",0)="Yes",1,0)</f>
        <v>1</v>
      </c>
      <c r="F94">
        <f>IF(_xlfn.XLOOKUP(Table49[[#This Row],[app_id]],Table4[app_id],Table4[ai_features],"",0)="Yes",1,0)</f>
        <v>1</v>
      </c>
      <c r="G94">
        <f>IF(_xlfn.XLOOKUP(Table49[[#This Row],[app_id]],Table4[app_id],Table4[payment_integration],"",0)="Yes",1,0)</f>
        <v>0</v>
      </c>
      <c r="H94">
        <f>IF(_xlfn.XLOOKUP(Table49[[#This Row],[app_id]],Table4[app_id],Table4[chatbot_support],"",0)="Yes",1,0)</f>
        <v>0</v>
      </c>
      <c r="I94">
        <f>IF(_xlfn.XLOOKUP(Table49[[#This Row],[app_id]],Table4[app_id],Table4[personalization],"",0)="Yes",1,0)</f>
        <v>0</v>
      </c>
      <c r="J94">
        <f>IF(_xlfn.XLOOKUP(Table49[[#This Row],[app_id]],Table4[app_id],Table4[dark_mode],"",0)="Yes",1,0)</f>
        <v>1</v>
      </c>
      <c r="K94">
        <f>IF(_xlfn.XLOOKUP(Table49[[#This Row],[app_id]],Table4[app_id],Table4[multi_language_support],"",0)="Yes",1,0)</f>
        <v>0</v>
      </c>
      <c r="L94" cm="1">
        <f t="array" ref="L94">_xlfn.IFS(_xlfn.XLOOKUP(Table49[[#This Row],[app_id]],Table4[app_id],Table4[security_features])="Basic",0,_xlfn.XLOOKUP(Table49[[#This Row],[app_id]],Table4[app_id],Table4[security_features])="Advanced",1,_xlfn.XLOOKUP(Table49[[#This Row],[app_id]],Table4[app_id],Table4[security_features])="Biometric",3,TRUE,"")</f>
        <v>3</v>
      </c>
      <c r="M94">
        <f>_xlfn.XLOOKUP(Table49[[#This Row],[app_id]],Table7[app_id],Table7[rating_given],"",0)</f>
        <v>3</v>
      </c>
    </row>
    <row r="95" spans="1:13" hidden="1" x14ac:dyDescent="0.25">
      <c r="A95" t="s">
        <v>359</v>
      </c>
      <c r="B95" t="s">
        <v>230</v>
      </c>
      <c r="C95" t="str">
        <f>_xlfn.XLOOKUP(Table49[[#This Row],[app_id]],Table5[app_id],Table5[category],"",0)</f>
        <v>Health</v>
      </c>
      <c r="D95">
        <f>IF(_xlfn.XLOOKUP(Table49[[#This Row],[app_id]],Table4[app_id],Table4[push_notifications],"",0)="Yes",1,0)</f>
        <v>1</v>
      </c>
      <c r="E95">
        <f>IF(_xlfn.XLOOKUP(Table49[[#This Row],[app_id]],Table4[app_id],Table4[offline_access],"",0)="Yes",1,0)</f>
        <v>0</v>
      </c>
      <c r="F95">
        <f>IF(_xlfn.XLOOKUP(Table49[[#This Row],[app_id]],Table4[app_id],Table4[ai_features],"",0)="Yes",1,0)</f>
        <v>0</v>
      </c>
      <c r="G95">
        <f>IF(_xlfn.XLOOKUP(Table49[[#This Row],[app_id]],Table4[app_id],Table4[payment_integration],"",0)="Yes",1,0)</f>
        <v>0</v>
      </c>
      <c r="H95">
        <f>IF(_xlfn.XLOOKUP(Table49[[#This Row],[app_id]],Table4[app_id],Table4[chatbot_support],"",0)="Yes",1,0)</f>
        <v>0</v>
      </c>
      <c r="I95">
        <f>IF(_xlfn.XLOOKUP(Table49[[#This Row],[app_id]],Table4[app_id],Table4[personalization],"",0)="Yes",1,0)</f>
        <v>1</v>
      </c>
      <c r="J95">
        <f>IF(_xlfn.XLOOKUP(Table49[[#This Row],[app_id]],Table4[app_id],Table4[dark_mode],"",0)="Yes",1,0)</f>
        <v>0</v>
      </c>
      <c r="K95">
        <f>IF(_xlfn.XLOOKUP(Table49[[#This Row],[app_id]],Table4[app_id],Table4[multi_language_support],"",0)="Yes",1,0)</f>
        <v>0</v>
      </c>
      <c r="L95" cm="1">
        <f t="array" ref="L95">_xlfn.IFS(_xlfn.XLOOKUP(Table49[[#This Row],[app_id]],Table4[app_id],Table4[security_features])="Basic",0,_xlfn.XLOOKUP(Table49[[#This Row],[app_id]],Table4[app_id],Table4[security_features])="Advanced",1,_xlfn.XLOOKUP(Table49[[#This Row],[app_id]],Table4[app_id],Table4[security_features])="Biometric",3,TRUE,"")</f>
        <v>3</v>
      </c>
      <c r="M95">
        <f>_xlfn.XLOOKUP(Table49[[#This Row],[app_id]],Table7[app_id],Table7[rating_given],"",0)</f>
        <v>5</v>
      </c>
    </row>
    <row r="96" spans="1:13" hidden="1" x14ac:dyDescent="0.25">
      <c r="A96" t="s">
        <v>360</v>
      </c>
      <c r="B96" t="s">
        <v>232</v>
      </c>
      <c r="C96" t="str">
        <f>_xlfn.XLOOKUP(Table49[[#This Row],[app_id]],Table5[app_id],Table5[category],"",0)</f>
        <v>Health</v>
      </c>
      <c r="D96">
        <f>IF(_xlfn.XLOOKUP(Table49[[#This Row],[app_id]],Table4[app_id],Table4[push_notifications],"",0)="Yes",1,0)</f>
        <v>1</v>
      </c>
      <c r="E96">
        <f>IF(_xlfn.XLOOKUP(Table49[[#This Row],[app_id]],Table4[app_id],Table4[offline_access],"",0)="Yes",1,0)</f>
        <v>1</v>
      </c>
      <c r="F96">
        <f>IF(_xlfn.XLOOKUP(Table49[[#This Row],[app_id]],Table4[app_id],Table4[ai_features],"",0)="Yes",1,0)</f>
        <v>0</v>
      </c>
      <c r="G96">
        <f>IF(_xlfn.XLOOKUP(Table49[[#This Row],[app_id]],Table4[app_id],Table4[payment_integration],"",0)="Yes",1,0)</f>
        <v>0</v>
      </c>
      <c r="H96">
        <f>IF(_xlfn.XLOOKUP(Table49[[#This Row],[app_id]],Table4[app_id],Table4[chatbot_support],"",0)="Yes",1,0)</f>
        <v>1</v>
      </c>
      <c r="I96">
        <f>IF(_xlfn.XLOOKUP(Table49[[#This Row],[app_id]],Table4[app_id],Table4[personalization],"",0)="Yes",1,0)</f>
        <v>1</v>
      </c>
      <c r="J96">
        <f>IF(_xlfn.XLOOKUP(Table49[[#This Row],[app_id]],Table4[app_id],Table4[dark_mode],"",0)="Yes",1,0)</f>
        <v>1</v>
      </c>
      <c r="K96">
        <f>IF(_xlfn.XLOOKUP(Table49[[#This Row],[app_id]],Table4[app_id],Table4[multi_language_support],"",0)="Yes",1,0)</f>
        <v>0</v>
      </c>
      <c r="L96" cm="1">
        <f t="array" ref="L96">_xlfn.IFS(_xlfn.XLOOKUP(Table49[[#This Row],[app_id]],Table4[app_id],Table4[security_features])="Basic",0,_xlfn.XLOOKUP(Table49[[#This Row],[app_id]],Table4[app_id],Table4[security_features])="Advanced",1,_xlfn.XLOOKUP(Table49[[#This Row],[app_id]],Table4[app_id],Table4[security_features])="Biometric",3,TRUE,"")</f>
        <v>1</v>
      </c>
      <c r="M96">
        <f>_xlfn.XLOOKUP(Table49[[#This Row],[app_id]],Table7[app_id],Table7[rating_given],"",0)</f>
        <v>3</v>
      </c>
    </row>
    <row r="97" spans="1:13" hidden="1" x14ac:dyDescent="0.25">
      <c r="A97" t="s">
        <v>361</v>
      </c>
      <c r="B97" t="s">
        <v>234</v>
      </c>
      <c r="C97" t="str">
        <f>_xlfn.XLOOKUP(Table49[[#This Row],[app_id]],Table5[app_id],Table5[category],"",0)</f>
        <v>Health</v>
      </c>
      <c r="D97">
        <f>IF(_xlfn.XLOOKUP(Table49[[#This Row],[app_id]],Table4[app_id],Table4[push_notifications],"",0)="Yes",1,0)</f>
        <v>0</v>
      </c>
      <c r="E97">
        <f>IF(_xlfn.XLOOKUP(Table49[[#This Row],[app_id]],Table4[app_id],Table4[offline_access],"",0)="Yes",1,0)</f>
        <v>1</v>
      </c>
      <c r="F97">
        <f>IF(_xlfn.XLOOKUP(Table49[[#This Row],[app_id]],Table4[app_id],Table4[ai_features],"",0)="Yes",1,0)</f>
        <v>1</v>
      </c>
      <c r="G97">
        <f>IF(_xlfn.XLOOKUP(Table49[[#This Row],[app_id]],Table4[app_id],Table4[payment_integration],"",0)="Yes",1,0)</f>
        <v>0</v>
      </c>
      <c r="H97">
        <f>IF(_xlfn.XLOOKUP(Table49[[#This Row],[app_id]],Table4[app_id],Table4[chatbot_support],"",0)="Yes",1,0)</f>
        <v>0</v>
      </c>
      <c r="I97">
        <f>IF(_xlfn.XLOOKUP(Table49[[#This Row],[app_id]],Table4[app_id],Table4[personalization],"",0)="Yes",1,0)</f>
        <v>1</v>
      </c>
      <c r="J97">
        <f>IF(_xlfn.XLOOKUP(Table49[[#This Row],[app_id]],Table4[app_id],Table4[dark_mode],"",0)="Yes",1,0)</f>
        <v>0</v>
      </c>
      <c r="K97">
        <f>IF(_xlfn.XLOOKUP(Table49[[#This Row],[app_id]],Table4[app_id],Table4[multi_language_support],"",0)="Yes",1,0)</f>
        <v>0</v>
      </c>
      <c r="L97" cm="1">
        <f t="array" ref="L97">_xlfn.IFS(_xlfn.XLOOKUP(Table49[[#This Row],[app_id]],Table4[app_id],Table4[security_features])="Basic",0,_xlfn.XLOOKUP(Table49[[#This Row],[app_id]],Table4[app_id],Table4[security_features])="Advanced",1,_xlfn.XLOOKUP(Table49[[#This Row],[app_id]],Table4[app_id],Table4[security_features])="Biometric",3,TRUE,"")</f>
        <v>3</v>
      </c>
      <c r="M97">
        <f>_xlfn.XLOOKUP(Table49[[#This Row],[app_id]],Table7[app_id],Table7[rating_given],"",0)</f>
        <v>4</v>
      </c>
    </row>
    <row r="98" spans="1:13" hidden="1" x14ac:dyDescent="0.25">
      <c r="A98" t="s">
        <v>362</v>
      </c>
      <c r="B98" t="s">
        <v>236</v>
      </c>
      <c r="C98" t="str">
        <f>_xlfn.XLOOKUP(Table49[[#This Row],[app_id]],Table5[app_id],Table5[category],"",0)</f>
        <v>Health</v>
      </c>
      <c r="D98">
        <f>IF(_xlfn.XLOOKUP(Table49[[#This Row],[app_id]],Table4[app_id],Table4[push_notifications],"",0)="Yes",1,0)</f>
        <v>1</v>
      </c>
      <c r="E98">
        <f>IF(_xlfn.XLOOKUP(Table49[[#This Row],[app_id]],Table4[app_id],Table4[offline_access],"",0)="Yes",1,0)</f>
        <v>1</v>
      </c>
      <c r="F98">
        <f>IF(_xlfn.XLOOKUP(Table49[[#This Row],[app_id]],Table4[app_id],Table4[ai_features],"",0)="Yes",1,0)</f>
        <v>0</v>
      </c>
      <c r="G98">
        <f>IF(_xlfn.XLOOKUP(Table49[[#This Row],[app_id]],Table4[app_id],Table4[payment_integration],"",0)="Yes",1,0)</f>
        <v>0</v>
      </c>
      <c r="H98">
        <f>IF(_xlfn.XLOOKUP(Table49[[#This Row],[app_id]],Table4[app_id],Table4[chatbot_support],"",0)="Yes",1,0)</f>
        <v>1</v>
      </c>
      <c r="I98">
        <f>IF(_xlfn.XLOOKUP(Table49[[#This Row],[app_id]],Table4[app_id],Table4[personalization],"",0)="Yes",1,0)</f>
        <v>1</v>
      </c>
      <c r="J98">
        <f>IF(_xlfn.XLOOKUP(Table49[[#This Row],[app_id]],Table4[app_id],Table4[dark_mode],"",0)="Yes",1,0)</f>
        <v>1</v>
      </c>
      <c r="K98">
        <f>IF(_xlfn.XLOOKUP(Table49[[#This Row],[app_id]],Table4[app_id],Table4[multi_language_support],"",0)="Yes",1,0)</f>
        <v>0</v>
      </c>
      <c r="L98" cm="1">
        <f t="array" ref="L98">_xlfn.IFS(_xlfn.XLOOKUP(Table49[[#This Row],[app_id]],Table4[app_id],Table4[security_features])="Basic",0,_xlfn.XLOOKUP(Table49[[#This Row],[app_id]],Table4[app_id],Table4[security_features])="Advanced",1,_xlfn.XLOOKUP(Table49[[#This Row],[app_id]],Table4[app_id],Table4[security_features])="Biometric",3,TRUE,"")</f>
        <v>0</v>
      </c>
      <c r="M98">
        <f>_xlfn.XLOOKUP(Table49[[#This Row],[app_id]],Table7[app_id],Table7[rating_given],"",0)</f>
        <v>3</v>
      </c>
    </row>
    <row r="99" spans="1:13" hidden="1" x14ac:dyDescent="0.25">
      <c r="A99" t="s">
        <v>363</v>
      </c>
      <c r="B99" t="s">
        <v>238</v>
      </c>
      <c r="C99" t="str">
        <f>_xlfn.XLOOKUP(Table49[[#This Row],[app_id]],Table5[app_id],Table5[category],"",0)</f>
        <v>Health</v>
      </c>
      <c r="D99">
        <f>IF(_xlfn.XLOOKUP(Table49[[#This Row],[app_id]],Table4[app_id],Table4[push_notifications],"",0)="Yes",1,0)</f>
        <v>1</v>
      </c>
      <c r="E99">
        <f>IF(_xlfn.XLOOKUP(Table49[[#This Row],[app_id]],Table4[app_id],Table4[offline_access],"",0)="Yes",1,0)</f>
        <v>0</v>
      </c>
      <c r="F99">
        <f>IF(_xlfn.XLOOKUP(Table49[[#This Row],[app_id]],Table4[app_id],Table4[ai_features],"",0)="Yes",1,0)</f>
        <v>1</v>
      </c>
      <c r="G99">
        <f>IF(_xlfn.XLOOKUP(Table49[[#This Row],[app_id]],Table4[app_id],Table4[payment_integration],"",0)="Yes",1,0)</f>
        <v>0</v>
      </c>
      <c r="H99">
        <f>IF(_xlfn.XLOOKUP(Table49[[#This Row],[app_id]],Table4[app_id],Table4[chatbot_support],"",0)="Yes",1,0)</f>
        <v>1</v>
      </c>
      <c r="I99">
        <f>IF(_xlfn.XLOOKUP(Table49[[#This Row],[app_id]],Table4[app_id],Table4[personalization],"",0)="Yes",1,0)</f>
        <v>0</v>
      </c>
      <c r="J99">
        <f>IF(_xlfn.XLOOKUP(Table49[[#This Row],[app_id]],Table4[app_id],Table4[dark_mode],"",0)="Yes",1,0)</f>
        <v>1</v>
      </c>
      <c r="K99">
        <f>IF(_xlfn.XLOOKUP(Table49[[#This Row],[app_id]],Table4[app_id],Table4[multi_language_support],"",0)="Yes",1,0)</f>
        <v>0</v>
      </c>
      <c r="L99" cm="1">
        <f t="array" ref="L99">_xlfn.IFS(_xlfn.XLOOKUP(Table49[[#This Row],[app_id]],Table4[app_id],Table4[security_features])="Basic",0,_xlfn.XLOOKUP(Table49[[#This Row],[app_id]],Table4[app_id],Table4[security_features])="Advanced",1,_xlfn.XLOOKUP(Table49[[#This Row],[app_id]],Table4[app_id],Table4[security_features])="Biometric",3,TRUE,"")</f>
        <v>0</v>
      </c>
      <c r="M99">
        <f>_xlfn.XLOOKUP(Table49[[#This Row],[app_id]],Table7[app_id],Table7[rating_given],"",0)</f>
        <v>4</v>
      </c>
    </row>
    <row r="100" spans="1:13" hidden="1" x14ac:dyDescent="0.25">
      <c r="A100" t="s">
        <v>364</v>
      </c>
      <c r="B100" t="s">
        <v>240</v>
      </c>
      <c r="C100" t="str">
        <f>_xlfn.XLOOKUP(Table49[[#This Row],[app_id]],Table5[app_id],Table5[category],"",0)</f>
        <v>Health</v>
      </c>
      <c r="D100">
        <f>IF(_xlfn.XLOOKUP(Table49[[#This Row],[app_id]],Table4[app_id],Table4[push_notifications],"",0)="Yes",1,0)</f>
        <v>1</v>
      </c>
      <c r="E100">
        <f>IF(_xlfn.XLOOKUP(Table49[[#This Row],[app_id]],Table4[app_id],Table4[offline_access],"",0)="Yes",1,0)</f>
        <v>1</v>
      </c>
      <c r="F100">
        <f>IF(_xlfn.XLOOKUP(Table49[[#This Row],[app_id]],Table4[app_id],Table4[ai_features],"",0)="Yes",1,0)</f>
        <v>1</v>
      </c>
      <c r="G100">
        <f>IF(_xlfn.XLOOKUP(Table49[[#This Row],[app_id]],Table4[app_id],Table4[payment_integration],"",0)="Yes",1,0)</f>
        <v>0</v>
      </c>
      <c r="H100">
        <f>IF(_xlfn.XLOOKUP(Table49[[#This Row],[app_id]],Table4[app_id],Table4[chatbot_support],"",0)="Yes",1,0)</f>
        <v>1</v>
      </c>
      <c r="I100">
        <f>IF(_xlfn.XLOOKUP(Table49[[#This Row],[app_id]],Table4[app_id],Table4[personalization],"",0)="Yes",1,0)</f>
        <v>1</v>
      </c>
      <c r="J100">
        <f>IF(_xlfn.XLOOKUP(Table49[[#This Row],[app_id]],Table4[app_id],Table4[dark_mode],"",0)="Yes",1,0)</f>
        <v>1</v>
      </c>
      <c r="K100">
        <f>IF(_xlfn.XLOOKUP(Table49[[#This Row],[app_id]],Table4[app_id],Table4[multi_language_support],"",0)="Yes",1,0)</f>
        <v>1</v>
      </c>
      <c r="L100" cm="1">
        <f t="array" ref="L100">_xlfn.IFS(_xlfn.XLOOKUP(Table49[[#This Row],[app_id]],Table4[app_id],Table4[security_features])="Basic",0,_xlfn.XLOOKUP(Table49[[#This Row],[app_id]],Table4[app_id],Table4[security_features])="Advanced",1,_xlfn.XLOOKUP(Table49[[#This Row],[app_id]],Table4[app_id],Table4[security_features])="Biometric",3,TRUE,"")</f>
        <v>1</v>
      </c>
      <c r="M100">
        <f>_xlfn.XLOOKUP(Table49[[#This Row],[app_id]],Table7[app_id],Table7[rating_given],"",0)</f>
        <v>4</v>
      </c>
    </row>
    <row r="101" spans="1:13" hidden="1" x14ac:dyDescent="0.25">
      <c r="A101" t="s">
        <v>365</v>
      </c>
      <c r="B101" t="s">
        <v>242</v>
      </c>
      <c r="C101" t="str">
        <f>_xlfn.XLOOKUP(Table49[[#This Row],[app_id]],Table5[app_id],Table5[category],"",0)</f>
        <v>Health</v>
      </c>
      <c r="D101">
        <f>IF(_xlfn.XLOOKUP(Table49[[#This Row],[app_id]],Table4[app_id],Table4[push_notifications],"",0)="Yes",1,0)</f>
        <v>1</v>
      </c>
      <c r="E101">
        <f>IF(_xlfn.XLOOKUP(Table49[[#This Row],[app_id]],Table4[app_id],Table4[offline_access],"",0)="Yes",1,0)</f>
        <v>1</v>
      </c>
      <c r="F101">
        <f>IF(_xlfn.XLOOKUP(Table49[[#This Row],[app_id]],Table4[app_id],Table4[ai_features],"",0)="Yes",1,0)</f>
        <v>0</v>
      </c>
      <c r="G101">
        <f>IF(_xlfn.XLOOKUP(Table49[[#This Row],[app_id]],Table4[app_id],Table4[payment_integration],"",0)="Yes",1,0)</f>
        <v>0</v>
      </c>
      <c r="H101">
        <f>IF(_xlfn.XLOOKUP(Table49[[#This Row],[app_id]],Table4[app_id],Table4[chatbot_support],"",0)="Yes",1,0)</f>
        <v>1</v>
      </c>
      <c r="I101">
        <f>IF(_xlfn.XLOOKUP(Table49[[#This Row],[app_id]],Table4[app_id],Table4[personalization],"",0)="Yes",1,0)</f>
        <v>1</v>
      </c>
      <c r="J101">
        <f>IF(_xlfn.XLOOKUP(Table49[[#This Row],[app_id]],Table4[app_id],Table4[dark_mode],"",0)="Yes",1,0)</f>
        <v>1</v>
      </c>
      <c r="K101">
        <f>IF(_xlfn.XLOOKUP(Table49[[#This Row],[app_id]],Table4[app_id],Table4[multi_language_support],"",0)="Yes",1,0)</f>
        <v>0</v>
      </c>
      <c r="L101" cm="1">
        <f t="array" ref="L101">_xlfn.IFS(_xlfn.XLOOKUP(Table49[[#This Row],[app_id]],Table4[app_id],Table4[security_features])="Basic",0,_xlfn.XLOOKUP(Table49[[#This Row],[app_id]],Table4[app_id],Table4[security_features])="Advanced",1,_xlfn.XLOOKUP(Table49[[#This Row],[app_id]],Table4[app_id],Table4[security_features])="Biometric",3,TRUE,"")</f>
        <v>0</v>
      </c>
      <c r="M101">
        <f>_xlfn.XLOOKUP(Table49[[#This Row],[app_id]],Table7[app_id],Table7[rating_given],"",0)</f>
        <v>5</v>
      </c>
    </row>
    <row r="106" spans="1:13" x14ac:dyDescent="0.25">
      <c r="A106" t="s">
        <v>5191</v>
      </c>
    </row>
    <row r="107" spans="1:13" x14ac:dyDescent="0.25">
      <c r="B107" t="s">
        <v>14</v>
      </c>
      <c r="C107" t="s">
        <v>58</v>
      </c>
      <c r="D107" t="s">
        <v>89</v>
      </c>
      <c r="E107" t="s">
        <v>113</v>
      </c>
      <c r="F107" t="s">
        <v>138</v>
      </c>
      <c r="G107" t="s">
        <v>163</v>
      </c>
      <c r="H107" t="s">
        <v>184</v>
      </c>
      <c r="I107" t="s">
        <v>205</v>
      </c>
      <c r="J107" t="s">
        <v>225</v>
      </c>
    </row>
    <row r="108" spans="1:13" x14ac:dyDescent="0.25">
      <c r="A108" s="7" t="s">
        <v>246</v>
      </c>
      <c r="E108">
        <f>CORREL(Table49[push_notifications],Table49[rating_given])</f>
        <v>7.2721343074380719E-3</v>
      </c>
    </row>
    <row r="109" spans="1:13" x14ac:dyDescent="0.25">
      <c r="A109" s="7" t="s">
        <v>247</v>
      </c>
      <c r="E109">
        <f>CORREL(Table49[offline_access],Table49[rating_given])</f>
        <v>-3.4105326863661793E-2</v>
      </c>
    </row>
    <row r="110" spans="1:13" x14ac:dyDescent="0.25">
      <c r="A110" s="7" t="s">
        <v>248</v>
      </c>
      <c r="E110">
        <f>CORREL(Table49[ai_features],Table49[rating_given])</f>
        <v>2.6794393323902335E-2</v>
      </c>
    </row>
    <row r="111" spans="1:13" x14ac:dyDescent="0.25">
      <c r="A111" s="7" t="s">
        <v>249</v>
      </c>
      <c r="E111">
        <f>CORREL(Table49[chatbot_support],Table49[rating_given])</f>
        <v>8.4921996260636665E-2</v>
      </c>
    </row>
    <row r="112" spans="1:13" x14ac:dyDescent="0.25">
      <c r="A112" s="7" t="s">
        <v>250</v>
      </c>
      <c r="E112">
        <f>CORREL(Table49[chatbot_support],Table49[rating_given])</f>
        <v>8.4921996260636665E-2</v>
      </c>
    </row>
    <row r="113" spans="1:5" x14ac:dyDescent="0.25">
      <c r="A113" s="7" t="s">
        <v>251</v>
      </c>
      <c r="E113">
        <f>CORREL(Table49[dark_mode],Table49[rating_given])</f>
        <v>-9.9916732261822516E-2</v>
      </c>
    </row>
    <row r="114" spans="1:5" x14ac:dyDescent="0.25">
      <c r="A114" s="7" t="s">
        <v>252</v>
      </c>
      <c r="E114">
        <f>CORREL(Table49[dark_mode],Table49[rating_given])</f>
        <v>-9.9916732261822516E-2</v>
      </c>
    </row>
    <row r="115" spans="1:5" x14ac:dyDescent="0.25">
      <c r="A115" s="7" t="s">
        <v>253</v>
      </c>
      <c r="E115">
        <f>CORREL(Table49[multi_language_support],Table49[rating_given])</f>
        <v>-9.315787526981598E-3</v>
      </c>
    </row>
    <row r="116" spans="1:5" x14ac:dyDescent="0.25">
      <c r="A116" s="7" t="s">
        <v>254</v>
      </c>
      <c r="E116">
        <f>CORREL(Table49[security_features],Table49[rating_given])</f>
        <v>-0.25651443400799012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workbookViewId="0">
      <selection activeCell="P29" sqref="P29"/>
    </sheetView>
  </sheetViews>
  <sheetFormatPr defaultRowHeight="15" x14ac:dyDescent="0.25"/>
  <cols>
    <col min="2" max="2" width="12.42578125" customWidth="1"/>
    <col min="3" max="3" width="10.7109375" customWidth="1"/>
    <col min="4" max="4" width="10.85546875" customWidth="1"/>
    <col min="5" max="5" width="21.28515625" customWidth="1"/>
    <col min="6" max="6" width="13.85546875" customWidth="1"/>
    <col min="7" max="7" width="15.85546875" customWidth="1"/>
    <col min="8" max="8" width="15.7109375" customWidth="1"/>
    <col min="9" max="9" width="18" customWidth="1"/>
    <col min="10" max="10" width="14.7109375" customWidth="1"/>
    <col min="11" max="11" width="18.85546875" customWidth="1"/>
    <col min="12" max="12" width="19.7109375" customWidth="1"/>
    <col min="13" max="13" width="24.7109375" style="11" customWidth="1"/>
  </cols>
  <sheetData>
    <row r="1" spans="1:15" x14ac:dyDescent="0.25">
      <c r="A1" t="s">
        <v>0</v>
      </c>
      <c r="B1" t="s">
        <v>1</v>
      </c>
      <c r="C1" t="s">
        <v>2</v>
      </c>
      <c r="D1" t="s">
        <v>3</v>
      </c>
      <c r="E1" t="s">
        <v>4</v>
      </c>
      <c r="F1" t="s">
        <v>5</v>
      </c>
      <c r="G1" t="s">
        <v>6</v>
      </c>
      <c r="H1" t="s">
        <v>7</v>
      </c>
      <c r="I1" t="s">
        <v>8</v>
      </c>
      <c r="J1" t="s">
        <v>9</v>
      </c>
      <c r="K1" t="s">
        <v>10</v>
      </c>
      <c r="L1" t="s">
        <v>11</v>
      </c>
      <c r="M1" s="11" t="s">
        <v>375</v>
      </c>
    </row>
    <row r="2" spans="1:15" x14ac:dyDescent="0.25">
      <c r="A2" t="s">
        <v>12</v>
      </c>
      <c r="B2" t="s">
        <v>13</v>
      </c>
      <c r="C2" t="s">
        <v>14</v>
      </c>
      <c r="D2" t="s">
        <v>15</v>
      </c>
      <c r="E2" t="s">
        <v>16</v>
      </c>
      <c r="F2">
        <v>2021</v>
      </c>
      <c r="G2" t="s">
        <v>17</v>
      </c>
      <c r="H2">
        <v>3.4</v>
      </c>
      <c r="I2">
        <v>211000</v>
      </c>
      <c r="J2">
        <v>152</v>
      </c>
      <c r="K2" t="s">
        <v>18</v>
      </c>
      <c r="L2" s="1">
        <v>45842</v>
      </c>
      <c r="M2" s="11">
        <f>_xlfn.XLOOKUP(Table5[[#This Row],[app_id]],Table3[app_id],Table3[estimated_revenue_usd])</f>
        <v>65000</v>
      </c>
    </row>
    <row r="3" spans="1:15" x14ac:dyDescent="0.25">
      <c r="A3" t="s">
        <v>19</v>
      </c>
      <c r="B3" t="s">
        <v>20</v>
      </c>
      <c r="C3" t="s">
        <v>14</v>
      </c>
      <c r="D3" t="s">
        <v>21</v>
      </c>
      <c r="E3" t="s">
        <v>22</v>
      </c>
      <c r="F3">
        <v>2015</v>
      </c>
      <c r="G3" t="s">
        <v>17</v>
      </c>
      <c r="H3">
        <v>3.7</v>
      </c>
      <c r="I3">
        <v>48000</v>
      </c>
      <c r="J3">
        <v>244.3</v>
      </c>
      <c r="K3" t="s">
        <v>23</v>
      </c>
      <c r="L3" s="1">
        <v>45357</v>
      </c>
      <c r="M3" s="11">
        <f>_xlfn.XLOOKUP(Table5[[#This Row],[app_id]],Table3[app_id],Table3[estimated_revenue_usd])</f>
        <v>3900</v>
      </c>
    </row>
    <row r="4" spans="1:15" x14ac:dyDescent="0.25">
      <c r="A4" t="s">
        <v>24</v>
      </c>
      <c r="B4" t="s">
        <v>25</v>
      </c>
      <c r="C4" t="s">
        <v>14</v>
      </c>
      <c r="D4" t="s">
        <v>21</v>
      </c>
      <c r="E4" t="s">
        <v>16</v>
      </c>
      <c r="F4">
        <v>2021</v>
      </c>
      <c r="G4" t="s">
        <v>17</v>
      </c>
      <c r="H4">
        <v>4.4000000000000004</v>
      </c>
      <c r="I4">
        <v>61000</v>
      </c>
      <c r="J4">
        <v>160.6</v>
      </c>
      <c r="K4" t="s">
        <v>26</v>
      </c>
      <c r="L4" s="1">
        <v>45418</v>
      </c>
      <c r="M4" s="11">
        <f>_xlfn.XLOOKUP(Table5[[#This Row],[app_id]],Table3[app_id],Table3[estimated_revenue_usd])</f>
        <v>15100</v>
      </c>
    </row>
    <row r="5" spans="1:15" x14ac:dyDescent="0.25">
      <c r="A5" t="s">
        <v>27</v>
      </c>
      <c r="B5" t="s">
        <v>28</v>
      </c>
      <c r="C5" t="s">
        <v>14</v>
      </c>
      <c r="D5" t="s">
        <v>21</v>
      </c>
      <c r="E5" t="s">
        <v>29</v>
      </c>
      <c r="F5">
        <v>2015</v>
      </c>
      <c r="G5" t="s">
        <v>17</v>
      </c>
      <c r="H5">
        <v>3.2</v>
      </c>
      <c r="I5">
        <v>1227000</v>
      </c>
      <c r="J5">
        <v>217.1</v>
      </c>
      <c r="K5" t="s">
        <v>30</v>
      </c>
      <c r="L5" s="1">
        <v>45999</v>
      </c>
      <c r="M5" s="11">
        <f>_xlfn.XLOOKUP(Table5[[#This Row],[app_id]],Table3[app_id],Table3[estimated_revenue_usd])</f>
        <v>65000</v>
      </c>
    </row>
    <row r="6" spans="1:15" x14ac:dyDescent="0.25">
      <c r="A6" t="s">
        <v>31</v>
      </c>
      <c r="B6" t="s">
        <v>32</v>
      </c>
      <c r="C6" t="s">
        <v>14</v>
      </c>
      <c r="D6" t="s">
        <v>21</v>
      </c>
      <c r="E6" t="s">
        <v>33</v>
      </c>
      <c r="F6">
        <v>2015</v>
      </c>
      <c r="G6" t="s">
        <v>34</v>
      </c>
      <c r="H6">
        <v>4.5999999999999996</v>
      </c>
      <c r="I6">
        <v>12162000</v>
      </c>
      <c r="J6">
        <v>192</v>
      </c>
      <c r="K6" t="s">
        <v>35</v>
      </c>
      <c r="L6" s="1">
        <v>46076</v>
      </c>
      <c r="M6" s="11">
        <f>_xlfn.XLOOKUP(Table5[[#This Row],[app_id]],Table3[app_id],Table3[estimated_revenue_usd])</f>
        <v>2116200</v>
      </c>
    </row>
    <row r="7" spans="1:15" x14ac:dyDescent="0.25">
      <c r="A7" t="s">
        <v>36</v>
      </c>
      <c r="B7" t="s">
        <v>37</v>
      </c>
      <c r="C7" t="s">
        <v>14</v>
      </c>
      <c r="D7" t="s">
        <v>21</v>
      </c>
      <c r="E7" t="s">
        <v>38</v>
      </c>
      <c r="F7">
        <v>2022</v>
      </c>
      <c r="G7" t="s">
        <v>34</v>
      </c>
      <c r="H7">
        <v>4.4000000000000004</v>
      </c>
      <c r="I7">
        <v>30000</v>
      </c>
      <c r="J7">
        <v>58.7</v>
      </c>
      <c r="K7" t="s">
        <v>23</v>
      </c>
      <c r="L7" s="1">
        <v>46031</v>
      </c>
      <c r="M7" s="11">
        <f>_xlfn.XLOOKUP(Table5[[#This Row],[app_id]],Table3[app_id],Table3[estimated_revenue_usd])</f>
        <v>21100</v>
      </c>
    </row>
    <row r="8" spans="1:15" x14ac:dyDescent="0.25">
      <c r="A8" t="s">
        <v>39</v>
      </c>
      <c r="B8" t="s">
        <v>40</v>
      </c>
      <c r="C8" t="s">
        <v>14</v>
      </c>
      <c r="D8" t="s">
        <v>15</v>
      </c>
      <c r="E8" t="s">
        <v>41</v>
      </c>
      <c r="F8">
        <v>2020</v>
      </c>
      <c r="G8" t="s">
        <v>34</v>
      </c>
      <c r="H8">
        <v>4.0999999999999996</v>
      </c>
      <c r="I8">
        <v>66000</v>
      </c>
      <c r="J8">
        <v>28.9</v>
      </c>
      <c r="K8" t="s">
        <v>23</v>
      </c>
      <c r="L8" s="1">
        <v>45852</v>
      </c>
      <c r="M8" s="11">
        <f>_xlfn.XLOOKUP(Table5[[#This Row],[app_id]],Table3[app_id],Table3[estimated_revenue_usd])</f>
        <v>37700</v>
      </c>
    </row>
    <row r="9" spans="1:15" x14ac:dyDescent="0.25">
      <c r="A9" t="s">
        <v>42</v>
      </c>
      <c r="B9" t="s">
        <v>43</v>
      </c>
      <c r="C9" t="s">
        <v>14</v>
      </c>
      <c r="D9" t="s">
        <v>44</v>
      </c>
      <c r="E9" t="s">
        <v>45</v>
      </c>
      <c r="F9">
        <v>2019</v>
      </c>
      <c r="G9" t="s">
        <v>34</v>
      </c>
      <c r="H9">
        <v>3.5</v>
      </c>
      <c r="I9">
        <v>421000</v>
      </c>
      <c r="J9">
        <v>162</v>
      </c>
      <c r="K9" t="s">
        <v>46</v>
      </c>
      <c r="L9" s="1">
        <v>46117</v>
      </c>
      <c r="M9" s="11">
        <f>_xlfn.XLOOKUP(Table5[[#This Row],[app_id]],Table3[app_id],Table3[estimated_revenue_usd])</f>
        <v>68600</v>
      </c>
    </row>
    <row r="10" spans="1:15" x14ac:dyDescent="0.25">
      <c r="A10" t="s">
        <v>47</v>
      </c>
      <c r="B10" t="s">
        <v>48</v>
      </c>
      <c r="C10" t="s">
        <v>14</v>
      </c>
      <c r="D10" t="s">
        <v>21</v>
      </c>
      <c r="E10" t="s">
        <v>45</v>
      </c>
      <c r="F10">
        <v>2015</v>
      </c>
      <c r="G10" t="s">
        <v>17</v>
      </c>
      <c r="H10">
        <v>3.7</v>
      </c>
      <c r="I10">
        <v>265000</v>
      </c>
      <c r="J10">
        <v>61.1</v>
      </c>
      <c r="K10" t="s">
        <v>35</v>
      </c>
      <c r="L10" s="1">
        <v>45875</v>
      </c>
      <c r="M10" s="11">
        <f>_xlfn.XLOOKUP(Table5[[#This Row],[app_id]],Table3[app_id],Table3[estimated_revenue_usd])</f>
        <v>22800</v>
      </c>
      <c r="O10" t="str" cm="1">
        <f t="array" ref="O10:O18">_xlfn.UNIQUE(Table5[category],)</f>
        <v>Finance</v>
      </c>
    </row>
    <row r="11" spans="1:15" x14ac:dyDescent="0.25">
      <c r="A11" t="s">
        <v>49</v>
      </c>
      <c r="B11" t="s">
        <v>50</v>
      </c>
      <c r="C11" t="s">
        <v>14</v>
      </c>
      <c r="D11" t="s">
        <v>15</v>
      </c>
      <c r="E11" t="s">
        <v>38</v>
      </c>
      <c r="F11">
        <v>2018</v>
      </c>
      <c r="G11" t="s">
        <v>34</v>
      </c>
      <c r="H11">
        <v>4.0999999999999996</v>
      </c>
      <c r="I11">
        <v>305000</v>
      </c>
      <c r="J11">
        <v>222.1</v>
      </c>
      <c r="K11" t="s">
        <v>46</v>
      </c>
      <c r="L11" s="1">
        <v>45451</v>
      </c>
      <c r="M11" s="11">
        <f>_xlfn.XLOOKUP(Table5[[#This Row],[app_id]],Table3[app_id],Table3[estimated_revenue_usd])</f>
        <v>187600</v>
      </c>
      <c r="O11" t="str">
        <v>Shopping</v>
      </c>
    </row>
    <row r="12" spans="1:15" x14ac:dyDescent="0.25">
      <c r="A12" t="s">
        <v>51</v>
      </c>
      <c r="B12" t="s">
        <v>52</v>
      </c>
      <c r="C12" t="s">
        <v>14</v>
      </c>
      <c r="D12" t="s">
        <v>44</v>
      </c>
      <c r="E12" t="s">
        <v>45</v>
      </c>
      <c r="F12">
        <v>2021</v>
      </c>
      <c r="G12" t="s">
        <v>17</v>
      </c>
      <c r="H12">
        <v>4.2</v>
      </c>
      <c r="I12">
        <v>313000</v>
      </c>
      <c r="J12">
        <v>146.19999999999999</v>
      </c>
      <c r="K12" t="s">
        <v>35</v>
      </c>
      <c r="L12" s="1">
        <v>45978</v>
      </c>
      <c r="M12" s="11">
        <f>_xlfn.XLOOKUP(Table5[[#This Row],[app_id]],Table3[app_id],Table3[estimated_revenue_usd])</f>
        <v>24100</v>
      </c>
      <c r="O12" t="str">
        <v>Fitness</v>
      </c>
    </row>
    <row r="13" spans="1:15" x14ac:dyDescent="0.25">
      <c r="A13" t="s">
        <v>53</v>
      </c>
      <c r="B13" t="s">
        <v>54</v>
      </c>
      <c r="C13" t="s">
        <v>14</v>
      </c>
      <c r="D13" t="s">
        <v>21</v>
      </c>
      <c r="E13" t="s">
        <v>55</v>
      </c>
      <c r="F13">
        <v>2025</v>
      </c>
      <c r="G13" t="s">
        <v>34</v>
      </c>
      <c r="H13">
        <v>3.5</v>
      </c>
      <c r="I13">
        <v>106000</v>
      </c>
      <c r="J13">
        <v>222.2</v>
      </c>
      <c r="K13" t="s">
        <v>35</v>
      </c>
      <c r="L13" s="1">
        <v>45371</v>
      </c>
      <c r="M13" s="11">
        <f>_xlfn.XLOOKUP(Table5[[#This Row],[app_id]],Table3[app_id],Table3[estimated_revenue_usd])</f>
        <v>75200</v>
      </c>
      <c r="O13" t="str">
        <v>Education</v>
      </c>
    </row>
    <row r="14" spans="1:15" x14ac:dyDescent="0.25">
      <c r="A14" t="s">
        <v>56</v>
      </c>
      <c r="B14" t="s">
        <v>57</v>
      </c>
      <c r="C14" t="s">
        <v>58</v>
      </c>
      <c r="D14" t="s">
        <v>21</v>
      </c>
      <c r="E14" t="s">
        <v>59</v>
      </c>
      <c r="F14">
        <v>2023</v>
      </c>
      <c r="G14" t="s">
        <v>60</v>
      </c>
      <c r="H14">
        <v>3.2</v>
      </c>
      <c r="I14">
        <v>33000</v>
      </c>
      <c r="J14">
        <v>206.3</v>
      </c>
      <c r="K14" t="s">
        <v>61</v>
      </c>
      <c r="L14" s="1">
        <v>45314</v>
      </c>
      <c r="M14" s="11">
        <f>_xlfn.XLOOKUP(Table5[[#This Row],[app_id]],Table3[app_id],Table3[estimated_revenue_usd])</f>
        <v>11100</v>
      </c>
      <c r="O14" t="str">
        <v>Entertainment</v>
      </c>
    </row>
    <row r="15" spans="1:15" x14ac:dyDescent="0.25">
      <c r="A15" t="s">
        <v>62</v>
      </c>
      <c r="B15" t="s">
        <v>63</v>
      </c>
      <c r="C15" t="s">
        <v>58</v>
      </c>
      <c r="D15" t="s">
        <v>21</v>
      </c>
      <c r="E15" t="s">
        <v>59</v>
      </c>
      <c r="F15">
        <v>2021</v>
      </c>
      <c r="G15" t="s">
        <v>64</v>
      </c>
      <c r="H15">
        <v>4.5</v>
      </c>
      <c r="I15">
        <v>40000</v>
      </c>
      <c r="J15">
        <v>174.1</v>
      </c>
      <c r="K15" t="s">
        <v>46</v>
      </c>
      <c r="L15" s="1">
        <v>45331</v>
      </c>
      <c r="M15" s="11">
        <f>_xlfn.XLOOKUP(Table5[[#This Row],[app_id]],Table3[app_id],Table3[estimated_revenue_usd])</f>
        <v>11300</v>
      </c>
      <c r="O15" t="str">
        <v>Food Delivery</v>
      </c>
    </row>
    <row r="16" spans="1:15" x14ac:dyDescent="0.25">
      <c r="A16" t="s">
        <v>65</v>
      </c>
      <c r="B16" t="s">
        <v>66</v>
      </c>
      <c r="C16" t="s">
        <v>58</v>
      </c>
      <c r="D16" t="s">
        <v>21</v>
      </c>
      <c r="E16" t="s">
        <v>33</v>
      </c>
      <c r="F16">
        <v>2021</v>
      </c>
      <c r="G16" t="s">
        <v>34</v>
      </c>
      <c r="H16">
        <v>3.6</v>
      </c>
      <c r="I16">
        <v>836000</v>
      </c>
      <c r="J16">
        <v>226.4</v>
      </c>
      <c r="K16" t="s">
        <v>46</v>
      </c>
      <c r="L16" s="1">
        <v>45493</v>
      </c>
      <c r="M16" s="11">
        <f>_xlfn.XLOOKUP(Table5[[#This Row],[app_id]],Table3[app_id],Table3[estimated_revenue_usd])</f>
        <v>146300</v>
      </c>
      <c r="O16" t="str">
        <v>Travel</v>
      </c>
    </row>
    <row r="17" spans="1:15" x14ac:dyDescent="0.25">
      <c r="A17" t="s">
        <v>67</v>
      </c>
      <c r="B17" t="s">
        <v>68</v>
      </c>
      <c r="C17" t="s">
        <v>58</v>
      </c>
      <c r="D17" t="s">
        <v>21</v>
      </c>
      <c r="E17" t="s">
        <v>38</v>
      </c>
      <c r="F17">
        <v>2019</v>
      </c>
      <c r="G17" t="s">
        <v>34</v>
      </c>
      <c r="H17">
        <v>3.4</v>
      </c>
      <c r="I17">
        <v>13032000</v>
      </c>
      <c r="J17">
        <v>39.1</v>
      </c>
      <c r="K17" t="s">
        <v>69</v>
      </c>
      <c r="L17" s="1">
        <v>45874</v>
      </c>
      <c r="M17" s="11">
        <f>_xlfn.XLOOKUP(Table5[[#This Row],[app_id]],Table3[app_id],Table3[estimated_revenue_usd])</f>
        <v>4443900</v>
      </c>
      <c r="O17" t="str">
        <v>Productivity</v>
      </c>
    </row>
    <row r="18" spans="1:15" x14ac:dyDescent="0.25">
      <c r="A18" t="s">
        <v>70</v>
      </c>
      <c r="B18" t="s">
        <v>71</v>
      </c>
      <c r="C18" t="s">
        <v>58</v>
      </c>
      <c r="D18" t="s">
        <v>21</v>
      </c>
      <c r="E18" t="s">
        <v>45</v>
      </c>
      <c r="F18">
        <v>2021</v>
      </c>
      <c r="G18" t="s">
        <v>34</v>
      </c>
      <c r="H18">
        <v>4.5999999999999996</v>
      </c>
      <c r="I18">
        <v>4130000</v>
      </c>
      <c r="J18">
        <v>69.8</v>
      </c>
      <c r="K18" t="s">
        <v>69</v>
      </c>
      <c r="L18" s="1">
        <v>46081</v>
      </c>
      <c r="M18" s="11">
        <f>_xlfn.XLOOKUP(Table5[[#This Row],[app_id]],Table3[app_id],Table3[estimated_revenue_usd])</f>
        <v>2056700</v>
      </c>
      <c r="O18" t="str">
        <v>Health</v>
      </c>
    </row>
    <row r="19" spans="1:15" x14ac:dyDescent="0.25">
      <c r="A19" t="s">
        <v>72</v>
      </c>
      <c r="B19" t="s">
        <v>73</v>
      </c>
      <c r="C19" t="s">
        <v>58</v>
      </c>
      <c r="D19" t="s">
        <v>44</v>
      </c>
      <c r="E19" t="s">
        <v>59</v>
      </c>
      <c r="F19">
        <v>2017</v>
      </c>
      <c r="G19" t="s">
        <v>64</v>
      </c>
      <c r="H19">
        <v>4.4000000000000004</v>
      </c>
      <c r="I19">
        <v>548000</v>
      </c>
      <c r="J19">
        <v>234.3</v>
      </c>
      <c r="K19" t="s">
        <v>46</v>
      </c>
      <c r="L19" s="1">
        <v>45754</v>
      </c>
      <c r="M19" s="11">
        <f>_xlfn.XLOOKUP(Table5[[#This Row],[app_id]],Table3[app_id],Table3[estimated_revenue_usd])</f>
        <v>91000</v>
      </c>
    </row>
    <row r="20" spans="1:15" x14ac:dyDescent="0.25">
      <c r="A20" t="s">
        <v>74</v>
      </c>
      <c r="B20" t="s">
        <v>75</v>
      </c>
      <c r="C20" t="s">
        <v>58</v>
      </c>
      <c r="D20" t="s">
        <v>15</v>
      </c>
      <c r="E20" t="s">
        <v>59</v>
      </c>
      <c r="F20">
        <v>2018</v>
      </c>
      <c r="G20" t="s">
        <v>64</v>
      </c>
      <c r="H20">
        <v>4.0999999999999996</v>
      </c>
      <c r="I20">
        <v>7834000</v>
      </c>
      <c r="J20">
        <v>78.2</v>
      </c>
      <c r="K20" t="s">
        <v>69</v>
      </c>
      <c r="L20" s="1">
        <v>45638</v>
      </c>
      <c r="M20" s="11">
        <f>_xlfn.XLOOKUP(Table5[[#This Row],[app_id]],Table3[app_id],Table3[estimated_revenue_usd])</f>
        <v>399500</v>
      </c>
    </row>
    <row r="21" spans="1:15" x14ac:dyDescent="0.25">
      <c r="A21" t="s">
        <v>76</v>
      </c>
      <c r="B21" t="s">
        <v>77</v>
      </c>
      <c r="C21" t="s">
        <v>58</v>
      </c>
      <c r="D21" t="s">
        <v>44</v>
      </c>
      <c r="E21" t="s">
        <v>29</v>
      </c>
      <c r="F21">
        <v>2022</v>
      </c>
      <c r="G21" t="s">
        <v>17</v>
      </c>
      <c r="H21">
        <v>3.4</v>
      </c>
      <c r="I21">
        <v>231000</v>
      </c>
      <c r="J21">
        <v>103.1</v>
      </c>
      <c r="K21" t="s">
        <v>30</v>
      </c>
      <c r="L21" s="1">
        <v>45616</v>
      </c>
      <c r="M21" s="11">
        <f>_xlfn.XLOOKUP(Table5[[#This Row],[app_id]],Table3[app_id],Table3[estimated_revenue_usd])</f>
        <v>17600</v>
      </c>
    </row>
    <row r="22" spans="1:15" x14ac:dyDescent="0.25">
      <c r="A22" t="s">
        <v>78</v>
      </c>
      <c r="B22" t="s">
        <v>79</v>
      </c>
      <c r="C22" t="s">
        <v>58</v>
      </c>
      <c r="D22" t="s">
        <v>21</v>
      </c>
      <c r="E22" t="s">
        <v>16</v>
      </c>
      <c r="F22">
        <v>2017</v>
      </c>
      <c r="G22" t="s">
        <v>64</v>
      </c>
      <c r="H22">
        <v>3.4</v>
      </c>
      <c r="I22">
        <v>34000</v>
      </c>
      <c r="J22">
        <v>82.2</v>
      </c>
      <c r="K22" t="s">
        <v>23</v>
      </c>
      <c r="L22" s="1">
        <v>45356</v>
      </c>
      <c r="M22" s="11">
        <f>_xlfn.XLOOKUP(Table5[[#This Row],[app_id]],Table3[app_id],Table3[estimated_revenue_usd])</f>
        <v>3100</v>
      </c>
    </row>
    <row r="23" spans="1:15" x14ac:dyDescent="0.25">
      <c r="A23" t="s">
        <v>80</v>
      </c>
      <c r="B23" t="s">
        <v>81</v>
      </c>
      <c r="C23" t="s">
        <v>58</v>
      </c>
      <c r="D23" t="s">
        <v>15</v>
      </c>
      <c r="E23" t="s">
        <v>82</v>
      </c>
      <c r="F23">
        <v>2024</v>
      </c>
      <c r="G23" t="s">
        <v>34</v>
      </c>
      <c r="H23">
        <v>4.8</v>
      </c>
      <c r="I23">
        <v>19320000</v>
      </c>
      <c r="J23">
        <v>41.1</v>
      </c>
      <c r="K23" t="s">
        <v>35</v>
      </c>
      <c r="L23" s="1">
        <v>46105</v>
      </c>
      <c r="M23" s="11">
        <f>_xlfn.XLOOKUP(Table5[[#This Row],[app_id]],Table3[app_id],Table3[estimated_revenue_usd])</f>
        <v>11147600</v>
      </c>
    </row>
    <row r="24" spans="1:15" x14ac:dyDescent="0.25">
      <c r="A24" t="s">
        <v>83</v>
      </c>
      <c r="B24" t="s">
        <v>84</v>
      </c>
      <c r="C24" t="s">
        <v>58</v>
      </c>
      <c r="D24" t="s">
        <v>21</v>
      </c>
      <c r="E24" t="s">
        <v>22</v>
      </c>
      <c r="F24">
        <v>2020</v>
      </c>
      <c r="G24" t="s">
        <v>34</v>
      </c>
      <c r="H24">
        <v>3.8</v>
      </c>
      <c r="I24">
        <v>982000</v>
      </c>
      <c r="J24">
        <v>175.8</v>
      </c>
      <c r="K24" t="s">
        <v>35</v>
      </c>
      <c r="L24" s="1">
        <v>45639</v>
      </c>
      <c r="M24" s="11">
        <f>_xlfn.XLOOKUP(Table5[[#This Row],[app_id]],Table3[app_id],Table3[estimated_revenue_usd])</f>
        <v>790500</v>
      </c>
    </row>
    <row r="25" spans="1:15" x14ac:dyDescent="0.25">
      <c r="A25" t="s">
        <v>85</v>
      </c>
      <c r="B25" t="s">
        <v>86</v>
      </c>
      <c r="C25" t="s">
        <v>58</v>
      </c>
      <c r="D25" t="s">
        <v>21</v>
      </c>
      <c r="E25" t="s">
        <v>45</v>
      </c>
      <c r="F25">
        <v>2022</v>
      </c>
      <c r="G25" t="s">
        <v>60</v>
      </c>
      <c r="H25">
        <v>4</v>
      </c>
      <c r="I25">
        <v>27000</v>
      </c>
      <c r="J25">
        <v>232.4</v>
      </c>
      <c r="K25" t="s">
        <v>46</v>
      </c>
      <c r="L25" s="1">
        <v>45588</v>
      </c>
      <c r="M25" s="11">
        <f>_xlfn.XLOOKUP(Table5[[#This Row],[app_id]],Table3[app_id],Table3[estimated_revenue_usd])</f>
        <v>5300</v>
      </c>
    </row>
    <row r="26" spans="1:15" x14ac:dyDescent="0.25">
      <c r="A26" t="s">
        <v>87</v>
      </c>
      <c r="B26" t="s">
        <v>88</v>
      </c>
      <c r="C26" t="s">
        <v>89</v>
      </c>
      <c r="D26" t="s">
        <v>15</v>
      </c>
      <c r="E26" t="s">
        <v>22</v>
      </c>
      <c r="F26">
        <v>2025</v>
      </c>
      <c r="G26" t="s">
        <v>17</v>
      </c>
      <c r="H26">
        <v>3.6</v>
      </c>
      <c r="I26">
        <v>2559000</v>
      </c>
      <c r="J26">
        <v>183.4</v>
      </c>
      <c r="K26" t="s">
        <v>26</v>
      </c>
      <c r="L26" s="1">
        <v>45825</v>
      </c>
      <c r="M26" s="11">
        <f>_xlfn.XLOOKUP(Table5[[#This Row],[app_id]],Table3[app_id],Table3[estimated_revenue_usd])</f>
        <v>432500</v>
      </c>
    </row>
    <row r="27" spans="1:15" x14ac:dyDescent="0.25">
      <c r="A27" t="s">
        <v>90</v>
      </c>
      <c r="B27" t="s">
        <v>91</v>
      </c>
      <c r="C27" t="s">
        <v>89</v>
      </c>
      <c r="D27" t="s">
        <v>21</v>
      </c>
      <c r="E27" t="s">
        <v>16</v>
      </c>
      <c r="F27">
        <v>2019</v>
      </c>
      <c r="G27" t="s">
        <v>34</v>
      </c>
      <c r="H27">
        <v>3.8</v>
      </c>
      <c r="I27">
        <v>5689000</v>
      </c>
      <c r="J27">
        <v>71.099999999999994</v>
      </c>
      <c r="K27" t="s">
        <v>35</v>
      </c>
      <c r="L27" s="1">
        <v>45902</v>
      </c>
      <c r="M27" s="11">
        <f>_xlfn.XLOOKUP(Table5[[#This Row],[app_id]],Table3[app_id],Table3[estimated_revenue_usd])</f>
        <v>1245900</v>
      </c>
    </row>
    <row r="28" spans="1:15" x14ac:dyDescent="0.25">
      <c r="A28" t="s">
        <v>92</v>
      </c>
      <c r="B28" t="s">
        <v>93</v>
      </c>
      <c r="C28" t="s">
        <v>89</v>
      </c>
      <c r="D28" t="s">
        <v>15</v>
      </c>
      <c r="E28" t="s">
        <v>41</v>
      </c>
      <c r="F28">
        <v>2019</v>
      </c>
      <c r="G28" t="s">
        <v>64</v>
      </c>
      <c r="H28">
        <v>3.8</v>
      </c>
      <c r="I28">
        <v>37000</v>
      </c>
      <c r="J28">
        <v>33.799999999999997</v>
      </c>
      <c r="K28" t="s">
        <v>18</v>
      </c>
      <c r="L28" s="1">
        <v>45351</v>
      </c>
      <c r="M28" s="11">
        <f>_xlfn.XLOOKUP(Table5[[#This Row],[app_id]],Table3[app_id],Table3[estimated_revenue_usd])</f>
        <v>11900</v>
      </c>
    </row>
    <row r="29" spans="1:15" x14ac:dyDescent="0.25">
      <c r="A29" t="s">
        <v>94</v>
      </c>
      <c r="B29" t="s">
        <v>95</v>
      </c>
      <c r="C29" t="s">
        <v>89</v>
      </c>
      <c r="D29" t="s">
        <v>21</v>
      </c>
      <c r="E29" t="s">
        <v>16</v>
      </c>
      <c r="F29">
        <v>2023</v>
      </c>
      <c r="G29" t="s">
        <v>60</v>
      </c>
      <c r="H29">
        <v>4.3</v>
      </c>
      <c r="I29">
        <v>490000</v>
      </c>
      <c r="J29">
        <v>158.80000000000001</v>
      </c>
      <c r="K29" t="s">
        <v>23</v>
      </c>
      <c r="L29" s="1">
        <v>45891</v>
      </c>
      <c r="M29" s="11">
        <f>_xlfn.XLOOKUP(Table5[[#This Row],[app_id]],Table3[app_id],Table3[estimated_revenue_usd])</f>
        <v>63700</v>
      </c>
    </row>
    <row r="30" spans="1:15" x14ac:dyDescent="0.25">
      <c r="A30" t="s">
        <v>96</v>
      </c>
      <c r="B30" t="s">
        <v>97</v>
      </c>
      <c r="C30" t="s">
        <v>89</v>
      </c>
      <c r="D30" t="s">
        <v>21</v>
      </c>
      <c r="E30" t="s">
        <v>82</v>
      </c>
      <c r="F30">
        <v>2023</v>
      </c>
      <c r="G30" t="s">
        <v>34</v>
      </c>
      <c r="H30">
        <v>4.0999999999999996</v>
      </c>
      <c r="I30">
        <v>2723000</v>
      </c>
      <c r="J30">
        <v>160.19999999999999</v>
      </c>
      <c r="K30" t="s">
        <v>26</v>
      </c>
      <c r="L30" s="1">
        <v>45439</v>
      </c>
      <c r="M30" s="11">
        <f>_xlfn.XLOOKUP(Table5[[#This Row],[app_id]],Table3[app_id],Table3[estimated_revenue_usd])</f>
        <v>1456800</v>
      </c>
    </row>
    <row r="31" spans="1:15" x14ac:dyDescent="0.25">
      <c r="A31" t="s">
        <v>98</v>
      </c>
      <c r="B31" t="s">
        <v>99</v>
      </c>
      <c r="C31" t="s">
        <v>89</v>
      </c>
      <c r="D31" t="s">
        <v>44</v>
      </c>
      <c r="E31" t="s">
        <v>55</v>
      </c>
      <c r="F31">
        <v>2016</v>
      </c>
      <c r="G31" t="s">
        <v>60</v>
      </c>
      <c r="H31">
        <v>3.2</v>
      </c>
      <c r="I31">
        <v>564000</v>
      </c>
      <c r="J31">
        <v>48.5</v>
      </c>
      <c r="K31" t="s">
        <v>18</v>
      </c>
      <c r="L31" s="1">
        <v>45631</v>
      </c>
      <c r="M31" s="11">
        <f>_xlfn.XLOOKUP(Table5[[#This Row],[app_id]],Table3[app_id],Table3[estimated_revenue_usd])</f>
        <v>39500</v>
      </c>
    </row>
    <row r="32" spans="1:15" x14ac:dyDescent="0.25">
      <c r="A32" t="s">
        <v>100</v>
      </c>
      <c r="B32" t="s">
        <v>101</v>
      </c>
      <c r="C32" t="s">
        <v>89</v>
      </c>
      <c r="D32" t="s">
        <v>44</v>
      </c>
      <c r="E32" t="s">
        <v>45</v>
      </c>
      <c r="F32">
        <v>2018</v>
      </c>
      <c r="G32" t="s">
        <v>17</v>
      </c>
      <c r="H32">
        <v>3.9</v>
      </c>
      <c r="I32">
        <v>296000</v>
      </c>
      <c r="J32">
        <v>41.9</v>
      </c>
      <c r="K32" t="s">
        <v>69</v>
      </c>
      <c r="L32" s="1">
        <v>45435</v>
      </c>
      <c r="M32" s="11">
        <f>_xlfn.XLOOKUP(Table5[[#This Row],[app_id]],Table3[app_id],Table3[estimated_revenue_usd])</f>
        <v>25800</v>
      </c>
    </row>
    <row r="33" spans="1:13" x14ac:dyDescent="0.25">
      <c r="A33" t="s">
        <v>102</v>
      </c>
      <c r="B33" t="s">
        <v>103</v>
      </c>
      <c r="C33" t="s">
        <v>89</v>
      </c>
      <c r="D33" t="s">
        <v>15</v>
      </c>
      <c r="E33" t="s">
        <v>38</v>
      </c>
      <c r="F33">
        <v>2017</v>
      </c>
      <c r="G33" t="s">
        <v>64</v>
      </c>
      <c r="H33">
        <v>4.0999999999999996</v>
      </c>
      <c r="I33">
        <v>21429000</v>
      </c>
      <c r="J33">
        <v>144.1</v>
      </c>
      <c r="K33" t="s">
        <v>61</v>
      </c>
      <c r="L33" s="1">
        <v>45475</v>
      </c>
      <c r="M33" s="11">
        <f>_xlfn.XLOOKUP(Table5[[#This Row],[app_id]],Table3[app_id],Table3[estimated_revenue_usd])</f>
        <v>3621500</v>
      </c>
    </row>
    <row r="34" spans="1:13" x14ac:dyDescent="0.25">
      <c r="A34" t="s">
        <v>104</v>
      </c>
      <c r="B34" t="s">
        <v>103</v>
      </c>
      <c r="C34" t="s">
        <v>89</v>
      </c>
      <c r="D34" t="s">
        <v>44</v>
      </c>
      <c r="E34" t="s">
        <v>41</v>
      </c>
      <c r="F34">
        <v>2017</v>
      </c>
      <c r="G34" t="s">
        <v>17</v>
      </c>
      <c r="H34">
        <v>3.9</v>
      </c>
      <c r="I34">
        <v>301000</v>
      </c>
      <c r="J34">
        <v>107.8</v>
      </c>
      <c r="K34" t="s">
        <v>18</v>
      </c>
      <c r="L34" s="1">
        <v>45521</v>
      </c>
      <c r="M34" s="11">
        <f>_xlfn.XLOOKUP(Table5[[#This Row],[app_id]],Table3[app_id],Table3[estimated_revenue_usd])</f>
        <v>23500</v>
      </c>
    </row>
    <row r="35" spans="1:13" x14ac:dyDescent="0.25">
      <c r="A35" t="s">
        <v>105</v>
      </c>
      <c r="B35" t="s">
        <v>106</v>
      </c>
      <c r="C35" t="s">
        <v>89</v>
      </c>
      <c r="D35" t="s">
        <v>21</v>
      </c>
      <c r="E35" t="s">
        <v>59</v>
      </c>
      <c r="F35">
        <v>2019</v>
      </c>
      <c r="G35" t="s">
        <v>60</v>
      </c>
      <c r="H35">
        <v>4.5</v>
      </c>
      <c r="I35">
        <v>215000</v>
      </c>
      <c r="J35">
        <v>143.6</v>
      </c>
      <c r="K35" t="s">
        <v>26</v>
      </c>
      <c r="L35" s="1">
        <v>45331</v>
      </c>
      <c r="M35" s="11">
        <f>_xlfn.XLOOKUP(Table5[[#This Row],[app_id]],Table3[app_id],Table3[estimated_revenue_usd])</f>
        <v>62800</v>
      </c>
    </row>
    <row r="36" spans="1:13" x14ac:dyDescent="0.25">
      <c r="A36" t="s">
        <v>107</v>
      </c>
      <c r="B36" t="s">
        <v>108</v>
      </c>
      <c r="C36" t="s">
        <v>89</v>
      </c>
      <c r="D36" t="s">
        <v>15</v>
      </c>
      <c r="E36" t="s">
        <v>22</v>
      </c>
      <c r="F36">
        <v>2025</v>
      </c>
      <c r="G36" t="s">
        <v>64</v>
      </c>
      <c r="H36">
        <v>4.7</v>
      </c>
      <c r="I36">
        <v>2512000</v>
      </c>
      <c r="J36">
        <v>215.6</v>
      </c>
      <c r="K36" t="s">
        <v>35</v>
      </c>
      <c r="L36" s="1">
        <v>45953</v>
      </c>
      <c r="M36" s="11">
        <f>_xlfn.XLOOKUP(Table5[[#This Row],[app_id]],Table3[app_id],Table3[estimated_revenue_usd])</f>
        <v>708400</v>
      </c>
    </row>
    <row r="37" spans="1:13" x14ac:dyDescent="0.25">
      <c r="A37" t="s">
        <v>109</v>
      </c>
      <c r="B37" t="s">
        <v>110</v>
      </c>
      <c r="C37" t="s">
        <v>89</v>
      </c>
      <c r="D37" t="s">
        <v>15</v>
      </c>
      <c r="E37" t="s">
        <v>22</v>
      </c>
      <c r="F37">
        <v>2025</v>
      </c>
      <c r="G37" t="s">
        <v>64</v>
      </c>
      <c r="H37">
        <v>4.0999999999999996</v>
      </c>
      <c r="I37">
        <v>1858000</v>
      </c>
      <c r="J37">
        <v>64.2</v>
      </c>
      <c r="K37" t="s">
        <v>26</v>
      </c>
      <c r="L37" s="1">
        <v>45913</v>
      </c>
      <c r="M37" s="11">
        <f>_xlfn.XLOOKUP(Table5[[#This Row],[app_id]],Table3[app_id],Table3[estimated_revenue_usd])</f>
        <v>466400</v>
      </c>
    </row>
    <row r="38" spans="1:13" x14ac:dyDescent="0.25">
      <c r="A38" t="s">
        <v>111</v>
      </c>
      <c r="B38" t="s">
        <v>112</v>
      </c>
      <c r="C38" t="s">
        <v>113</v>
      </c>
      <c r="D38" t="s">
        <v>15</v>
      </c>
      <c r="E38" t="s">
        <v>29</v>
      </c>
      <c r="F38">
        <v>2015</v>
      </c>
      <c r="G38" t="s">
        <v>17</v>
      </c>
      <c r="H38">
        <v>3.2</v>
      </c>
      <c r="I38">
        <v>2259000</v>
      </c>
      <c r="J38">
        <v>61.9</v>
      </c>
      <c r="K38" t="s">
        <v>46</v>
      </c>
      <c r="L38" s="1">
        <v>45489</v>
      </c>
      <c r="M38" s="11">
        <f>_xlfn.XLOOKUP(Table5[[#This Row],[app_id]],Table3[app_id],Table3[estimated_revenue_usd])</f>
        <v>122000</v>
      </c>
    </row>
    <row r="39" spans="1:13" x14ac:dyDescent="0.25">
      <c r="A39" t="s">
        <v>114</v>
      </c>
      <c r="B39" t="s">
        <v>115</v>
      </c>
      <c r="C39" t="s">
        <v>113</v>
      </c>
      <c r="D39" t="s">
        <v>21</v>
      </c>
      <c r="E39" t="s">
        <v>41</v>
      </c>
      <c r="F39">
        <v>2024</v>
      </c>
      <c r="G39" t="s">
        <v>34</v>
      </c>
      <c r="H39">
        <v>3.4</v>
      </c>
      <c r="I39">
        <v>49000</v>
      </c>
      <c r="J39">
        <v>19.3</v>
      </c>
      <c r="K39" t="s">
        <v>30</v>
      </c>
      <c r="L39" s="1">
        <v>45699</v>
      </c>
      <c r="M39" s="11">
        <f>_xlfn.XLOOKUP(Table5[[#This Row],[app_id]],Table3[app_id],Table3[estimated_revenue_usd])</f>
        <v>21300</v>
      </c>
    </row>
    <row r="40" spans="1:13" x14ac:dyDescent="0.25">
      <c r="A40" t="s">
        <v>116</v>
      </c>
      <c r="B40" t="s">
        <v>117</v>
      </c>
      <c r="C40" t="s">
        <v>113</v>
      </c>
      <c r="D40" t="s">
        <v>21</v>
      </c>
      <c r="E40" t="s">
        <v>29</v>
      </c>
      <c r="F40">
        <v>2019</v>
      </c>
      <c r="G40" t="s">
        <v>64</v>
      </c>
      <c r="H40">
        <v>3.8</v>
      </c>
      <c r="I40">
        <v>13836000</v>
      </c>
      <c r="J40">
        <v>45.1</v>
      </c>
      <c r="K40" t="s">
        <v>26</v>
      </c>
      <c r="L40" s="1">
        <v>45335</v>
      </c>
      <c r="M40" s="11">
        <f>_xlfn.XLOOKUP(Table5[[#This Row],[app_id]],Table3[app_id],Table3[estimated_revenue_usd])</f>
        <v>4316800</v>
      </c>
    </row>
    <row r="41" spans="1:13" x14ac:dyDescent="0.25">
      <c r="A41" t="s">
        <v>118</v>
      </c>
      <c r="B41" t="s">
        <v>119</v>
      </c>
      <c r="C41" t="s">
        <v>113</v>
      </c>
      <c r="D41" t="s">
        <v>21</v>
      </c>
      <c r="E41" t="s">
        <v>41</v>
      </c>
      <c r="F41">
        <v>2015</v>
      </c>
      <c r="G41" t="s">
        <v>60</v>
      </c>
      <c r="H41">
        <v>3.5</v>
      </c>
      <c r="I41">
        <v>789000</v>
      </c>
      <c r="J41">
        <v>219.2</v>
      </c>
      <c r="K41" t="s">
        <v>69</v>
      </c>
      <c r="L41" s="1">
        <v>45399</v>
      </c>
      <c r="M41" s="11">
        <f>_xlfn.XLOOKUP(Table5[[#This Row],[app_id]],Table3[app_id],Table3[estimated_revenue_usd])</f>
        <v>243800</v>
      </c>
    </row>
    <row r="42" spans="1:13" x14ac:dyDescent="0.25">
      <c r="A42" t="s">
        <v>120</v>
      </c>
      <c r="B42" t="s">
        <v>121</v>
      </c>
      <c r="C42" t="s">
        <v>113</v>
      </c>
      <c r="D42" t="s">
        <v>44</v>
      </c>
      <c r="E42" t="s">
        <v>41</v>
      </c>
      <c r="F42">
        <v>2015</v>
      </c>
      <c r="G42" t="s">
        <v>60</v>
      </c>
      <c r="H42">
        <v>3.6</v>
      </c>
      <c r="I42">
        <v>17824000</v>
      </c>
      <c r="J42">
        <v>173.5</v>
      </c>
      <c r="K42" t="s">
        <v>30</v>
      </c>
      <c r="L42" s="1">
        <v>45392</v>
      </c>
      <c r="M42" s="11">
        <f>_xlfn.XLOOKUP(Table5[[#This Row],[app_id]],Table3[app_id],Table3[estimated_revenue_usd])</f>
        <v>534700</v>
      </c>
    </row>
    <row r="43" spans="1:13" x14ac:dyDescent="0.25">
      <c r="A43" t="s">
        <v>122</v>
      </c>
      <c r="B43" t="s">
        <v>123</v>
      </c>
      <c r="C43" t="s">
        <v>113</v>
      </c>
      <c r="D43" t="s">
        <v>21</v>
      </c>
      <c r="E43" t="s">
        <v>55</v>
      </c>
      <c r="F43">
        <v>2016</v>
      </c>
      <c r="G43" t="s">
        <v>64</v>
      </c>
      <c r="H43">
        <v>4.7</v>
      </c>
      <c r="I43">
        <v>22000</v>
      </c>
      <c r="J43">
        <v>149.1</v>
      </c>
      <c r="K43" t="s">
        <v>61</v>
      </c>
      <c r="L43" s="1">
        <v>45652</v>
      </c>
      <c r="M43" s="11">
        <f>_xlfn.XLOOKUP(Table5[[#This Row],[app_id]],Table3[app_id],Table3[estimated_revenue_usd])</f>
        <v>6300</v>
      </c>
    </row>
    <row r="44" spans="1:13" x14ac:dyDescent="0.25">
      <c r="A44" t="s">
        <v>124</v>
      </c>
      <c r="B44" t="s">
        <v>125</v>
      </c>
      <c r="C44" t="s">
        <v>113</v>
      </c>
      <c r="D44" t="s">
        <v>15</v>
      </c>
      <c r="E44" t="s">
        <v>41</v>
      </c>
      <c r="F44">
        <v>2019</v>
      </c>
      <c r="G44" t="s">
        <v>64</v>
      </c>
      <c r="H44">
        <v>3.6</v>
      </c>
      <c r="I44">
        <v>421000</v>
      </c>
      <c r="J44">
        <v>48.7</v>
      </c>
      <c r="K44" t="s">
        <v>26</v>
      </c>
      <c r="L44" s="1">
        <v>45293</v>
      </c>
      <c r="M44" s="11">
        <f>_xlfn.XLOOKUP(Table5[[#This Row],[app_id]],Table3[app_id],Table3[estimated_revenue_usd])</f>
        <v>117000</v>
      </c>
    </row>
    <row r="45" spans="1:13" x14ac:dyDescent="0.25">
      <c r="A45" t="s">
        <v>126</v>
      </c>
      <c r="B45" t="s">
        <v>127</v>
      </c>
      <c r="C45" t="s">
        <v>113</v>
      </c>
      <c r="D45" t="s">
        <v>21</v>
      </c>
      <c r="E45" t="s">
        <v>59</v>
      </c>
      <c r="F45">
        <v>2015</v>
      </c>
      <c r="G45" t="s">
        <v>17</v>
      </c>
      <c r="H45">
        <v>3.1</v>
      </c>
      <c r="I45">
        <v>789000</v>
      </c>
      <c r="J45">
        <v>150.30000000000001</v>
      </c>
      <c r="K45" t="s">
        <v>18</v>
      </c>
      <c r="L45" s="1">
        <v>45895</v>
      </c>
      <c r="M45" s="11">
        <f>_xlfn.XLOOKUP(Table5[[#This Row],[app_id]],Table3[app_id],Table3[estimated_revenue_usd])</f>
        <v>45000</v>
      </c>
    </row>
    <row r="46" spans="1:13" x14ac:dyDescent="0.25">
      <c r="A46" t="s">
        <v>128</v>
      </c>
      <c r="B46" t="s">
        <v>129</v>
      </c>
      <c r="C46" t="s">
        <v>113</v>
      </c>
      <c r="D46" t="s">
        <v>15</v>
      </c>
      <c r="E46" t="s">
        <v>33</v>
      </c>
      <c r="F46">
        <v>2019</v>
      </c>
      <c r="G46" t="s">
        <v>17</v>
      </c>
      <c r="H46">
        <v>3.2</v>
      </c>
      <c r="I46">
        <v>65000</v>
      </c>
      <c r="J46">
        <v>131.80000000000001</v>
      </c>
      <c r="K46" t="s">
        <v>46</v>
      </c>
      <c r="L46" s="1">
        <v>45337</v>
      </c>
      <c r="M46" s="11">
        <f>_xlfn.XLOOKUP(Table5[[#This Row],[app_id]],Table3[app_id],Table3[estimated_revenue_usd])</f>
        <v>14800</v>
      </c>
    </row>
    <row r="47" spans="1:13" x14ac:dyDescent="0.25">
      <c r="A47" t="s">
        <v>130</v>
      </c>
      <c r="B47" t="s">
        <v>131</v>
      </c>
      <c r="C47" t="s">
        <v>113</v>
      </c>
      <c r="D47" t="s">
        <v>15</v>
      </c>
      <c r="E47" t="s">
        <v>16</v>
      </c>
      <c r="F47">
        <v>2015</v>
      </c>
      <c r="G47" t="s">
        <v>64</v>
      </c>
      <c r="H47">
        <v>3.5</v>
      </c>
      <c r="I47">
        <v>1455000</v>
      </c>
      <c r="J47">
        <v>124.8</v>
      </c>
      <c r="K47" t="s">
        <v>18</v>
      </c>
      <c r="L47" s="1">
        <v>45774</v>
      </c>
      <c r="M47" s="11">
        <f>_xlfn.XLOOKUP(Table5[[#This Row],[app_id]],Table3[app_id],Table3[estimated_revenue_usd])</f>
        <v>71300</v>
      </c>
    </row>
    <row r="48" spans="1:13" x14ac:dyDescent="0.25">
      <c r="A48" t="s">
        <v>132</v>
      </c>
      <c r="B48" t="s">
        <v>133</v>
      </c>
      <c r="C48" t="s">
        <v>113</v>
      </c>
      <c r="D48" t="s">
        <v>15</v>
      </c>
      <c r="E48" t="s">
        <v>82</v>
      </c>
      <c r="F48">
        <v>2024</v>
      </c>
      <c r="G48" t="s">
        <v>17</v>
      </c>
      <c r="H48">
        <v>4.0999999999999996</v>
      </c>
      <c r="I48">
        <v>647000</v>
      </c>
      <c r="J48">
        <v>18.7</v>
      </c>
      <c r="K48" t="s">
        <v>26</v>
      </c>
      <c r="L48" s="1">
        <v>45330</v>
      </c>
      <c r="M48" s="11">
        <f>_xlfn.XLOOKUP(Table5[[#This Row],[app_id]],Table3[app_id],Table3[estimated_revenue_usd])</f>
        <v>124900</v>
      </c>
    </row>
    <row r="49" spans="1:13" x14ac:dyDescent="0.25">
      <c r="A49" t="s">
        <v>134</v>
      </c>
      <c r="B49" t="s">
        <v>135</v>
      </c>
      <c r="C49" t="s">
        <v>113</v>
      </c>
      <c r="D49" t="s">
        <v>44</v>
      </c>
      <c r="E49" t="s">
        <v>33</v>
      </c>
      <c r="F49">
        <v>2018</v>
      </c>
      <c r="G49" t="s">
        <v>34</v>
      </c>
      <c r="H49">
        <v>4.5</v>
      </c>
      <c r="I49">
        <v>69000</v>
      </c>
      <c r="J49">
        <v>196.7</v>
      </c>
      <c r="K49" t="s">
        <v>30</v>
      </c>
      <c r="L49" s="1">
        <v>45582</v>
      </c>
      <c r="M49" s="11">
        <f>_xlfn.XLOOKUP(Table5[[#This Row],[app_id]],Table3[app_id],Table3[estimated_revenue_usd])</f>
        <v>15200</v>
      </c>
    </row>
    <row r="50" spans="1:13" x14ac:dyDescent="0.25">
      <c r="A50" t="s">
        <v>136</v>
      </c>
      <c r="B50" t="s">
        <v>137</v>
      </c>
      <c r="C50" t="s">
        <v>138</v>
      </c>
      <c r="D50" t="s">
        <v>21</v>
      </c>
      <c r="E50" t="s">
        <v>41</v>
      </c>
      <c r="F50">
        <v>2024</v>
      </c>
      <c r="G50" t="s">
        <v>17</v>
      </c>
      <c r="H50">
        <v>4.3</v>
      </c>
      <c r="I50">
        <v>4467000</v>
      </c>
      <c r="J50">
        <v>229.9</v>
      </c>
      <c r="K50" t="s">
        <v>23</v>
      </c>
      <c r="L50" s="1">
        <v>45576</v>
      </c>
      <c r="M50" s="11">
        <f>_xlfn.XLOOKUP(Table5[[#This Row],[app_id]],Table3[app_id],Table3[estimated_revenue_usd])</f>
        <v>1259700</v>
      </c>
    </row>
    <row r="51" spans="1:13" x14ac:dyDescent="0.25">
      <c r="A51" t="s">
        <v>139</v>
      </c>
      <c r="B51" t="s">
        <v>140</v>
      </c>
      <c r="C51" t="s">
        <v>138</v>
      </c>
      <c r="D51" t="s">
        <v>21</v>
      </c>
      <c r="E51" t="s">
        <v>33</v>
      </c>
      <c r="F51">
        <v>2019</v>
      </c>
      <c r="G51" t="s">
        <v>17</v>
      </c>
      <c r="H51">
        <v>3.6</v>
      </c>
      <c r="I51">
        <v>8590000</v>
      </c>
      <c r="J51">
        <v>78.8</v>
      </c>
      <c r="K51" t="s">
        <v>30</v>
      </c>
      <c r="L51" s="1">
        <v>46071</v>
      </c>
      <c r="M51" s="11">
        <f>_xlfn.XLOOKUP(Table5[[#This Row],[app_id]],Table3[app_id],Table3[estimated_revenue_usd])</f>
        <v>506800</v>
      </c>
    </row>
    <row r="52" spans="1:13" x14ac:dyDescent="0.25">
      <c r="A52" t="s">
        <v>141</v>
      </c>
      <c r="B52" t="s">
        <v>142</v>
      </c>
      <c r="C52" t="s">
        <v>138</v>
      </c>
      <c r="D52" t="s">
        <v>21</v>
      </c>
      <c r="E52" t="s">
        <v>82</v>
      </c>
      <c r="F52">
        <v>2022</v>
      </c>
      <c r="G52" t="s">
        <v>34</v>
      </c>
      <c r="H52">
        <v>3.9</v>
      </c>
      <c r="I52">
        <v>29000</v>
      </c>
      <c r="J52">
        <v>128.80000000000001</v>
      </c>
      <c r="K52" t="s">
        <v>18</v>
      </c>
      <c r="L52" s="1">
        <v>45629</v>
      </c>
      <c r="M52" s="11">
        <f>_xlfn.XLOOKUP(Table5[[#This Row],[app_id]],Table3[app_id],Table3[estimated_revenue_usd])</f>
        <v>15800</v>
      </c>
    </row>
    <row r="53" spans="1:13" x14ac:dyDescent="0.25">
      <c r="A53" t="s">
        <v>143</v>
      </c>
      <c r="B53" t="s">
        <v>144</v>
      </c>
      <c r="C53" t="s">
        <v>138</v>
      </c>
      <c r="D53" t="s">
        <v>21</v>
      </c>
      <c r="E53" t="s">
        <v>22</v>
      </c>
      <c r="F53">
        <v>2018</v>
      </c>
      <c r="G53" t="s">
        <v>64</v>
      </c>
      <c r="H53">
        <v>4.3</v>
      </c>
      <c r="I53">
        <v>1062000</v>
      </c>
      <c r="J53">
        <v>144.6</v>
      </c>
      <c r="K53" t="s">
        <v>69</v>
      </c>
      <c r="L53" s="1">
        <v>45917</v>
      </c>
      <c r="M53" s="11">
        <f>_xlfn.XLOOKUP(Table5[[#This Row],[app_id]],Table3[app_id],Table3[estimated_revenue_usd])</f>
        <v>123200</v>
      </c>
    </row>
    <row r="54" spans="1:13" x14ac:dyDescent="0.25">
      <c r="A54" t="s">
        <v>145</v>
      </c>
      <c r="B54" t="s">
        <v>146</v>
      </c>
      <c r="C54" t="s">
        <v>138</v>
      </c>
      <c r="D54" t="s">
        <v>21</v>
      </c>
      <c r="E54" t="s">
        <v>41</v>
      </c>
      <c r="F54">
        <v>2022</v>
      </c>
      <c r="G54" t="s">
        <v>60</v>
      </c>
      <c r="H54">
        <v>4.3</v>
      </c>
      <c r="I54">
        <v>3802000</v>
      </c>
      <c r="J54">
        <v>168</v>
      </c>
      <c r="K54" t="s">
        <v>18</v>
      </c>
      <c r="L54" s="1">
        <v>46124</v>
      </c>
      <c r="M54" s="11">
        <f>_xlfn.XLOOKUP(Table5[[#This Row],[app_id]],Table3[app_id],Table3[estimated_revenue_usd])</f>
        <v>140700</v>
      </c>
    </row>
    <row r="55" spans="1:13" x14ac:dyDescent="0.25">
      <c r="A55" t="s">
        <v>147</v>
      </c>
      <c r="B55" t="s">
        <v>148</v>
      </c>
      <c r="C55" t="s">
        <v>138</v>
      </c>
      <c r="D55" t="s">
        <v>15</v>
      </c>
      <c r="E55" t="s">
        <v>41</v>
      </c>
      <c r="F55">
        <v>2017</v>
      </c>
      <c r="G55" t="s">
        <v>60</v>
      </c>
      <c r="H55">
        <v>3.5</v>
      </c>
      <c r="I55">
        <v>20000</v>
      </c>
      <c r="J55">
        <v>54.9</v>
      </c>
      <c r="K55" t="s">
        <v>35</v>
      </c>
      <c r="L55" s="1">
        <v>45342</v>
      </c>
      <c r="M55" s="11">
        <f>_xlfn.XLOOKUP(Table5[[#This Row],[app_id]],Table3[app_id],Table3[estimated_revenue_usd])</f>
        <v>3400</v>
      </c>
    </row>
    <row r="56" spans="1:13" x14ac:dyDescent="0.25">
      <c r="A56" t="s">
        <v>149</v>
      </c>
      <c r="B56" t="s">
        <v>150</v>
      </c>
      <c r="C56" t="s">
        <v>138</v>
      </c>
      <c r="D56" t="s">
        <v>15</v>
      </c>
      <c r="E56" t="s">
        <v>59</v>
      </c>
      <c r="F56">
        <v>2023</v>
      </c>
      <c r="G56" t="s">
        <v>64</v>
      </c>
      <c r="H56">
        <v>3.8</v>
      </c>
      <c r="I56">
        <v>3516000</v>
      </c>
      <c r="J56">
        <v>229.9</v>
      </c>
      <c r="K56" t="s">
        <v>26</v>
      </c>
      <c r="L56" s="1">
        <v>45776</v>
      </c>
      <c r="M56" s="11">
        <f>_xlfn.XLOOKUP(Table5[[#This Row],[app_id]],Table3[app_id],Table3[estimated_revenue_usd])</f>
        <v>330500</v>
      </c>
    </row>
    <row r="57" spans="1:13" x14ac:dyDescent="0.25">
      <c r="A57" t="s">
        <v>151</v>
      </c>
      <c r="B57" t="s">
        <v>152</v>
      </c>
      <c r="C57" t="s">
        <v>138</v>
      </c>
      <c r="D57" t="s">
        <v>21</v>
      </c>
      <c r="E57" t="s">
        <v>16</v>
      </c>
      <c r="F57">
        <v>2015</v>
      </c>
      <c r="G57" t="s">
        <v>64</v>
      </c>
      <c r="H57">
        <v>4.4000000000000004</v>
      </c>
      <c r="I57">
        <v>200000</v>
      </c>
      <c r="J57">
        <v>41.6</v>
      </c>
      <c r="K57" t="s">
        <v>26</v>
      </c>
      <c r="L57" s="1">
        <v>45889</v>
      </c>
      <c r="M57" s="11">
        <f>_xlfn.XLOOKUP(Table5[[#This Row],[app_id]],Table3[app_id],Table3[estimated_revenue_usd])</f>
        <v>46400</v>
      </c>
    </row>
    <row r="58" spans="1:13" x14ac:dyDescent="0.25">
      <c r="A58" t="s">
        <v>153</v>
      </c>
      <c r="B58" t="s">
        <v>154</v>
      </c>
      <c r="C58" t="s">
        <v>138</v>
      </c>
      <c r="D58" t="s">
        <v>44</v>
      </c>
      <c r="E58" t="s">
        <v>29</v>
      </c>
      <c r="F58">
        <v>2020</v>
      </c>
      <c r="G58" t="s">
        <v>34</v>
      </c>
      <c r="H58">
        <v>4.8</v>
      </c>
      <c r="I58">
        <v>641000</v>
      </c>
      <c r="J58">
        <v>143.6</v>
      </c>
      <c r="K58" t="s">
        <v>30</v>
      </c>
      <c r="L58" s="1">
        <v>45844</v>
      </c>
      <c r="M58" s="11">
        <f>_xlfn.XLOOKUP(Table5[[#This Row],[app_id]],Table3[app_id],Table3[estimated_revenue_usd])</f>
        <v>347400</v>
      </c>
    </row>
    <row r="59" spans="1:13" x14ac:dyDescent="0.25">
      <c r="A59" t="s">
        <v>155</v>
      </c>
      <c r="B59" t="s">
        <v>156</v>
      </c>
      <c r="C59" t="s">
        <v>138</v>
      </c>
      <c r="D59" t="s">
        <v>15</v>
      </c>
      <c r="E59" t="s">
        <v>38</v>
      </c>
      <c r="F59">
        <v>2023</v>
      </c>
      <c r="G59" t="s">
        <v>17</v>
      </c>
      <c r="H59">
        <v>3.9</v>
      </c>
      <c r="I59">
        <v>12359000</v>
      </c>
      <c r="J59">
        <v>159.80000000000001</v>
      </c>
      <c r="K59" t="s">
        <v>46</v>
      </c>
      <c r="L59" s="1">
        <v>45444</v>
      </c>
      <c r="M59" s="11">
        <f>_xlfn.XLOOKUP(Table5[[#This Row],[app_id]],Table3[app_id],Table3[estimated_revenue_usd])</f>
        <v>3336900</v>
      </c>
    </row>
    <row r="60" spans="1:13" x14ac:dyDescent="0.25">
      <c r="A60" t="s">
        <v>157</v>
      </c>
      <c r="B60" t="s">
        <v>158</v>
      </c>
      <c r="C60" t="s">
        <v>138</v>
      </c>
      <c r="D60" t="s">
        <v>21</v>
      </c>
      <c r="E60" t="s">
        <v>29</v>
      </c>
      <c r="F60">
        <v>2018</v>
      </c>
      <c r="G60" t="s">
        <v>17</v>
      </c>
      <c r="H60">
        <v>3.8</v>
      </c>
      <c r="I60">
        <v>2911000</v>
      </c>
      <c r="J60">
        <v>213.1</v>
      </c>
      <c r="K60" t="s">
        <v>69</v>
      </c>
      <c r="L60" s="1">
        <v>45770</v>
      </c>
      <c r="M60" s="11">
        <f>_xlfn.XLOOKUP(Table5[[#This Row],[app_id]],Table3[app_id],Table3[estimated_revenue_usd])</f>
        <v>623000</v>
      </c>
    </row>
    <row r="61" spans="1:13" x14ac:dyDescent="0.25">
      <c r="A61" t="s">
        <v>159</v>
      </c>
      <c r="B61" t="s">
        <v>160</v>
      </c>
      <c r="C61" t="s">
        <v>138</v>
      </c>
      <c r="D61" t="s">
        <v>21</v>
      </c>
      <c r="E61" t="s">
        <v>82</v>
      </c>
      <c r="F61">
        <v>2021</v>
      </c>
      <c r="G61" t="s">
        <v>17</v>
      </c>
      <c r="H61">
        <v>4.4000000000000004</v>
      </c>
      <c r="I61">
        <v>2673000</v>
      </c>
      <c r="J61">
        <v>138.80000000000001</v>
      </c>
      <c r="K61" t="s">
        <v>18</v>
      </c>
      <c r="L61" s="1">
        <v>45543</v>
      </c>
      <c r="M61" s="11">
        <f>_xlfn.XLOOKUP(Table5[[#This Row],[app_id]],Table3[app_id],Table3[estimated_revenue_usd])</f>
        <v>748400</v>
      </c>
    </row>
    <row r="62" spans="1:13" x14ac:dyDescent="0.25">
      <c r="A62" t="s">
        <v>161</v>
      </c>
      <c r="B62" t="s">
        <v>162</v>
      </c>
      <c r="C62" t="s">
        <v>163</v>
      </c>
      <c r="D62" t="s">
        <v>21</v>
      </c>
      <c r="E62" t="s">
        <v>22</v>
      </c>
      <c r="F62">
        <v>2025</v>
      </c>
      <c r="G62" t="s">
        <v>17</v>
      </c>
      <c r="H62">
        <v>4.2</v>
      </c>
      <c r="I62">
        <v>3715000</v>
      </c>
      <c r="J62">
        <v>212</v>
      </c>
      <c r="K62" t="s">
        <v>26</v>
      </c>
      <c r="L62" s="1">
        <v>45379</v>
      </c>
      <c r="M62" s="11">
        <f>_xlfn.XLOOKUP(Table5[[#This Row],[app_id]],Table3[app_id],Table3[estimated_revenue_usd])</f>
        <v>1136800</v>
      </c>
    </row>
    <row r="63" spans="1:13" x14ac:dyDescent="0.25">
      <c r="A63" t="s">
        <v>164</v>
      </c>
      <c r="B63" t="s">
        <v>165</v>
      </c>
      <c r="C63" t="s">
        <v>163</v>
      </c>
      <c r="D63" t="s">
        <v>44</v>
      </c>
      <c r="E63" t="s">
        <v>33</v>
      </c>
      <c r="F63">
        <v>2024</v>
      </c>
      <c r="G63" t="s">
        <v>64</v>
      </c>
      <c r="H63">
        <v>3.4</v>
      </c>
      <c r="I63">
        <v>43000</v>
      </c>
      <c r="J63">
        <v>74</v>
      </c>
      <c r="K63" t="s">
        <v>69</v>
      </c>
      <c r="L63" s="1">
        <v>46104</v>
      </c>
      <c r="M63" s="11">
        <f>_xlfn.XLOOKUP(Table5[[#This Row],[app_id]],Table3[app_id],Table3[estimated_revenue_usd])</f>
        <v>11900</v>
      </c>
    </row>
    <row r="64" spans="1:13" x14ac:dyDescent="0.25">
      <c r="A64" t="s">
        <v>166</v>
      </c>
      <c r="B64" t="s">
        <v>167</v>
      </c>
      <c r="C64" t="s">
        <v>163</v>
      </c>
      <c r="D64" t="s">
        <v>21</v>
      </c>
      <c r="E64" t="s">
        <v>82</v>
      </c>
      <c r="F64">
        <v>2024</v>
      </c>
      <c r="G64" t="s">
        <v>64</v>
      </c>
      <c r="H64">
        <v>3.5</v>
      </c>
      <c r="I64">
        <v>194000</v>
      </c>
      <c r="J64">
        <v>58.1</v>
      </c>
      <c r="K64" t="s">
        <v>46</v>
      </c>
      <c r="L64" s="1">
        <v>45725</v>
      </c>
      <c r="M64" s="11">
        <f>_xlfn.XLOOKUP(Table5[[#This Row],[app_id]],Table3[app_id],Table3[estimated_revenue_usd])</f>
        <v>38000</v>
      </c>
    </row>
    <row r="65" spans="1:13" x14ac:dyDescent="0.25">
      <c r="A65" t="s">
        <v>168</v>
      </c>
      <c r="B65" t="s">
        <v>169</v>
      </c>
      <c r="C65" t="s">
        <v>163</v>
      </c>
      <c r="D65" t="s">
        <v>44</v>
      </c>
      <c r="E65" t="s">
        <v>22</v>
      </c>
      <c r="F65">
        <v>2024</v>
      </c>
      <c r="G65" t="s">
        <v>60</v>
      </c>
      <c r="H65">
        <v>4</v>
      </c>
      <c r="I65">
        <v>3289000</v>
      </c>
      <c r="J65">
        <v>153.9</v>
      </c>
      <c r="K65" t="s">
        <v>30</v>
      </c>
      <c r="L65" s="1">
        <v>45376</v>
      </c>
      <c r="M65" s="11">
        <f>_xlfn.XLOOKUP(Table5[[#This Row],[app_id]],Table3[app_id],Table3[estimated_revenue_usd])</f>
        <v>1085400</v>
      </c>
    </row>
    <row r="66" spans="1:13" x14ac:dyDescent="0.25">
      <c r="A66" t="s">
        <v>170</v>
      </c>
      <c r="B66" t="s">
        <v>171</v>
      </c>
      <c r="C66" t="s">
        <v>163</v>
      </c>
      <c r="D66" t="s">
        <v>15</v>
      </c>
      <c r="E66" t="s">
        <v>38</v>
      </c>
      <c r="F66">
        <v>2024</v>
      </c>
      <c r="G66" t="s">
        <v>34</v>
      </c>
      <c r="H66">
        <v>4.7</v>
      </c>
      <c r="I66">
        <v>2296000</v>
      </c>
      <c r="J66">
        <v>83</v>
      </c>
      <c r="K66" t="s">
        <v>30</v>
      </c>
      <c r="L66" s="1">
        <v>45813</v>
      </c>
      <c r="M66" s="11">
        <f>_xlfn.XLOOKUP(Table5[[#This Row],[app_id]],Table3[app_id],Table3[estimated_revenue_usd])</f>
        <v>799000</v>
      </c>
    </row>
    <row r="67" spans="1:13" x14ac:dyDescent="0.25">
      <c r="A67" t="s">
        <v>172</v>
      </c>
      <c r="B67" t="s">
        <v>173</v>
      </c>
      <c r="C67" t="s">
        <v>163</v>
      </c>
      <c r="D67" t="s">
        <v>15</v>
      </c>
      <c r="E67" t="s">
        <v>16</v>
      </c>
      <c r="F67">
        <v>2021</v>
      </c>
      <c r="G67" t="s">
        <v>17</v>
      </c>
      <c r="H67">
        <v>4.2</v>
      </c>
      <c r="I67">
        <v>47000</v>
      </c>
      <c r="J67">
        <v>188.3</v>
      </c>
      <c r="K67" t="s">
        <v>61</v>
      </c>
      <c r="L67" s="1">
        <v>45874</v>
      </c>
      <c r="M67" s="11">
        <f>_xlfn.XLOOKUP(Table5[[#This Row],[app_id]],Table3[app_id],Table3[estimated_revenue_usd])</f>
        <v>7600</v>
      </c>
    </row>
    <row r="68" spans="1:13" x14ac:dyDescent="0.25">
      <c r="A68" t="s">
        <v>174</v>
      </c>
      <c r="B68" t="s">
        <v>175</v>
      </c>
      <c r="C68" t="s">
        <v>163</v>
      </c>
      <c r="D68" t="s">
        <v>15</v>
      </c>
      <c r="E68" t="s">
        <v>29</v>
      </c>
      <c r="F68">
        <v>2023</v>
      </c>
      <c r="G68" t="s">
        <v>64</v>
      </c>
      <c r="H68">
        <v>4</v>
      </c>
      <c r="I68">
        <v>804000</v>
      </c>
      <c r="J68">
        <v>61.8</v>
      </c>
      <c r="K68" t="s">
        <v>30</v>
      </c>
      <c r="L68" s="1">
        <v>46016</v>
      </c>
      <c r="M68" s="11">
        <f>_xlfn.XLOOKUP(Table5[[#This Row],[app_id]],Table3[app_id],Table3[estimated_revenue_usd])</f>
        <v>180100</v>
      </c>
    </row>
    <row r="69" spans="1:13" x14ac:dyDescent="0.25">
      <c r="A69" t="s">
        <v>176</v>
      </c>
      <c r="B69" t="s">
        <v>177</v>
      </c>
      <c r="C69" t="s">
        <v>163</v>
      </c>
      <c r="D69" t="s">
        <v>15</v>
      </c>
      <c r="E69" t="s">
        <v>22</v>
      </c>
      <c r="F69">
        <v>2015</v>
      </c>
      <c r="G69" t="s">
        <v>64</v>
      </c>
      <c r="H69">
        <v>3.7</v>
      </c>
      <c r="I69">
        <v>98000</v>
      </c>
      <c r="J69">
        <v>152.1</v>
      </c>
      <c r="K69" t="s">
        <v>61</v>
      </c>
      <c r="L69" s="1">
        <v>45421</v>
      </c>
      <c r="M69" s="11">
        <f>_xlfn.XLOOKUP(Table5[[#This Row],[app_id]],Table3[app_id],Table3[estimated_revenue_usd])</f>
        <v>14900</v>
      </c>
    </row>
    <row r="70" spans="1:13" x14ac:dyDescent="0.25">
      <c r="A70" t="s">
        <v>178</v>
      </c>
      <c r="B70" t="s">
        <v>179</v>
      </c>
      <c r="C70" t="s">
        <v>163</v>
      </c>
      <c r="D70" t="s">
        <v>15</v>
      </c>
      <c r="E70" t="s">
        <v>59</v>
      </c>
      <c r="F70">
        <v>2016</v>
      </c>
      <c r="G70" t="s">
        <v>34</v>
      </c>
      <c r="H70">
        <v>4.7</v>
      </c>
      <c r="I70">
        <v>714000</v>
      </c>
      <c r="J70">
        <v>215.8</v>
      </c>
      <c r="K70" t="s">
        <v>18</v>
      </c>
      <c r="L70" s="1">
        <v>45318</v>
      </c>
      <c r="M70" s="11">
        <f>_xlfn.XLOOKUP(Table5[[#This Row],[app_id]],Table3[app_id],Table3[estimated_revenue_usd])</f>
        <v>595500</v>
      </c>
    </row>
    <row r="71" spans="1:13" x14ac:dyDescent="0.25">
      <c r="A71" t="s">
        <v>180</v>
      </c>
      <c r="B71" t="s">
        <v>181</v>
      </c>
      <c r="C71" t="s">
        <v>163</v>
      </c>
      <c r="D71" t="s">
        <v>15</v>
      </c>
      <c r="E71" t="s">
        <v>22</v>
      </c>
      <c r="F71">
        <v>2018</v>
      </c>
      <c r="G71" t="s">
        <v>17</v>
      </c>
      <c r="H71">
        <v>3.8</v>
      </c>
      <c r="I71">
        <v>123000</v>
      </c>
      <c r="J71">
        <v>105.9</v>
      </c>
      <c r="K71" t="s">
        <v>18</v>
      </c>
      <c r="L71" s="1">
        <v>45502</v>
      </c>
      <c r="M71" s="11">
        <f>_xlfn.XLOOKUP(Table5[[#This Row],[app_id]],Table3[app_id],Table3[estimated_revenue_usd])</f>
        <v>16500</v>
      </c>
    </row>
    <row r="72" spans="1:13" x14ac:dyDescent="0.25">
      <c r="A72" t="s">
        <v>182</v>
      </c>
      <c r="B72" t="s">
        <v>183</v>
      </c>
      <c r="C72" t="s">
        <v>184</v>
      </c>
      <c r="D72" t="s">
        <v>21</v>
      </c>
      <c r="E72" t="s">
        <v>82</v>
      </c>
      <c r="F72">
        <v>2023</v>
      </c>
      <c r="G72" t="s">
        <v>17</v>
      </c>
      <c r="H72">
        <v>4.0999999999999996</v>
      </c>
      <c r="I72">
        <v>22000</v>
      </c>
      <c r="J72">
        <v>206</v>
      </c>
      <c r="K72" t="s">
        <v>30</v>
      </c>
      <c r="L72" s="1">
        <v>45560</v>
      </c>
      <c r="M72" s="11">
        <f>_xlfn.XLOOKUP(Table5[[#This Row],[app_id]],Table3[app_id],Table3[estimated_revenue_usd])</f>
        <v>1400</v>
      </c>
    </row>
    <row r="73" spans="1:13" x14ac:dyDescent="0.25">
      <c r="A73" t="s">
        <v>185</v>
      </c>
      <c r="B73" t="s">
        <v>186</v>
      </c>
      <c r="C73" t="s">
        <v>184</v>
      </c>
      <c r="D73" t="s">
        <v>44</v>
      </c>
      <c r="E73" t="s">
        <v>59</v>
      </c>
      <c r="F73">
        <v>2016</v>
      </c>
      <c r="G73" t="s">
        <v>60</v>
      </c>
      <c r="H73">
        <v>3.5</v>
      </c>
      <c r="I73">
        <v>211000</v>
      </c>
      <c r="J73">
        <v>173</v>
      </c>
      <c r="K73" t="s">
        <v>30</v>
      </c>
      <c r="L73" s="1">
        <v>45496</v>
      </c>
      <c r="M73" s="11">
        <f>_xlfn.XLOOKUP(Table5[[#This Row],[app_id]],Table3[app_id],Table3[estimated_revenue_usd])</f>
        <v>61800</v>
      </c>
    </row>
    <row r="74" spans="1:13" x14ac:dyDescent="0.25">
      <c r="A74" t="s">
        <v>187</v>
      </c>
      <c r="B74" t="s">
        <v>188</v>
      </c>
      <c r="C74" t="s">
        <v>184</v>
      </c>
      <c r="D74" t="s">
        <v>44</v>
      </c>
      <c r="E74" t="s">
        <v>38</v>
      </c>
      <c r="F74">
        <v>2021</v>
      </c>
      <c r="G74" t="s">
        <v>64</v>
      </c>
      <c r="H74">
        <v>4.5999999999999996</v>
      </c>
      <c r="I74">
        <v>4688000</v>
      </c>
      <c r="J74">
        <v>137</v>
      </c>
      <c r="K74" t="s">
        <v>61</v>
      </c>
      <c r="L74" s="1">
        <v>45620</v>
      </c>
      <c r="M74" s="11">
        <f>_xlfn.XLOOKUP(Table5[[#This Row],[app_id]],Table3[app_id],Table3[estimated_revenue_usd])</f>
        <v>1509500</v>
      </c>
    </row>
    <row r="75" spans="1:13" x14ac:dyDescent="0.25">
      <c r="A75" t="s">
        <v>189</v>
      </c>
      <c r="B75" t="s">
        <v>190</v>
      </c>
      <c r="C75" t="s">
        <v>184</v>
      </c>
      <c r="D75" t="s">
        <v>21</v>
      </c>
      <c r="E75" t="s">
        <v>55</v>
      </c>
      <c r="F75">
        <v>2022</v>
      </c>
      <c r="G75" t="s">
        <v>60</v>
      </c>
      <c r="H75">
        <v>4.4000000000000004</v>
      </c>
      <c r="I75">
        <v>17000</v>
      </c>
      <c r="J75">
        <v>68.400000000000006</v>
      </c>
      <c r="K75" t="s">
        <v>30</v>
      </c>
      <c r="L75" s="1">
        <v>45949</v>
      </c>
      <c r="M75" s="11">
        <f>_xlfn.XLOOKUP(Table5[[#This Row],[app_id]],Table3[app_id],Table3[estimated_revenue_usd])</f>
        <v>5800</v>
      </c>
    </row>
    <row r="76" spans="1:13" x14ac:dyDescent="0.25">
      <c r="A76" t="s">
        <v>191</v>
      </c>
      <c r="B76" t="s">
        <v>192</v>
      </c>
      <c r="C76" t="s">
        <v>184</v>
      </c>
      <c r="D76" t="s">
        <v>44</v>
      </c>
      <c r="E76" t="s">
        <v>29</v>
      </c>
      <c r="F76">
        <v>2017</v>
      </c>
      <c r="G76" t="s">
        <v>64</v>
      </c>
      <c r="H76">
        <v>4.2</v>
      </c>
      <c r="I76">
        <v>507000</v>
      </c>
      <c r="J76">
        <v>180.8</v>
      </c>
      <c r="K76" t="s">
        <v>46</v>
      </c>
      <c r="L76" s="1">
        <v>45512</v>
      </c>
      <c r="M76" s="11">
        <f>_xlfn.XLOOKUP(Table5[[#This Row],[app_id]],Table3[app_id],Table3[estimated_revenue_usd])</f>
        <v>140900</v>
      </c>
    </row>
    <row r="77" spans="1:13" x14ac:dyDescent="0.25">
      <c r="A77" t="s">
        <v>193</v>
      </c>
      <c r="B77" t="s">
        <v>194</v>
      </c>
      <c r="C77" t="s">
        <v>184</v>
      </c>
      <c r="D77" t="s">
        <v>44</v>
      </c>
      <c r="E77" t="s">
        <v>33</v>
      </c>
      <c r="F77">
        <v>2025</v>
      </c>
      <c r="G77" t="s">
        <v>34</v>
      </c>
      <c r="H77">
        <v>3.7</v>
      </c>
      <c r="I77">
        <v>64000</v>
      </c>
      <c r="J77">
        <v>106.2</v>
      </c>
      <c r="K77" t="s">
        <v>61</v>
      </c>
      <c r="L77" s="1">
        <v>45737</v>
      </c>
      <c r="M77" s="11">
        <f>_xlfn.XLOOKUP(Table5[[#This Row],[app_id]],Table3[app_id],Table3[estimated_revenue_usd])</f>
        <v>42100</v>
      </c>
    </row>
    <row r="78" spans="1:13" x14ac:dyDescent="0.25">
      <c r="A78" t="s">
        <v>195</v>
      </c>
      <c r="B78" t="s">
        <v>196</v>
      </c>
      <c r="C78" t="s">
        <v>184</v>
      </c>
      <c r="D78" t="s">
        <v>21</v>
      </c>
      <c r="E78" t="s">
        <v>55</v>
      </c>
      <c r="F78">
        <v>2019</v>
      </c>
      <c r="G78" t="s">
        <v>64</v>
      </c>
      <c r="H78">
        <v>3.4</v>
      </c>
      <c r="I78">
        <v>18000</v>
      </c>
      <c r="J78">
        <v>178.3</v>
      </c>
      <c r="K78" t="s">
        <v>46</v>
      </c>
      <c r="L78" s="1">
        <v>45487</v>
      </c>
      <c r="M78" s="11">
        <f>_xlfn.XLOOKUP(Table5[[#This Row],[app_id]],Table3[app_id],Table3[estimated_revenue_usd])</f>
        <v>3200</v>
      </c>
    </row>
    <row r="79" spans="1:13" x14ac:dyDescent="0.25">
      <c r="A79" t="s">
        <v>197</v>
      </c>
      <c r="B79" t="s">
        <v>198</v>
      </c>
      <c r="C79" t="s">
        <v>184</v>
      </c>
      <c r="D79" t="s">
        <v>21</v>
      </c>
      <c r="E79" t="s">
        <v>38</v>
      </c>
      <c r="F79">
        <v>2020</v>
      </c>
      <c r="G79" t="s">
        <v>34</v>
      </c>
      <c r="H79">
        <v>3.6</v>
      </c>
      <c r="I79">
        <v>44000</v>
      </c>
      <c r="J79">
        <v>24.1</v>
      </c>
      <c r="K79" t="s">
        <v>18</v>
      </c>
      <c r="L79" s="1">
        <v>45392</v>
      </c>
      <c r="M79" s="11">
        <f>_xlfn.XLOOKUP(Table5[[#This Row],[app_id]],Table3[app_id],Table3[estimated_revenue_usd])</f>
        <v>11000</v>
      </c>
    </row>
    <row r="80" spans="1:13" x14ac:dyDescent="0.25">
      <c r="A80" t="s">
        <v>199</v>
      </c>
      <c r="B80" t="s">
        <v>200</v>
      </c>
      <c r="C80" t="s">
        <v>184</v>
      </c>
      <c r="D80" t="s">
        <v>15</v>
      </c>
      <c r="E80" t="s">
        <v>33</v>
      </c>
      <c r="F80">
        <v>2020</v>
      </c>
      <c r="G80" t="s">
        <v>17</v>
      </c>
      <c r="H80">
        <v>3.4</v>
      </c>
      <c r="I80">
        <v>918000</v>
      </c>
      <c r="J80">
        <v>44</v>
      </c>
      <c r="K80" t="s">
        <v>26</v>
      </c>
      <c r="L80" s="1">
        <v>45434</v>
      </c>
      <c r="M80" s="11">
        <f>_xlfn.XLOOKUP(Table5[[#This Row],[app_id]],Table3[app_id],Table3[estimated_revenue_usd])</f>
        <v>97300</v>
      </c>
    </row>
    <row r="81" spans="1:13" x14ac:dyDescent="0.25">
      <c r="A81" t="s">
        <v>201</v>
      </c>
      <c r="B81" t="s">
        <v>202</v>
      </c>
      <c r="C81" t="s">
        <v>184</v>
      </c>
      <c r="D81" t="s">
        <v>15</v>
      </c>
      <c r="E81" t="s">
        <v>45</v>
      </c>
      <c r="F81">
        <v>2015</v>
      </c>
      <c r="G81" t="s">
        <v>17</v>
      </c>
      <c r="H81">
        <v>4</v>
      </c>
      <c r="I81">
        <v>1230000</v>
      </c>
      <c r="J81">
        <v>236.1</v>
      </c>
      <c r="K81" t="s">
        <v>61</v>
      </c>
      <c r="L81" s="1">
        <v>45936</v>
      </c>
      <c r="M81" s="11">
        <f>_xlfn.XLOOKUP(Table5[[#This Row],[app_id]],Table3[app_id],Table3[estimated_revenue_usd])</f>
        <v>147600</v>
      </c>
    </row>
    <row r="82" spans="1:13" x14ac:dyDescent="0.25">
      <c r="A82" t="s">
        <v>203</v>
      </c>
      <c r="B82" t="s">
        <v>204</v>
      </c>
      <c r="C82" t="s">
        <v>205</v>
      </c>
      <c r="D82" t="s">
        <v>44</v>
      </c>
      <c r="E82" t="s">
        <v>59</v>
      </c>
      <c r="F82">
        <v>2015</v>
      </c>
      <c r="G82" t="s">
        <v>64</v>
      </c>
      <c r="H82">
        <v>3.4</v>
      </c>
      <c r="I82">
        <v>12445000</v>
      </c>
      <c r="J82">
        <v>174.2</v>
      </c>
      <c r="K82" t="s">
        <v>46</v>
      </c>
      <c r="L82" s="1">
        <v>45390</v>
      </c>
      <c r="M82" s="11">
        <f>_xlfn.XLOOKUP(Table5[[#This Row],[app_id]],Table3[app_id],Table3[estimated_revenue_usd])</f>
        <v>3360200</v>
      </c>
    </row>
    <row r="83" spans="1:13" x14ac:dyDescent="0.25">
      <c r="A83" t="s">
        <v>206</v>
      </c>
      <c r="B83" t="s">
        <v>207</v>
      </c>
      <c r="C83" t="s">
        <v>205</v>
      </c>
      <c r="D83" t="s">
        <v>44</v>
      </c>
      <c r="E83" t="s">
        <v>29</v>
      </c>
      <c r="F83">
        <v>2016</v>
      </c>
      <c r="G83" t="s">
        <v>64</v>
      </c>
      <c r="H83">
        <v>3.5</v>
      </c>
      <c r="I83">
        <v>6081000</v>
      </c>
      <c r="J83">
        <v>194.4</v>
      </c>
      <c r="K83" t="s">
        <v>26</v>
      </c>
      <c r="L83" s="1">
        <v>45722</v>
      </c>
      <c r="M83" s="11">
        <f>_xlfn.XLOOKUP(Table5[[#This Row],[app_id]],Table3[app_id],Table3[estimated_revenue_usd])</f>
        <v>2000600</v>
      </c>
    </row>
    <row r="84" spans="1:13" x14ac:dyDescent="0.25">
      <c r="A84" t="s">
        <v>208</v>
      </c>
      <c r="B84" t="s">
        <v>209</v>
      </c>
      <c r="C84" t="s">
        <v>205</v>
      </c>
      <c r="D84" t="s">
        <v>44</v>
      </c>
      <c r="E84" t="s">
        <v>82</v>
      </c>
      <c r="F84">
        <v>2020</v>
      </c>
      <c r="G84" t="s">
        <v>17</v>
      </c>
      <c r="H84">
        <v>4</v>
      </c>
      <c r="I84">
        <v>16634000</v>
      </c>
      <c r="J84">
        <v>195.1</v>
      </c>
      <c r="K84" t="s">
        <v>30</v>
      </c>
      <c r="L84" s="1">
        <v>45598</v>
      </c>
      <c r="M84" s="11">
        <f>_xlfn.XLOOKUP(Table5[[#This Row],[app_id]],Table3[app_id],Table3[estimated_revenue_usd])</f>
        <v>4175100</v>
      </c>
    </row>
    <row r="85" spans="1:13" x14ac:dyDescent="0.25">
      <c r="A85" t="s">
        <v>210</v>
      </c>
      <c r="B85" t="s">
        <v>211</v>
      </c>
      <c r="C85" t="s">
        <v>205</v>
      </c>
      <c r="D85" t="s">
        <v>15</v>
      </c>
      <c r="E85" t="s">
        <v>33</v>
      </c>
      <c r="F85">
        <v>2021</v>
      </c>
      <c r="G85" t="s">
        <v>64</v>
      </c>
      <c r="H85">
        <v>3.9</v>
      </c>
      <c r="I85">
        <v>2924000</v>
      </c>
      <c r="J85">
        <v>211.2</v>
      </c>
      <c r="K85" t="s">
        <v>61</v>
      </c>
      <c r="L85" s="1">
        <v>45786</v>
      </c>
      <c r="M85" s="11">
        <f>_xlfn.XLOOKUP(Table5[[#This Row],[app_id]],Table3[app_id],Table3[estimated_revenue_usd])</f>
        <v>190100</v>
      </c>
    </row>
    <row r="86" spans="1:13" x14ac:dyDescent="0.25">
      <c r="A86" t="s">
        <v>212</v>
      </c>
      <c r="B86" t="s">
        <v>213</v>
      </c>
      <c r="C86" t="s">
        <v>205</v>
      </c>
      <c r="D86" t="s">
        <v>21</v>
      </c>
      <c r="E86" t="s">
        <v>29</v>
      </c>
      <c r="F86">
        <v>2017</v>
      </c>
      <c r="G86" t="s">
        <v>34</v>
      </c>
      <c r="H86">
        <v>3.5</v>
      </c>
      <c r="I86">
        <v>19187000</v>
      </c>
      <c r="J86">
        <v>68.7</v>
      </c>
      <c r="K86" t="s">
        <v>23</v>
      </c>
      <c r="L86" s="1">
        <v>46067</v>
      </c>
      <c r="M86" s="11">
        <f>_xlfn.XLOOKUP(Table5[[#This Row],[app_id]],Table3[app_id],Table3[estimated_revenue_usd])</f>
        <v>4988600</v>
      </c>
    </row>
    <row r="87" spans="1:13" x14ac:dyDescent="0.25">
      <c r="A87" t="s">
        <v>214</v>
      </c>
      <c r="B87" t="s">
        <v>215</v>
      </c>
      <c r="C87" t="s">
        <v>205</v>
      </c>
      <c r="D87" t="s">
        <v>21</v>
      </c>
      <c r="E87" t="s">
        <v>33</v>
      </c>
      <c r="F87">
        <v>2021</v>
      </c>
      <c r="G87" t="s">
        <v>34</v>
      </c>
      <c r="H87">
        <v>4.7</v>
      </c>
      <c r="I87">
        <v>147000</v>
      </c>
      <c r="J87">
        <v>239.9</v>
      </c>
      <c r="K87" t="s">
        <v>69</v>
      </c>
      <c r="L87" s="1">
        <v>46105</v>
      </c>
      <c r="M87" s="11">
        <f>_xlfn.XLOOKUP(Table5[[#This Row],[app_id]],Table3[app_id],Table3[estimated_revenue_usd])</f>
        <v>56400</v>
      </c>
    </row>
    <row r="88" spans="1:13" x14ac:dyDescent="0.25">
      <c r="A88" t="s">
        <v>216</v>
      </c>
      <c r="B88" t="s">
        <v>217</v>
      </c>
      <c r="C88" t="s">
        <v>205</v>
      </c>
      <c r="D88" t="s">
        <v>15</v>
      </c>
      <c r="E88" t="s">
        <v>41</v>
      </c>
      <c r="F88">
        <v>2022</v>
      </c>
      <c r="G88" t="s">
        <v>34</v>
      </c>
      <c r="H88">
        <v>3.7</v>
      </c>
      <c r="I88">
        <v>1698000</v>
      </c>
      <c r="J88">
        <v>77.2</v>
      </c>
      <c r="K88" t="s">
        <v>18</v>
      </c>
      <c r="L88" s="1">
        <v>45458</v>
      </c>
      <c r="M88" s="11">
        <f>_xlfn.XLOOKUP(Table5[[#This Row],[app_id]],Table3[app_id],Table3[estimated_revenue_usd])</f>
        <v>1154600</v>
      </c>
    </row>
    <row r="89" spans="1:13" x14ac:dyDescent="0.25">
      <c r="A89" t="s">
        <v>218</v>
      </c>
      <c r="B89" t="s">
        <v>219</v>
      </c>
      <c r="C89" t="s">
        <v>205</v>
      </c>
      <c r="D89" t="s">
        <v>21</v>
      </c>
      <c r="E89" t="s">
        <v>22</v>
      </c>
      <c r="F89">
        <v>2018</v>
      </c>
      <c r="G89" t="s">
        <v>17</v>
      </c>
      <c r="H89">
        <v>3.9</v>
      </c>
      <c r="I89">
        <v>2716000</v>
      </c>
      <c r="J89">
        <v>151.69999999999999</v>
      </c>
      <c r="K89" t="s">
        <v>26</v>
      </c>
      <c r="L89" s="1">
        <v>45803</v>
      </c>
      <c r="M89" s="11">
        <f>_xlfn.XLOOKUP(Table5[[#This Row],[app_id]],Table3[app_id],Table3[estimated_revenue_usd])</f>
        <v>757800</v>
      </c>
    </row>
    <row r="90" spans="1:13" x14ac:dyDescent="0.25">
      <c r="A90" t="s">
        <v>220</v>
      </c>
      <c r="B90" t="s">
        <v>221</v>
      </c>
      <c r="C90" t="s">
        <v>205</v>
      </c>
      <c r="D90" t="s">
        <v>21</v>
      </c>
      <c r="E90" t="s">
        <v>45</v>
      </c>
      <c r="F90">
        <v>2022</v>
      </c>
      <c r="G90" t="s">
        <v>64</v>
      </c>
      <c r="H90">
        <v>3.4</v>
      </c>
      <c r="I90">
        <v>28000</v>
      </c>
      <c r="J90">
        <v>170.6</v>
      </c>
      <c r="K90" t="s">
        <v>26</v>
      </c>
      <c r="L90" s="1">
        <v>46017</v>
      </c>
      <c r="M90" s="11">
        <f>_xlfn.XLOOKUP(Table5[[#This Row],[app_id]],Table3[app_id],Table3[estimated_revenue_usd])</f>
        <v>8100</v>
      </c>
    </row>
    <row r="91" spans="1:13" x14ac:dyDescent="0.25">
      <c r="A91" t="s">
        <v>222</v>
      </c>
      <c r="B91" t="s">
        <v>213</v>
      </c>
      <c r="C91" t="s">
        <v>205</v>
      </c>
      <c r="D91" t="s">
        <v>21</v>
      </c>
      <c r="E91" t="s">
        <v>29</v>
      </c>
      <c r="F91">
        <v>2016</v>
      </c>
      <c r="G91" t="s">
        <v>17</v>
      </c>
      <c r="H91">
        <v>4.2</v>
      </c>
      <c r="I91">
        <v>26000</v>
      </c>
      <c r="J91">
        <v>88.2</v>
      </c>
      <c r="K91" t="s">
        <v>18</v>
      </c>
      <c r="L91" s="1">
        <v>45581</v>
      </c>
      <c r="M91" s="11">
        <f>_xlfn.XLOOKUP(Table5[[#This Row],[app_id]],Table3[app_id],Table3[estimated_revenue_usd])</f>
        <v>1900</v>
      </c>
    </row>
    <row r="92" spans="1:13" x14ac:dyDescent="0.25">
      <c r="A92" t="s">
        <v>223</v>
      </c>
      <c r="B92" t="s">
        <v>224</v>
      </c>
      <c r="C92" t="s">
        <v>225</v>
      </c>
      <c r="D92" t="s">
        <v>21</v>
      </c>
      <c r="E92" t="s">
        <v>33</v>
      </c>
      <c r="F92">
        <v>2021</v>
      </c>
      <c r="G92" t="s">
        <v>17</v>
      </c>
      <c r="H92">
        <v>4.0999999999999996</v>
      </c>
      <c r="I92">
        <v>3304000</v>
      </c>
      <c r="J92">
        <v>73.8</v>
      </c>
      <c r="K92" t="s">
        <v>18</v>
      </c>
      <c r="L92" s="1">
        <v>45565</v>
      </c>
      <c r="M92" s="11">
        <f>_xlfn.XLOOKUP(Table5[[#This Row],[app_id]],Table3[app_id],Table3[estimated_revenue_usd])</f>
        <v>1011000</v>
      </c>
    </row>
    <row r="93" spans="1:13" x14ac:dyDescent="0.25">
      <c r="A93" t="s">
        <v>226</v>
      </c>
      <c r="B93" t="s">
        <v>227</v>
      </c>
      <c r="C93" t="s">
        <v>225</v>
      </c>
      <c r="D93" t="s">
        <v>44</v>
      </c>
      <c r="E93" t="s">
        <v>16</v>
      </c>
      <c r="F93">
        <v>2023</v>
      </c>
      <c r="G93" t="s">
        <v>64</v>
      </c>
      <c r="H93">
        <v>3.7</v>
      </c>
      <c r="I93">
        <v>35000</v>
      </c>
      <c r="J93">
        <v>174.3</v>
      </c>
      <c r="K93" t="s">
        <v>69</v>
      </c>
      <c r="L93" s="1">
        <v>45517</v>
      </c>
      <c r="M93" s="11">
        <f>_xlfn.XLOOKUP(Table5[[#This Row],[app_id]],Table3[app_id],Table3[estimated_revenue_usd])</f>
        <v>3300</v>
      </c>
    </row>
    <row r="94" spans="1:13" x14ac:dyDescent="0.25">
      <c r="A94" t="s">
        <v>228</v>
      </c>
      <c r="B94" t="s">
        <v>229</v>
      </c>
      <c r="C94" t="s">
        <v>225</v>
      </c>
      <c r="D94" t="s">
        <v>21</v>
      </c>
      <c r="E94" t="s">
        <v>29</v>
      </c>
      <c r="F94">
        <v>2020</v>
      </c>
      <c r="G94" t="s">
        <v>17</v>
      </c>
      <c r="H94">
        <v>4.4000000000000004</v>
      </c>
      <c r="I94">
        <v>3565000</v>
      </c>
      <c r="J94">
        <v>217.8</v>
      </c>
      <c r="K94" t="s">
        <v>69</v>
      </c>
      <c r="L94" s="1">
        <v>45718</v>
      </c>
      <c r="M94" s="11">
        <f>_xlfn.XLOOKUP(Table5[[#This Row],[app_id]],Table3[app_id],Table3[estimated_revenue_usd])</f>
        <v>306600</v>
      </c>
    </row>
    <row r="95" spans="1:13" x14ac:dyDescent="0.25">
      <c r="A95" t="s">
        <v>230</v>
      </c>
      <c r="B95" t="s">
        <v>231</v>
      </c>
      <c r="C95" t="s">
        <v>225</v>
      </c>
      <c r="D95" t="s">
        <v>15</v>
      </c>
      <c r="E95" t="s">
        <v>59</v>
      </c>
      <c r="F95">
        <v>2016</v>
      </c>
      <c r="G95" t="s">
        <v>17</v>
      </c>
      <c r="H95">
        <v>3.7</v>
      </c>
      <c r="I95">
        <v>2070000</v>
      </c>
      <c r="J95">
        <v>91.8</v>
      </c>
      <c r="K95" t="s">
        <v>35</v>
      </c>
      <c r="L95" s="1">
        <v>45452</v>
      </c>
      <c r="M95" s="11">
        <f>_xlfn.XLOOKUP(Table5[[#This Row],[app_id]],Table3[app_id],Table3[estimated_revenue_usd])</f>
        <v>188400</v>
      </c>
    </row>
    <row r="96" spans="1:13" x14ac:dyDescent="0.25">
      <c r="A96" t="s">
        <v>232</v>
      </c>
      <c r="B96" t="s">
        <v>233</v>
      </c>
      <c r="C96" t="s">
        <v>225</v>
      </c>
      <c r="D96" t="s">
        <v>21</v>
      </c>
      <c r="E96" t="s">
        <v>22</v>
      </c>
      <c r="F96">
        <v>2016</v>
      </c>
      <c r="G96" t="s">
        <v>17</v>
      </c>
      <c r="H96">
        <v>4.0999999999999996</v>
      </c>
      <c r="I96">
        <v>57000</v>
      </c>
      <c r="J96">
        <v>225.8</v>
      </c>
      <c r="K96" t="s">
        <v>35</v>
      </c>
      <c r="L96" s="1">
        <v>45949</v>
      </c>
      <c r="M96" s="11">
        <f>_xlfn.XLOOKUP(Table5[[#This Row],[app_id]],Table3[app_id],Table3[estimated_revenue_usd])</f>
        <v>9000</v>
      </c>
    </row>
    <row r="97" spans="1:13" x14ac:dyDescent="0.25">
      <c r="A97" t="s">
        <v>234</v>
      </c>
      <c r="B97" t="s">
        <v>235</v>
      </c>
      <c r="C97" t="s">
        <v>225</v>
      </c>
      <c r="D97" t="s">
        <v>21</v>
      </c>
      <c r="E97" t="s">
        <v>45</v>
      </c>
      <c r="F97">
        <v>2021</v>
      </c>
      <c r="G97" t="s">
        <v>64</v>
      </c>
      <c r="H97">
        <v>4</v>
      </c>
      <c r="I97">
        <v>968000</v>
      </c>
      <c r="J97">
        <v>118.7</v>
      </c>
      <c r="K97" t="s">
        <v>18</v>
      </c>
      <c r="L97" s="1">
        <v>45936</v>
      </c>
      <c r="M97" s="11">
        <f>_xlfn.XLOOKUP(Table5[[#This Row],[app_id]],Table3[app_id],Table3[estimated_revenue_usd])</f>
        <v>73600</v>
      </c>
    </row>
    <row r="98" spans="1:13" x14ac:dyDescent="0.25">
      <c r="A98" t="s">
        <v>236</v>
      </c>
      <c r="B98" t="s">
        <v>237</v>
      </c>
      <c r="C98" t="s">
        <v>225</v>
      </c>
      <c r="D98" t="s">
        <v>15</v>
      </c>
      <c r="E98" t="s">
        <v>45</v>
      </c>
      <c r="F98">
        <v>2025</v>
      </c>
      <c r="G98" t="s">
        <v>17</v>
      </c>
      <c r="H98">
        <v>3.2</v>
      </c>
      <c r="I98">
        <v>14223000</v>
      </c>
      <c r="J98">
        <v>97.5</v>
      </c>
      <c r="K98" t="s">
        <v>35</v>
      </c>
      <c r="L98" s="1">
        <v>45337</v>
      </c>
      <c r="M98" s="11">
        <f>_xlfn.XLOOKUP(Table5[[#This Row],[app_id]],Table3[app_id],Table3[estimated_revenue_usd])</f>
        <v>3029500</v>
      </c>
    </row>
    <row r="99" spans="1:13" x14ac:dyDescent="0.25">
      <c r="A99" t="s">
        <v>238</v>
      </c>
      <c r="B99" t="s">
        <v>239</v>
      </c>
      <c r="C99" t="s">
        <v>225</v>
      </c>
      <c r="D99" t="s">
        <v>21</v>
      </c>
      <c r="E99" t="s">
        <v>55</v>
      </c>
      <c r="F99">
        <v>2015</v>
      </c>
      <c r="G99" t="s">
        <v>60</v>
      </c>
      <c r="H99">
        <v>4.5</v>
      </c>
      <c r="I99">
        <v>282000</v>
      </c>
      <c r="J99">
        <v>59.5</v>
      </c>
      <c r="K99" t="s">
        <v>35</v>
      </c>
      <c r="L99" s="1">
        <v>45807</v>
      </c>
      <c r="M99" s="11">
        <f>_xlfn.XLOOKUP(Table5[[#This Row],[app_id]],Table3[app_id],Table3[estimated_revenue_usd])</f>
        <v>79500</v>
      </c>
    </row>
    <row r="100" spans="1:13" x14ac:dyDescent="0.25">
      <c r="A100" t="s">
        <v>240</v>
      </c>
      <c r="B100" t="s">
        <v>241</v>
      </c>
      <c r="C100" t="s">
        <v>225</v>
      </c>
      <c r="D100" t="s">
        <v>21</v>
      </c>
      <c r="E100" t="s">
        <v>55</v>
      </c>
      <c r="F100">
        <v>2018</v>
      </c>
      <c r="G100" t="s">
        <v>17</v>
      </c>
      <c r="H100">
        <v>3.5</v>
      </c>
      <c r="I100">
        <v>3981000</v>
      </c>
      <c r="J100">
        <v>120.7</v>
      </c>
      <c r="K100" t="s">
        <v>35</v>
      </c>
      <c r="L100" s="1">
        <v>46111</v>
      </c>
      <c r="M100" s="11">
        <f>_xlfn.XLOOKUP(Table5[[#This Row],[app_id]],Table3[app_id],Table3[estimated_revenue_usd])</f>
        <v>855900</v>
      </c>
    </row>
    <row r="101" spans="1:13" x14ac:dyDescent="0.25">
      <c r="A101" t="s">
        <v>242</v>
      </c>
      <c r="B101" t="s">
        <v>243</v>
      </c>
      <c r="C101" t="s">
        <v>225</v>
      </c>
      <c r="D101" t="s">
        <v>44</v>
      </c>
      <c r="E101" t="s">
        <v>41</v>
      </c>
      <c r="F101">
        <v>2015</v>
      </c>
      <c r="G101" t="s">
        <v>17</v>
      </c>
      <c r="H101">
        <v>4.2</v>
      </c>
      <c r="I101">
        <v>11298000</v>
      </c>
      <c r="J101">
        <v>181.6</v>
      </c>
      <c r="K101" t="s">
        <v>18</v>
      </c>
      <c r="L101" s="1">
        <v>45631</v>
      </c>
      <c r="M101" s="11">
        <f>_xlfn.XLOOKUP(Table5[[#This Row],[app_id]],Table3[app_id],Table3[estimated_revenue_usd])</f>
        <v>2711500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B457-E12A-4F3C-8DCF-FD97EE51B170}">
  <dimension ref="A1:Y2001"/>
  <sheetViews>
    <sheetView workbookViewId="0">
      <selection activeCell="A2" sqref="A2:N2001"/>
    </sheetView>
  </sheetViews>
  <sheetFormatPr defaultRowHeight="15" x14ac:dyDescent="0.25"/>
  <cols>
    <col min="1" max="1" width="9.7109375" customWidth="1"/>
    <col min="3" max="3" width="12.42578125" customWidth="1"/>
    <col min="4" max="4" width="9.42578125" customWidth="1"/>
    <col min="5" max="5" width="9.85546875" customWidth="1"/>
    <col min="6" max="6" width="14" customWidth="1"/>
    <col min="7" max="7" width="15.7109375" customWidth="1"/>
    <col min="8" max="8" width="26.7109375" customWidth="1"/>
    <col min="9" max="9" width="19.85546875" customWidth="1"/>
    <col min="10" max="10" width="19.5703125" customWidth="1"/>
    <col min="11" max="11" width="17.140625" customWidth="1"/>
    <col min="12" max="12" width="26" style="5" customWidth="1"/>
  </cols>
  <sheetData>
    <row r="1" spans="1:25" x14ac:dyDescent="0.25">
      <c r="A1" t="s">
        <v>521</v>
      </c>
      <c r="B1" t="s">
        <v>0</v>
      </c>
      <c r="C1" t="s">
        <v>5184</v>
      </c>
      <c r="D1" t="s">
        <v>5185</v>
      </c>
      <c r="E1" t="s">
        <v>522</v>
      </c>
      <c r="F1" t="s">
        <v>523</v>
      </c>
      <c r="G1" t="s">
        <v>524</v>
      </c>
      <c r="H1" t="s">
        <v>525</v>
      </c>
      <c r="I1" t="s">
        <v>526</v>
      </c>
      <c r="J1" t="s">
        <v>527</v>
      </c>
      <c r="K1" t="s">
        <v>528</v>
      </c>
      <c r="L1" t="s">
        <v>529</v>
      </c>
      <c r="M1" t="s">
        <v>530</v>
      </c>
      <c r="N1" s="5" t="s">
        <v>531</v>
      </c>
    </row>
    <row r="2" spans="1:25" x14ac:dyDescent="0.25">
      <c r="A2" t="s">
        <v>532</v>
      </c>
      <c r="B2" t="s">
        <v>12</v>
      </c>
      <c r="C2" t="str">
        <f>_xlfn.XLOOKUP(Table6[[#This Row],[app_id]],Table5[app_id],Table5[app_name],"",0)</f>
        <v>InvestPro</v>
      </c>
      <c r="D2" t="str">
        <f>_xlfn.XLOOKUP(Table6[[#This Row],[app_id]],Table5[app_id],Table5[category],"",0)</f>
        <v>Finance</v>
      </c>
      <c r="E2" t="s">
        <v>533</v>
      </c>
      <c r="F2" t="s">
        <v>534</v>
      </c>
      <c r="G2" t="s">
        <v>18</v>
      </c>
      <c r="H2" t="s">
        <v>535</v>
      </c>
      <c r="I2">
        <v>41</v>
      </c>
      <c r="J2">
        <v>20.6</v>
      </c>
      <c r="K2" t="s">
        <v>257</v>
      </c>
      <c r="L2" t="s">
        <v>257</v>
      </c>
      <c r="M2" t="s">
        <v>258</v>
      </c>
      <c r="N2" s="5">
        <v>0</v>
      </c>
    </row>
    <row r="3" spans="1:25" x14ac:dyDescent="0.25">
      <c r="A3" t="s">
        <v>536</v>
      </c>
      <c r="B3" t="s">
        <v>19</v>
      </c>
      <c r="C3" t="str">
        <f>_xlfn.XLOOKUP(Table6[[#This Row],[app_id]],Table5[app_id],Table5[app_name],"",0)</f>
        <v>BankPro</v>
      </c>
      <c r="D3" t="str">
        <f>_xlfn.XLOOKUP(Table6[[#This Row],[app_id]],Table5[app_id],Table5[category],"",0)</f>
        <v>Finance</v>
      </c>
      <c r="E3" t="s">
        <v>537</v>
      </c>
      <c r="F3" t="s">
        <v>538</v>
      </c>
      <c r="G3" t="s">
        <v>69</v>
      </c>
      <c r="H3" t="s">
        <v>535</v>
      </c>
      <c r="I3">
        <v>19</v>
      </c>
      <c r="J3">
        <v>22.3</v>
      </c>
      <c r="K3" t="s">
        <v>258</v>
      </c>
      <c r="L3" t="s">
        <v>258</v>
      </c>
      <c r="M3" t="s">
        <v>258</v>
      </c>
      <c r="N3" s="5">
        <v>0</v>
      </c>
    </row>
    <row r="4" spans="1:25" x14ac:dyDescent="0.25">
      <c r="A4" t="s">
        <v>539</v>
      </c>
      <c r="B4" t="s">
        <v>24</v>
      </c>
      <c r="C4" t="str">
        <f>_xlfn.XLOOKUP(Table6[[#This Row],[app_id]],Table5[app_id],Table5[app_name],"",0)</f>
        <v>BankX</v>
      </c>
      <c r="D4" t="str">
        <f>_xlfn.XLOOKUP(Table6[[#This Row],[app_id]],Table5[app_id],Table5[category],"",0)</f>
        <v>Finance</v>
      </c>
      <c r="E4" t="s">
        <v>533</v>
      </c>
      <c r="F4" t="s">
        <v>538</v>
      </c>
      <c r="G4" t="s">
        <v>35</v>
      </c>
      <c r="H4" t="s">
        <v>540</v>
      </c>
      <c r="I4">
        <v>10</v>
      </c>
      <c r="J4">
        <v>14.8</v>
      </c>
      <c r="K4" t="s">
        <v>258</v>
      </c>
      <c r="L4" t="s">
        <v>258</v>
      </c>
      <c r="M4" t="s">
        <v>257</v>
      </c>
      <c r="N4" s="5">
        <v>0</v>
      </c>
    </row>
    <row r="5" spans="1:25" x14ac:dyDescent="0.25">
      <c r="A5" t="s">
        <v>541</v>
      </c>
      <c r="B5" t="s">
        <v>27</v>
      </c>
      <c r="C5" t="str">
        <f>_xlfn.XLOOKUP(Table6[[#This Row],[app_id]],Table5[app_id],Table5[app_name],"",0)</f>
        <v>BankNow</v>
      </c>
      <c r="D5" t="str">
        <f>_xlfn.XLOOKUP(Table6[[#This Row],[app_id]],Table5[app_id],Table5[category],"",0)</f>
        <v>Finance</v>
      </c>
      <c r="E5" t="s">
        <v>537</v>
      </c>
      <c r="F5" t="s">
        <v>534</v>
      </c>
      <c r="G5" t="s">
        <v>69</v>
      </c>
      <c r="H5" t="s">
        <v>540</v>
      </c>
      <c r="I5">
        <v>78</v>
      </c>
      <c r="J5">
        <v>7.1</v>
      </c>
      <c r="K5" t="s">
        <v>257</v>
      </c>
      <c r="L5" t="s">
        <v>257</v>
      </c>
      <c r="M5" t="s">
        <v>258</v>
      </c>
      <c r="N5" s="5">
        <v>13.39</v>
      </c>
    </row>
    <row r="6" spans="1:25" x14ac:dyDescent="0.25">
      <c r="A6" t="s">
        <v>542</v>
      </c>
      <c r="B6" t="s">
        <v>31</v>
      </c>
      <c r="C6" t="str">
        <f>_xlfn.XLOOKUP(Table6[[#This Row],[app_id]],Table5[app_id],Table5[app_name],"",0)</f>
        <v>CreditHub</v>
      </c>
      <c r="D6" t="str">
        <f>_xlfn.XLOOKUP(Table6[[#This Row],[app_id]],Table5[app_id],Table5[category],"",0)</f>
        <v>Finance</v>
      </c>
      <c r="E6" t="s">
        <v>537</v>
      </c>
      <c r="F6" t="s">
        <v>538</v>
      </c>
      <c r="G6" t="s">
        <v>30</v>
      </c>
      <c r="H6" t="s">
        <v>535</v>
      </c>
      <c r="I6">
        <v>16</v>
      </c>
      <c r="J6">
        <v>7.3</v>
      </c>
      <c r="K6" t="s">
        <v>257</v>
      </c>
      <c r="L6" t="s">
        <v>257</v>
      </c>
      <c r="M6" t="s">
        <v>258</v>
      </c>
      <c r="N6" s="5">
        <v>0</v>
      </c>
      <c r="Q6" s="2" t="s">
        <v>5180</v>
      </c>
      <c r="R6" s="2"/>
      <c r="S6" s="2"/>
      <c r="T6" s="2"/>
      <c r="U6" s="2"/>
      <c r="V6" s="2"/>
      <c r="W6" s="2"/>
      <c r="X6" s="2"/>
      <c r="Y6" s="2"/>
    </row>
    <row r="7" spans="1:25" x14ac:dyDescent="0.25">
      <c r="A7" t="s">
        <v>543</v>
      </c>
      <c r="B7" t="s">
        <v>36</v>
      </c>
      <c r="C7" t="str">
        <f>_xlfn.XLOOKUP(Table6[[#This Row],[app_id]],Table5[app_id],Table5[app_name],"",0)</f>
        <v>PayPlus</v>
      </c>
      <c r="D7" t="str">
        <f>_xlfn.XLOOKUP(Table6[[#This Row],[app_id]],Table5[app_id],Table5[category],"",0)</f>
        <v>Finance</v>
      </c>
      <c r="E7" t="s">
        <v>533</v>
      </c>
      <c r="F7" t="s">
        <v>534</v>
      </c>
      <c r="G7" t="s">
        <v>35</v>
      </c>
      <c r="H7" t="s">
        <v>535</v>
      </c>
      <c r="I7">
        <v>92</v>
      </c>
      <c r="J7">
        <v>21</v>
      </c>
      <c r="K7" t="s">
        <v>257</v>
      </c>
      <c r="L7" t="s">
        <v>257</v>
      </c>
      <c r="M7" t="s">
        <v>258</v>
      </c>
      <c r="N7" s="5">
        <v>0</v>
      </c>
      <c r="Q7" s="2"/>
      <c r="R7" s="2"/>
      <c r="S7" s="2"/>
      <c r="T7" s="2"/>
      <c r="U7" s="2"/>
      <c r="V7" s="2"/>
      <c r="W7" s="2"/>
      <c r="X7" s="2"/>
      <c r="Y7" s="2"/>
    </row>
    <row r="8" spans="1:25" x14ac:dyDescent="0.25">
      <c r="A8" t="s">
        <v>544</v>
      </c>
      <c r="B8" t="s">
        <v>39</v>
      </c>
      <c r="C8" t="str">
        <f>_xlfn.XLOOKUP(Table6[[#This Row],[app_id]],Table5[app_id],Table5[app_name],"",0)</f>
        <v>BankPlus</v>
      </c>
      <c r="D8" t="str">
        <f>_xlfn.XLOOKUP(Table6[[#This Row],[app_id]],Table5[app_id],Table5[category],"",0)</f>
        <v>Finance</v>
      </c>
      <c r="E8" t="s">
        <v>537</v>
      </c>
      <c r="F8" t="s">
        <v>534</v>
      </c>
      <c r="G8" t="s">
        <v>35</v>
      </c>
      <c r="H8" t="s">
        <v>535</v>
      </c>
      <c r="I8">
        <v>23</v>
      </c>
      <c r="J8">
        <v>10.199999999999999</v>
      </c>
      <c r="K8" t="s">
        <v>258</v>
      </c>
      <c r="L8" t="s">
        <v>257</v>
      </c>
      <c r="M8" t="s">
        <v>258</v>
      </c>
      <c r="N8" s="5">
        <v>0</v>
      </c>
      <c r="Q8" s="2"/>
      <c r="R8" s="2"/>
      <c r="S8" s="2"/>
      <c r="T8" s="2"/>
      <c r="U8" s="2"/>
      <c r="V8" s="2"/>
      <c r="W8" s="2"/>
      <c r="X8" s="2"/>
      <c r="Y8" s="2"/>
    </row>
    <row r="9" spans="1:25" x14ac:dyDescent="0.25">
      <c r="A9" t="s">
        <v>545</v>
      </c>
      <c r="B9" t="s">
        <v>42</v>
      </c>
      <c r="C9" t="str">
        <f>_xlfn.XLOOKUP(Table6[[#This Row],[app_id]],Table5[app_id],Table5[app_name],"",0)</f>
        <v>CoinPlus</v>
      </c>
      <c r="D9" t="str">
        <f>_xlfn.XLOOKUP(Table6[[#This Row],[app_id]],Table5[app_id],Table5[category],"",0)</f>
        <v>Finance</v>
      </c>
      <c r="E9" t="s">
        <v>546</v>
      </c>
      <c r="F9" t="s">
        <v>534</v>
      </c>
      <c r="G9" t="s">
        <v>35</v>
      </c>
      <c r="H9" t="s">
        <v>535</v>
      </c>
      <c r="I9">
        <v>22</v>
      </c>
      <c r="J9">
        <v>21.8</v>
      </c>
      <c r="K9" t="s">
        <v>257</v>
      </c>
      <c r="L9" t="s">
        <v>257</v>
      </c>
      <c r="M9" t="s">
        <v>258</v>
      </c>
      <c r="N9" s="5">
        <v>0</v>
      </c>
      <c r="Q9" s="2"/>
      <c r="R9" s="2"/>
      <c r="S9" s="2"/>
      <c r="T9" s="2"/>
      <c r="U9" s="2"/>
      <c r="V9" s="2"/>
      <c r="W9" s="2"/>
      <c r="X9" s="2"/>
      <c r="Y9" s="2"/>
    </row>
    <row r="10" spans="1:25" x14ac:dyDescent="0.25">
      <c r="A10" t="s">
        <v>547</v>
      </c>
      <c r="B10" t="s">
        <v>47</v>
      </c>
      <c r="C10" t="str">
        <f>_xlfn.XLOOKUP(Table6[[#This Row],[app_id]],Table5[app_id],Table5[app_name],"",0)</f>
        <v>CreditOne</v>
      </c>
      <c r="D10" t="str">
        <f>_xlfn.XLOOKUP(Table6[[#This Row],[app_id]],Table5[app_id],Table5[category],"",0)</f>
        <v>Finance</v>
      </c>
      <c r="E10" t="s">
        <v>546</v>
      </c>
      <c r="F10" t="s">
        <v>548</v>
      </c>
      <c r="G10" t="s">
        <v>26</v>
      </c>
      <c r="H10" t="s">
        <v>535</v>
      </c>
      <c r="I10">
        <v>15</v>
      </c>
      <c r="J10">
        <v>11.3</v>
      </c>
      <c r="K10" t="s">
        <v>257</v>
      </c>
      <c r="L10" t="s">
        <v>257</v>
      </c>
      <c r="M10" t="s">
        <v>258</v>
      </c>
      <c r="N10" s="5">
        <v>0</v>
      </c>
      <c r="Q10" s="2"/>
      <c r="R10" s="2"/>
      <c r="S10" s="2"/>
      <c r="T10" s="2"/>
      <c r="U10" s="2"/>
      <c r="V10" s="2"/>
      <c r="W10" s="2"/>
      <c r="X10" s="2"/>
      <c r="Y10" s="2"/>
    </row>
    <row r="11" spans="1:25" x14ac:dyDescent="0.25">
      <c r="A11" t="s">
        <v>549</v>
      </c>
      <c r="B11" t="s">
        <v>49</v>
      </c>
      <c r="C11" t="str">
        <f>_xlfn.XLOOKUP(Table6[[#This Row],[app_id]],Table5[app_id],Table5[app_name],"",0)</f>
        <v>PayPro</v>
      </c>
      <c r="D11" t="str">
        <f>_xlfn.XLOOKUP(Table6[[#This Row],[app_id]],Table5[app_id],Table5[category],"",0)</f>
        <v>Finance</v>
      </c>
      <c r="E11" t="s">
        <v>537</v>
      </c>
      <c r="F11" t="s">
        <v>534</v>
      </c>
      <c r="G11" t="s">
        <v>35</v>
      </c>
      <c r="H11" t="s">
        <v>535</v>
      </c>
      <c r="I11">
        <v>29</v>
      </c>
      <c r="J11">
        <v>8.3000000000000007</v>
      </c>
      <c r="K11" t="s">
        <v>257</v>
      </c>
      <c r="L11" t="s">
        <v>257</v>
      </c>
      <c r="M11" t="s">
        <v>258</v>
      </c>
      <c r="N11" s="5">
        <v>58.79</v>
      </c>
      <c r="Q11" s="2"/>
      <c r="R11" s="2"/>
      <c r="S11" s="2"/>
      <c r="T11" s="2"/>
      <c r="U11" s="2"/>
      <c r="V11" s="2"/>
      <c r="W11" s="2"/>
      <c r="X11" s="2"/>
      <c r="Y11" s="2"/>
    </row>
    <row r="12" spans="1:25" x14ac:dyDescent="0.25">
      <c r="A12" t="s">
        <v>550</v>
      </c>
      <c r="B12" t="s">
        <v>51</v>
      </c>
      <c r="C12" t="str">
        <f>_xlfn.XLOOKUP(Table6[[#This Row],[app_id]],Table5[app_id],Table5[app_name],"",0)</f>
        <v>Creditly</v>
      </c>
      <c r="D12" t="str">
        <f>_xlfn.XLOOKUP(Table6[[#This Row],[app_id]],Table5[app_id],Table5[category],"",0)</f>
        <v>Finance</v>
      </c>
      <c r="E12" t="s">
        <v>533</v>
      </c>
      <c r="F12" t="s">
        <v>534</v>
      </c>
      <c r="G12" t="s">
        <v>46</v>
      </c>
      <c r="H12" t="s">
        <v>535</v>
      </c>
      <c r="I12">
        <v>24</v>
      </c>
      <c r="J12">
        <v>14.4</v>
      </c>
      <c r="K12" t="s">
        <v>258</v>
      </c>
      <c r="L12" t="s">
        <v>258</v>
      </c>
      <c r="M12" t="s">
        <v>257</v>
      </c>
      <c r="N12" s="5">
        <v>0</v>
      </c>
      <c r="Q12" s="2"/>
      <c r="R12" s="2"/>
      <c r="S12" s="2"/>
      <c r="T12" s="2"/>
      <c r="U12" s="2"/>
      <c r="V12" s="2"/>
      <c r="W12" s="2"/>
      <c r="X12" s="2"/>
      <c r="Y12" s="2"/>
    </row>
    <row r="13" spans="1:25" x14ac:dyDescent="0.25">
      <c r="A13" t="s">
        <v>551</v>
      </c>
      <c r="B13" t="s">
        <v>53</v>
      </c>
      <c r="C13" t="str">
        <f>_xlfn.XLOOKUP(Table6[[#This Row],[app_id]],Table5[app_id],Table5[app_name],"",0)</f>
        <v>PayX</v>
      </c>
      <c r="D13" t="str">
        <f>_xlfn.XLOOKUP(Table6[[#This Row],[app_id]],Table5[app_id],Table5[category],"",0)</f>
        <v>Finance</v>
      </c>
      <c r="E13" t="s">
        <v>552</v>
      </c>
      <c r="F13" t="s">
        <v>538</v>
      </c>
      <c r="G13" t="s">
        <v>35</v>
      </c>
      <c r="H13" t="s">
        <v>535</v>
      </c>
      <c r="I13">
        <v>14</v>
      </c>
      <c r="J13">
        <v>4</v>
      </c>
      <c r="K13" t="s">
        <v>258</v>
      </c>
      <c r="L13" t="s">
        <v>258</v>
      </c>
      <c r="M13" t="s">
        <v>257</v>
      </c>
      <c r="N13" s="5">
        <v>0</v>
      </c>
      <c r="Q13" s="2"/>
      <c r="R13" s="2"/>
      <c r="S13" s="2"/>
      <c r="T13" s="2"/>
      <c r="U13" s="2"/>
      <c r="V13" s="2"/>
      <c r="W13" s="2"/>
      <c r="X13" s="2"/>
      <c r="Y13" s="2"/>
    </row>
    <row r="14" spans="1:25" x14ac:dyDescent="0.25">
      <c r="A14" t="s">
        <v>553</v>
      </c>
      <c r="B14" t="s">
        <v>56</v>
      </c>
      <c r="C14" t="str">
        <f>_xlfn.XLOOKUP(Table6[[#This Row],[app_id]],Table5[app_id],Table5[app_name],"",0)</f>
        <v>DealGo</v>
      </c>
      <c r="D14" t="str">
        <f>_xlfn.XLOOKUP(Table6[[#This Row],[app_id]],Table5[app_id],Table5[category],"",0)</f>
        <v>Shopping</v>
      </c>
      <c r="E14" t="s">
        <v>537</v>
      </c>
      <c r="F14" t="s">
        <v>534</v>
      </c>
      <c r="G14" t="s">
        <v>46</v>
      </c>
      <c r="H14" t="s">
        <v>540</v>
      </c>
      <c r="I14">
        <v>27</v>
      </c>
      <c r="J14">
        <v>14.5</v>
      </c>
      <c r="K14" t="s">
        <v>258</v>
      </c>
      <c r="L14" t="s">
        <v>257</v>
      </c>
      <c r="M14" t="s">
        <v>258</v>
      </c>
      <c r="N14" s="5">
        <v>31.82</v>
      </c>
    </row>
    <row r="15" spans="1:25" x14ac:dyDescent="0.25">
      <c r="A15" t="s">
        <v>554</v>
      </c>
      <c r="B15" t="s">
        <v>62</v>
      </c>
      <c r="C15" t="str">
        <f>_xlfn.XLOOKUP(Table6[[#This Row],[app_id]],Table5[app_id],Table5[app_name],"",0)</f>
        <v>MallNow</v>
      </c>
      <c r="D15" t="str">
        <f>_xlfn.XLOOKUP(Table6[[#This Row],[app_id]],Table5[app_id],Table5[category],"",0)</f>
        <v>Shopping</v>
      </c>
      <c r="E15" t="s">
        <v>533</v>
      </c>
      <c r="F15" t="s">
        <v>538</v>
      </c>
      <c r="G15" t="s">
        <v>23</v>
      </c>
      <c r="H15" t="s">
        <v>535</v>
      </c>
      <c r="I15">
        <v>24</v>
      </c>
      <c r="J15">
        <v>7.2</v>
      </c>
      <c r="K15" t="s">
        <v>258</v>
      </c>
      <c r="L15" t="s">
        <v>258</v>
      </c>
      <c r="M15" t="s">
        <v>258</v>
      </c>
      <c r="N15" s="5">
        <v>0</v>
      </c>
    </row>
    <row r="16" spans="1:25" x14ac:dyDescent="0.25">
      <c r="A16" t="s">
        <v>555</v>
      </c>
      <c r="B16" t="s">
        <v>65</v>
      </c>
      <c r="C16" t="str">
        <f>_xlfn.XLOOKUP(Table6[[#This Row],[app_id]],Table5[app_id],Table5[app_name],"",0)</f>
        <v>DealPro</v>
      </c>
      <c r="D16" t="str">
        <f>_xlfn.XLOOKUP(Table6[[#This Row],[app_id]],Table5[app_id],Table5[category],"",0)</f>
        <v>Shopping</v>
      </c>
      <c r="E16" t="s">
        <v>537</v>
      </c>
      <c r="F16" t="s">
        <v>538</v>
      </c>
      <c r="G16" t="s">
        <v>26</v>
      </c>
      <c r="H16" t="s">
        <v>535</v>
      </c>
      <c r="I16">
        <v>9</v>
      </c>
      <c r="J16">
        <v>14.5</v>
      </c>
      <c r="K16" t="s">
        <v>258</v>
      </c>
      <c r="L16" t="s">
        <v>257</v>
      </c>
      <c r="M16" t="s">
        <v>258</v>
      </c>
      <c r="N16" s="5">
        <v>21.3</v>
      </c>
    </row>
    <row r="17" spans="1:14" x14ac:dyDescent="0.25">
      <c r="A17" t="s">
        <v>556</v>
      </c>
      <c r="B17" t="s">
        <v>67</v>
      </c>
      <c r="C17" t="str">
        <f>_xlfn.XLOOKUP(Table6[[#This Row],[app_id]],Table5[app_id],Table5[app_name],"",0)</f>
        <v>StyleNow</v>
      </c>
      <c r="D17" t="str">
        <f>_xlfn.XLOOKUP(Table6[[#This Row],[app_id]],Table5[app_id],Table5[category],"",0)</f>
        <v>Shopping</v>
      </c>
      <c r="E17" t="s">
        <v>557</v>
      </c>
      <c r="F17" t="s">
        <v>534</v>
      </c>
      <c r="G17" t="s">
        <v>18</v>
      </c>
      <c r="H17" t="s">
        <v>535</v>
      </c>
      <c r="I17">
        <v>26</v>
      </c>
      <c r="J17">
        <v>5.0999999999999996</v>
      </c>
      <c r="K17" t="s">
        <v>257</v>
      </c>
      <c r="L17" t="s">
        <v>257</v>
      </c>
      <c r="M17" t="s">
        <v>258</v>
      </c>
      <c r="N17" s="5">
        <v>0</v>
      </c>
    </row>
    <row r="18" spans="1:14" x14ac:dyDescent="0.25">
      <c r="A18" t="s">
        <v>558</v>
      </c>
      <c r="B18" t="s">
        <v>70</v>
      </c>
      <c r="C18" t="str">
        <f>_xlfn.XLOOKUP(Table6[[#This Row],[app_id]],Table5[app_id],Table5[app_name],"",0)</f>
        <v>DealCloud</v>
      </c>
      <c r="D18" t="str">
        <f>_xlfn.XLOOKUP(Table6[[#This Row],[app_id]],Table5[app_id],Table5[category],"",0)</f>
        <v>Shopping</v>
      </c>
      <c r="E18" t="s">
        <v>546</v>
      </c>
      <c r="F18" t="s">
        <v>534</v>
      </c>
      <c r="G18" t="s">
        <v>23</v>
      </c>
      <c r="H18" t="s">
        <v>535</v>
      </c>
      <c r="I18">
        <v>14</v>
      </c>
      <c r="J18">
        <v>11.2</v>
      </c>
      <c r="K18" t="s">
        <v>258</v>
      </c>
      <c r="L18" t="s">
        <v>258</v>
      </c>
      <c r="M18" t="s">
        <v>258</v>
      </c>
      <c r="N18" s="5">
        <v>0</v>
      </c>
    </row>
    <row r="19" spans="1:14" x14ac:dyDescent="0.25">
      <c r="A19" t="s">
        <v>559</v>
      </c>
      <c r="B19" t="s">
        <v>72</v>
      </c>
      <c r="C19" t="str">
        <f>_xlfn.XLOOKUP(Table6[[#This Row],[app_id]],Table5[app_id],Table5[app_name],"",0)</f>
        <v>CartCloud</v>
      </c>
      <c r="D19" t="str">
        <f>_xlfn.XLOOKUP(Table6[[#This Row],[app_id]],Table5[app_id],Table5[category],"",0)</f>
        <v>Shopping</v>
      </c>
      <c r="E19" t="s">
        <v>537</v>
      </c>
      <c r="F19" t="s">
        <v>538</v>
      </c>
      <c r="G19" t="s">
        <v>35</v>
      </c>
      <c r="H19" t="s">
        <v>535</v>
      </c>
      <c r="I19">
        <v>26</v>
      </c>
      <c r="J19">
        <v>17.600000000000001</v>
      </c>
      <c r="K19" t="s">
        <v>258</v>
      </c>
      <c r="L19" t="s">
        <v>258</v>
      </c>
      <c r="M19" t="s">
        <v>257</v>
      </c>
      <c r="N19" s="5">
        <v>0</v>
      </c>
    </row>
    <row r="20" spans="1:14" x14ac:dyDescent="0.25">
      <c r="A20" t="s">
        <v>560</v>
      </c>
      <c r="B20" t="s">
        <v>74</v>
      </c>
      <c r="C20" t="str">
        <f>_xlfn.XLOOKUP(Table6[[#This Row],[app_id]],Table5[app_id],Table5[app_name],"",0)</f>
        <v>CartMate</v>
      </c>
      <c r="D20" t="str">
        <f>_xlfn.XLOOKUP(Table6[[#This Row],[app_id]],Table5[app_id],Table5[category],"",0)</f>
        <v>Shopping</v>
      </c>
      <c r="E20" t="s">
        <v>557</v>
      </c>
      <c r="F20" t="s">
        <v>534</v>
      </c>
      <c r="G20" t="s">
        <v>18</v>
      </c>
      <c r="H20" t="s">
        <v>535</v>
      </c>
      <c r="I20">
        <v>46</v>
      </c>
      <c r="J20">
        <v>4.4000000000000004</v>
      </c>
      <c r="K20" t="s">
        <v>257</v>
      </c>
      <c r="L20" t="s">
        <v>257</v>
      </c>
      <c r="M20" t="s">
        <v>258</v>
      </c>
      <c r="N20" s="5">
        <v>7.02</v>
      </c>
    </row>
    <row r="21" spans="1:14" x14ac:dyDescent="0.25">
      <c r="A21" t="s">
        <v>561</v>
      </c>
      <c r="B21" t="s">
        <v>76</v>
      </c>
      <c r="C21" t="str">
        <f>_xlfn.XLOOKUP(Table6[[#This Row],[app_id]],Table5[app_id],Table5[app_name],"",0)</f>
        <v>BazaarOne</v>
      </c>
      <c r="D21" t="str">
        <f>_xlfn.XLOOKUP(Table6[[#This Row],[app_id]],Table5[app_id],Table5[category],"",0)</f>
        <v>Shopping</v>
      </c>
      <c r="E21" t="s">
        <v>537</v>
      </c>
      <c r="F21" t="s">
        <v>538</v>
      </c>
      <c r="G21" t="s">
        <v>35</v>
      </c>
      <c r="H21" t="s">
        <v>535</v>
      </c>
      <c r="I21">
        <v>1</v>
      </c>
      <c r="J21">
        <v>6.7</v>
      </c>
      <c r="K21" t="s">
        <v>258</v>
      </c>
      <c r="L21" t="s">
        <v>257</v>
      </c>
      <c r="M21" t="s">
        <v>257</v>
      </c>
      <c r="N21" s="5">
        <v>4.8</v>
      </c>
    </row>
    <row r="22" spans="1:14" x14ac:dyDescent="0.25">
      <c r="A22" t="s">
        <v>562</v>
      </c>
      <c r="B22" t="s">
        <v>78</v>
      </c>
      <c r="C22" t="str">
        <f>_xlfn.XLOOKUP(Table6[[#This Row],[app_id]],Table5[app_id],Table5[app_name],"",0)</f>
        <v>StyleOne</v>
      </c>
      <c r="D22" t="str">
        <f>_xlfn.XLOOKUP(Table6[[#This Row],[app_id]],Table5[app_id],Table5[category],"",0)</f>
        <v>Shopping</v>
      </c>
      <c r="E22" t="s">
        <v>552</v>
      </c>
      <c r="F22" t="s">
        <v>538</v>
      </c>
      <c r="G22" t="s">
        <v>30</v>
      </c>
      <c r="H22" t="s">
        <v>535</v>
      </c>
      <c r="I22">
        <v>3</v>
      </c>
      <c r="J22">
        <v>5.8</v>
      </c>
      <c r="K22" t="s">
        <v>258</v>
      </c>
      <c r="L22" t="s">
        <v>257</v>
      </c>
      <c r="M22" t="s">
        <v>258</v>
      </c>
      <c r="N22" s="5">
        <v>0</v>
      </c>
    </row>
    <row r="23" spans="1:14" x14ac:dyDescent="0.25">
      <c r="A23" t="s">
        <v>563</v>
      </c>
      <c r="B23" t="s">
        <v>80</v>
      </c>
      <c r="C23" t="str">
        <f>_xlfn.XLOOKUP(Table6[[#This Row],[app_id]],Table5[app_id],Table5[app_name],"",0)</f>
        <v>Cartly</v>
      </c>
      <c r="D23" t="str">
        <f>_xlfn.XLOOKUP(Table6[[#This Row],[app_id]],Table5[app_id],Table5[category],"",0)</f>
        <v>Shopping</v>
      </c>
      <c r="E23" t="s">
        <v>537</v>
      </c>
      <c r="F23" t="s">
        <v>534</v>
      </c>
      <c r="G23" t="s">
        <v>26</v>
      </c>
      <c r="H23" t="s">
        <v>535</v>
      </c>
      <c r="I23">
        <v>68</v>
      </c>
      <c r="J23">
        <v>6.4</v>
      </c>
      <c r="K23" t="s">
        <v>257</v>
      </c>
      <c r="L23" t="s">
        <v>257</v>
      </c>
      <c r="M23" t="s">
        <v>258</v>
      </c>
      <c r="N23" s="5">
        <v>73.569999999999993</v>
      </c>
    </row>
    <row r="24" spans="1:14" x14ac:dyDescent="0.25">
      <c r="A24" t="s">
        <v>564</v>
      </c>
      <c r="B24" t="s">
        <v>83</v>
      </c>
      <c r="C24" t="str">
        <f>_xlfn.XLOOKUP(Table6[[#This Row],[app_id]],Table5[app_id],Table5[app_name],"",0)</f>
        <v>BazaarCloud</v>
      </c>
      <c r="D24" t="str">
        <f>_xlfn.XLOOKUP(Table6[[#This Row],[app_id]],Table5[app_id],Table5[category],"",0)</f>
        <v>Shopping</v>
      </c>
      <c r="E24" t="s">
        <v>537</v>
      </c>
      <c r="F24" t="s">
        <v>538</v>
      </c>
      <c r="G24" t="s">
        <v>69</v>
      </c>
      <c r="H24" t="s">
        <v>535</v>
      </c>
      <c r="I24">
        <v>58</v>
      </c>
      <c r="J24">
        <v>9.4</v>
      </c>
      <c r="K24" t="s">
        <v>257</v>
      </c>
      <c r="L24" t="s">
        <v>257</v>
      </c>
      <c r="M24" t="s">
        <v>258</v>
      </c>
      <c r="N24" s="5">
        <v>0</v>
      </c>
    </row>
    <row r="25" spans="1:14" x14ac:dyDescent="0.25">
      <c r="A25" t="s">
        <v>565</v>
      </c>
      <c r="B25" t="s">
        <v>85</v>
      </c>
      <c r="C25" t="str">
        <f>_xlfn.XLOOKUP(Table6[[#This Row],[app_id]],Table5[app_id],Table5[app_name],"",0)</f>
        <v>CartPro</v>
      </c>
      <c r="D25" t="str">
        <f>_xlfn.XLOOKUP(Table6[[#This Row],[app_id]],Table5[app_id],Table5[category],"",0)</f>
        <v>Shopping</v>
      </c>
      <c r="E25" t="s">
        <v>533</v>
      </c>
      <c r="F25" t="s">
        <v>534</v>
      </c>
      <c r="G25" t="s">
        <v>69</v>
      </c>
      <c r="H25" t="s">
        <v>535</v>
      </c>
      <c r="I25">
        <v>9</v>
      </c>
      <c r="J25">
        <v>17.600000000000001</v>
      </c>
      <c r="K25" t="s">
        <v>258</v>
      </c>
      <c r="L25" t="s">
        <v>258</v>
      </c>
      <c r="M25" t="s">
        <v>258</v>
      </c>
      <c r="N25" s="5">
        <v>0</v>
      </c>
    </row>
    <row r="26" spans="1:14" x14ac:dyDescent="0.25">
      <c r="A26" t="s">
        <v>566</v>
      </c>
      <c r="B26" t="s">
        <v>87</v>
      </c>
      <c r="C26" t="str">
        <f>_xlfn.XLOOKUP(Table6[[#This Row],[app_id]],Table5[app_id],Table5[app_name],"",0)</f>
        <v>RunPlus</v>
      </c>
      <c r="D26" t="str">
        <f>_xlfn.XLOOKUP(Table6[[#This Row],[app_id]],Table5[app_id],Table5[category],"",0)</f>
        <v>Fitness</v>
      </c>
      <c r="E26" t="s">
        <v>533</v>
      </c>
      <c r="F26" t="s">
        <v>538</v>
      </c>
      <c r="G26" t="s">
        <v>26</v>
      </c>
      <c r="H26" t="s">
        <v>535</v>
      </c>
      <c r="I26">
        <v>1</v>
      </c>
      <c r="J26">
        <v>15.9</v>
      </c>
      <c r="K26" t="s">
        <v>258</v>
      </c>
      <c r="L26" t="s">
        <v>258</v>
      </c>
      <c r="M26" t="s">
        <v>258</v>
      </c>
      <c r="N26" s="5">
        <v>0</v>
      </c>
    </row>
    <row r="27" spans="1:14" x14ac:dyDescent="0.25">
      <c r="A27" t="s">
        <v>567</v>
      </c>
      <c r="B27" t="s">
        <v>90</v>
      </c>
      <c r="C27" t="str">
        <f>_xlfn.XLOOKUP(Table6[[#This Row],[app_id]],Table5[app_id],Table5[app_name],"",0)</f>
        <v>TrainCloud</v>
      </c>
      <c r="D27" t="str">
        <f>_xlfn.XLOOKUP(Table6[[#This Row],[app_id]],Table5[app_id],Table5[category],"",0)</f>
        <v>Fitness</v>
      </c>
      <c r="E27" t="s">
        <v>533</v>
      </c>
      <c r="F27" t="s">
        <v>538</v>
      </c>
      <c r="G27" t="s">
        <v>69</v>
      </c>
      <c r="H27" t="s">
        <v>535</v>
      </c>
      <c r="I27">
        <v>51</v>
      </c>
      <c r="J27">
        <v>35</v>
      </c>
      <c r="K27" t="s">
        <v>257</v>
      </c>
      <c r="L27" t="s">
        <v>257</v>
      </c>
      <c r="M27" t="s">
        <v>258</v>
      </c>
      <c r="N27" s="5">
        <v>0</v>
      </c>
    </row>
    <row r="28" spans="1:14" x14ac:dyDescent="0.25">
      <c r="A28" t="s">
        <v>568</v>
      </c>
      <c r="B28" t="s">
        <v>92</v>
      </c>
      <c r="C28" t="str">
        <f>_xlfn.XLOOKUP(Table6[[#This Row],[app_id]],Table5[app_id],Table5[app_name],"",0)</f>
        <v>Trainly</v>
      </c>
      <c r="D28" t="str">
        <f>_xlfn.XLOOKUP(Table6[[#This Row],[app_id]],Table5[app_id],Table5[category],"",0)</f>
        <v>Fitness</v>
      </c>
      <c r="E28" t="s">
        <v>533</v>
      </c>
      <c r="F28" t="s">
        <v>538</v>
      </c>
      <c r="G28" t="s">
        <v>35</v>
      </c>
      <c r="H28" t="s">
        <v>535</v>
      </c>
      <c r="I28">
        <v>19</v>
      </c>
      <c r="J28">
        <v>30</v>
      </c>
      <c r="K28" t="s">
        <v>258</v>
      </c>
      <c r="L28" t="s">
        <v>257</v>
      </c>
      <c r="M28" t="s">
        <v>258</v>
      </c>
      <c r="N28" s="5">
        <v>0</v>
      </c>
    </row>
    <row r="29" spans="1:14" x14ac:dyDescent="0.25">
      <c r="A29" t="s">
        <v>569</v>
      </c>
      <c r="B29" t="s">
        <v>94</v>
      </c>
      <c r="C29" t="str">
        <f>_xlfn.XLOOKUP(Table6[[#This Row],[app_id]],Table5[app_id],Table5[app_name],"",0)</f>
        <v>LiftCloud</v>
      </c>
      <c r="D29" t="str">
        <f>_xlfn.XLOOKUP(Table6[[#This Row],[app_id]],Table5[app_id],Table5[category],"",0)</f>
        <v>Fitness</v>
      </c>
      <c r="E29" t="s">
        <v>537</v>
      </c>
      <c r="F29" t="s">
        <v>534</v>
      </c>
      <c r="G29" t="s">
        <v>46</v>
      </c>
      <c r="H29" t="s">
        <v>535</v>
      </c>
      <c r="I29">
        <v>7</v>
      </c>
      <c r="J29">
        <v>38.9</v>
      </c>
      <c r="K29" t="s">
        <v>258</v>
      </c>
      <c r="L29" t="s">
        <v>257</v>
      </c>
      <c r="M29" t="s">
        <v>258</v>
      </c>
      <c r="N29" s="5">
        <v>43.27</v>
      </c>
    </row>
    <row r="30" spans="1:14" x14ac:dyDescent="0.25">
      <c r="A30" t="s">
        <v>570</v>
      </c>
      <c r="B30" t="s">
        <v>96</v>
      </c>
      <c r="C30" t="str">
        <f>_xlfn.XLOOKUP(Table6[[#This Row],[app_id]],Table5[app_id],Table5[app_name],"",0)</f>
        <v>MoveNow</v>
      </c>
      <c r="D30" t="str">
        <f>_xlfn.XLOOKUP(Table6[[#This Row],[app_id]],Table5[app_id],Table5[category],"",0)</f>
        <v>Fitness</v>
      </c>
      <c r="E30" t="s">
        <v>533</v>
      </c>
      <c r="F30" t="s">
        <v>538</v>
      </c>
      <c r="G30" t="s">
        <v>23</v>
      </c>
      <c r="H30" t="s">
        <v>535</v>
      </c>
      <c r="I30">
        <v>12</v>
      </c>
      <c r="J30">
        <v>31</v>
      </c>
      <c r="K30" t="s">
        <v>258</v>
      </c>
      <c r="L30" t="s">
        <v>258</v>
      </c>
      <c r="M30" t="s">
        <v>258</v>
      </c>
      <c r="N30" s="5">
        <v>12.52</v>
      </c>
    </row>
    <row r="31" spans="1:14" x14ac:dyDescent="0.25">
      <c r="A31" t="s">
        <v>571</v>
      </c>
      <c r="B31" t="s">
        <v>98</v>
      </c>
      <c r="C31" t="str">
        <f>_xlfn.XLOOKUP(Table6[[#This Row],[app_id]],Table5[app_id],Table5[app_name],"",0)</f>
        <v>ActiveMate</v>
      </c>
      <c r="D31" t="str">
        <f>_xlfn.XLOOKUP(Table6[[#This Row],[app_id]],Table5[app_id],Table5[category],"",0)</f>
        <v>Fitness</v>
      </c>
      <c r="E31" t="s">
        <v>537</v>
      </c>
      <c r="F31" t="s">
        <v>534</v>
      </c>
      <c r="G31" t="s">
        <v>26</v>
      </c>
      <c r="H31" t="s">
        <v>535</v>
      </c>
      <c r="I31">
        <v>40</v>
      </c>
      <c r="J31">
        <v>30.7</v>
      </c>
      <c r="K31" t="s">
        <v>257</v>
      </c>
      <c r="L31" t="s">
        <v>257</v>
      </c>
      <c r="M31" t="s">
        <v>258</v>
      </c>
      <c r="N31" s="5">
        <v>46.58</v>
      </c>
    </row>
    <row r="32" spans="1:14" x14ac:dyDescent="0.25">
      <c r="A32" t="s">
        <v>572</v>
      </c>
      <c r="B32" t="s">
        <v>100</v>
      </c>
      <c r="C32" t="str">
        <f>_xlfn.XLOOKUP(Table6[[#This Row],[app_id]],Table5[app_id],Table5[app_name],"",0)</f>
        <v>RunGo</v>
      </c>
      <c r="D32" t="str">
        <f>_xlfn.XLOOKUP(Table6[[#This Row],[app_id]],Table5[app_id],Table5[category],"",0)</f>
        <v>Fitness</v>
      </c>
      <c r="E32" t="s">
        <v>533</v>
      </c>
      <c r="F32" t="s">
        <v>548</v>
      </c>
      <c r="G32" t="s">
        <v>30</v>
      </c>
      <c r="H32" t="s">
        <v>535</v>
      </c>
      <c r="I32">
        <v>13</v>
      </c>
      <c r="J32">
        <v>11.5</v>
      </c>
      <c r="K32" t="s">
        <v>258</v>
      </c>
      <c r="L32" t="s">
        <v>258</v>
      </c>
      <c r="M32" t="s">
        <v>258</v>
      </c>
      <c r="N32" s="5">
        <v>0</v>
      </c>
    </row>
    <row r="33" spans="1:14" x14ac:dyDescent="0.25">
      <c r="A33" t="s">
        <v>573</v>
      </c>
      <c r="B33" t="s">
        <v>102</v>
      </c>
      <c r="C33" t="str">
        <f>_xlfn.XLOOKUP(Table6[[#This Row],[app_id]],Table5[app_id],Table5[app_name],"",0)</f>
        <v>LiftPro</v>
      </c>
      <c r="D33" t="str">
        <f>_xlfn.XLOOKUP(Table6[[#This Row],[app_id]],Table5[app_id],Table5[category],"",0)</f>
        <v>Fitness</v>
      </c>
      <c r="E33" t="s">
        <v>557</v>
      </c>
      <c r="F33" t="s">
        <v>534</v>
      </c>
      <c r="G33" t="s">
        <v>46</v>
      </c>
      <c r="H33" t="s">
        <v>535</v>
      </c>
      <c r="I33">
        <v>53</v>
      </c>
      <c r="J33">
        <v>29.3</v>
      </c>
      <c r="K33" t="s">
        <v>257</v>
      </c>
      <c r="L33" t="s">
        <v>257</v>
      </c>
      <c r="M33" t="s">
        <v>258</v>
      </c>
      <c r="N33" s="5">
        <v>0</v>
      </c>
    </row>
    <row r="34" spans="1:14" x14ac:dyDescent="0.25">
      <c r="A34" t="s">
        <v>574</v>
      </c>
      <c r="B34" t="s">
        <v>104</v>
      </c>
      <c r="C34" t="str">
        <f>_xlfn.XLOOKUP(Table6[[#This Row],[app_id]],Table5[app_id],Table5[app_name],"",0)</f>
        <v>LiftPro</v>
      </c>
      <c r="D34" t="str">
        <f>_xlfn.XLOOKUP(Table6[[#This Row],[app_id]],Table5[app_id],Table5[category],"",0)</f>
        <v>Fitness</v>
      </c>
      <c r="E34" t="s">
        <v>537</v>
      </c>
      <c r="F34" t="s">
        <v>534</v>
      </c>
      <c r="G34" t="s">
        <v>23</v>
      </c>
      <c r="H34" t="s">
        <v>540</v>
      </c>
      <c r="I34">
        <v>51</v>
      </c>
      <c r="J34">
        <v>17.8</v>
      </c>
      <c r="K34" t="s">
        <v>257</v>
      </c>
      <c r="L34" t="s">
        <v>257</v>
      </c>
      <c r="M34" t="s">
        <v>257</v>
      </c>
      <c r="N34" s="5">
        <v>0</v>
      </c>
    </row>
    <row r="35" spans="1:14" x14ac:dyDescent="0.25">
      <c r="A35" t="s">
        <v>575</v>
      </c>
      <c r="B35" t="s">
        <v>105</v>
      </c>
      <c r="C35" t="str">
        <f>_xlfn.XLOOKUP(Table6[[#This Row],[app_id]],Table5[app_id],Table5[app_name],"",0)</f>
        <v>Liftly</v>
      </c>
      <c r="D35" t="str">
        <f>_xlfn.XLOOKUP(Table6[[#This Row],[app_id]],Table5[app_id],Table5[category],"",0)</f>
        <v>Fitness</v>
      </c>
      <c r="E35" t="s">
        <v>546</v>
      </c>
      <c r="F35" t="s">
        <v>538</v>
      </c>
      <c r="G35" t="s">
        <v>18</v>
      </c>
      <c r="H35" t="s">
        <v>535</v>
      </c>
      <c r="I35">
        <v>3</v>
      </c>
      <c r="J35">
        <v>32.1</v>
      </c>
      <c r="K35" t="s">
        <v>258</v>
      </c>
      <c r="L35" t="s">
        <v>258</v>
      </c>
      <c r="M35" t="s">
        <v>257</v>
      </c>
      <c r="N35" s="5">
        <v>7.97</v>
      </c>
    </row>
    <row r="36" spans="1:14" x14ac:dyDescent="0.25">
      <c r="A36" t="s">
        <v>576</v>
      </c>
      <c r="B36" t="s">
        <v>107</v>
      </c>
      <c r="C36" t="str">
        <f>_xlfn.XLOOKUP(Table6[[#This Row],[app_id]],Table5[app_id],Table5[app_name],"",0)</f>
        <v>YogaHub</v>
      </c>
      <c r="D36" t="str">
        <f>_xlfn.XLOOKUP(Table6[[#This Row],[app_id]],Table5[app_id],Table5[category],"",0)</f>
        <v>Fitness</v>
      </c>
      <c r="E36" t="s">
        <v>537</v>
      </c>
      <c r="F36" t="s">
        <v>538</v>
      </c>
      <c r="G36" t="s">
        <v>35</v>
      </c>
      <c r="H36" t="s">
        <v>535</v>
      </c>
      <c r="I36">
        <v>25</v>
      </c>
      <c r="J36">
        <v>41.6</v>
      </c>
      <c r="K36" t="s">
        <v>257</v>
      </c>
      <c r="L36" t="s">
        <v>258</v>
      </c>
      <c r="M36" t="s">
        <v>257</v>
      </c>
      <c r="N36" s="5">
        <v>0</v>
      </c>
    </row>
    <row r="37" spans="1:14" x14ac:dyDescent="0.25">
      <c r="A37" t="s">
        <v>577</v>
      </c>
      <c r="B37" t="s">
        <v>109</v>
      </c>
      <c r="C37" t="str">
        <f>_xlfn.XLOOKUP(Table6[[#This Row],[app_id]],Table5[app_id],Table5[app_name],"",0)</f>
        <v>MoveGo</v>
      </c>
      <c r="D37" t="str">
        <f>_xlfn.XLOOKUP(Table6[[#This Row],[app_id]],Table5[app_id],Table5[category],"",0)</f>
        <v>Fitness</v>
      </c>
      <c r="E37" t="s">
        <v>546</v>
      </c>
      <c r="F37" t="s">
        <v>534</v>
      </c>
      <c r="G37" t="s">
        <v>35</v>
      </c>
      <c r="H37" t="s">
        <v>535</v>
      </c>
      <c r="I37">
        <v>73</v>
      </c>
      <c r="J37">
        <v>27.9</v>
      </c>
      <c r="K37" t="s">
        <v>257</v>
      </c>
      <c r="L37" t="s">
        <v>257</v>
      </c>
      <c r="M37" t="s">
        <v>258</v>
      </c>
      <c r="N37" s="5">
        <v>0</v>
      </c>
    </row>
    <row r="38" spans="1:14" x14ac:dyDescent="0.25">
      <c r="A38" t="s">
        <v>578</v>
      </c>
      <c r="B38" t="s">
        <v>111</v>
      </c>
      <c r="C38" t="str">
        <f>_xlfn.XLOOKUP(Table6[[#This Row],[app_id]],Table5[app_id],Table5[app_name],"",0)</f>
        <v>BrightNow</v>
      </c>
      <c r="D38" t="str">
        <f>_xlfn.XLOOKUP(Table6[[#This Row],[app_id]],Table5[app_id],Table5[category],"",0)</f>
        <v>Education</v>
      </c>
      <c r="E38" t="s">
        <v>537</v>
      </c>
      <c r="F38" t="s">
        <v>538</v>
      </c>
      <c r="G38" t="s">
        <v>30</v>
      </c>
      <c r="H38" t="s">
        <v>535</v>
      </c>
      <c r="I38">
        <v>11</v>
      </c>
      <c r="J38">
        <v>41.1</v>
      </c>
      <c r="K38" t="s">
        <v>258</v>
      </c>
      <c r="L38" t="s">
        <v>257</v>
      </c>
      <c r="M38" t="s">
        <v>257</v>
      </c>
      <c r="N38" s="5">
        <v>0</v>
      </c>
    </row>
    <row r="39" spans="1:14" x14ac:dyDescent="0.25">
      <c r="A39" t="s">
        <v>579</v>
      </c>
      <c r="B39" t="s">
        <v>114</v>
      </c>
      <c r="C39" t="str">
        <f>_xlfn.XLOOKUP(Table6[[#This Row],[app_id]],Table5[app_id],Table5[app_name],"",0)</f>
        <v>StudyCloud</v>
      </c>
      <c r="D39" t="str">
        <f>_xlfn.XLOOKUP(Table6[[#This Row],[app_id]],Table5[app_id],Table5[category],"",0)</f>
        <v>Education</v>
      </c>
      <c r="E39" t="s">
        <v>533</v>
      </c>
      <c r="F39" t="s">
        <v>538</v>
      </c>
      <c r="G39" t="s">
        <v>35</v>
      </c>
      <c r="H39" t="s">
        <v>535</v>
      </c>
      <c r="I39">
        <v>18</v>
      </c>
      <c r="J39">
        <v>37.700000000000003</v>
      </c>
      <c r="K39" t="s">
        <v>257</v>
      </c>
      <c r="L39" t="s">
        <v>257</v>
      </c>
      <c r="M39" t="s">
        <v>257</v>
      </c>
      <c r="N39" s="5">
        <v>0</v>
      </c>
    </row>
    <row r="40" spans="1:14" x14ac:dyDescent="0.25">
      <c r="A40" t="s">
        <v>580</v>
      </c>
      <c r="B40" t="s">
        <v>116</v>
      </c>
      <c r="C40" t="str">
        <f>_xlfn.XLOOKUP(Table6[[#This Row],[app_id]],Table5[app_id],Table5[app_name],"",0)</f>
        <v>SkillNow</v>
      </c>
      <c r="D40" t="str">
        <f>_xlfn.XLOOKUP(Table6[[#This Row],[app_id]],Table5[app_id],Table5[category],"",0)</f>
        <v>Education</v>
      </c>
      <c r="E40" t="s">
        <v>557</v>
      </c>
      <c r="F40" t="s">
        <v>538</v>
      </c>
      <c r="G40" t="s">
        <v>46</v>
      </c>
      <c r="H40" t="s">
        <v>535</v>
      </c>
      <c r="I40">
        <v>10</v>
      </c>
      <c r="J40">
        <v>25.3</v>
      </c>
      <c r="K40" t="s">
        <v>258</v>
      </c>
      <c r="L40" t="s">
        <v>257</v>
      </c>
      <c r="M40" t="s">
        <v>258</v>
      </c>
      <c r="N40" s="5">
        <v>22.35</v>
      </c>
    </row>
    <row r="41" spans="1:14" x14ac:dyDescent="0.25">
      <c r="A41" t="s">
        <v>581</v>
      </c>
      <c r="B41" t="s">
        <v>118</v>
      </c>
      <c r="C41" t="str">
        <f>_xlfn.XLOOKUP(Table6[[#This Row],[app_id]],Table5[app_id],Table5[app_name],"",0)</f>
        <v>LearnMate</v>
      </c>
      <c r="D41" t="str">
        <f>_xlfn.XLOOKUP(Table6[[#This Row],[app_id]],Table5[app_id],Table5[category],"",0)</f>
        <v>Education</v>
      </c>
      <c r="E41" t="s">
        <v>537</v>
      </c>
      <c r="F41" t="s">
        <v>538</v>
      </c>
      <c r="G41" t="s">
        <v>35</v>
      </c>
      <c r="H41" t="s">
        <v>535</v>
      </c>
      <c r="I41">
        <v>21</v>
      </c>
      <c r="J41">
        <v>22.8</v>
      </c>
      <c r="K41" t="s">
        <v>258</v>
      </c>
      <c r="L41" t="s">
        <v>258</v>
      </c>
      <c r="M41" t="s">
        <v>257</v>
      </c>
      <c r="N41" s="5">
        <v>0</v>
      </c>
    </row>
    <row r="42" spans="1:14" x14ac:dyDescent="0.25">
      <c r="A42" t="s">
        <v>582</v>
      </c>
      <c r="B42" t="s">
        <v>120</v>
      </c>
      <c r="C42" t="str">
        <f>_xlfn.XLOOKUP(Table6[[#This Row],[app_id]],Table5[app_id],Table5[app_name],"",0)</f>
        <v>QuestNow</v>
      </c>
      <c r="D42" t="str">
        <f>_xlfn.XLOOKUP(Table6[[#This Row],[app_id]],Table5[app_id],Table5[category],"",0)</f>
        <v>Education</v>
      </c>
      <c r="E42" t="s">
        <v>546</v>
      </c>
      <c r="F42" t="s">
        <v>538</v>
      </c>
      <c r="G42" t="s">
        <v>30</v>
      </c>
      <c r="H42" t="s">
        <v>535</v>
      </c>
      <c r="I42">
        <v>23</v>
      </c>
      <c r="J42">
        <v>30.7</v>
      </c>
      <c r="K42" t="s">
        <v>258</v>
      </c>
      <c r="L42" t="s">
        <v>258</v>
      </c>
      <c r="M42" t="s">
        <v>257</v>
      </c>
      <c r="N42" s="5">
        <v>0</v>
      </c>
    </row>
    <row r="43" spans="1:14" x14ac:dyDescent="0.25">
      <c r="A43" t="s">
        <v>583</v>
      </c>
      <c r="B43" t="s">
        <v>122</v>
      </c>
      <c r="C43" t="str">
        <f>_xlfn.XLOOKUP(Table6[[#This Row],[app_id]],Table5[app_id],Table5[app_name],"",0)</f>
        <v>SkillHub</v>
      </c>
      <c r="D43" t="str">
        <f>_xlfn.XLOOKUP(Table6[[#This Row],[app_id]],Table5[app_id],Table5[category],"",0)</f>
        <v>Education</v>
      </c>
      <c r="E43" t="s">
        <v>557</v>
      </c>
      <c r="F43" t="s">
        <v>534</v>
      </c>
      <c r="G43" t="s">
        <v>30</v>
      </c>
      <c r="H43" t="s">
        <v>535</v>
      </c>
      <c r="I43">
        <v>65</v>
      </c>
      <c r="J43">
        <v>18.2</v>
      </c>
      <c r="K43" t="s">
        <v>257</v>
      </c>
      <c r="L43" t="s">
        <v>258</v>
      </c>
      <c r="M43" t="s">
        <v>258</v>
      </c>
      <c r="N43" s="5">
        <v>0</v>
      </c>
    </row>
    <row r="44" spans="1:14" x14ac:dyDescent="0.25">
      <c r="A44" t="s">
        <v>584</v>
      </c>
      <c r="B44" t="s">
        <v>124</v>
      </c>
      <c r="C44" t="str">
        <f>_xlfn.XLOOKUP(Table6[[#This Row],[app_id]],Table5[app_id],Table5[app_name],"",0)</f>
        <v>TutorCloud</v>
      </c>
      <c r="D44" t="str">
        <f>_xlfn.XLOOKUP(Table6[[#This Row],[app_id]],Table5[app_id],Table5[category],"",0)</f>
        <v>Education</v>
      </c>
      <c r="E44" t="s">
        <v>533</v>
      </c>
      <c r="F44" t="s">
        <v>534</v>
      </c>
      <c r="G44" t="s">
        <v>61</v>
      </c>
      <c r="H44" t="s">
        <v>535</v>
      </c>
      <c r="I44">
        <v>8</v>
      </c>
      <c r="J44">
        <v>8</v>
      </c>
      <c r="K44" t="s">
        <v>258</v>
      </c>
      <c r="L44" t="s">
        <v>258</v>
      </c>
      <c r="M44" t="s">
        <v>258</v>
      </c>
      <c r="N44" s="5">
        <v>0</v>
      </c>
    </row>
    <row r="45" spans="1:14" x14ac:dyDescent="0.25">
      <c r="A45" t="s">
        <v>585</v>
      </c>
      <c r="B45" t="s">
        <v>126</v>
      </c>
      <c r="C45" t="str">
        <f>_xlfn.XLOOKUP(Table6[[#This Row],[app_id]],Table5[app_id],Table5[app_name],"",0)</f>
        <v>SkillOne</v>
      </c>
      <c r="D45" t="str">
        <f>_xlfn.XLOOKUP(Table6[[#This Row],[app_id]],Table5[app_id],Table5[category],"",0)</f>
        <v>Education</v>
      </c>
      <c r="E45" t="s">
        <v>533</v>
      </c>
      <c r="F45" t="s">
        <v>538</v>
      </c>
      <c r="G45" t="s">
        <v>46</v>
      </c>
      <c r="H45" t="s">
        <v>535</v>
      </c>
      <c r="I45">
        <v>1</v>
      </c>
      <c r="J45">
        <v>17.100000000000001</v>
      </c>
      <c r="K45" t="s">
        <v>258</v>
      </c>
      <c r="L45" t="s">
        <v>257</v>
      </c>
      <c r="M45" t="s">
        <v>258</v>
      </c>
      <c r="N45" s="5">
        <v>0</v>
      </c>
    </row>
    <row r="46" spans="1:14" x14ac:dyDescent="0.25">
      <c r="A46" t="s">
        <v>586</v>
      </c>
      <c r="B46" t="s">
        <v>128</v>
      </c>
      <c r="C46" t="str">
        <f>_xlfn.XLOOKUP(Table6[[#This Row],[app_id]],Table5[app_id],Table5[app_name],"",0)</f>
        <v>LearnOne</v>
      </c>
      <c r="D46" t="str">
        <f>_xlfn.XLOOKUP(Table6[[#This Row],[app_id]],Table5[app_id],Table5[category],"",0)</f>
        <v>Education</v>
      </c>
      <c r="E46" t="s">
        <v>546</v>
      </c>
      <c r="F46" t="s">
        <v>534</v>
      </c>
      <c r="G46" t="s">
        <v>46</v>
      </c>
      <c r="H46" t="s">
        <v>535</v>
      </c>
      <c r="I46">
        <v>12</v>
      </c>
      <c r="J46">
        <v>14.4</v>
      </c>
      <c r="K46" t="s">
        <v>258</v>
      </c>
      <c r="L46" t="s">
        <v>258</v>
      </c>
      <c r="M46" t="s">
        <v>258</v>
      </c>
      <c r="N46" s="5">
        <v>0</v>
      </c>
    </row>
    <row r="47" spans="1:14" x14ac:dyDescent="0.25">
      <c r="A47" t="s">
        <v>587</v>
      </c>
      <c r="B47" t="s">
        <v>130</v>
      </c>
      <c r="C47" t="str">
        <f>_xlfn.XLOOKUP(Table6[[#This Row],[app_id]],Table5[app_id],Table5[app_name],"",0)</f>
        <v>LearnPlus</v>
      </c>
      <c r="D47" t="str">
        <f>_xlfn.XLOOKUP(Table6[[#This Row],[app_id]],Table5[app_id],Table5[category],"",0)</f>
        <v>Education</v>
      </c>
      <c r="E47" t="s">
        <v>537</v>
      </c>
      <c r="F47" t="s">
        <v>534</v>
      </c>
      <c r="G47" t="s">
        <v>23</v>
      </c>
      <c r="H47" t="s">
        <v>535</v>
      </c>
      <c r="I47">
        <v>13</v>
      </c>
      <c r="J47">
        <v>24.3</v>
      </c>
      <c r="K47" t="s">
        <v>258</v>
      </c>
      <c r="L47" t="s">
        <v>257</v>
      </c>
      <c r="M47" t="s">
        <v>258</v>
      </c>
      <c r="N47" s="5">
        <v>0</v>
      </c>
    </row>
    <row r="48" spans="1:14" x14ac:dyDescent="0.25">
      <c r="A48" t="s">
        <v>588</v>
      </c>
      <c r="B48" t="s">
        <v>132</v>
      </c>
      <c r="C48" t="str">
        <f>_xlfn.XLOOKUP(Table6[[#This Row],[app_id]],Table5[app_id],Table5[app_name],"",0)</f>
        <v>StudyPlus</v>
      </c>
      <c r="D48" t="str">
        <f>_xlfn.XLOOKUP(Table6[[#This Row],[app_id]],Table5[app_id],Table5[category],"",0)</f>
        <v>Education</v>
      </c>
      <c r="E48" t="s">
        <v>546</v>
      </c>
      <c r="F48" t="s">
        <v>534</v>
      </c>
      <c r="G48" t="s">
        <v>46</v>
      </c>
      <c r="H48" t="s">
        <v>535</v>
      </c>
      <c r="I48">
        <v>43</v>
      </c>
      <c r="J48">
        <v>40.799999999999997</v>
      </c>
      <c r="K48" t="s">
        <v>257</v>
      </c>
      <c r="L48" t="s">
        <v>257</v>
      </c>
      <c r="M48" t="s">
        <v>258</v>
      </c>
      <c r="N48" s="5">
        <v>0</v>
      </c>
    </row>
    <row r="49" spans="1:14" x14ac:dyDescent="0.25">
      <c r="A49" t="s">
        <v>589</v>
      </c>
      <c r="B49" t="s">
        <v>134</v>
      </c>
      <c r="C49" t="str">
        <f>_xlfn.XLOOKUP(Table6[[#This Row],[app_id]],Table5[app_id],Table5[app_name],"",0)</f>
        <v>StudyX</v>
      </c>
      <c r="D49" t="str">
        <f>_xlfn.XLOOKUP(Table6[[#This Row],[app_id]],Table5[app_id],Table5[category],"",0)</f>
        <v>Education</v>
      </c>
      <c r="E49" t="s">
        <v>537</v>
      </c>
      <c r="F49" t="s">
        <v>548</v>
      </c>
      <c r="G49" t="s">
        <v>26</v>
      </c>
      <c r="H49" t="s">
        <v>535</v>
      </c>
      <c r="I49">
        <v>24</v>
      </c>
      <c r="J49">
        <v>19.7</v>
      </c>
      <c r="K49" t="s">
        <v>258</v>
      </c>
      <c r="L49" t="s">
        <v>257</v>
      </c>
      <c r="M49" t="s">
        <v>258</v>
      </c>
      <c r="N49" s="5">
        <v>0</v>
      </c>
    </row>
    <row r="50" spans="1:14" x14ac:dyDescent="0.25">
      <c r="A50" t="s">
        <v>590</v>
      </c>
      <c r="B50" t="s">
        <v>136</v>
      </c>
      <c r="C50" t="str">
        <f>_xlfn.XLOOKUP(Table6[[#This Row],[app_id]],Table5[app_id],Table5[app_name],"",0)</f>
        <v>PlayPlus</v>
      </c>
      <c r="D50" t="str">
        <f>_xlfn.XLOOKUP(Table6[[#This Row],[app_id]],Table5[app_id],Table5[category],"",0)</f>
        <v>Entertainment</v>
      </c>
      <c r="E50" t="s">
        <v>533</v>
      </c>
      <c r="F50" t="s">
        <v>548</v>
      </c>
      <c r="G50" t="s">
        <v>23</v>
      </c>
      <c r="H50" t="s">
        <v>535</v>
      </c>
      <c r="I50">
        <v>6</v>
      </c>
      <c r="J50">
        <v>30</v>
      </c>
      <c r="K50" t="s">
        <v>258</v>
      </c>
      <c r="L50" t="s">
        <v>258</v>
      </c>
      <c r="M50" t="s">
        <v>257</v>
      </c>
      <c r="N50" s="5">
        <v>0</v>
      </c>
    </row>
    <row r="51" spans="1:14" x14ac:dyDescent="0.25">
      <c r="A51" t="s">
        <v>591</v>
      </c>
      <c r="B51" t="s">
        <v>139</v>
      </c>
      <c r="C51" t="str">
        <f>_xlfn.XLOOKUP(Table6[[#This Row],[app_id]],Table5[app_id],Table5[app_name],"",0)</f>
        <v>ShowMate</v>
      </c>
      <c r="D51" t="str">
        <f>_xlfn.XLOOKUP(Table6[[#This Row],[app_id]],Table5[app_id],Table5[category],"",0)</f>
        <v>Entertainment</v>
      </c>
      <c r="E51" t="s">
        <v>546</v>
      </c>
      <c r="F51" t="s">
        <v>538</v>
      </c>
      <c r="G51" t="s">
        <v>18</v>
      </c>
      <c r="H51" t="s">
        <v>535</v>
      </c>
      <c r="I51">
        <v>28</v>
      </c>
      <c r="J51">
        <v>34.299999999999997</v>
      </c>
      <c r="K51" t="s">
        <v>258</v>
      </c>
      <c r="L51" t="s">
        <v>258</v>
      </c>
      <c r="M51" t="s">
        <v>257</v>
      </c>
      <c r="N51" s="5">
        <v>44.91</v>
      </c>
    </row>
    <row r="52" spans="1:14" x14ac:dyDescent="0.25">
      <c r="A52" t="s">
        <v>592</v>
      </c>
      <c r="B52" t="s">
        <v>141</v>
      </c>
      <c r="C52" t="str">
        <f>_xlfn.XLOOKUP(Table6[[#This Row],[app_id]],Table5[app_id],Table5[app_name],"",0)</f>
        <v>VibeX</v>
      </c>
      <c r="D52" t="str">
        <f>_xlfn.XLOOKUP(Table6[[#This Row],[app_id]],Table5[app_id],Table5[category],"",0)</f>
        <v>Entertainment</v>
      </c>
      <c r="E52" t="s">
        <v>537</v>
      </c>
      <c r="F52" t="s">
        <v>534</v>
      </c>
      <c r="G52" t="s">
        <v>30</v>
      </c>
      <c r="H52" t="s">
        <v>535</v>
      </c>
      <c r="I52">
        <v>39</v>
      </c>
      <c r="J52">
        <v>13.8</v>
      </c>
      <c r="K52" t="s">
        <v>257</v>
      </c>
      <c r="L52" t="s">
        <v>257</v>
      </c>
      <c r="M52" t="s">
        <v>258</v>
      </c>
      <c r="N52" s="5">
        <v>0</v>
      </c>
    </row>
    <row r="53" spans="1:14" x14ac:dyDescent="0.25">
      <c r="A53" t="s">
        <v>593</v>
      </c>
      <c r="B53" t="s">
        <v>143</v>
      </c>
      <c r="C53" t="str">
        <f>_xlfn.XLOOKUP(Table6[[#This Row],[app_id]],Table5[app_id],Table5[app_name],"",0)</f>
        <v>BuzzNow</v>
      </c>
      <c r="D53" t="str">
        <f>_xlfn.XLOOKUP(Table6[[#This Row],[app_id]],Table5[app_id],Table5[category],"",0)</f>
        <v>Entertainment</v>
      </c>
      <c r="E53" t="s">
        <v>546</v>
      </c>
      <c r="F53" t="s">
        <v>534</v>
      </c>
      <c r="G53" t="s">
        <v>69</v>
      </c>
      <c r="H53" t="s">
        <v>535</v>
      </c>
      <c r="I53">
        <v>85</v>
      </c>
      <c r="J53">
        <v>35.299999999999997</v>
      </c>
      <c r="K53" t="s">
        <v>257</v>
      </c>
      <c r="L53" t="s">
        <v>257</v>
      </c>
      <c r="M53" t="s">
        <v>258</v>
      </c>
      <c r="N53" s="5">
        <v>17.25</v>
      </c>
    </row>
    <row r="54" spans="1:14" x14ac:dyDescent="0.25">
      <c r="A54" t="s">
        <v>594</v>
      </c>
      <c r="B54" t="s">
        <v>145</v>
      </c>
      <c r="C54" t="str">
        <f>_xlfn.XLOOKUP(Table6[[#This Row],[app_id]],Table5[app_id],Table5[app_name],"",0)</f>
        <v>StreamPlus</v>
      </c>
      <c r="D54" t="str">
        <f>_xlfn.XLOOKUP(Table6[[#This Row],[app_id]],Table5[app_id],Table5[category],"",0)</f>
        <v>Entertainment</v>
      </c>
      <c r="E54" t="s">
        <v>533</v>
      </c>
      <c r="F54" t="s">
        <v>534</v>
      </c>
      <c r="G54" t="s">
        <v>46</v>
      </c>
      <c r="H54" t="s">
        <v>540</v>
      </c>
      <c r="I54">
        <v>32</v>
      </c>
      <c r="J54">
        <v>40.1</v>
      </c>
      <c r="K54" t="s">
        <v>257</v>
      </c>
      <c r="L54" t="s">
        <v>257</v>
      </c>
      <c r="M54" t="s">
        <v>258</v>
      </c>
      <c r="N54" s="5">
        <v>0</v>
      </c>
    </row>
    <row r="55" spans="1:14" x14ac:dyDescent="0.25">
      <c r="A55" t="s">
        <v>595</v>
      </c>
      <c r="B55" t="s">
        <v>147</v>
      </c>
      <c r="C55" t="str">
        <f>_xlfn.XLOOKUP(Table6[[#This Row],[app_id]],Table5[app_id],Table5[app_name],"",0)</f>
        <v>Showly</v>
      </c>
      <c r="D55" t="str">
        <f>_xlfn.XLOOKUP(Table6[[#This Row],[app_id]],Table5[app_id],Table5[category],"",0)</f>
        <v>Entertainment</v>
      </c>
      <c r="E55" t="s">
        <v>533</v>
      </c>
      <c r="F55" t="s">
        <v>538</v>
      </c>
      <c r="G55" t="s">
        <v>69</v>
      </c>
      <c r="H55" t="s">
        <v>535</v>
      </c>
      <c r="I55">
        <v>82</v>
      </c>
      <c r="J55">
        <v>26.9</v>
      </c>
      <c r="K55" t="s">
        <v>257</v>
      </c>
      <c r="L55" t="s">
        <v>257</v>
      </c>
      <c r="M55" t="s">
        <v>258</v>
      </c>
      <c r="N55" s="5">
        <v>0</v>
      </c>
    </row>
    <row r="56" spans="1:14" x14ac:dyDescent="0.25">
      <c r="A56" t="s">
        <v>596</v>
      </c>
      <c r="B56" t="s">
        <v>149</v>
      </c>
      <c r="C56" t="str">
        <f>_xlfn.XLOOKUP(Table6[[#This Row],[app_id]],Table5[app_id],Table5[app_name],"",0)</f>
        <v>BuzzOne</v>
      </c>
      <c r="D56" t="str">
        <f>_xlfn.XLOOKUP(Table6[[#This Row],[app_id]],Table5[app_id],Table5[category],"",0)</f>
        <v>Entertainment</v>
      </c>
      <c r="E56" t="s">
        <v>546</v>
      </c>
      <c r="F56" t="s">
        <v>538</v>
      </c>
      <c r="G56" t="s">
        <v>23</v>
      </c>
      <c r="H56" t="s">
        <v>535</v>
      </c>
      <c r="I56">
        <v>24</v>
      </c>
      <c r="J56">
        <v>8.6</v>
      </c>
      <c r="K56" t="s">
        <v>258</v>
      </c>
      <c r="L56" t="s">
        <v>257</v>
      </c>
      <c r="M56" t="s">
        <v>258</v>
      </c>
      <c r="N56" s="5">
        <v>0</v>
      </c>
    </row>
    <row r="57" spans="1:14" x14ac:dyDescent="0.25">
      <c r="A57" t="s">
        <v>597</v>
      </c>
      <c r="B57" t="s">
        <v>151</v>
      </c>
      <c r="C57" t="str">
        <f>_xlfn.XLOOKUP(Table6[[#This Row],[app_id]],Table5[app_id],Table5[app_name],"",0)</f>
        <v>PlayHub</v>
      </c>
      <c r="D57" t="str">
        <f>_xlfn.XLOOKUP(Table6[[#This Row],[app_id]],Table5[app_id],Table5[category],"",0)</f>
        <v>Entertainment</v>
      </c>
      <c r="E57" t="s">
        <v>533</v>
      </c>
      <c r="F57" t="s">
        <v>538</v>
      </c>
      <c r="G57" t="s">
        <v>35</v>
      </c>
      <c r="H57" t="s">
        <v>535</v>
      </c>
      <c r="I57">
        <v>5</v>
      </c>
      <c r="J57">
        <v>11.3</v>
      </c>
      <c r="K57" t="s">
        <v>258</v>
      </c>
      <c r="L57" t="s">
        <v>258</v>
      </c>
      <c r="M57" t="s">
        <v>257</v>
      </c>
      <c r="N57" s="5">
        <v>0</v>
      </c>
    </row>
    <row r="58" spans="1:14" x14ac:dyDescent="0.25">
      <c r="A58" t="s">
        <v>598</v>
      </c>
      <c r="B58" t="s">
        <v>153</v>
      </c>
      <c r="C58" t="str">
        <f>_xlfn.XLOOKUP(Table6[[#This Row],[app_id]],Table5[app_id],Table5[app_name],"",0)</f>
        <v>CinemaGo</v>
      </c>
      <c r="D58" t="str">
        <f>_xlfn.XLOOKUP(Table6[[#This Row],[app_id]],Table5[app_id],Table5[category],"",0)</f>
        <v>Entertainment</v>
      </c>
      <c r="E58" t="s">
        <v>533</v>
      </c>
      <c r="F58" t="s">
        <v>538</v>
      </c>
      <c r="G58" t="s">
        <v>61</v>
      </c>
      <c r="H58" t="s">
        <v>535</v>
      </c>
      <c r="I58">
        <v>10</v>
      </c>
      <c r="J58">
        <v>40.4</v>
      </c>
      <c r="K58" t="s">
        <v>258</v>
      </c>
      <c r="L58" t="s">
        <v>258</v>
      </c>
      <c r="M58" t="s">
        <v>258</v>
      </c>
      <c r="N58" s="5">
        <v>81.7</v>
      </c>
    </row>
    <row r="59" spans="1:14" x14ac:dyDescent="0.25">
      <c r="A59" t="s">
        <v>599</v>
      </c>
      <c r="B59" t="s">
        <v>155</v>
      </c>
      <c r="C59" t="str">
        <f>_xlfn.XLOOKUP(Table6[[#This Row],[app_id]],Table5[app_id],Table5[app_name],"",0)</f>
        <v>LaughX</v>
      </c>
      <c r="D59" t="str">
        <f>_xlfn.XLOOKUP(Table6[[#This Row],[app_id]],Table5[app_id],Table5[category],"",0)</f>
        <v>Entertainment</v>
      </c>
      <c r="E59" t="s">
        <v>546</v>
      </c>
      <c r="F59" t="s">
        <v>534</v>
      </c>
      <c r="G59" t="s">
        <v>26</v>
      </c>
      <c r="H59" t="s">
        <v>535</v>
      </c>
      <c r="I59">
        <v>22</v>
      </c>
      <c r="J59">
        <v>38.1</v>
      </c>
      <c r="K59" t="s">
        <v>258</v>
      </c>
      <c r="L59" t="s">
        <v>257</v>
      </c>
      <c r="M59" t="s">
        <v>258</v>
      </c>
      <c r="N59" s="5">
        <v>0</v>
      </c>
    </row>
    <row r="60" spans="1:14" x14ac:dyDescent="0.25">
      <c r="A60" t="s">
        <v>600</v>
      </c>
      <c r="B60" t="s">
        <v>157</v>
      </c>
      <c r="C60" t="str">
        <f>_xlfn.XLOOKUP(Table6[[#This Row],[app_id]],Table5[app_id],Table5[app_name],"",0)</f>
        <v>CinemaHub</v>
      </c>
      <c r="D60" t="str">
        <f>_xlfn.XLOOKUP(Table6[[#This Row],[app_id]],Table5[app_id],Table5[category],"",0)</f>
        <v>Entertainment</v>
      </c>
      <c r="E60" t="s">
        <v>546</v>
      </c>
      <c r="F60" t="s">
        <v>538</v>
      </c>
      <c r="G60" t="s">
        <v>69</v>
      </c>
      <c r="H60" t="s">
        <v>535</v>
      </c>
      <c r="I60">
        <v>90</v>
      </c>
      <c r="J60">
        <v>19.399999999999999</v>
      </c>
      <c r="K60" t="s">
        <v>257</v>
      </c>
      <c r="L60" t="s">
        <v>257</v>
      </c>
      <c r="M60" t="s">
        <v>258</v>
      </c>
      <c r="N60" s="5">
        <v>0</v>
      </c>
    </row>
    <row r="61" spans="1:14" x14ac:dyDescent="0.25">
      <c r="A61" t="s">
        <v>601</v>
      </c>
      <c r="B61" t="s">
        <v>159</v>
      </c>
      <c r="C61" t="str">
        <f>_xlfn.XLOOKUP(Table6[[#This Row],[app_id]],Table5[app_id],Table5[app_name],"",0)</f>
        <v>ShowPro</v>
      </c>
      <c r="D61" t="str">
        <f>_xlfn.XLOOKUP(Table6[[#This Row],[app_id]],Table5[app_id],Table5[category],"",0)</f>
        <v>Entertainment</v>
      </c>
      <c r="E61" t="s">
        <v>537</v>
      </c>
      <c r="F61" t="s">
        <v>548</v>
      </c>
      <c r="G61" t="s">
        <v>23</v>
      </c>
      <c r="H61" t="s">
        <v>535</v>
      </c>
      <c r="I61">
        <v>60</v>
      </c>
      <c r="J61">
        <v>28.7</v>
      </c>
      <c r="K61" t="s">
        <v>257</v>
      </c>
      <c r="L61" t="s">
        <v>258</v>
      </c>
      <c r="M61" t="s">
        <v>258</v>
      </c>
      <c r="N61" s="5">
        <v>0</v>
      </c>
    </row>
    <row r="62" spans="1:14" x14ac:dyDescent="0.25">
      <c r="A62" t="s">
        <v>602</v>
      </c>
      <c r="B62" t="s">
        <v>161</v>
      </c>
      <c r="C62" t="str">
        <f>_xlfn.XLOOKUP(Table6[[#This Row],[app_id]],Table5[app_id],Table5[app_name],"",0)</f>
        <v>FoodPlus</v>
      </c>
      <c r="D62" t="str">
        <f>_xlfn.XLOOKUP(Table6[[#This Row],[app_id]],Table5[app_id],Table5[category],"",0)</f>
        <v>Food Delivery</v>
      </c>
      <c r="E62" t="s">
        <v>546</v>
      </c>
      <c r="F62" t="s">
        <v>534</v>
      </c>
      <c r="G62" t="s">
        <v>61</v>
      </c>
      <c r="H62" t="s">
        <v>540</v>
      </c>
      <c r="I62">
        <v>16</v>
      </c>
      <c r="J62">
        <v>6.5</v>
      </c>
      <c r="K62" t="s">
        <v>258</v>
      </c>
      <c r="L62" t="s">
        <v>258</v>
      </c>
      <c r="M62" t="s">
        <v>257</v>
      </c>
      <c r="N62" s="5">
        <v>0</v>
      </c>
    </row>
    <row r="63" spans="1:14" x14ac:dyDescent="0.25">
      <c r="A63" t="s">
        <v>603</v>
      </c>
      <c r="B63" t="s">
        <v>164</v>
      </c>
      <c r="C63" t="str">
        <f>_xlfn.XLOOKUP(Table6[[#This Row],[app_id]],Table5[app_id],Table5[app_name],"",0)</f>
        <v>BiteGo</v>
      </c>
      <c r="D63" t="str">
        <f>_xlfn.XLOOKUP(Table6[[#This Row],[app_id]],Table5[app_id],Table5[category],"",0)</f>
        <v>Food Delivery</v>
      </c>
      <c r="E63" t="s">
        <v>546</v>
      </c>
      <c r="F63" t="s">
        <v>538</v>
      </c>
      <c r="G63" t="s">
        <v>69</v>
      </c>
      <c r="H63" t="s">
        <v>535</v>
      </c>
      <c r="I63">
        <v>19</v>
      </c>
      <c r="J63">
        <v>14.7</v>
      </c>
      <c r="K63" t="s">
        <v>258</v>
      </c>
      <c r="L63" t="s">
        <v>257</v>
      </c>
      <c r="M63" t="s">
        <v>258</v>
      </c>
      <c r="N63" s="5">
        <v>0</v>
      </c>
    </row>
    <row r="64" spans="1:14" x14ac:dyDescent="0.25">
      <c r="A64" t="s">
        <v>604</v>
      </c>
      <c r="B64" t="s">
        <v>166</v>
      </c>
      <c r="C64" t="str">
        <f>_xlfn.XLOOKUP(Table6[[#This Row],[app_id]],Table5[app_id],Table5[app_name],"",0)</f>
        <v>OrderCloud</v>
      </c>
      <c r="D64" t="str">
        <f>_xlfn.XLOOKUP(Table6[[#This Row],[app_id]],Table5[app_id],Table5[category],"",0)</f>
        <v>Food Delivery</v>
      </c>
      <c r="E64" t="s">
        <v>557</v>
      </c>
      <c r="F64" t="s">
        <v>538</v>
      </c>
      <c r="G64" t="s">
        <v>26</v>
      </c>
      <c r="H64" t="s">
        <v>535</v>
      </c>
      <c r="I64">
        <v>15</v>
      </c>
      <c r="J64">
        <v>9.3000000000000007</v>
      </c>
      <c r="K64" t="s">
        <v>258</v>
      </c>
      <c r="L64" t="s">
        <v>258</v>
      </c>
      <c r="M64" t="s">
        <v>257</v>
      </c>
      <c r="N64" s="5">
        <v>20.32</v>
      </c>
    </row>
    <row r="65" spans="1:14" x14ac:dyDescent="0.25">
      <c r="A65" t="s">
        <v>605</v>
      </c>
      <c r="B65" t="s">
        <v>168</v>
      </c>
      <c r="C65" t="str">
        <f>_xlfn.XLOOKUP(Table6[[#This Row],[app_id]],Table5[app_id],Table5[app_name],"",0)</f>
        <v>DinePlus</v>
      </c>
      <c r="D65" t="str">
        <f>_xlfn.XLOOKUP(Table6[[#This Row],[app_id]],Table5[app_id],Table5[category],"",0)</f>
        <v>Food Delivery</v>
      </c>
      <c r="E65" t="s">
        <v>533</v>
      </c>
      <c r="F65" t="s">
        <v>538</v>
      </c>
      <c r="G65" t="s">
        <v>30</v>
      </c>
      <c r="H65" t="s">
        <v>535</v>
      </c>
      <c r="I65">
        <v>14</v>
      </c>
      <c r="J65">
        <v>4.5</v>
      </c>
      <c r="K65" t="s">
        <v>258</v>
      </c>
      <c r="L65" t="s">
        <v>258</v>
      </c>
      <c r="M65" t="s">
        <v>258</v>
      </c>
      <c r="N65" s="5">
        <v>0</v>
      </c>
    </row>
    <row r="66" spans="1:14" x14ac:dyDescent="0.25">
      <c r="A66" t="s">
        <v>606</v>
      </c>
      <c r="B66" t="s">
        <v>170</v>
      </c>
      <c r="C66" t="str">
        <f>_xlfn.XLOOKUP(Table6[[#This Row],[app_id]],Table5[app_id],Table5[app_name],"",0)</f>
        <v>SnackX</v>
      </c>
      <c r="D66" t="str">
        <f>_xlfn.XLOOKUP(Table6[[#This Row],[app_id]],Table5[app_id],Table5[category],"",0)</f>
        <v>Food Delivery</v>
      </c>
      <c r="E66" t="s">
        <v>533</v>
      </c>
      <c r="F66" t="s">
        <v>534</v>
      </c>
      <c r="G66" t="s">
        <v>30</v>
      </c>
      <c r="H66" t="s">
        <v>535</v>
      </c>
      <c r="I66">
        <v>84</v>
      </c>
      <c r="J66">
        <v>5.8</v>
      </c>
      <c r="K66" t="s">
        <v>257</v>
      </c>
      <c r="L66" t="s">
        <v>257</v>
      </c>
      <c r="M66" t="s">
        <v>258</v>
      </c>
      <c r="N66" s="5">
        <v>74.22</v>
      </c>
    </row>
    <row r="67" spans="1:14" x14ac:dyDescent="0.25">
      <c r="A67" t="s">
        <v>607</v>
      </c>
      <c r="B67" t="s">
        <v>172</v>
      </c>
      <c r="C67" t="str">
        <f>_xlfn.XLOOKUP(Table6[[#This Row],[app_id]],Table5[app_id],Table5[app_name],"",0)</f>
        <v>FoodOne</v>
      </c>
      <c r="D67" t="str">
        <f>_xlfn.XLOOKUP(Table6[[#This Row],[app_id]],Table5[app_id],Table5[category],"",0)</f>
        <v>Food Delivery</v>
      </c>
      <c r="E67" t="s">
        <v>533</v>
      </c>
      <c r="F67" t="s">
        <v>534</v>
      </c>
      <c r="G67" t="s">
        <v>61</v>
      </c>
      <c r="H67" t="s">
        <v>535</v>
      </c>
      <c r="I67">
        <v>50</v>
      </c>
      <c r="J67">
        <v>3.3</v>
      </c>
      <c r="K67" t="s">
        <v>257</v>
      </c>
      <c r="L67" t="s">
        <v>257</v>
      </c>
      <c r="M67" t="s">
        <v>258</v>
      </c>
      <c r="N67" s="5">
        <v>0</v>
      </c>
    </row>
    <row r="68" spans="1:14" x14ac:dyDescent="0.25">
      <c r="A68" t="s">
        <v>608</v>
      </c>
      <c r="B68" t="s">
        <v>174</v>
      </c>
      <c r="C68" t="str">
        <f>_xlfn.XLOOKUP(Table6[[#This Row],[app_id]],Table5[app_id],Table5[app_name],"",0)</f>
        <v>MealMate</v>
      </c>
      <c r="D68" t="str">
        <f>_xlfn.XLOOKUP(Table6[[#This Row],[app_id]],Table5[app_id],Table5[category],"",0)</f>
        <v>Food Delivery</v>
      </c>
      <c r="E68" t="s">
        <v>533</v>
      </c>
      <c r="F68" t="s">
        <v>538</v>
      </c>
      <c r="G68" t="s">
        <v>46</v>
      </c>
      <c r="H68" t="s">
        <v>535</v>
      </c>
      <c r="I68">
        <v>25</v>
      </c>
      <c r="J68">
        <v>22.3</v>
      </c>
      <c r="K68" t="s">
        <v>257</v>
      </c>
      <c r="L68" t="s">
        <v>257</v>
      </c>
      <c r="M68" t="s">
        <v>258</v>
      </c>
      <c r="N68" s="5">
        <v>0</v>
      </c>
    </row>
    <row r="69" spans="1:14" x14ac:dyDescent="0.25">
      <c r="A69" t="s">
        <v>609</v>
      </c>
      <c r="B69" t="s">
        <v>176</v>
      </c>
      <c r="C69" t="str">
        <f>_xlfn.XLOOKUP(Table6[[#This Row],[app_id]],Table5[app_id],Table5[app_name],"",0)</f>
        <v>SnackHub</v>
      </c>
      <c r="D69" t="str">
        <f>_xlfn.XLOOKUP(Table6[[#This Row],[app_id]],Table5[app_id],Table5[category],"",0)</f>
        <v>Food Delivery</v>
      </c>
      <c r="E69" t="s">
        <v>533</v>
      </c>
      <c r="F69" t="s">
        <v>548</v>
      </c>
      <c r="G69" t="s">
        <v>61</v>
      </c>
      <c r="H69" t="s">
        <v>535</v>
      </c>
      <c r="I69">
        <v>14</v>
      </c>
      <c r="J69">
        <v>10.7</v>
      </c>
      <c r="K69" t="s">
        <v>258</v>
      </c>
      <c r="L69" t="s">
        <v>257</v>
      </c>
      <c r="M69" t="s">
        <v>257</v>
      </c>
      <c r="N69" s="5">
        <v>0</v>
      </c>
    </row>
    <row r="70" spans="1:14" x14ac:dyDescent="0.25">
      <c r="A70" t="s">
        <v>610</v>
      </c>
      <c r="B70" t="s">
        <v>178</v>
      </c>
      <c r="C70" t="str">
        <f>_xlfn.XLOOKUP(Table6[[#This Row],[app_id]],Table5[app_id],Table5[app_name],"",0)</f>
        <v>BiteCloud</v>
      </c>
      <c r="D70" t="str">
        <f>_xlfn.XLOOKUP(Table6[[#This Row],[app_id]],Table5[app_id],Table5[category],"",0)</f>
        <v>Food Delivery</v>
      </c>
      <c r="E70" t="s">
        <v>557</v>
      </c>
      <c r="F70" t="s">
        <v>534</v>
      </c>
      <c r="G70" t="s">
        <v>46</v>
      </c>
      <c r="H70" t="s">
        <v>535</v>
      </c>
      <c r="I70">
        <v>61</v>
      </c>
      <c r="J70">
        <v>22.1</v>
      </c>
      <c r="K70" t="s">
        <v>257</v>
      </c>
      <c r="L70" t="s">
        <v>258</v>
      </c>
      <c r="M70" t="s">
        <v>258</v>
      </c>
      <c r="N70" s="5">
        <v>0</v>
      </c>
    </row>
    <row r="71" spans="1:14" x14ac:dyDescent="0.25">
      <c r="A71" t="s">
        <v>611</v>
      </c>
      <c r="B71" t="s">
        <v>180</v>
      </c>
      <c r="C71" t="str">
        <f>_xlfn.XLOOKUP(Table6[[#This Row],[app_id]],Table5[app_id],Table5[app_name],"",0)</f>
        <v>PlatePlus</v>
      </c>
      <c r="D71" t="str">
        <f>_xlfn.XLOOKUP(Table6[[#This Row],[app_id]],Table5[app_id],Table5[category],"",0)</f>
        <v>Food Delivery</v>
      </c>
      <c r="E71" t="s">
        <v>537</v>
      </c>
      <c r="F71" t="s">
        <v>538</v>
      </c>
      <c r="G71" t="s">
        <v>18</v>
      </c>
      <c r="H71" t="s">
        <v>535</v>
      </c>
      <c r="I71">
        <v>8</v>
      </c>
      <c r="J71">
        <v>13.6</v>
      </c>
      <c r="K71" t="s">
        <v>258</v>
      </c>
      <c r="L71" t="s">
        <v>258</v>
      </c>
      <c r="M71" t="s">
        <v>258</v>
      </c>
      <c r="N71" s="5">
        <v>0</v>
      </c>
    </row>
    <row r="72" spans="1:14" x14ac:dyDescent="0.25">
      <c r="A72" t="s">
        <v>612</v>
      </c>
      <c r="B72" t="s">
        <v>182</v>
      </c>
      <c r="C72" t="str">
        <f>_xlfn.XLOOKUP(Table6[[#This Row],[app_id]],Table5[app_id],Table5[app_name],"",0)</f>
        <v>VoyageGo</v>
      </c>
      <c r="D72" t="str">
        <f>_xlfn.XLOOKUP(Table6[[#This Row],[app_id]],Table5[app_id],Table5[category],"",0)</f>
        <v>Travel</v>
      </c>
      <c r="E72" t="s">
        <v>537</v>
      </c>
      <c r="F72" t="s">
        <v>548</v>
      </c>
      <c r="G72" t="s">
        <v>69</v>
      </c>
      <c r="H72" t="s">
        <v>535</v>
      </c>
      <c r="I72">
        <v>70</v>
      </c>
      <c r="J72">
        <v>17.399999999999999</v>
      </c>
      <c r="K72" t="s">
        <v>257</v>
      </c>
      <c r="L72" t="s">
        <v>257</v>
      </c>
      <c r="M72" t="s">
        <v>258</v>
      </c>
      <c r="N72" s="5">
        <v>0</v>
      </c>
    </row>
    <row r="73" spans="1:14" x14ac:dyDescent="0.25">
      <c r="A73" t="s">
        <v>613</v>
      </c>
      <c r="B73" t="s">
        <v>185</v>
      </c>
      <c r="C73" t="str">
        <f>_xlfn.XLOOKUP(Table6[[#This Row],[app_id]],Table5[app_id],Table5[app_name],"",0)</f>
        <v>TripOne</v>
      </c>
      <c r="D73" t="str">
        <f>_xlfn.XLOOKUP(Table6[[#This Row],[app_id]],Table5[app_id],Table5[category],"",0)</f>
        <v>Travel</v>
      </c>
      <c r="E73" t="s">
        <v>537</v>
      </c>
      <c r="F73" t="s">
        <v>538</v>
      </c>
      <c r="G73" t="s">
        <v>61</v>
      </c>
      <c r="H73" t="s">
        <v>535</v>
      </c>
      <c r="I73">
        <v>50</v>
      </c>
      <c r="J73">
        <v>19.7</v>
      </c>
      <c r="K73" t="s">
        <v>257</v>
      </c>
      <c r="L73" t="s">
        <v>257</v>
      </c>
      <c r="M73" t="s">
        <v>258</v>
      </c>
      <c r="N73" s="5">
        <v>0</v>
      </c>
    </row>
    <row r="74" spans="1:14" x14ac:dyDescent="0.25">
      <c r="A74" t="s">
        <v>614</v>
      </c>
      <c r="B74" t="s">
        <v>187</v>
      </c>
      <c r="C74" t="str">
        <f>_xlfn.XLOOKUP(Table6[[#This Row],[app_id]],Table5[app_id],Table5[app_name],"",0)</f>
        <v>FlyGo</v>
      </c>
      <c r="D74" t="str">
        <f>_xlfn.XLOOKUP(Table6[[#This Row],[app_id]],Table5[app_id],Table5[category],"",0)</f>
        <v>Travel</v>
      </c>
      <c r="E74" t="s">
        <v>533</v>
      </c>
      <c r="F74" t="s">
        <v>534</v>
      </c>
      <c r="G74" t="s">
        <v>18</v>
      </c>
      <c r="H74" t="s">
        <v>535</v>
      </c>
      <c r="I74">
        <v>4</v>
      </c>
      <c r="J74">
        <v>17</v>
      </c>
      <c r="K74" t="s">
        <v>258</v>
      </c>
      <c r="L74" t="s">
        <v>257</v>
      </c>
      <c r="M74" t="s">
        <v>258</v>
      </c>
      <c r="N74" s="5">
        <v>0</v>
      </c>
    </row>
    <row r="75" spans="1:14" x14ac:dyDescent="0.25">
      <c r="A75" t="s">
        <v>615</v>
      </c>
      <c r="B75" t="s">
        <v>189</v>
      </c>
      <c r="C75" t="str">
        <f>_xlfn.XLOOKUP(Table6[[#This Row],[app_id]],Table5[app_id],Table5[app_name],"",0)</f>
        <v>MapX</v>
      </c>
      <c r="D75" t="str">
        <f>_xlfn.XLOOKUP(Table6[[#This Row],[app_id]],Table5[app_id],Table5[category],"",0)</f>
        <v>Travel</v>
      </c>
      <c r="E75" t="s">
        <v>533</v>
      </c>
      <c r="F75" t="s">
        <v>534</v>
      </c>
      <c r="G75" t="s">
        <v>26</v>
      </c>
      <c r="H75" t="s">
        <v>535</v>
      </c>
      <c r="I75">
        <v>17</v>
      </c>
      <c r="J75">
        <v>19.3</v>
      </c>
      <c r="K75" t="s">
        <v>257</v>
      </c>
      <c r="L75" t="s">
        <v>257</v>
      </c>
      <c r="M75" t="s">
        <v>258</v>
      </c>
      <c r="N75" s="5">
        <v>0</v>
      </c>
    </row>
    <row r="76" spans="1:14" x14ac:dyDescent="0.25">
      <c r="A76" t="s">
        <v>616</v>
      </c>
      <c r="B76" t="s">
        <v>191</v>
      </c>
      <c r="C76" t="str">
        <f>_xlfn.XLOOKUP(Table6[[#This Row],[app_id]],Table5[app_id],Table5[app_name],"",0)</f>
        <v>StayX</v>
      </c>
      <c r="D76" t="str">
        <f>_xlfn.XLOOKUP(Table6[[#This Row],[app_id]],Table5[app_id],Table5[category],"",0)</f>
        <v>Travel</v>
      </c>
      <c r="E76" t="s">
        <v>537</v>
      </c>
      <c r="F76" t="s">
        <v>534</v>
      </c>
      <c r="G76" t="s">
        <v>23</v>
      </c>
      <c r="H76" t="s">
        <v>535</v>
      </c>
      <c r="I76">
        <v>7</v>
      </c>
      <c r="J76">
        <v>9.6999999999999993</v>
      </c>
      <c r="K76" t="s">
        <v>258</v>
      </c>
      <c r="L76" t="s">
        <v>257</v>
      </c>
      <c r="M76" t="s">
        <v>258</v>
      </c>
      <c r="N76" s="5">
        <v>0</v>
      </c>
    </row>
    <row r="77" spans="1:14" x14ac:dyDescent="0.25">
      <c r="A77" t="s">
        <v>617</v>
      </c>
      <c r="B77" t="s">
        <v>193</v>
      </c>
      <c r="C77" t="str">
        <f>_xlfn.XLOOKUP(Table6[[#This Row],[app_id]],Table5[app_id],Table5[app_name],"",0)</f>
        <v>GoNow</v>
      </c>
      <c r="D77" t="str">
        <f>_xlfn.XLOOKUP(Table6[[#This Row],[app_id]],Table5[app_id],Table5[category],"",0)</f>
        <v>Travel</v>
      </c>
      <c r="E77" t="s">
        <v>537</v>
      </c>
      <c r="F77" t="s">
        <v>534</v>
      </c>
      <c r="G77" t="s">
        <v>30</v>
      </c>
      <c r="H77" t="s">
        <v>535</v>
      </c>
      <c r="I77">
        <v>65</v>
      </c>
      <c r="J77">
        <v>18</v>
      </c>
      <c r="K77" t="s">
        <v>257</v>
      </c>
      <c r="L77" t="s">
        <v>257</v>
      </c>
      <c r="M77" t="s">
        <v>258</v>
      </c>
      <c r="N77" s="5">
        <v>90.84</v>
      </c>
    </row>
    <row r="78" spans="1:14" x14ac:dyDescent="0.25">
      <c r="A78" t="s">
        <v>618</v>
      </c>
      <c r="B78" t="s">
        <v>195</v>
      </c>
      <c r="C78" t="str">
        <f>_xlfn.XLOOKUP(Table6[[#This Row],[app_id]],Table5[app_id],Table5[app_name],"",0)</f>
        <v>RouteGo</v>
      </c>
      <c r="D78" t="str">
        <f>_xlfn.XLOOKUP(Table6[[#This Row],[app_id]],Table5[app_id],Table5[category],"",0)</f>
        <v>Travel</v>
      </c>
      <c r="E78" t="s">
        <v>552</v>
      </c>
      <c r="F78" t="s">
        <v>538</v>
      </c>
      <c r="G78" t="s">
        <v>46</v>
      </c>
      <c r="H78" t="s">
        <v>535</v>
      </c>
      <c r="I78">
        <v>3</v>
      </c>
      <c r="J78">
        <v>17</v>
      </c>
      <c r="K78" t="s">
        <v>258</v>
      </c>
      <c r="L78" t="s">
        <v>258</v>
      </c>
      <c r="M78" t="s">
        <v>258</v>
      </c>
      <c r="N78" s="5">
        <v>0</v>
      </c>
    </row>
    <row r="79" spans="1:14" x14ac:dyDescent="0.25">
      <c r="A79" t="s">
        <v>619</v>
      </c>
      <c r="B79" t="s">
        <v>197</v>
      </c>
      <c r="C79" t="str">
        <f>_xlfn.XLOOKUP(Table6[[#This Row],[app_id]],Table5[app_id],Table5[app_name],"",0)</f>
        <v>TripGo</v>
      </c>
      <c r="D79" t="str">
        <f>_xlfn.XLOOKUP(Table6[[#This Row],[app_id]],Table5[app_id],Table5[category],"",0)</f>
        <v>Travel</v>
      </c>
      <c r="E79" t="s">
        <v>533</v>
      </c>
      <c r="F79" t="s">
        <v>538</v>
      </c>
      <c r="G79" t="s">
        <v>23</v>
      </c>
      <c r="H79" t="s">
        <v>535</v>
      </c>
      <c r="I79">
        <v>14</v>
      </c>
      <c r="J79">
        <v>6.2</v>
      </c>
      <c r="K79" t="s">
        <v>258</v>
      </c>
      <c r="L79" t="s">
        <v>258</v>
      </c>
      <c r="M79" t="s">
        <v>257</v>
      </c>
      <c r="N79" s="5">
        <v>0</v>
      </c>
    </row>
    <row r="80" spans="1:14" x14ac:dyDescent="0.25">
      <c r="A80" t="s">
        <v>620</v>
      </c>
      <c r="B80" t="s">
        <v>199</v>
      </c>
      <c r="C80" t="str">
        <f>_xlfn.XLOOKUP(Table6[[#This Row],[app_id]],Table5[app_id],Table5[app_name],"",0)</f>
        <v>Flyly</v>
      </c>
      <c r="D80" t="str">
        <f>_xlfn.XLOOKUP(Table6[[#This Row],[app_id]],Table5[app_id],Table5[category],"",0)</f>
        <v>Travel</v>
      </c>
      <c r="E80" t="s">
        <v>557</v>
      </c>
      <c r="F80" t="s">
        <v>534</v>
      </c>
      <c r="G80" t="s">
        <v>30</v>
      </c>
      <c r="H80" t="s">
        <v>535</v>
      </c>
      <c r="I80">
        <v>91</v>
      </c>
      <c r="J80">
        <v>10.5</v>
      </c>
      <c r="K80" t="s">
        <v>257</v>
      </c>
      <c r="L80" t="s">
        <v>257</v>
      </c>
      <c r="M80" t="s">
        <v>258</v>
      </c>
      <c r="N80" s="5">
        <v>0</v>
      </c>
    </row>
    <row r="81" spans="1:14" x14ac:dyDescent="0.25">
      <c r="A81" t="s">
        <v>621</v>
      </c>
      <c r="B81" t="s">
        <v>201</v>
      </c>
      <c r="C81" t="str">
        <f>_xlfn.XLOOKUP(Table6[[#This Row],[app_id]],Table5[app_id],Table5[app_name],"",0)</f>
        <v>TripPro</v>
      </c>
      <c r="D81" t="str">
        <f>_xlfn.XLOOKUP(Table6[[#This Row],[app_id]],Table5[app_id],Table5[category],"",0)</f>
        <v>Travel</v>
      </c>
      <c r="E81" t="s">
        <v>533</v>
      </c>
      <c r="F81" t="s">
        <v>538</v>
      </c>
      <c r="G81" t="s">
        <v>18</v>
      </c>
      <c r="H81" t="s">
        <v>535</v>
      </c>
      <c r="I81">
        <v>34</v>
      </c>
      <c r="J81">
        <v>21</v>
      </c>
      <c r="K81" t="s">
        <v>257</v>
      </c>
      <c r="L81" t="s">
        <v>257</v>
      </c>
      <c r="M81" t="s">
        <v>258</v>
      </c>
      <c r="N81" s="5">
        <v>0</v>
      </c>
    </row>
    <row r="82" spans="1:14" x14ac:dyDescent="0.25">
      <c r="A82" t="s">
        <v>622</v>
      </c>
      <c r="B82" t="s">
        <v>203</v>
      </c>
      <c r="C82" t="str">
        <f>_xlfn.XLOOKUP(Table6[[#This Row],[app_id]],Table5[app_id],Table5[app_name],"",0)</f>
        <v>Focusly</v>
      </c>
      <c r="D82" t="str">
        <f>_xlfn.XLOOKUP(Table6[[#This Row],[app_id]],Table5[app_id],Table5[category],"",0)</f>
        <v>Productivity</v>
      </c>
      <c r="E82" t="s">
        <v>533</v>
      </c>
      <c r="F82" t="s">
        <v>534</v>
      </c>
      <c r="G82" t="s">
        <v>30</v>
      </c>
      <c r="H82" t="s">
        <v>535</v>
      </c>
      <c r="I82">
        <v>19</v>
      </c>
      <c r="J82">
        <v>18.5</v>
      </c>
      <c r="K82" t="s">
        <v>258</v>
      </c>
      <c r="L82" t="s">
        <v>257</v>
      </c>
      <c r="M82" t="s">
        <v>258</v>
      </c>
      <c r="N82" s="5">
        <v>0</v>
      </c>
    </row>
    <row r="83" spans="1:14" x14ac:dyDescent="0.25">
      <c r="A83" t="s">
        <v>623</v>
      </c>
      <c r="B83" t="s">
        <v>206</v>
      </c>
      <c r="C83" t="str">
        <f>_xlfn.XLOOKUP(Table6[[#This Row],[app_id]],Table5[app_id],Table5[app_name],"",0)</f>
        <v>DeskX</v>
      </c>
      <c r="D83" t="str">
        <f>_xlfn.XLOOKUP(Table6[[#This Row],[app_id]],Table5[app_id],Table5[category],"",0)</f>
        <v>Productivity</v>
      </c>
      <c r="E83" t="s">
        <v>557</v>
      </c>
      <c r="F83" t="s">
        <v>534</v>
      </c>
      <c r="G83" t="s">
        <v>23</v>
      </c>
      <c r="H83" t="s">
        <v>540</v>
      </c>
      <c r="I83">
        <v>30</v>
      </c>
      <c r="J83">
        <v>16.399999999999999</v>
      </c>
      <c r="K83" t="s">
        <v>257</v>
      </c>
      <c r="L83" t="s">
        <v>257</v>
      </c>
      <c r="M83" t="s">
        <v>258</v>
      </c>
      <c r="N83" s="5">
        <v>0</v>
      </c>
    </row>
    <row r="84" spans="1:14" x14ac:dyDescent="0.25">
      <c r="A84" t="s">
        <v>624</v>
      </c>
      <c r="B84" t="s">
        <v>208</v>
      </c>
      <c r="C84" t="str">
        <f>_xlfn.XLOOKUP(Table6[[#This Row],[app_id]],Table5[app_id],Table5[app_name],"",0)</f>
        <v>DonePro</v>
      </c>
      <c r="D84" t="str">
        <f>_xlfn.XLOOKUP(Table6[[#This Row],[app_id]],Table5[app_id],Table5[category],"",0)</f>
        <v>Productivity</v>
      </c>
      <c r="E84" t="s">
        <v>546</v>
      </c>
      <c r="F84" t="s">
        <v>538</v>
      </c>
      <c r="G84" t="s">
        <v>18</v>
      </c>
      <c r="H84" t="s">
        <v>535</v>
      </c>
      <c r="I84">
        <v>1</v>
      </c>
      <c r="J84">
        <v>6.3</v>
      </c>
      <c r="K84" t="s">
        <v>258</v>
      </c>
      <c r="L84" t="s">
        <v>258</v>
      </c>
      <c r="M84" t="s">
        <v>258</v>
      </c>
      <c r="N84" s="5">
        <v>0</v>
      </c>
    </row>
    <row r="85" spans="1:14" x14ac:dyDescent="0.25">
      <c r="A85" t="s">
        <v>625</v>
      </c>
      <c r="B85" t="s">
        <v>210</v>
      </c>
      <c r="C85" t="str">
        <f>_xlfn.XLOOKUP(Table6[[#This Row],[app_id]],Table5[app_id],Table5[app_name],"",0)</f>
        <v>NotePlus</v>
      </c>
      <c r="D85" t="str">
        <f>_xlfn.XLOOKUP(Table6[[#This Row],[app_id]],Table5[app_id],Table5[category],"",0)</f>
        <v>Productivity</v>
      </c>
      <c r="E85" t="s">
        <v>546</v>
      </c>
      <c r="F85" t="s">
        <v>534</v>
      </c>
      <c r="G85" t="s">
        <v>30</v>
      </c>
      <c r="H85" t="s">
        <v>540</v>
      </c>
      <c r="I85">
        <v>27</v>
      </c>
      <c r="J85">
        <v>22.7</v>
      </c>
      <c r="K85" t="s">
        <v>258</v>
      </c>
      <c r="L85" t="s">
        <v>257</v>
      </c>
      <c r="M85" t="s">
        <v>258</v>
      </c>
      <c r="N85" s="5">
        <v>0</v>
      </c>
    </row>
    <row r="86" spans="1:14" x14ac:dyDescent="0.25">
      <c r="A86" t="s">
        <v>626</v>
      </c>
      <c r="B86" t="s">
        <v>212</v>
      </c>
      <c r="C86" t="str">
        <f>_xlfn.XLOOKUP(Table6[[#This Row],[app_id]],Table5[app_id],Table5[app_name],"",0)</f>
        <v>SyncPlus</v>
      </c>
      <c r="D86" t="str">
        <f>_xlfn.XLOOKUP(Table6[[#This Row],[app_id]],Table5[app_id],Table5[category],"",0)</f>
        <v>Productivity</v>
      </c>
      <c r="E86" t="s">
        <v>533</v>
      </c>
      <c r="F86" t="s">
        <v>538</v>
      </c>
      <c r="G86" t="s">
        <v>61</v>
      </c>
      <c r="H86" t="s">
        <v>535</v>
      </c>
      <c r="I86">
        <v>60</v>
      </c>
      <c r="J86">
        <v>12.6</v>
      </c>
      <c r="K86" t="s">
        <v>257</v>
      </c>
      <c r="L86" t="s">
        <v>258</v>
      </c>
      <c r="M86" t="s">
        <v>258</v>
      </c>
      <c r="N86" s="5">
        <v>0</v>
      </c>
    </row>
    <row r="87" spans="1:14" x14ac:dyDescent="0.25">
      <c r="A87" t="s">
        <v>627</v>
      </c>
      <c r="B87" t="s">
        <v>214</v>
      </c>
      <c r="C87" t="str">
        <f>_xlfn.XLOOKUP(Table6[[#This Row],[app_id]],Table5[app_id],Table5[app_name],"",0)</f>
        <v>NoteOne</v>
      </c>
      <c r="D87" t="str">
        <f>_xlfn.XLOOKUP(Table6[[#This Row],[app_id]],Table5[app_id],Table5[category],"",0)</f>
        <v>Productivity</v>
      </c>
      <c r="E87" t="s">
        <v>557</v>
      </c>
      <c r="F87" t="s">
        <v>628</v>
      </c>
      <c r="G87" t="s">
        <v>35</v>
      </c>
      <c r="H87" t="s">
        <v>540</v>
      </c>
      <c r="I87">
        <v>9</v>
      </c>
      <c r="J87">
        <v>23.1</v>
      </c>
      <c r="K87" t="s">
        <v>258</v>
      </c>
      <c r="L87" t="s">
        <v>257</v>
      </c>
      <c r="M87" t="s">
        <v>258</v>
      </c>
      <c r="N87" s="5">
        <v>0</v>
      </c>
    </row>
    <row r="88" spans="1:14" x14ac:dyDescent="0.25">
      <c r="A88" t="s">
        <v>629</v>
      </c>
      <c r="B88" t="s">
        <v>216</v>
      </c>
      <c r="C88" t="str">
        <f>_xlfn.XLOOKUP(Table6[[#This Row],[app_id]],Table5[app_id],Table5[app_name],"",0)</f>
        <v>NoteMate</v>
      </c>
      <c r="D88" t="str">
        <f>_xlfn.XLOOKUP(Table6[[#This Row],[app_id]],Table5[app_id],Table5[category],"",0)</f>
        <v>Productivity</v>
      </c>
      <c r="E88" t="s">
        <v>546</v>
      </c>
      <c r="F88" t="s">
        <v>534</v>
      </c>
      <c r="G88" t="s">
        <v>30</v>
      </c>
      <c r="H88" t="s">
        <v>535</v>
      </c>
      <c r="I88">
        <v>19</v>
      </c>
      <c r="J88">
        <v>20.8</v>
      </c>
      <c r="K88" t="s">
        <v>257</v>
      </c>
      <c r="L88" t="s">
        <v>257</v>
      </c>
      <c r="M88" t="s">
        <v>258</v>
      </c>
      <c r="N88" s="5">
        <v>0</v>
      </c>
    </row>
    <row r="89" spans="1:14" x14ac:dyDescent="0.25">
      <c r="A89" t="s">
        <v>630</v>
      </c>
      <c r="B89" t="s">
        <v>218</v>
      </c>
      <c r="C89" t="str">
        <f>_xlfn.XLOOKUP(Table6[[#This Row],[app_id]],Table5[app_id],Table5[app_name],"",0)</f>
        <v>PlanPlus</v>
      </c>
      <c r="D89" t="str">
        <f>_xlfn.XLOOKUP(Table6[[#This Row],[app_id]],Table5[app_id],Table5[category],"",0)</f>
        <v>Productivity</v>
      </c>
      <c r="E89" t="s">
        <v>533</v>
      </c>
      <c r="F89" t="s">
        <v>538</v>
      </c>
      <c r="G89" t="s">
        <v>46</v>
      </c>
      <c r="H89" t="s">
        <v>535</v>
      </c>
      <c r="I89">
        <v>27</v>
      </c>
      <c r="J89">
        <v>3.3</v>
      </c>
      <c r="K89" t="s">
        <v>257</v>
      </c>
      <c r="L89" t="s">
        <v>257</v>
      </c>
      <c r="M89" t="s">
        <v>258</v>
      </c>
      <c r="N89" s="5">
        <v>0</v>
      </c>
    </row>
    <row r="90" spans="1:14" x14ac:dyDescent="0.25">
      <c r="A90" t="s">
        <v>631</v>
      </c>
      <c r="B90" t="s">
        <v>220</v>
      </c>
      <c r="C90" t="str">
        <f>_xlfn.XLOOKUP(Table6[[#This Row],[app_id]],Table5[app_id],Table5[app_name],"",0)</f>
        <v>PlanMate</v>
      </c>
      <c r="D90" t="str">
        <f>_xlfn.XLOOKUP(Table6[[#This Row],[app_id]],Table5[app_id],Table5[category],"",0)</f>
        <v>Productivity</v>
      </c>
      <c r="E90" t="s">
        <v>546</v>
      </c>
      <c r="F90" t="s">
        <v>538</v>
      </c>
      <c r="G90" t="s">
        <v>46</v>
      </c>
      <c r="H90" t="s">
        <v>535</v>
      </c>
      <c r="I90">
        <v>15</v>
      </c>
      <c r="J90">
        <v>18.7</v>
      </c>
      <c r="K90" t="s">
        <v>257</v>
      </c>
      <c r="L90" t="s">
        <v>257</v>
      </c>
      <c r="M90" t="s">
        <v>258</v>
      </c>
      <c r="N90" s="5">
        <v>0</v>
      </c>
    </row>
    <row r="91" spans="1:14" x14ac:dyDescent="0.25">
      <c r="A91" t="s">
        <v>632</v>
      </c>
      <c r="B91" t="s">
        <v>222</v>
      </c>
      <c r="C91" t="str">
        <f>_xlfn.XLOOKUP(Table6[[#This Row],[app_id]],Table5[app_id],Table5[app_name],"",0)</f>
        <v>SyncPlus</v>
      </c>
      <c r="D91" t="str">
        <f>_xlfn.XLOOKUP(Table6[[#This Row],[app_id]],Table5[app_id],Table5[category],"",0)</f>
        <v>Productivity</v>
      </c>
      <c r="E91" t="s">
        <v>537</v>
      </c>
      <c r="F91" t="s">
        <v>538</v>
      </c>
      <c r="G91" t="s">
        <v>46</v>
      </c>
      <c r="H91" t="s">
        <v>535</v>
      </c>
      <c r="I91">
        <v>10</v>
      </c>
      <c r="J91">
        <v>9.6999999999999993</v>
      </c>
      <c r="K91" t="s">
        <v>258</v>
      </c>
      <c r="L91" t="s">
        <v>257</v>
      </c>
      <c r="M91" t="s">
        <v>258</v>
      </c>
      <c r="N91" s="5">
        <v>0</v>
      </c>
    </row>
    <row r="92" spans="1:14" x14ac:dyDescent="0.25">
      <c r="A92" t="s">
        <v>633</v>
      </c>
      <c r="B92" t="s">
        <v>223</v>
      </c>
      <c r="C92" t="str">
        <f>_xlfn.XLOOKUP(Table6[[#This Row],[app_id]],Table5[app_id],Table5[app_name],"",0)</f>
        <v>ClinicPro</v>
      </c>
      <c r="D92" t="str">
        <f>_xlfn.XLOOKUP(Table6[[#This Row],[app_id]],Table5[app_id],Table5[category],"",0)</f>
        <v>Health</v>
      </c>
      <c r="E92" t="s">
        <v>533</v>
      </c>
      <c r="F92" t="s">
        <v>534</v>
      </c>
      <c r="G92" t="s">
        <v>30</v>
      </c>
      <c r="H92" t="s">
        <v>535</v>
      </c>
      <c r="I92">
        <v>42</v>
      </c>
      <c r="J92">
        <v>19</v>
      </c>
      <c r="K92" t="s">
        <v>257</v>
      </c>
      <c r="L92" t="s">
        <v>257</v>
      </c>
      <c r="M92" t="s">
        <v>258</v>
      </c>
      <c r="N92" s="5">
        <v>0</v>
      </c>
    </row>
    <row r="93" spans="1:14" x14ac:dyDescent="0.25">
      <c r="A93" t="s">
        <v>634</v>
      </c>
      <c r="B93" t="s">
        <v>226</v>
      </c>
      <c r="C93" t="str">
        <f>_xlfn.XLOOKUP(Table6[[#This Row],[app_id]],Table5[app_id],Table5[app_name],"",0)</f>
        <v>MindMate</v>
      </c>
      <c r="D93" t="str">
        <f>_xlfn.XLOOKUP(Table6[[#This Row],[app_id]],Table5[app_id],Table5[category],"",0)</f>
        <v>Health</v>
      </c>
      <c r="E93" t="s">
        <v>552</v>
      </c>
      <c r="F93" t="s">
        <v>538</v>
      </c>
      <c r="G93" t="s">
        <v>23</v>
      </c>
      <c r="H93" t="s">
        <v>535</v>
      </c>
      <c r="I93">
        <v>18</v>
      </c>
      <c r="J93">
        <v>13.5</v>
      </c>
      <c r="K93" t="s">
        <v>257</v>
      </c>
      <c r="L93" t="s">
        <v>257</v>
      </c>
      <c r="M93" t="s">
        <v>257</v>
      </c>
      <c r="N93" s="5">
        <v>0</v>
      </c>
    </row>
    <row r="94" spans="1:14" x14ac:dyDescent="0.25">
      <c r="A94" t="s">
        <v>635</v>
      </c>
      <c r="B94" t="s">
        <v>228</v>
      </c>
      <c r="C94" t="str">
        <f>_xlfn.XLOOKUP(Table6[[#This Row],[app_id]],Table5[app_id],Table5[app_name],"",0)</f>
        <v>ClinicOne</v>
      </c>
      <c r="D94" t="str">
        <f>_xlfn.XLOOKUP(Table6[[#This Row],[app_id]],Table5[app_id],Table5[category],"",0)</f>
        <v>Health</v>
      </c>
      <c r="E94" t="s">
        <v>546</v>
      </c>
      <c r="F94" t="s">
        <v>534</v>
      </c>
      <c r="G94" t="s">
        <v>35</v>
      </c>
      <c r="H94" t="s">
        <v>535</v>
      </c>
      <c r="I94">
        <v>40</v>
      </c>
      <c r="J94">
        <v>10.7</v>
      </c>
      <c r="K94" t="s">
        <v>257</v>
      </c>
      <c r="L94" t="s">
        <v>257</v>
      </c>
      <c r="M94" t="s">
        <v>258</v>
      </c>
      <c r="N94" s="5">
        <v>0</v>
      </c>
    </row>
    <row r="95" spans="1:14" x14ac:dyDescent="0.25">
      <c r="A95" t="s">
        <v>636</v>
      </c>
      <c r="B95" t="s">
        <v>230</v>
      </c>
      <c r="C95" t="str">
        <f>_xlfn.XLOOKUP(Table6[[#This Row],[app_id]],Table5[app_id],Table5[app_name],"",0)</f>
        <v>WellMate</v>
      </c>
      <c r="D95" t="str">
        <f>_xlfn.XLOOKUP(Table6[[#This Row],[app_id]],Table5[app_id],Table5[category],"",0)</f>
        <v>Health</v>
      </c>
      <c r="E95" t="s">
        <v>557</v>
      </c>
      <c r="F95" t="s">
        <v>548</v>
      </c>
      <c r="G95" t="s">
        <v>30</v>
      </c>
      <c r="H95" t="s">
        <v>535</v>
      </c>
      <c r="I95">
        <v>26</v>
      </c>
      <c r="J95">
        <v>15.1</v>
      </c>
      <c r="K95" t="s">
        <v>258</v>
      </c>
      <c r="L95" t="s">
        <v>257</v>
      </c>
      <c r="M95" t="s">
        <v>258</v>
      </c>
      <c r="N95" s="5">
        <v>0</v>
      </c>
    </row>
    <row r="96" spans="1:14" x14ac:dyDescent="0.25">
      <c r="A96" t="s">
        <v>637</v>
      </c>
      <c r="B96" t="s">
        <v>232</v>
      </c>
      <c r="C96" t="str">
        <f>_xlfn.XLOOKUP(Table6[[#This Row],[app_id]],Table5[app_id],Table5[app_name],"",0)</f>
        <v>MediMate</v>
      </c>
      <c r="D96" t="str">
        <f>_xlfn.XLOOKUP(Table6[[#This Row],[app_id]],Table5[app_id],Table5[category],"",0)</f>
        <v>Health</v>
      </c>
      <c r="E96" t="s">
        <v>537</v>
      </c>
      <c r="F96" t="s">
        <v>534</v>
      </c>
      <c r="G96" t="s">
        <v>61</v>
      </c>
      <c r="H96" t="s">
        <v>535</v>
      </c>
      <c r="I96">
        <v>20</v>
      </c>
      <c r="J96">
        <v>3.8</v>
      </c>
      <c r="K96" t="s">
        <v>258</v>
      </c>
      <c r="L96" t="s">
        <v>257</v>
      </c>
      <c r="M96" t="s">
        <v>257</v>
      </c>
      <c r="N96" s="5">
        <v>0</v>
      </c>
    </row>
    <row r="97" spans="1:14" x14ac:dyDescent="0.25">
      <c r="A97" t="s">
        <v>638</v>
      </c>
      <c r="B97" t="s">
        <v>234</v>
      </c>
      <c r="C97" t="str">
        <f>_xlfn.XLOOKUP(Table6[[#This Row],[app_id]],Table5[app_id],Table5[app_name],"",0)</f>
        <v>WellNow</v>
      </c>
      <c r="D97" t="str">
        <f>_xlfn.XLOOKUP(Table6[[#This Row],[app_id]],Table5[app_id],Table5[category],"",0)</f>
        <v>Health</v>
      </c>
      <c r="E97" t="s">
        <v>546</v>
      </c>
      <c r="F97" t="s">
        <v>538</v>
      </c>
      <c r="G97" t="s">
        <v>46</v>
      </c>
      <c r="H97" t="s">
        <v>535</v>
      </c>
      <c r="I97">
        <v>22</v>
      </c>
      <c r="J97">
        <v>7.4</v>
      </c>
      <c r="K97" t="s">
        <v>258</v>
      </c>
      <c r="L97" t="s">
        <v>257</v>
      </c>
      <c r="M97" t="s">
        <v>258</v>
      </c>
      <c r="N97" s="5">
        <v>0</v>
      </c>
    </row>
    <row r="98" spans="1:14" x14ac:dyDescent="0.25">
      <c r="A98" t="s">
        <v>639</v>
      </c>
      <c r="B98" t="s">
        <v>236</v>
      </c>
      <c r="C98" t="str">
        <f>_xlfn.XLOOKUP(Table6[[#This Row],[app_id]],Table5[app_id],Table5[app_name],"",0)</f>
        <v>CareCloud</v>
      </c>
      <c r="D98" t="str">
        <f>_xlfn.XLOOKUP(Table6[[#This Row],[app_id]],Table5[app_id],Table5[category],"",0)</f>
        <v>Health</v>
      </c>
      <c r="E98" t="s">
        <v>533</v>
      </c>
      <c r="F98" t="s">
        <v>538</v>
      </c>
      <c r="G98" t="s">
        <v>69</v>
      </c>
      <c r="H98" t="s">
        <v>535</v>
      </c>
      <c r="I98">
        <v>10</v>
      </c>
      <c r="J98">
        <v>21.9</v>
      </c>
      <c r="K98" t="s">
        <v>258</v>
      </c>
      <c r="L98" t="s">
        <v>257</v>
      </c>
      <c r="M98" t="s">
        <v>258</v>
      </c>
      <c r="N98" s="5">
        <v>0</v>
      </c>
    </row>
    <row r="99" spans="1:14" x14ac:dyDescent="0.25">
      <c r="A99" t="s">
        <v>640</v>
      </c>
      <c r="B99" t="s">
        <v>238</v>
      </c>
      <c r="C99" t="str">
        <f>_xlfn.XLOOKUP(Table6[[#This Row],[app_id]],Table5[app_id],Table5[app_name],"",0)</f>
        <v>MediNow</v>
      </c>
      <c r="D99" t="str">
        <f>_xlfn.XLOOKUP(Table6[[#This Row],[app_id]],Table5[app_id],Table5[category],"",0)</f>
        <v>Health</v>
      </c>
      <c r="E99" t="s">
        <v>557</v>
      </c>
      <c r="F99" t="s">
        <v>534</v>
      </c>
      <c r="G99" t="s">
        <v>26</v>
      </c>
      <c r="H99" t="s">
        <v>535</v>
      </c>
      <c r="I99">
        <v>8</v>
      </c>
      <c r="J99">
        <v>12</v>
      </c>
      <c r="K99" t="s">
        <v>258</v>
      </c>
      <c r="L99" t="s">
        <v>258</v>
      </c>
      <c r="M99" t="s">
        <v>258</v>
      </c>
      <c r="N99" s="5">
        <v>0</v>
      </c>
    </row>
    <row r="100" spans="1:14" x14ac:dyDescent="0.25">
      <c r="A100" t="s">
        <v>641</v>
      </c>
      <c r="B100" t="s">
        <v>240</v>
      </c>
      <c r="C100" t="str">
        <f>_xlfn.XLOOKUP(Table6[[#This Row],[app_id]],Table5[app_id],Table5[app_name],"",0)</f>
        <v>MindPlus</v>
      </c>
      <c r="D100" t="str">
        <f>_xlfn.XLOOKUP(Table6[[#This Row],[app_id]],Table5[app_id],Table5[category],"",0)</f>
        <v>Health</v>
      </c>
      <c r="E100" t="s">
        <v>533</v>
      </c>
      <c r="F100" t="s">
        <v>548</v>
      </c>
      <c r="G100" t="s">
        <v>35</v>
      </c>
      <c r="H100" t="s">
        <v>535</v>
      </c>
      <c r="I100">
        <v>29</v>
      </c>
      <c r="J100">
        <v>3.9</v>
      </c>
      <c r="K100" t="s">
        <v>257</v>
      </c>
      <c r="L100" t="s">
        <v>257</v>
      </c>
      <c r="M100" t="s">
        <v>258</v>
      </c>
      <c r="N100" s="5">
        <v>0</v>
      </c>
    </row>
    <row r="101" spans="1:14" x14ac:dyDescent="0.25">
      <c r="A101" t="s">
        <v>642</v>
      </c>
      <c r="B101" t="s">
        <v>242</v>
      </c>
      <c r="C101" t="str">
        <f>_xlfn.XLOOKUP(Table6[[#This Row],[app_id]],Table5[app_id],Table5[app_name],"",0)</f>
        <v>MediCloud</v>
      </c>
      <c r="D101" t="str">
        <f>_xlfn.XLOOKUP(Table6[[#This Row],[app_id]],Table5[app_id],Table5[category],"",0)</f>
        <v>Health</v>
      </c>
      <c r="E101" t="s">
        <v>533</v>
      </c>
      <c r="F101" t="s">
        <v>534</v>
      </c>
      <c r="G101" t="s">
        <v>30</v>
      </c>
      <c r="H101" t="s">
        <v>540</v>
      </c>
      <c r="I101">
        <v>25</v>
      </c>
      <c r="J101">
        <v>6.7</v>
      </c>
      <c r="K101" t="s">
        <v>257</v>
      </c>
      <c r="L101" t="s">
        <v>257</v>
      </c>
      <c r="M101" t="s">
        <v>258</v>
      </c>
      <c r="N101" s="5">
        <v>0</v>
      </c>
    </row>
    <row r="102" spans="1:14" x14ac:dyDescent="0.25">
      <c r="A102" t="s">
        <v>643</v>
      </c>
      <c r="B102" t="s">
        <v>12</v>
      </c>
      <c r="C102" t="str">
        <f>_xlfn.XLOOKUP(Table6[[#This Row],[app_id]],Table5[app_id],Table5[app_name],"",0)</f>
        <v>InvestPro</v>
      </c>
      <c r="D102" t="str">
        <f>_xlfn.XLOOKUP(Table6[[#This Row],[app_id]],Table5[app_id],Table5[category],"",0)</f>
        <v>Finance</v>
      </c>
      <c r="E102" t="s">
        <v>533</v>
      </c>
      <c r="F102" t="s">
        <v>534</v>
      </c>
      <c r="G102" t="s">
        <v>46</v>
      </c>
      <c r="H102" t="s">
        <v>535</v>
      </c>
      <c r="I102">
        <v>70</v>
      </c>
      <c r="J102">
        <v>6.1</v>
      </c>
      <c r="K102" t="s">
        <v>257</v>
      </c>
      <c r="L102" t="s">
        <v>257</v>
      </c>
      <c r="M102" t="s">
        <v>257</v>
      </c>
      <c r="N102" s="5">
        <v>0</v>
      </c>
    </row>
    <row r="103" spans="1:14" x14ac:dyDescent="0.25">
      <c r="A103" t="s">
        <v>644</v>
      </c>
      <c r="B103" t="s">
        <v>19</v>
      </c>
      <c r="C103" t="str">
        <f>_xlfn.XLOOKUP(Table6[[#This Row],[app_id]],Table5[app_id],Table5[app_name],"",0)</f>
        <v>BankPro</v>
      </c>
      <c r="D103" t="str">
        <f>_xlfn.XLOOKUP(Table6[[#This Row],[app_id]],Table5[app_id],Table5[category],"",0)</f>
        <v>Finance</v>
      </c>
      <c r="E103" t="s">
        <v>537</v>
      </c>
      <c r="F103" t="s">
        <v>534</v>
      </c>
      <c r="G103" t="s">
        <v>26</v>
      </c>
      <c r="H103" t="s">
        <v>535</v>
      </c>
      <c r="I103">
        <v>8</v>
      </c>
      <c r="J103">
        <v>10.9</v>
      </c>
      <c r="K103" t="s">
        <v>258</v>
      </c>
      <c r="L103" t="s">
        <v>258</v>
      </c>
      <c r="M103" t="s">
        <v>257</v>
      </c>
      <c r="N103" s="5">
        <v>0</v>
      </c>
    </row>
    <row r="104" spans="1:14" x14ac:dyDescent="0.25">
      <c r="A104" t="s">
        <v>645</v>
      </c>
      <c r="B104" t="s">
        <v>24</v>
      </c>
      <c r="C104" t="str">
        <f>_xlfn.XLOOKUP(Table6[[#This Row],[app_id]],Table5[app_id],Table5[app_name],"",0)</f>
        <v>BankX</v>
      </c>
      <c r="D104" t="str">
        <f>_xlfn.XLOOKUP(Table6[[#This Row],[app_id]],Table5[app_id],Table5[category],"",0)</f>
        <v>Finance</v>
      </c>
      <c r="E104" t="s">
        <v>533</v>
      </c>
      <c r="F104" t="s">
        <v>538</v>
      </c>
      <c r="G104" t="s">
        <v>18</v>
      </c>
      <c r="H104" t="s">
        <v>535</v>
      </c>
      <c r="I104">
        <v>5</v>
      </c>
      <c r="J104">
        <v>5.7</v>
      </c>
      <c r="K104" t="s">
        <v>258</v>
      </c>
      <c r="L104" t="s">
        <v>258</v>
      </c>
      <c r="M104" t="s">
        <v>258</v>
      </c>
      <c r="N104" s="5">
        <v>0</v>
      </c>
    </row>
    <row r="105" spans="1:14" x14ac:dyDescent="0.25">
      <c r="A105" t="s">
        <v>646</v>
      </c>
      <c r="B105" t="s">
        <v>27</v>
      </c>
      <c r="C105" t="str">
        <f>_xlfn.XLOOKUP(Table6[[#This Row],[app_id]],Table5[app_id],Table5[app_name],"",0)</f>
        <v>BankNow</v>
      </c>
      <c r="D105" t="str">
        <f>_xlfn.XLOOKUP(Table6[[#This Row],[app_id]],Table5[app_id],Table5[category],"",0)</f>
        <v>Finance</v>
      </c>
      <c r="E105" t="s">
        <v>537</v>
      </c>
      <c r="F105" t="s">
        <v>628</v>
      </c>
      <c r="G105" t="s">
        <v>18</v>
      </c>
      <c r="H105" t="s">
        <v>535</v>
      </c>
      <c r="I105">
        <v>23</v>
      </c>
      <c r="J105">
        <v>9.4</v>
      </c>
      <c r="K105" t="s">
        <v>257</v>
      </c>
      <c r="L105" t="s">
        <v>258</v>
      </c>
      <c r="M105" t="s">
        <v>258</v>
      </c>
      <c r="N105" s="5">
        <v>0</v>
      </c>
    </row>
    <row r="106" spans="1:14" x14ac:dyDescent="0.25">
      <c r="A106" t="s">
        <v>647</v>
      </c>
      <c r="B106" t="s">
        <v>31</v>
      </c>
      <c r="C106" t="str">
        <f>_xlfn.XLOOKUP(Table6[[#This Row],[app_id]],Table5[app_id],Table5[app_name],"",0)</f>
        <v>CreditHub</v>
      </c>
      <c r="D106" t="str">
        <f>_xlfn.XLOOKUP(Table6[[#This Row],[app_id]],Table5[app_id],Table5[category],"",0)</f>
        <v>Finance</v>
      </c>
      <c r="E106" t="s">
        <v>546</v>
      </c>
      <c r="F106" t="s">
        <v>548</v>
      </c>
      <c r="G106" t="s">
        <v>46</v>
      </c>
      <c r="H106" t="s">
        <v>535</v>
      </c>
      <c r="I106">
        <v>22</v>
      </c>
      <c r="J106">
        <v>8</v>
      </c>
      <c r="K106" t="s">
        <v>258</v>
      </c>
      <c r="L106" t="s">
        <v>257</v>
      </c>
      <c r="M106" t="s">
        <v>258</v>
      </c>
      <c r="N106" s="5">
        <v>31.9</v>
      </c>
    </row>
    <row r="107" spans="1:14" x14ac:dyDescent="0.25">
      <c r="A107" t="s">
        <v>648</v>
      </c>
      <c r="B107" t="s">
        <v>36</v>
      </c>
      <c r="C107" t="str">
        <f>_xlfn.XLOOKUP(Table6[[#This Row],[app_id]],Table5[app_id],Table5[app_name],"",0)</f>
        <v>PayPlus</v>
      </c>
      <c r="D107" t="str">
        <f>_xlfn.XLOOKUP(Table6[[#This Row],[app_id]],Table5[app_id],Table5[category],"",0)</f>
        <v>Finance</v>
      </c>
      <c r="E107" t="s">
        <v>557</v>
      </c>
      <c r="F107" t="s">
        <v>548</v>
      </c>
      <c r="G107" t="s">
        <v>26</v>
      </c>
      <c r="H107" t="s">
        <v>535</v>
      </c>
      <c r="I107">
        <v>7</v>
      </c>
      <c r="J107">
        <v>13.1</v>
      </c>
      <c r="K107" t="s">
        <v>258</v>
      </c>
      <c r="L107" t="s">
        <v>257</v>
      </c>
      <c r="M107" t="s">
        <v>257</v>
      </c>
      <c r="N107" s="5">
        <v>55.22</v>
      </c>
    </row>
    <row r="108" spans="1:14" x14ac:dyDescent="0.25">
      <c r="A108" t="s">
        <v>649</v>
      </c>
      <c r="B108" t="s">
        <v>39</v>
      </c>
      <c r="C108" t="str">
        <f>_xlfn.XLOOKUP(Table6[[#This Row],[app_id]],Table5[app_id],Table5[app_name],"",0)</f>
        <v>BankPlus</v>
      </c>
      <c r="D108" t="str">
        <f>_xlfn.XLOOKUP(Table6[[#This Row],[app_id]],Table5[app_id],Table5[category],"",0)</f>
        <v>Finance</v>
      </c>
      <c r="E108" t="s">
        <v>533</v>
      </c>
      <c r="F108" t="s">
        <v>538</v>
      </c>
      <c r="G108" t="s">
        <v>18</v>
      </c>
      <c r="H108" t="s">
        <v>535</v>
      </c>
      <c r="I108">
        <v>29</v>
      </c>
      <c r="J108">
        <v>6.5</v>
      </c>
      <c r="K108" t="s">
        <v>257</v>
      </c>
      <c r="L108" t="s">
        <v>257</v>
      </c>
      <c r="M108" t="s">
        <v>257</v>
      </c>
      <c r="N108" s="5">
        <v>0</v>
      </c>
    </row>
    <row r="109" spans="1:14" x14ac:dyDescent="0.25">
      <c r="A109" t="s">
        <v>650</v>
      </c>
      <c r="B109" t="s">
        <v>42</v>
      </c>
      <c r="C109" t="str">
        <f>_xlfn.XLOOKUP(Table6[[#This Row],[app_id]],Table5[app_id],Table5[app_name],"",0)</f>
        <v>CoinPlus</v>
      </c>
      <c r="D109" t="str">
        <f>_xlfn.XLOOKUP(Table6[[#This Row],[app_id]],Table5[app_id],Table5[category],"",0)</f>
        <v>Finance</v>
      </c>
      <c r="E109" t="s">
        <v>537</v>
      </c>
      <c r="F109" t="s">
        <v>534</v>
      </c>
      <c r="G109" t="s">
        <v>30</v>
      </c>
      <c r="H109" t="s">
        <v>535</v>
      </c>
      <c r="I109">
        <v>27</v>
      </c>
      <c r="J109">
        <v>6.9</v>
      </c>
      <c r="K109" t="s">
        <v>257</v>
      </c>
      <c r="L109" t="s">
        <v>257</v>
      </c>
      <c r="M109" t="s">
        <v>258</v>
      </c>
      <c r="N109" s="5">
        <v>0</v>
      </c>
    </row>
    <row r="110" spans="1:14" x14ac:dyDescent="0.25">
      <c r="A110" t="s">
        <v>651</v>
      </c>
      <c r="B110" t="s">
        <v>47</v>
      </c>
      <c r="C110" t="str">
        <f>_xlfn.XLOOKUP(Table6[[#This Row],[app_id]],Table5[app_id],Table5[app_name],"",0)</f>
        <v>CreditOne</v>
      </c>
      <c r="D110" t="str">
        <f>_xlfn.XLOOKUP(Table6[[#This Row],[app_id]],Table5[app_id],Table5[category],"",0)</f>
        <v>Finance</v>
      </c>
      <c r="E110" t="s">
        <v>537</v>
      </c>
      <c r="F110" t="s">
        <v>538</v>
      </c>
      <c r="G110" t="s">
        <v>30</v>
      </c>
      <c r="H110" t="s">
        <v>535</v>
      </c>
      <c r="I110">
        <v>1</v>
      </c>
      <c r="J110">
        <v>11.2</v>
      </c>
      <c r="K110" t="s">
        <v>258</v>
      </c>
      <c r="L110" t="s">
        <v>257</v>
      </c>
      <c r="M110" t="s">
        <v>258</v>
      </c>
      <c r="N110" s="5">
        <v>0</v>
      </c>
    </row>
    <row r="111" spans="1:14" x14ac:dyDescent="0.25">
      <c r="A111" t="s">
        <v>652</v>
      </c>
      <c r="B111" t="s">
        <v>49</v>
      </c>
      <c r="C111" t="str">
        <f>_xlfn.XLOOKUP(Table6[[#This Row],[app_id]],Table5[app_id],Table5[app_name],"",0)</f>
        <v>PayPro</v>
      </c>
      <c r="D111" t="str">
        <f>_xlfn.XLOOKUP(Table6[[#This Row],[app_id]],Table5[app_id],Table5[category],"",0)</f>
        <v>Finance</v>
      </c>
      <c r="E111" t="s">
        <v>537</v>
      </c>
      <c r="F111" t="s">
        <v>538</v>
      </c>
      <c r="G111" t="s">
        <v>46</v>
      </c>
      <c r="H111" t="s">
        <v>535</v>
      </c>
      <c r="I111">
        <v>6</v>
      </c>
      <c r="J111">
        <v>15.1</v>
      </c>
      <c r="K111" t="s">
        <v>258</v>
      </c>
      <c r="L111" t="s">
        <v>258</v>
      </c>
      <c r="M111" t="s">
        <v>257</v>
      </c>
      <c r="N111" s="5">
        <v>45.62</v>
      </c>
    </row>
    <row r="112" spans="1:14" x14ac:dyDescent="0.25">
      <c r="A112" t="s">
        <v>653</v>
      </c>
      <c r="B112" t="s">
        <v>51</v>
      </c>
      <c r="C112" t="str">
        <f>_xlfn.XLOOKUP(Table6[[#This Row],[app_id]],Table5[app_id],Table5[app_name],"",0)</f>
        <v>Creditly</v>
      </c>
      <c r="D112" t="str">
        <f>_xlfn.XLOOKUP(Table6[[#This Row],[app_id]],Table5[app_id],Table5[category],"",0)</f>
        <v>Finance</v>
      </c>
      <c r="E112" t="s">
        <v>533</v>
      </c>
      <c r="F112" t="s">
        <v>534</v>
      </c>
      <c r="G112" t="s">
        <v>35</v>
      </c>
      <c r="H112" t="s">
        <v>535</v>
      </c>
      <c r="I112">
        <v>21</v>
      </c>
      <c r="J112">
        <v>14.5</v>
      </c>
      <c r="K112" t="s">
        <v>257</v>
      </c>
      <c r="L112" t="s">
        <v>257</v>
      </c>
      <c r="M112" t="s">
        <v>258</v>
      </c>
      <c r="N112" s="5">
        <v>0</v>
      </c>
    </row>
    <row r="113" spans="1:14" x14ac:dyDescent="0.25">
      <c r="A113" t="s">
        <v>654</v>
      </c>
      <c r="B113" t="s">
        <v>53</v>
      </c>
      <c r="C113" t="str">
        <f>_xlfn.XLOOKUP(Table6[[#This Row],[app_id]],Table5[app_id],Table5[app_name],"",0)</f>
        <v>PayX</v>
      </c>
      <c r="D113" t="str">
        <f>_xlfn.XLOOKUP(Table6[[#This Row],[app_id]],Table5[app_id],Table5[category],"",0)</f>
        <v>Finance</v>
      </c>
      <c r="E113" t="s">
        <v>533</v>
      </c>
      <c r="F113" t="s">
        <v>534</v>
      </c>
      <c r="G113" t="s">
        <v>61</v>
      </c>
      <c r="H113" t="s">
        <v>535</v>
      </c>
      <c r="I113">
        <v>42</v>
      </c>
      <c r="J113">
        <v>3.6</v>
      </c>
      <c r="K113" t="s">
        <v>257</v>
      </c>
      <c r="L113" t="s">
        <v>258</v>
      </c>
      <c r="M113" t="s">
        <v>258</v>
      </c>
      <c r="N113" s="5">
        <v>0</v>
      </c>
    </row>
    <row r="114" spans="1:14" x14ac:dyDescent="0.25">
      <c r="A114" t="s">
        <v>655</v>
      </c>
      <c r="B114" t="s">
        <v>56</v>
      </c>
      <c r="C114" t="str">
        <f>_xlfn.XLOOKUP(Table6[[#This Row],[app_id]],Table5[app_id],Table5[app_name],"",0)</f>
        <v>DealGo</v>
      </c>
      <c r="D114" t="str">
        <f>_xlfn.XLOOKUP(Table6[[#This Row],[app_id]],Table5[app_id],Table5[category],"",0)</f>
        <v>Shopping</v>
      </c>
      <c r="E114" t="s">
        <v>533</v>
      </c>
      <c r="F114" t="s">
        <v>538</v>
      </c>
      <c r="G114" t="s">
        <v>23</v>
      </c>
      <c r="H114" t="s">
        <v>535</v>
      </c>
      <c r="I114">
        <v>88</v>
      </c>
      <c r="J114">
        <v>19.600000000000001</v>
      </c>
      <c r="K114" t="s">
        <v>257</v>
      </c>
      <c r="L114" t="s">
        <v>258</v>
      </c>
      <c r="M114" t="s">
        <v>257</v>
      </c>
      <c r="N114" s="5">
        <v>0</v>
      </c>
    </row>
    <row r="115" spans="1:14" x14ac:dyDescent="0.25">
      <c r="A115" t="s">
        <v>656</v>
      </c>
      <c r="B115" t="s">
        <v>62</v>
      </c>
      <c r="C115" t="str">
        <f>_xlfn.XLOOKUP(Table6[[#This Row],[app_id]],Table5[app_id],Table5[app_name],"",0)</f>
        <v>MallNow</v>
      </c>
      <c r="D115" t="str">
        <f>_xlfn.XLOOKUP(Table6[[#This Row],[app_id]],Table5[app_id],Table5[category],"",0)</f>
        <v>Shopping</v>
      </c>
      <c r="E115" t="s">
        <v>537</v>
      </c>
      <c r="F115" t="s">
        <v>534</v>
      </c>
      <c r="G115" t="s">
        <v>35</v>
      </c>
      <c r="H115" t="s">
        <v>535</v>
      </c>
      <c r="I115">
        <v>25</v>
      </c>
      <c r="J115">
        <v>22</v>
      </c>
      <c r="K115" t="s">
        <v>258</v>
      </c>
      <c r="L115" t="s">
        <v>257</v>
      </c>
      <c r="M115" t="s">
        <v>258</v>
      </c>
      <c r="N115" s="5">
        <v>0</v>
      </c>
    </row>
    <row r="116" spans="1:14" x14ac:dyDescent="0.25">
      <c r="A116" t="s">
        <v>657</v>
      </c>
      <c r="B116" t="s">
        <v>65</v>
      </c>
      <c r="C116" t="str">
        <f>_xlfn.XLOOKUP(Table6[[#This Row],[app_id]],Table5[app_id],Table5[app_name],"",0)</f>
        <v>DealPro</v>
      </c>
      <c r="D116" t="str">
        <f>_xlfn.XLOOKUP(Table6[[#This Row],[app_id]],Table5[app_id],Table5[category],"",0)</f>
        <v>Shopping</v>
      </c>
      <c r="E116" t="s">
        <v>533</v>
      </c>
      <c r="F116" t="s">
        <v>538</v>
      </c>
      <c r="G116" t="s">
        <v>61</v>
      </c>
      <c r="H116" t="s">
        <v>535</v>
      </c>
      <c r="I116">
        <v>19</v>
      </c>
      <c r="J116">
        <v>6.9</v>
      </c>
      <c r="K116" t="s">
        <v>257</v>
      </c>
      <c r="L116" t="s">
        <v>257</v>
      </c>
      <c r="M116" t="s">
        <v>258</v>
      </c>
      <c r="N116" s="5">
        <v>0</v>
      </c>
    </row>
    <row r="117" spans="1:14" x14ac:dyDescent="0.25">
      <c r="A117" t="s">
        <v>658</v>
      </c>
      <c r="B117" t="s">
        <v>67</v>
      </c>
      <c r="C117" t="str">
        <f>_xlfn.XLOOKUP(Table6[[#This Row],[app_id]],Table5[app_id],Table5[app_name],"",0)</f>
        <v>StyleNow</v>
      </c>
      <c r="D117" t="str">
        <f>_xlfn.XLOOKUP(Table6[[#This Row],[app_id]],Table5[app_id],Table5[category],"",0)</f>
        <v>Shopping</v>
      </c>
      <c r="E117" t="s">
        <v>552</v>
      </c>
      <c r="F117" t="s">
        <v>534</v>
      </c>
      <c r="G117" t="s">
        <v>61</v>
      </c>
      <c r="H117" t="s">
        <v>540</v>
      </c>
      <c r="I117">
        <v>57</v>
      </c>
      <c r="J117">
        <v>23.2</v>
      </c>
      <c r="K117" t="s">
        <v>257</v>
      </c>
      <c r="L117" t="s">
        <v>257</v>
      </c>
      <c r="M117" t="s">
        <v>258</v>
      </c>
      <c r="N117" s="5">
        <v>0</v>
      </c>
    </row>
    <row r="118" spans="1:14" x14ac:dyDescent="0.25">
      <c r="A118" t="s">
        <v>659</v>
      </c>
      <c r="B118" t="s">
        <v>70</v>
      </c>
      <c r="C118" t="str">
        <f>_xlfn.XLOOKUP(Table6[[#This Row],[app_id]],Table5[app_id],Table5[app_name],"",0)</f>
        <v>DealCloud</v>
      </c>
      <c r="D118" t="str">
        <f>_xlfn.XLOOKUP(Table6[[#This Row],[app_id]],Table5[app_id],Table5[category],"",0)</f>
        <v>Shopping</v>
      </c>
      <c r="E118" t="s">
        <v>537</v>
      </c>
      <c r="F118" t="s">
        <v>538</v>
      </c>
      <c r="G118" t="s">
        <v>35</v>
      </c>
      <c r="H118" t="s">
        <v>535</v>
      </c>
      <c r="I118">
        <v>87</v>
      </c>
      <c r="J118">
        <v>10.9</v>
      </c>
      <c r="K118" t="s">
        <v>257</v>
      </c>
      <c r="L118" t="s">
        <v>257</v>
      </c>
      <c r="M118" t="s">
        <v>258</v>
      </c>
      <c r="N118" s="5">
        <v>0</v>
      </c>
    </row>
    <row r="119" spans="1:14" x14ac:dyDescent="0.25">
      <c r="A119" t="s">
        <v>660</v>
      </c>
      <c r="B119" t="s">
        <v>72</v>
      </c>
      <c r="C119" t="str">
        <f>_xlfn.XLOOKUP(Table6[[#This Row],[app_id]],Table5[app_id],Table5[app_name],"",0)</f>
        <v>CartCloud</v>
      </c>
      <c r="D119" t="str">
        <f>_xlfn.XLOOKUP(Table6[[#This Row],[app_id]],Table5[app_id],Table5[category],"",0)</f>
        <v>Shopping</v>
      </c>
      <c r="E119" t="s">
        <v>533</v>
      </c>
      <c r="F119" t="s">
        <v>534</v>
      </c>
      <c r="G119" t="s">
        <v>61</v>
      </c>
      <c r="H119" t="s">
        <v>535</v>
      </c>
      <c r="I119">
        <v>1</v>
      </c>
      <c r="J119">
        <v>23.1</v>
      </c>
      <c r="K119" t="s">
        <v>258</v>
      </c>
      <c r="L119" t="s">
        <v>258</v>
      </c>
      <c r="M119" t="s">
        <v>257</v>
      </c>
      <c r="N119" s="5">
        <v>0</v>
      </c>
    </row>
    <row r="120" spans="1:14" x14ac:dyDescent="0.25">
      <c r="A120" t="s">
        <v>661</v>
      </c>
      <c r="B120" t="s">
        <v>74</v>
      </c>
      <c r="C120" t="str">
        <f>_xlfn.XLOOKUP(Table6[[#This Row],[app_id]],Table5[app_id],Table5[app_name],"",0)</f>
        <v>CartMate</v>
      </c>
      <c r="D120" t="str">
        <f>_xlfn.XLOOKUP(Table6[[#This Row],[app_id]],Table5[app_id],Table5[category],"",0)</f>
        <v>Shopping</v>
      </c>
      <c r="E120" t="s">
        <v>533</v>
      </c>
      <c r="F120" t="s">
        <v>534</v>
      </c>
      <c r="G120" t="s">
        <v>30</v>
      </c>
      <c r="H120" t="s">
        <v>535</v>
      </c>
      <c r="I120">
        <v>86</v>
      </c>
      <c r="J120">
        <v>11.6</v>
      </c>
      <c r="K120" t="s">
        <v>257</v>
      </c>
      <c r="L120" t="s">
        <v>257</v>
      </c>
      <c r="M120" t="s">
        <v>258</v>
      </c>
      <c r="N120" s="5">
        <v>0</v>
      </c>
    </row>
    <row r="121" spans="1:14" x14ac:dyDescent="0.25">
      <c r="A121" t="s">
        <v>662</v>
      </c>
      <c r="B121" t="s">
        <v>76</v>
      </c>
      <c r="C121" t="str">
        <f>_xlfn.XLOOKUP(Table6[[#This Row],[app_id]],Table5[app_id],Table5[app_name],"",0)</f>
        <v>BazaarOne</v>
      </c>
      <c r="D121" t="str">
        <f>_xlfn.XLOOKUP(Table6[[#This Row],[app_id]],Table5[app_id],Table5[category],"",0)</f>
        <v>Shopping</v>
      </c>
      <c r="E121" t="s">
        <v>537</v>
      </c>
      <c r="F121" t="s">
        <v>538</v>
      </c>
      <c r="G121" t="s">
        <v>26</v>
      </c>
      <c r="H121" t="s">
        <v>535</v>
      </c>
      <c r="I121">
        <v>19</v>
      </c>
      <c r="J121">
        <v>12.5</v>
      </c>
      <c r="K121" t="s">
        <v>258</v>
      </c>
      <c r="L121" t="s">
        <v>258</v>
      </c>
      <c r="M121" t="s">
        <v>258</v>
      </c>
      <c r="N121" s="5">
        <v>0</v>
      </c>
    </row>
    <row r="122" spans="1:14" x14ac:dyDescent="0.25">
      <c r="A122" t="s">
        <v>663</v>
      </c>
      <c r="B122" t="s">
        <v>78</v>
      </c>
      <c r="C122" t="str">
        <f>_xlfn.XLOOKUP(Table6[[#This Row],[app_id]],Table5[app_id],Table5[app_name],"",0)</f>
        <v>StyleOne</v>
      </c>
      <c r="D122" t="str">
        <f>_xlfn.XLOOKUP(Table6[[#This Row],[app_id]],Table5[app_id],Table5[category],"",0)</f>
        <v>Shopping</v>
      </c>
      <c r="E122" t="s">
        <v>537</v>
      </c>
      <c r="F122" t="s">
        <v>548</v>
      </c>
      <c r="G122" t="s">
        <v>30</v>
      </c>
      <c r="H122" t="s">
        <v>535</v>
      </c>
      <c r="I122">
        <v>20</v>
      </c>
      <c r="J122">
        <v>10.1</v>
      </c>
      <c r="K122" t="s">
        <v>258</v>
      </c>
      <c r="L122" t="s">
        <v>258</v>
      </c>
      <c r="M122" t="s">
        <v>258</v>
      </c>
      <c r="N122" s="5">
        <v>3.53</v>
      </c>
    </row>
    <row r="123" spans="1:14" x14ac:dyDescent="0.25">
      <c r="A123" t="s">
        <v>664</v>
      </c>
      <c r="B123" t="s">
        <v>80</v>
      </c>
      <c r="C123" t="str">
        <f>_xlfn.XLOOKUP(Table6[[#This Row],[app_id]],Table5[app_id],Table5[app_name],"",0)</f>
        <v>Cartly</v>
      </c>
      <c r="D123" t="str">
        <f>_xlfn.XLOOKUP(Table6[[#This Row],[app_id]],Table5[app_id],Table5[category],"",0)</f>
        <v>Shopping</v>
      </c>
      <c r="E123" t="s">
        <v>537</v>
      </c>
      <c r="F123" t="s">
        <v>538</v>
      </c>
      <c r="G123" t="s">
        <v>61</v>
      </c>
      <c r="H123" t="s">
        <v>540</v>
      </c>
      <c r="I123">
        <v>15</v>
      </c>
      <c r="J123">
        <v>23.9</v>
      </c>
      <c r="K123" t="s">
        <v>257</v>
      </c>
      <c r="L123" t="s">
        <v>257</v>
      </c>
      <c r="M123" t="s">
        <v>258</v>
      </c>
      <c r="N123" s="5">
        <v>0</v>
      </c>
    </row>
    <row r="124" spans="1:14" x14ac:dyDescent="0.25">
      <c r="A124" t="s">
        <v>665</v>
      </c>
      <c r="B124" t="s">
        <v>83</v>
      </c>
      <c r="C124" t="str">
        <f>_xlfn.XLOOKUP(Table6[[#This Row],[app_id]],Table5[app_id],Table5[app_name],"",0)</f>
        <v>BazaarCloud</v>
      </c>
      <c r="D124" t="str">
        <f>_xlfn.XLOOKUP(Table6[[#This Row],[app_id]],Table5[app_id],Table5[category],"",0)</f>
        <v>Shopping</v>
      </c>
      <c r="E124" t="s">
        <v>533</v>
      </c>
      <c r="F124" t="s">
        <v>534</v>
      </c>
      <c r="G124" t="s">
        <v>26</v>
      </c>
      <c r="H124" t="s">
        <v>535</v>
      </c>
      <c r="I124">
        <v>20</v>
      </c>
      <c r="J124">
        <v>13.7</v>
      </c>
      <c r="K124" t="s">
        <v>258</v>
      </c>
      <c r="L124" t="s">
        <v>258</v>
      </c>
      <c r="M124" t="s">
        <v>257</v>
      </c>
      <c r="N124" s="5">
        <v>9.23</v>
      </c>
    </row>
    <row r="125" spans="1:14" x14ac:dyDescent="0.25">
      <c r="A125" t="s">
        <v>666</v>
      </c>
      <c r="B125" t="s">
        <v>85</v>
      </c>
      <c r="C125" t="str">
        <f>_xlfn.XLOOKUP(Table6[[#This Row],[app_id]],Table5[app_id],Table5[app_name],"",0)</f>
        <v>CartPro</v>
      </c>
      <c r="D125" t="str">
        <f>_xlfn.XLOOKUP(Table6[[#This Row],[app_id]],Table5[app_id],Table5[category],"",0)</f>
        <v>Shopping</v>
      </c>
      <c r="E125" t="s">
        <v>533</v>
      </c>
      <c r="F125" t="s">
        <v>548</v>
      </c>
      <c r="G125" t="s">
        <v>18</v>
      </c>
      <c r="H125" t="s">
        <v>535</v>
      </c>
      <c r="I125">
        <v>4</v>
      </c>
      <c r="J125">
        <v>18.100000000000001</v>
      </c>
      <c r="K125" t="s">
        <v>258</v>
      </c>
      <c r="L125" t="s">
        <v>258</v>
      </c>
      <c r="M125" t="s">
        <v>258</v>
      </c>
      <c r="N125" s="5">
        <v>0</v>
      </c>
    </row>
    <row r="126" spans="1:14" x14ac:dyDescent="0.25">
      <c r="A126" t="s">
        <v>667</v>
      </c>
      <c r="B126" t="s">
        <v>87</v>
      </c>
      <c r="C126" t="str">
        <f>_xlfn.XLOOKUP(Table6[[#This Row],[app_id]],Table5[app_id],Table5[app_name],"",0)</f>
        <v>RunPlus</v>
      </c>
      <c r="D126" t="str">
        <f>_xlfn.XLOOKUP(Table6[[#This Row],[app_id]],Table5[app_id],Table5[category],"",0)</f>
        <v>Fitness</v>
      </c>
      <c r="E126" t="s">
        <v>537</v>
      </c>
      <c r="F126" t="s">
        <v>548</v>
      </c>
      <c r="G126" t="s">
        <v>46</v>
      </c>
      <c r="H126" t="s">
        <v>535</v>
      </c>
      <c r="I126">
        <v>23</v>
      </c>
      <c r="J126">
        <v>25.4</v>
      </c>
      <c r="K126" t="s">
        <v>257</v>
      </c>
      <c r="L126" t="s">
        <v>258</v>
      </c>
      <c r="M126" t="s">
        <v>258</v>
      </c>
      <c r="N126" s="5">
        <v>0</v>
      </c>
    </row>
    <row r="127" spans="1:14" x14ac:dyDescent="0.25">
      <c r="A127" t="s">
        <v>668</v>
      </c>
      <c r="B127" t="s">
        <v>90</v>
      </c>
      <c r="C127" t="str">
        <f>_xlfn.XLOOKUP(Table6[[#This Row],[app_id]],Table5[app_id],Table5[app_name],"",0)</f>
        <v>TrainCloud</v>
      </c>
      <c r="D127" t="str">
        <f>_xlfn.XLOOKUP(Table6[[#This Row],[app_id]],Table5[app_id],Table5[category],"",0)</f>
        <v>Fitness</v>
      </c>
      <c r="E127" t="s">
        <v>533</v>
      </c>
      <c r="F127" t="s">
        <v>538</v>
      </c>
      <c r="G127" t="s">
        <v>69</v>
      </c>
      <c r="H127" t="s">
        <v>535</v>
      </c>
      <c r="I127">
        <v>17</v>
      </c>
      <c r="J127">
        <v>40.799999999999997</v>
      </c>
      <c r="K127" t="s">
        <v>257</v>
      </c>
      <c r="L127" t="s">
        <v>258</v>
      </c>
      <c r="M127" t="s">
        <v>257</v>
      </c>
      <c r="N127" s="5">
        <v>0</v>
      </c>
    </row>
    <row r="128" spans="1:14" x14ac:dyDescent="0.25">
      <c r="A128" t="s">
        <v>669</v>
      </c>
      <c r="B128" t="s">
        <v>92</v>
      </c>
      <c r="C128" t="str">
        <f>_xlfn.XLOOKUP(Table6[[#This Row],[app_id]],Table5[app_id],Table5[app_name],"",0)</f>
        <v>Trainly</v>
      </c>
      <c r="D128" t="str">
        <f>_xlfn.XLOOKUP(Table6[[#This Row],[app_id]],Table5[app_id],Table5[category],"",0)</f>
        <v>Fitness</v>
      </c>
      <c r="E128" t="s">
        <v>533</v>
      </c>
      <c r="F128" t="s">
        <v>538</v>
      </c>
      <c r="G128" t="s">
        <v>46</v>
      </c>
      <c r="H128" t="s">
        <v>540</v>
      </c>
      <c r="I128">
        <v>24</v>
      </c>
      <c r="J128">
        <v>8.6999999999999993</v>
      </c>
      <c r="K128" t="s">
        <v>257</v>
      </c>
      <c r="L128" t="s">
        <v>257</v>
      </c>
      <c r="M128" t="s">
        <v>258</v>
      </c>
      <c r="N128" s="5">
        <v>42.8</v>
      </c>
    </row>
    <row r="129" spans="1:14" x14ac:dyDescent="0.25">
      <c r="A129" t="s">
        <v>670</v>
      </c>
      <c r="B129" t="s">
        <v>94</v>
      </c>
      <c r="C129" t="str">
        <f>_xlfn.XLOOKUP(Table6[[#This Row],[app_id]],Table5[app_id],Table5[app_name],"",0)</f>
        <v>LiftCloud</v>
      </c>
      <c r="D129" t="str">
        <f>_xlfn.XLOOKUP(Table6[[#This Row],[app_id]],Table5[app_id],Table5[category],"",0)</f>
        <v>Fitness</v>
      </c>
      <c r="E129" t="s">
        <v>533</v>
      </c>
      <c r="F129" t="s">
        <v>548</v>
      </c>
      <c r="G129" t="s">
        <v>69</v>
      </c>
      <c r="H129" t="s">
        <v>535</v>
      </c>
      <c r="I129">
        <v>19</v>
      </c>
      <c r="J129">
        <v>25.1</v>
      </c>
      <c r="K129" t="s">
        <v>258</v>
      </c>
      <c r="L129" t="s">
        <v>258</v>
      </c>
      <c r="M129" t="s">
        <v>257</v>
      </c>
      <c r="N129" s="5">
        <v>0</v>
      </c>
    </row>
    <row r="130" spans="1:14" x14ac:dyDescent="0.25">
      <c r="A130" t="s">
        <v>671</v>
      </c>
      <c r="B130" t="s">
        <v>96</v>
      </c>
      <c r="C130" t="str">
        <f>_xlfn.XLOOKUP(Table6[[#This Row],[app_id]],Table5[app_id],Table5[app_name],"",0)</f>
        <v>MoveNow</v>
      </c>
      <c r="D130" t="str">
        <f>_xlfn.XLOOKUP(Table6[[#This Row],[app_id]],Table5[app_id],Table5[category],"",0)</f>
        <v>Fitness</v>
      </c>
      <c r="E130" t="s">
        <v>537</v>
      </c>
      <c r="F130" t="s">
        <v>538</v>
      </c>
      <c r="G130" t="s">
        <v>61</v>
      </c>
      <c r="H130" t="s">
        <v>535</v>
      </c>
      <c r="I130">
        <v>27</v>
      </c>
      <c r="J130">
        <v>37.4</v>
      </c>
      <c r="K130" t="s">
        <v>258</v>
      </c>
      <c r="L130" t="s">
        <v>258</v>
      </c>
      <c r="M130" t="s">
        <v>258</v>
      </c>
      <c r="N130" s="5">
        <v>32.67</v>
      </c>
    </row>
    <row r="131" spans="1:14" x14ac:dyDescent="0.25">
      <c r="A131" t="s">
        <v>672</v>
      </c>
      <c r="B131" t="s">
        <v>98</v>
      </c>
      <c r="C131" t="str">
        <f>_xlfn.XLOOKUP(Table6[[#This Row],[app_id]],Table5[app_id],Table5[app_name],"",0)</f>
        <v>ActiveMate</v>
      </c>
      <c r="D131" t="str">
        <f>_xlfn.XLOOKUP(Table6[[#This Row],[app_id]],Table5[app_id],Table5[category],"",0)</f>
        <v>Fitness</v>
      </c>
      <c r="E131" t="s">
        <v>533</v>
      </c>
      <c r="F131" t="s">
        <v>538</v>
      </c>
      <c r="G131" t="s">
        <v>30</v>
      </c>
      <c r="H131" t="s">
        <v>535</v>
      </c>
      <c r="I131">
        <v>80</v>
      </c>
      <c r="J131">
        <v>19.399999999999999</v>
      </c>
      <c r="K131" t="s">
        <v>257</v>
      </c>
      <c r="L131" t="s">
        <v>257</v>
      </c>
      <c r="M131" t="s">
        <v>258</v>
      </c>
      <c r="N131" s="5">
        <v>0</v>
      </c>
    </row>
    <row r="132" spans="1:14" x14ac:dyDescent="0.25">
      <c r="A132" t="s">
        <v>673</v>
      </c>
      <c r="B132" t="s">
        <v>100</v>
      </c>
      <c r="C132" t="str">
        <f>_xlfn.XLOOKUP(Table6[[#This Row],[app_id]],Table5[app_id],Table5[app_name],"",0)</f>
        <v>RunGo</v>
      </c>
      <c r="D132" t="str">
        <f>_xlfn.XLOOKUP(Table6[[#This Row],[app_id]],Table5[app_id],Table5[category],"",0)</f>
        <v>Fitness</v>
      </c>
      <c r="E132" t="s">
        <v>552</v>
      </c>
      <c r="F132" t="s">
        <v>534</v>
      </c>
      <c r="G132" t="s">
        <v>61</v>
      </c>
      <c r="H132" t="s">
        <v>535</v>
      </c>
      <c r="I132">
        <v>11</v>
      </c>
      <c r="J132">
        <v>12.5</v>
      </c>
      <c r="K132" t="s">
        <v>258</v>
      </c>
      <c r="L132" t="s">
        <v>258</v>
      </c>
      <c r="M132" t="s">
        <v>258</v>
      </c>
      <c r="N132" s="5">
        <v>0</v>
      </c>
    </row>
    <row r="133" spans="1:14" x14ac:dyDescent="0.25">
      <c r="A133" t="s">
        <v>674</v>
      </c>
      <c r="B133" t="s">
        <v>102</v>
      </c>
      <c r="C133" t="str">
        <f>_xlfn.XLOOKUP(Table6[[#This Row],[app_id]],Table5[app_id],Table5[app_name],"",0)</f>
        <v>LiftPro</v>
      </c>
      <c r="D133" t="str">
        <f>_xlfn.XLOOKUP(Table6[[#This Row],[app_id]],Table5[app_id],Table5[category],"",0)</f>
        <v>Fitness</v>
      </c>
      <c r="E133" t="s">
        <v>537</v>
      </c>
      <c r="F133" t="s">
        <v>534</v>
      </c>
      <c r="G133" t="s">
        <v>61</v>
      </c>
      <c r="H133" t="s">
        <v>535</v>
      </c>
      <c r="I133">
        <v>16</v>
      </c>
      <c r="J133">
        <v>29.4</v>
      </c>
      <c r="K133" t="s">
        <v>257</v>
      </c>
      <c r="L133" t="s">
        <v>257</v>
      </c>
      <c r="M133" t="s">
        <v>258</v>
      </c>
      <c r="N133" s="5">
        <v>7.29</v>
      </c>
    </row>
    <row r="134" spans="1:14" x14ac:dyDescent="0.25">
      <c r="A134" t="s">
        <v>675</v>
      </c>
      <c r="B134" t="s">
        <v>104</v>
      </c>
      <c r="C134" t="str">
        <f>_xlfn.XLOOKUP(Table6[[#This Row],[app_id]],Table5[app_id],Table5[app_name],"",0)</f>
        <v>LiftPro</v>
      </c>
      <c r="D134" t="str">
        <f>_xlfn.XLOOKUP(Table6[[#This Row],[app_id]],Table5[app_id],Table5[category],"",0)</f>
        <v>Fitness</v>
      </c>
      <c r="E134" t="s">
        <v>546</v>
      </c>
      <c r="F134" t="s">
        <v>534</v>
      </c>
      <c r="G134" t="s">
        <v>26</v>
      </c>
      <c r="H134" t="s">
        <v>535</v>
      </c>
      <c r="I134">
        <v>5</v>
      </c>
      <c r="J134">
        <v>36.5</v>
      </c>
      <c r="K134" t="s">
        <v>258</v>
      </c>
      <c r="L134" t="s">
        <v>258</v>
      </c>
      <c r="M134" t="s">
        <v>258</v>
      </c>
      <c r="N134" s="5">
        <v>0</v>
      </c>
    </row>
    <row r="135" spans="1:14" x14ac:dyDescent="0.25">
      <c r="A135" t="s">
        <v>676</v>
      </c>
      <c r="B135" t="s">
        <v>105</v>
      </c>
      <c r="C135" t="str">
        <f>_xlfn.XLOOKUP(Table6[[#This Row],[app_id]],Table5[app_id],Table5[app_name],"",0)</f>
        <v>Liftly</v>
      </c>
      <c r="D135" t="str">
        <f>_xlfn.XLOOKUP(Table6[[#This Row],[app_id]],Table5[app_id],Table5[category],"",0)</f>
        <v>Fitness</v>
      </c>
      <c r="E135" t="s">
        <v>546</v>
      </c>
      <c r="F135" t="s">
        <v>538</v>
      </c>
      <c r="G135" t="s">
        <v>30</v>
      </c>
      <c r="H135" t="s">
        <v>535</v>
      </c>
      <c r="I135">
        <v>23</v>
      </c>
      <c r="J135">
        <v>10.4</v>
      </c>
      <c r="K135" t="s">
        <v>258</v>
      </c>
      <c r="L135" t="s">
        <v>257</v>
      </c>
      <c r="M135" t="s">
        <v>258</v>
      </c>
      <c r="N135" s="5">
        <v>0</v>
      </c>
    </row>
    <row r="136" spans="1:14" x14ac:dyDescent="0.25">
      <c r="A136" t="s">
        <v>677</v>
      </c>
      <c r="B136" t="s">
        <v>107</v>
      </c>
      <c r="C136" t="str">
        <f>_xlfn.XLOOKUP(Table6[[#This Row],[app_id]],Table5[app_id],Table5[app_name],"",0)</f>
        <v>YogaHub</v>
      </c>
      <c r="D136" t="str">
        <f>_xlfn.XLOOKUP(Table6[[#This Row],[app_id]],Table5[app_id],Table5[category],"",0)</f>
        <v>Fitness</v>
      </c>
      <c r="E136" t="s">
        <v>533</v>
      </c>
      <c r="F136" t="s">
        <v>538</v>
      </c>
      <c r="G136" t="s">
        <v>23</v>
      </c>
      <c r="H136" t="s">
        <v>535</v>
      </c>
      <c r="I136">
        <v>51</v>
      </c>
      <c r="J136">
        <v>25</v>
      </c>
      <c r="K136" t="s">
        <v>257</v>
      </c>
      <c r="L136" t="s">
        <v>258</v>
      </c>
      <c r="M136" t="s">
        <v>258</v>
      </c>
      <c r="N136" s="5">
        <v>31.68</v>
      </c>
    </row>
    <row r="137" spans="1:14" x14ac:dyDescent="0.25">
      <c r="A137" t="s">
        <v>678</v>
      </c>
      <c r="B137" t="s">
        <v>109</v>
      </c>
      <c r="C137" t="str">
        <f>_xlfn.XLOOKUP(Table6[[#This Row],[app_id]],Table5[app_id],Table5[app_name],"",0)</f>
        <v>MoveGo</v>
      </c>
      <c r="D137" t="str">
        <f>_xlfn.XLOOKUP(Table6[[#This Row],[app_id]],Table5[app_id],Table5[category],"",0)</f>
        <v>Fitness</v>
      </c>
      <c r="E137" t="s">
        <v>533</v>
      </c>
      <c r="F137" t="s">
        <v>534</v>
      </c>
      <c r="G137" t="s">
        <v>35</v>
      </c>
      <c r="H137" t="s">
        <v>535</v>
      </c>
      <c r="I137">
        <v>92</v>
      </c>
      <c r="J137">
        <v>25.7</v>
      </c>
      <c r="K137" t="s">
        <v>257</v>
      </c>
      <c r="L137" t="s">
        <v>257</v>
      </c>
      <c r="M137" t="s">
        <v>258</v>
      </c>
      <c r="N137" s="5">
        <v>24.12</v>
      </c>
    </row>
    <row r="138" spans="1:14" x14ac:dyDescent="0.25">
      <c r="A138" t="s">
        <v>679</v>
      </c>
      <c r="B138" t="s">
        <v>111</v>
      </c>
      <c r="C138" t="str">
        <f>_xlfn.XLOOKUP(Table6[[#This Row],[app_id]],Table5[app_id],Table5[app_name],"",0)</f>
        <v>BrightNow</v>
      </c>
      <c r="D138" t="str">
        <f>_xlfn.XLOOKUP(Table6[[#This Row],[app_id]],Table5[app_id],Table5[category],"",0)</f>
        <v>Education</v>
      </c>
      <c r="E138" t="s">
        <v>546</v>
      </c>
      <c r="F138" t="s">
        <v>534</v>
      </c>
      <c r="G138" t="s">
        <v>18</v>
      </c>
      <c r="H138" t="s">
        <v>535</v>
      </c>
      <c r="I138">
        <v>11</v>
      </c>
      <c r="J138">
        <v>30.9</v>
      </c>
      <c r="K138" t="s">
        <v>258</v>
      </c>
      <c r="L138" t="s">
        <v>258</v>
      </c>
      <c r="M138" t="s">
        <v>257</v>
      </c>
      <c r="N138" s="5">
        <v>0</v>
      </c>
    </row>
    <row r="139" spans="1:14" x14ac:dyDescent="0.25">
      <c r="A139" t="s">
        <v>680</v>
      </c>
      <c r="B139" t="s">
        <v>114</v>
      </c>
      <c r="C139" t="str">
        <f>_xlfn.XLOOKUP(Table6[[#This Row],[app_id]],Table5[app_id],Table5[app_name],"",0)</f>
        <v>StudyCloud</v>
      </c>
      <c r="D139" t="str">
        <f>_xlfn.XLOOKUP(Table6[[#This Row],[app_id]],Table5[app_id],Table5[category],"",0)</f>
        <v>Education</v>
      </c>
      <c r="E139" t="s">
        <v>537</v>
      </c>
      <c r="F139" t="s">
        <v>538</v>
      </c>
      <c r="G139" t="s">
        <v>18</v>
      </c>
      <c r="H139" t="s">
        <v>535</v>
      </c>
      <c r="I139">
        <v>26</v>
      </c>
      <c r="J139">
        <v>9.5</v>
      </c>
      <c r="K139" t="s">
        <v>258</v>
      </c>
      <c r="L139" t="s">
        <v>258</v>
      </c>
      <c r="M139" t="s">
        <v>258</v>
      </c>
      <c r="N139" s="5">
        <v>35.21</v>
      </c>
    </row>
    <row r="140" spans="1:14" x14ac:dyDescent="0.25">
      <c r="A140" t="s">
        <v>681</v>
      </c>
      <c r="B140" t="s">
        <v>116</v>
      </c>
      <c r="C140" t="str">
        <f>_xlfn.XLOOKUP(Table6[[#This Row],[app_id]],Table5[app_id],Table5[app_name],"",0)</f>
        <v>SkillNow</v>
      </c>
      <c r="D140" t="str">
        <f>_xlfn.XLOOKUP(Table6[[#This Row],[app_id]],Table5[app_id],Table5[category],"",0)</f>
        <v>Education</v>
      </c>
      <c r="E140" t="s">
        <v>537</v>
      </c>
      <c r="F140" t="s">
        <v>538</v>
      </c>
      <c r="G140" t="s">
        <v>35</v>
      </c>
      <c r="H140" t="s">
        <v>535</v>
      </c>
      <c r="I140">
        <v>74</v>
      </c>
      <c r="J140">
        <v>10.199999999999999</v>
      </c>
      <c r="K140" t="s">
        <v>257</v>
      </c>
      <c r="L140" t="s">
        <v>257</v>
      </c>
      <c r="M140" t="s">
        <v>258</v>
      </c>
      <c r="N140" s="5">
        <v>0</v>
      </c>
    </row>
    <row r="141" spans="1:14" x14ac:dyDescent="0.25">
      <c r="A141" t="s">
        <v>682</v>
      </c>
      <c r="B141" t="s">
        <v>118</v>
      </c>
      <c r="C141" t="str">
        <f>_xlfn.XLOOKUP(Table6[[#This Row],[app_id]],Table5[app_id],Table5[app_name],"",0)</f>
        <v>LearnMate</v>
      </c>
      <c r="D141" t="str">
        <f>_xlfn.XLOOKUP(Table6[[#This Row],[app_id]],Table5[app_id],Table5[category],"",0)</f>
        <v>Education</v>
      </c>
      <c r="E141" t="s">
        <v>537</v>
      </c>
      <c r="F141" t="s">
        <v>538</v>
      </c>
      <c r="G141" t="s">
        <v>18</v>
      </c>
      <c r="H141" t="s">
        <v>535</v>
      </c>
      <c r="I141">
        <v>22</v>
      </c>
      <c r="J141">
        <v>33.6</v>
      </c>
      <c r="K141" t="s">
        <v>258</v>
      </c>
      <c r="L141" t="s">
        <v>258</v>
      </c>
      <c r="M141" t="s">
        <v>257</v>
      </c>
      <c r="N141" s="5">
        <v>0</v>
      </c>
    </row>
    <row r="142" spans="1:14" x14ac:dyDescent="0.25">
      <c r="A142" t="s">
        <v>683</v>
      </c>
      <c r="B142" t="s">
        <v>120</v>
      </c>
      <c r="C142" t="str">
        <f>_xlfn.XLOOKUP(Table6[[#This Row],[app_id]],Table5[app_id],Table5[app_name],"",0)</f>
        <v>QuestNow</v>
      </c>
      <c r="D142" t="str">
        <f>_xlfn.XLOOKUP(Table6[[#This Row],[app_id]],Table5[app_id],Table5[category],"",0)</f>
        <v>Education</v>
      </c>
      <c r="E142" t="s">
        <v>533</v>
      </c>
      <c r="F142" t="s">
        <v>538</v>
      </c>
      <c r="G142" t="s">
        <v>61</v>
      </c>
      <c r="H142" t="s">
        <v>535</v>
      </c>
      <c r="I142">
        <v>17</v>
      </c>
      <c r="J142">
        <v>21.9</v>
      </c>
      <c r="K142" t="s">
        <v>257</v>
      </c>
      <c r="L142" t="s">
        <v>257</v>
      </c>
      <c r="M142" t="s">
        <v>258</v>
      </c>
      <c r="N142" s="5">
        <v>0</v>
      </c>
    </row>
    <row r="143" spans="1:14" x14ac:dyDescent="0.25">
      <c r="A143" t="s">
        <v>684</v>
      </c>
      <c r="B143" t="s">
        <v>122</v>
      </c>
      <c r="C143" t="str">
        <f>_xlfn.XLOOKUP(Table6[[#This Row],[app_id]],Table5[app_id],Table5[app_name],"",0)</f>
        <v>SkillHub</v>
      </c>
      <c r="D143" t="str">
        <f>_xlfn.XLOOKUP(Table6[[#This Row],[app_id]],Table5[app_id],Table5[category],"",0)</f>
        <v>Education</v>
      </c>
      <c r="E143" t="s">
        <v>546</v>
      </c>
      <c r="F143" t="s">
        <v>534</v>
      </c>
      <c r="G143" t="s">
        <v>30</v>
      </c>
      <c r="H143" t="s">
        <v>535</v>
      </c>
      <c r="I143">
        <v>76</v>
      </c>
      <c r="J143">
        <v>34</v>
      </c>
      <c r="K143" t="s">
        <v>257</v>
      </c>
      <c r="L143" t="s">
        <v>257</v>
      </c>
      <c r="M143" t="s">
        <v>258</v>
      </c>
      <c r="N143" s="5">
        <v>0</v>
      </c>
    </row>
    <row r="144" spans="1:14" x14ac:dyDescent="0.25">
      <c r="A144" t="s">
        <v>685</v>
      </c>
      <c r="B144" t="s">
        <v>124</v>
      </c>
      <c r="C144" t="str">
        <f>_xlfn.XLOOKUP(Table6[[#This Row],[app_id]],Table5[app_id],Table5[app_name],"",0)</f>
        <v>TutorCloud</v>
      </c>
      <c r="D144" t="str">
        <f>_xlfn.XLOOKUP(Table6[[#This Row],[app_id]],Table5[app_id],Table5[category],"",0)</f>
        <v>Education</v>
      </c>
      <c r="E144" t="s">
        <v>533</v>
      </c>
      <c r="F144" t="s">
        <v>538</v>
      </c>
      <c r="G144" t="s">
        <v>26</v>
      </c>
      <c r="H144" t="s">
        <v>535</v>
      </c>
      <c r="I144">
        <v>5</v>
      </c>
      <c r="J144">
        <v>27</v>
      </c>
      <c r="K144" t="s">
        <v>258</v>
      </c>
      <c r="L144" t="s">
        <v>258</v>
      </c>
      <c r="M144" t="s">
        <v>257</v>
      </c>
      <c r="N144" s="5">
        <v>0</v>
      </c>
    </row>
    <row r="145" spans="1:14" x14ac:dyDescent="0.25">
      <c r="A145" t="s">
        <v>686</v>
      </c>
      <c r="B145" t="s">
        <v>126</v>
      </c>
      <c r="C145" t="str">
        <f>_xlfn.XLOOKUP(Table6[[#This Row],[app_id]],Table5[app_id],Table5[app_name],"",0)</f>
        <v>SkillOne</v>
      </c>
      <c r="D145" t="str">
        <f>_xlfn.XLOOKUP(Table6[[#This Row],[app_id]],Table5[app_id],Table5[category],"",0)</f>
        <v>Education</v>
      </c>
      <c r="E145" t="s">
        <v>533</v>
      </c>
      <c r="F145" t="s">
        <v>534</v>
      </c>
      <c r="G145" t="s">
        <v>18</v>
      </c>
      <c r="H145" t="s">
        <v>535</v>
      </c>
      <c r="I145">
        <v>5</v>
      </c>
      <c r="J145">
        <v>23.7</v>
      </c>
      <c r="K145" t="s">
        <v>258</v>
      </c>
      <c r="L145" t="s">
        <v>257</v>
      </c>
      <c r="M145" t="s">
        <v>258</v>
      </c>
      <c r="N145" s="5">
        <v>0</v>
      </c>
    </row>
    <row r="146" spans="1:14" x14ac:dyDescent="0.25">
      <c r="A146" t="s">
        <v>687</v>
      </c>
      <c r="B146" t="s">
        <v>128</v>
      </c>
      <c r="C146" t="str">
        <f>_xlfn.XLOOKUP(Table6[[#This Row],[app_id]],Table5[app_id],Table5[app_name],"",0)</f>
        <v>LearnOne</v>
      </c>
      <c r="D146" t="str">
        <f>_xlfn.XLOOKUP(Table6[[#This Row],[app_id]],Table5[app_id],Table5[category],"",0)</f>
        <v>Education</v>
      </c>
      <c r="E146" t="s">
        <v>557</v>
      </c>
      <c r="F146" t="s">
        <v>534</v>
      </c>
      <c r="G146" t="s">
        <v>18</v>
      </c>
      <c r="H146" t="s">
        <v>535</v>
      </c>
      <c r="I146">
        <v>11</v>
      </c>
      <c r="J146">
        <v>36.1</v>
      </c>
      <c r="K146" t="s">
        <v>258</v>
      </c>
      <c r="L146" t="s">
        <v>257</v>
      </c>
      <c r="M146" t="s">
        <v>258</v>
      </c>
      <c r="N146" s="5">
        <v>21.32</v>
      </c>
    </row>
    <row r="147" spans="1:14" x14ac:dyDescent="0.25">
      <c r="A147" t="s">
        <v>688</v>
      </c>
      <c r="B147" t="s">
        <v>130</v>
      </c>
      <c r="C147" t="str">
        <f>_xlfn.XLOOKUP(Table6[[#This Row],[app_id]],Table5[app_id],Table5[app_name],"",0)</f>
        <v>LearnPlus</v>
      </c>
      <c r="D147" t="str">
        <f>_xlfn.XLOOKUP(Table6[[#This Row],[app_id]],Table5[app_id],Table5[category],"",0)</f>
        <v>Education</v>
      </c>
      <c r="E147" t="s">
        <v>546</v>
      </c>
      <c r="F147" t="s">
        <v>548</v>
      </c>
      <c r="G147" t="s">
        <v>18</v>
      </c>
      <c r="H147" t="s">
        <v>540</v>
      </c>
      <c r="I147">
        <v>26</v>
      </c>
      <c r="J147">
        <v>40.4</v>
      </c>
      <c r="K147" t="s">
        <v>258</v>
      </c>
      <c r="L147" t="s">
        <v>257</v>
      </c>
      <c r="M147" t="s">
        <v>258</v>
      </c>
      <c r="N147" s="5">
        <v>0</v>
      </c>
    </row>
    <row r="148" spans="1:14" x14ac:dyDescent="0.25">
      <c r="A148" t="s">
        <v>689</v>
      </c>
      <c r="B148" t="s">
        <v>132</v>
      </c>
      <c r="C148" t="str">
        <f>_xlfn.XLOOKUP(Table6[[#This Row],[app_id]],Table5[app_id],Table5[app_name],"",0)</f>
        <v>StudyPlus</v>
      </c>
      <c r="D148" t="str">
        <f>_xlfn.XLOOKUP(Table6[[#This Row],[app_id]],Table5[app_id],Table5[category],"",0)</f>
        <v>Education</v>
      </c>
      <c r="E148" t="s">
        <v>537</v>
      </c>
      <c r="F148" t="s">
        <v>534</v>
      </c>
      <c r="G148" t="s">
        <v>26</v>
      </c>
      <c r="H148" t="s">
        <v>540</v>
      </c>
      <c r="I148">
        <v>8</v>
      </c>
      <c r="J148">
        <v>41.6</v>
      </c>
      <c r="K148" t="s">
        <v>258</v>
      </c>
      <c r="L148" t="s">
        <v>258</v>
      </c>
      <c r="M148" t="s">
        <v>258</v>
      </c>
      <c r="N148" s="5">
        <v>0</v>
      </c>
    </row>
    <row r="149" spans="1:14" x14ac:dyDescent="0.25">
      <c r="A149" t="s">
        <v>690</v>
      </c>
      <c r="B149" t="s">
        <v>134</v>
      </c>
      <c r="C149" t="str">
        <f>_xlfn.XLOOKUP(Table6[[#This Row],[app_id]],Table5[app_id],Table5[app_name],"",0)</f>
        <v>StudyX</v>
      </c>
      <c r="D149" t="str">
        <f>_xlfn.XLOOKUP(Table6[[#This Row],[app_id]],Table5[app_id],Table5[category],"",0)</f>
        <v>Education</v>
      </c>
      <c r="E149" t="s">
        <v>557</v>
      </c>
      <c r="F149" t="s">
        <v>538</v>
      </c>
      <c r="G149" t="s">
        <v>26</v>
      </c>
      <c r="H149" t="s">
        <v>535</v>
      </c>
      <c r="I149">
        <v>4</v>
      </c>
      <c r="J149">
        <v>33.200000000000003</v>
      </c>
      <c r="K149" t="s">
        <v>258</v>
      </c>
      <c r="L149" t="s">
        <v>257</v>
      </c>
      <c r="M149" t="s">
        <v>258</v>
      </c>
      <c r="N149" s="5">
        <v>0</v>
      </c>
    </row>
    <row r="150" spans="1:14" x14ac:dyDescent="0.25">
      <c r="A150" t="s">
        <v>691</v>
      </c>
      <c r="B150" t="s">
        <v>136</v>
      </c>
      <c r="C150" t="str">
        <f>_xlfn.XLOOKUP(Table6[[#This Row],[app_id]],Table5[app_id],Table5[app_name],"",0)</f>
        <v>PlayPlus</v>
      </c>
      <c r="D150" t="str">
        <f>_xlfn.XLOOKUP(Table6[[#This Row],[app_id]],Table5[app_id],Table5[category],"",0)</f>
        <v>Entertainment</v>
      </c>
      <c r="E150" t="s">
        <v>533</v>
      </c>
      <c r="F150" t="s">
        <v>538</v>
      </c>
      <c r="G150" t="s">
        <v>69</v>
      </c>
      <c r="H150" t="s">
        <v>540</v>
      </c>
      <c r="I150">
        <v>25</v>
      </c>
      <c r="J150">
        <v>9.6</v>
      </c>
      <c r="K150" t="s">
        <v>258</v>
      </c>
      <c r="L150" t="s">
        <v>257</v>
      </c>
      <c r="M150" t="s">
        <v>258</v>
      </c>
      <c r="N150" s="5">
        <v>0</v>
      </c>
    </row>
    <row r="151" spans="1:14" x14ac:dyDescent="0.25">
      <c r="A151" t="s">
        <v>692</v>
      </c>
      <c r="B151" t="s">
        <v>139</v>
      </c>
      <c r="C151" t="str">
        <f>_xlfn.XLOOKUP(Table6[[#This Row],[app_id]],Table5[app_id],Table5[app_name],"",0)</f>
        <v>ShowMate</v>
      </c>
      <c r="D151" t="str">
        <f>_xlfn.XLOOKUP(Table6[[#This Row],[app_id]],Table5[app_id],Table5[category],"",0)</f>
        <v>Entertainment</v>
      </c>
      <c r="E151" t="s">
        <v>546</v>
      </c>
      <c r="F151" t="s">
        <v>538</v>
      </c>
      <c r="G151" t="s">
        <v>46</v>
      </c>
      <c r="H151" t="s">
        <v>540</v>
      </c>
      <c r="I151">
        <v>82</v>
      </c>
      <c r="J151">
        <v>31</v>
      </c>
      <c r="K151" t="s">
        <v>257</v>
      </c>
      <c r="L151" t="s">
        <v>257</v>
      </c>
      <c r="M151" t="s">
        <v>258</v>
      </c>
      <c r="N151" s="5">
        <v>0</v>
      </c>
    </row>
    <row r="152" spans="1:14" x14ac:dyDescent="0.25">
      <c r="A152" t="s">
        <v>693</v>
      </c>
      <c r="B152" t="s">
        <v>141</v>
      </c>
      <c r="C152" t="str">
        <f>_xlfn.XLOOKUP(Table6[[#This Row],[app_id]],Table5[app_id],Table5[app_name],"",0)</f>
        <v>VibeX</v>
      </c>
      <c r="D152" t="str">
        <f>_xlfn.XLOOKUP(Table6[[#This Row],[app_id]],Table5[app_id],Table5[category],"",0)</f>
        <v>Entertainment</v>
      </c>
      <c r="E152" t="s">
        <v>533</v>
      </c>
      <c r="F152" t="s">
        <v>538</v>
      </c>
      <c r="G152" t="s">
        <v>35</v>
      </c>
      <c r="H152" t="s">
        <v>535</v>
      </c>
      <c r="I152">
        <v>5</v>
      </c>
      <c r="J152">
        <v>27.3</v>
      </c>
      <c r="K152" t="s">
        <v>258</v>
      </c>
      <c r="L152" t="s">
        <v>257</v>
      </c>
      <c r="M152" t="s">
        <v>258</v>
      </c>
      <c r="N152" s="5">
        <v>0</v>
      </c>
    </row>
    <row r="153" spans="1:14" x14ac:dyDescent="0.25">
      <c r="A153" t="s">
        <v>694</v>
      </c>
      <c r="B153" t="s">
        <v>143</v>
      </c>
      <c r="C153" t="str">
        <f>_xlfn.XLOOKUP(Table6[[#This Row],[app_id]],Table5[app_id],Table5[app_name],"",0)</f>
        <v>BuzzNow</v>
      </c>
      <c r="D153" t="str">
        <f>_xlfn.XLOOKUP(Table6[[#This Row],[app_id]],Table5[app_id],Table5[category],"",0)</f>
        <v>Entertainment</v>
      </c>
      <c r="E153" t="s">
        <v>557</v>
      </c>
      <c r="F153" t="s">
        <v>534</v>
      </c>
      <c r="G153" t="s">
        <v>30</v>
      </c>
      <c r="H153" t="s">
        <v>535</v>
      </c>
      <c r="I153">
        <v>8</v>
      </c>
      <c r="J153">
        <v>34.299999999999997</v>
      </c>
      <c r="K153" t="s">
        <v>258</v>
      </c>
      <c r="L153" t="s">
        <v>257</v>
      </c>
      <c r="M153" t="s">
        <v>258</v>
      </c>
      <c r="N153" s="5">
        <v>0</v>
      </c>
    </row>
    <row r="154" spans="1:14" x14ac:dyDescent="0.25">
      <c r="A154" t="s">
        <v>695</v>
      </c>
      <c r="B154" t="s">
        <v>145</v>
      </c>
      <c r="C154" t="str">
        <f>_xlfn.XLOOKUP(Table6[[#This Row],[app_id]],Table5[app_id],Table5[app_name],"",0)</f>
        <v>StreamPlus</v>
      </c>
      <c r="D154" t="str">
        <f>_xlfn.XLOOKUP(Table6[[#This Row],[app_id]],Table5[app_id],Table5[category],"",0)</f>
        <v>Entertainment</v>
      </c>
      <c r="E154" t="s">
        <v>546</v>
      </c>
      <c r="F154" t="s">
        <v>534</v>
      </c>
      <c r="G154" t="s">
        <v>18</v>
      </c>
      <c r="H154" t="s">
        <v>535</v>
      </c>
      <c r="I154">
        <v>8</v>
      </c>
      <c r="J154">
        <v>18.399999999999999</v>
      </c>
      <c r="K154" t="s">
        <v>258</v>
      </c>
      <c r="L154" t="s">
        <v>257</v>
      </c>
      <c r="M154" t="s">
        <v>258</v>
      </c>
      <c r="N154" s="5">
        <v>0</v>
      </c>
    </row>
    <row r="155" spans="1:14" x14ac:dyDescent="0.25">
      <c r="A155" t="s">
        <v>696</v>
      </c>
      <c r="B155" t="s">
        <v>147</v>
      </c>
      <c r="C155" t="str">
        <f>_xlfn.XLOOKUP(Table6[[#This Row],[app_id]],Table5[app_id],Table5[app_name],"",0)</f>
        <v>Showly</v>
      </c>
      <c r="D155" t="str">
        <f>_xlfn.XLOOKUP(Table6[[#This Row],[app_id]],Table5[app_id],Table5[category],"",0)</f>
        <v>Entertainment</v>
      </c>
      <c r="E155" t="s">
        <v>537</v>
      </c>
      <c r="F155" t="s">
        <v>538</v>
      </c>
      <c r="G155" t="s">
        <v>69</v>
      </c>
      <c r="H155" t="s">
        <v>535</v>
      </c>
      <c r="I155">
        <v>25</v>
      </c>
      <c r="J155">
        <v>31.8</v>
      </c>
      <c r="K155" t="s">
        <v>257</v>
      </c>
      <c r="L155" t="s">
        <v>257</v>
      </c>
      <c r="M155" t="s">
        <v>258</v>
      </c>
      <c r="N155" s="5">
        <v>0</v>
      </c>
    </row>
    <row r="156" spans="1:14" x14ac:dyDescent="0.25">
      <c r="A156" t="s">
        <v>697</v>
      </c>
      <c r="B156" t="s">
        <v>149</v>
      </c>
      <c r="C156" t="str">
        <f>_xlfn.XLOOKUP(Table6[[#This Row],[app_id]],Table5[app_id],Table5[app_name],"",0)</f>
        <v>BuzzOne</v>
      </c>
      <c r="D156" t="str">
        <f>_xlfn.XLOOKUP(Table6[[#This Row],[app_id]],Table5[app_id],Table5[category],"",0)</f>
        <v>Entertainment</v>
      </c>
      <c r="E156" t="s">
        <v>546</v>
      </c>
      <c r="F156" t="s">
        <v>538</v>
      </c>
      <c r="G156" t="s">
        <v>61</v>
      </c>
      <c r="H156" t="s">
        <v>535</v>
      </c>
      <c r="I156">
        <v>77</v>
      </c>
      <c r="J156">
        <v>8.1</v>
      </c>
      <c r="K156" t="s">
        <v>257</v>
      </c>
      <c r="L156" t="s">
        <v>258</v>
      </c>
      <c r="M156" t="s">
        <v>257</v>
      </c>
      <c r="N156" s="5">
        <v>0</v>
      </c>
    </row>
    <row r="157" spans="1:14" x14ac:dyDescent="0.25">
      <c r="A157" t="s">
        <v>698</v>
      </c>
      <c r="B157" t="s">
        <v>151</v>
      </c>
      <c r="C157" t="str">
        <f>_xlfn.XLOOKUP(Table6[[#This Row],[app_id]],Table5[app_id],Table5[app_name],"",0)</f>
        <v>PlayHub</v>
      </c>
      <c r="D157" t="str">
        <f>_xlfn.XLOOKUP(Table6[[#This Row],[app_id]],Table5[app_id],Table5[category],"",0)</f>
        <v>Entertainment</v>
      </c>
      <c r="E157" t="s">
        <v>537</v>
      </c>
      <c r="F157" t="s">
        <v>538</v>
      </c>
      <c r="G157" t="s">
        <v>30</v>
      </c>
      <c r="H157" t="s">
        <v>535</v>
      </c>
      <c r="I157">
        <v>19</v>
      </c>
      <c r="J157">
        <v>36.6</v>
      </c>
      <c r="K157" t="s">
        <v>258</v>
      </c>
      <c r="L157" t="s">
        <v>257</v>
      </c>
      <c r="M157" t="s">
        <v>258</v>
      </c>
      <c r="N157" s="5">
        <v>0</v>
      </c>
    </row>
    <row r="158" spans="1:14" x14ac:dyDescent="0.25">
      <c r="A158" t="s">
        <v>699</v>
      </c>
      <c r="B158" t="s">
        <v>153</v>
      </c>
      <c r="C158" t="str">
        <f>_xlfn.XLOOKUP(Table6[[#This Row],[app_id]],Table5[app_id],Table5[app_name],"",0)</f>
        <v>CinemaGo</v>
      </c>
      <c r="D158" t="str">
        <f>_xlfn.XLOOKUP(Table6[[#This Row],[app_id]],Table5[app_id],Table5[category],"",0)</f>
        <v>Entertainment</v>
      </c>
      <c r="E158" t="s">
        <v>533</v>
      </c>
      <c r="F158" t="s">
        <v>534</v>
      </c>
      <c r="G158" t="s">
        <v>18</v>
      </c>
      <c r="H158" t="s">
        <v>535</v>
      </c>
      <c r="I158">
        <v>24</v>
      </c>
      <c r="J158">
        <v>24.4</v>
      </c>
      <c r="K158" t="s">
        <v>257</v>
      </c>
      <c r="L158" t="s">
        <v>258</v>
      </c>
      <c r="M158" t="s">
        <v>257</v>
      </c>
      <c r="N158" s="5">
        <v>0</v>
      </c>
    </row>
    <row r="159" spans="1:14" x14ac:dyDescent="0.25">
      <c r="A159" t="s">
        <v>700</v>
      </c>
      <c r="B159" t="s">
        <v>155</v>
      </c>
      <c r="C159" t="str">
        <f>_xlfn.XLOOKUP(Table6[[#This Row],[app_id]],Table5[app_id],Table5[app_name],"",0)</f>
        <v>LaughX</v>
      </c>
      <c r="D159" t="str">
        <f>_xlfn.XLOOKUP(Table6[[#This Row],[app_id]],Table5[app_id],Table5[category],"",0)</f>
        <v>Entertainment</v>
      </c>
      <c r="E159" t="s">
        <v>537</v>
      </c>
      <c r="F159" t="s">
        <v>534</v>
      </c>
      <c r="G159" t="s">
        <v>26</v>
      </c>
      <c r="H159" t="s">
        <v>535</v>
      </c>
      <c r="I159">
        <v>49</v>
      </c>
      <c r="J159">
        <v>16.3</v>
      </c>
      <c r="K159" t="s">
        <v>257</v>
      </c>
      <c r="L159" t="s">
        <v>257</v>
      </c>
      <c r="M159" t="s">
        <v>258</v>
      </c>
      <c r="N159" s="5">
        <v>0</v>
      </c>
    </row>
    <row r="160" spans="1:14" x14ac:dyDescent="0.25">
      <c r="A160" t="s">
        <v>701</v>
      </c>
      <c r="B160" t="s">
        <v>157</v>
      </c>
      <c r="C160" t="str">
        <f>_xlfn.XLOOKUP(Table6[[#This Row],[app_id]],Table5[app_id],Table5[app_name],"",0)</f>
        <v>CinemaHub</v>
      </c>
      <c r="D160" t="str">
        <f>_xlfn.XLOOKUP(Table6[[#This Row],[app_id]],Table5[app_id],Table5[category],"",0)</f>
        <v>Entertainment</v>
      </c>
      <c r="E160" t="s">
        <v>533</v>
      </c>
      <c r="F160" t="s">
        <v>534</v>
      </c>
      <c r="G160" t="s">
        <v>35</v>
      </c>
      <c r="H160" t="s">
        <v>535</v>
      </c>
      <c r="I160">
        <v>10</v>
      </c>
      <c r="J160">
        <v>26.8</v>
      </c>
      <c r="K160" t="s">
        <v>258</v>
      </c>
      <c r="L160" t="s">
        <v>258</v>
      </c>
      <c r="M160" t="s">
        <v>258</v>
      </c>
      <c r="N160" s="5">
        <v>0</v>
      </c>
    </row>
    <row r="161" spans="1:14" x14ac:dyDescent="0.25">
      <c r="A161" t="s">
        <v>702</v>
      </c>
      <c r="B161" t="s">
        <v>159</v>
      </c>
      <c r="C161" t="str">
        <f>_xlfn.XLOOKUP(Table6[[#This Row],[app_id]],Table5[app_id],Table5[app_name],"",0)</f>
        <v>ShowPro</v>
      </c>
      <c r="D161" t="str">
        <f>_xlfn.XLOOKUP(Table6[[#This Row],[app_id]],Table5[app_id],Table5[category],"",0)</f>
        <v>Entertainment</v>
      </c>
      <c r="E161" t="s">
        <v>537</v>
      </c>
      <c r="F161" t="s">
        <v>538</v>
      </c>
      <c r="G161" t="s">
        <v>30</v>
      </c>
      <c r="H161" t="s">
        <v>540</v>
      </c>
      <c r="I161">
        <v>20</v>
      </c>
      <c r="J161">
        <v>11.9</v>
      </c>
      <c r="K161" t="s">
        <v>258</v>
      </c>
      <c r="L161" t="s">
        <v>258</v>
      </c>
      <c r="M161" t="s">
        <v>257</v>
      </c>
      <c r="N161" s="5">
        <v>0</v>
      </c>
    </row>
    <row r="162" spans="1:14" x14ac:dyDescent="0.25">
      <c r="A162" t="s">
        <v>703</v>
      </c>
      <c r="B162" t="s">
        <v>161</v>
      </c>
      <c r="C162" t="str">
        <f>_xlfn.XLOOKUP(Table6[[#This Row],[app_id]],Table5[app_id],Table5[app_name],"",0)</f>
        <v>FoodPlus</v>
      </c>
      <c r="D162" t="str">
        <f>_xlfn.XLOOKUP(Table6[[#This Row],[app_id]],Table5[app_id],Table5[category],"",0)</f>
        <v>Food Delivery</v>
      </c>
      <c r="E162" t="s">
        <v>533</v>
      </c>
      <c r="F162" t="s">
        <v>538</v>
      </c>
      <c r="G162" t="s">
        <v>23</v>
      </c>
      <c r="H162" t="s">
        <v>535</v>
      </c>
      <c r="I162">
        <v>11</v>
      </c>
      <c r="J162">
        <v>13.7</v>
      </c>
      <c r="K162" t="s">
        <v>258</v>
      </c>
      <c r="L162" t="s">
        <v>257</v>
      </c>
      <c r="M162" t="s">
        <v>258</v>
      </c>
      <c r="N162" s="5">
        <v>0</v>
      </c>
    </row>
    <row r="163" spans="1:14" x14ac:dyDescent="0.25">
      <c r="A163" t="s">
        <v>704</v>
      </c>
      <c r="B163" t="s">
        <v>164</v>
      </c>
      <c r="C163" t="str">
        <f>_xlfn.XLOOKUP(Table6[[#This Row],[app_id]],Table5[app_id],Table5[app_name],"",0)</f>
        <v>BiteGo</v>
      </c>
      <c r="D163" t="str">
        <f>_xlfn.XLOOKUP(Table6[[#This Row],[app_id]],Table5[app_id],Table5[category],"",0)</f>
        <v>Food Delivery</v>
      </c>
      <c r="E163" t="s">
        <v>533</v>
      </c>
      <c r="F163" t="s">
        <v>534</v>
      </c>
      <c r="G163" t="s">
        <v>46</v>
      </c>
      <c r="H163" t="s">
        <v>535</v>
      </c>
      <c r="I163">
        <v>75</v>
      </c>
      <c r="J163">
        <v>4.3</v>
      </c>
      <c r="K163" t="s">
        <v>257</v>
      </c>
      <c r="L163" t="s">
        <v>257</v>
      </c>
      <c r="M163" t="s">
        <v>258</v>
      </c>
      <c r="N163" s="5">
        <v>49.42</v>
      </c>
    </row>
    <row r="164" spans="1:14" x14ac:dyDescent="0.25">
      <c r="A164" t="s">
        <v>705</v>
      </c>
      <c r="B164" t="s">
        <v>166</v>
      </c>
      <c r="C164" t="str">
        <f>_xlfn.XLOOKUP(Table6[[#This Row],[app_id]],Table5[app_id],Table5[app_name],"",0)</f>
        <v>OrderCloud</v>
      </c>
      <c r="D164" t="str">
        <f>_xlfn.XLOOKUP(Table6[[#This Row],[app_id]],Table5[app_id],Table5[category],"",0)</f>
        <v>Food Delivery</v>
      </c>
      <c r="E164" t="s">
        <v>533</v>
      </c>
      <c r="F164" t="s">
        <v>538</v>
      </c>
      <c r="G164" t="s">
        <v>30</v>
      </c>
      <c r="H164" t="s">
        <v>535</v>
      </c>
      <c r="I164">
        <v>7</v>
      </c>
      <c r="J164">
        <v>15.5</v>
      </c>
      <c r="K164" t="s">
        <v>258</v>
      </c>
      <c r="L164" t="s">
        <v>258</v>
      </c>
      <c r="M164" t="s">
        <v>258</v>
      </c>
      <c r="N164" s="5">
        <v>0</v>
      </c>
    </row>
    <row r="165" spans="1:14" x14ac:dyDescent="0.25">
      <c r="A165" t="s">
        <v>706</v>
      </c>
      <c r="B165" t="s">
        <v>168</v>
      </c>
      <c r="C165" t="str">
        <f>_xlfn.XLOOKUP(Table6[[#This Row],[app_id]],Table5[app_id],Table5[app_name],"",0)</f>
        <v>DinePlus</v>
      </c>
      <c r="D165" t="str">
        <f>_xlfn.XLOOKUP(Table6[[#This Row],[app_id]],Table5[app_id],Table5[category],"",0)</f>
        <v>Food Delivery</v>
      </c>
      <c r="E165" t="s">
        <v>557</v>
      </c>
      <c r="F165" t="s">
        <v>628</v>
      </c>
      <c r="G165" t="s">
        <v>26</v>
      </c>
      <c r="H165" t="s">
        <v>535</v>
      </c>
      <c r="I165">
        <v>22</v>
      </c>
      <c r="J165">
        <v>9.9</v>
      </c>
      <c r="K165" t="s">
        <v>257</v>
      </c>
      <c r="L165" t="s">
        <v>258</v>
      </c>
      <c r="M165" t="s">
        <v>258</v>
      </c>
      <c r="N165" s="5">
        <v>3.53</v>
      </c>
    </row>
    <row r="166" spans="1:14" x14ac:dyDescent="0.25">
      <c r="A166" t="s">
        <v>707</v>
      </c>
      <c r="B166" t="s">
        <v>170</v>
      </c>
      <c r="C166" t="str">
        <f>_xlfn.XLOOKUP(Table6[[#This Row],[app_id]],Table5[app_id],Table5[app_name],"",0)</f>
        <v>SnackX</v>
      </c>
      <c r="D166" t="str">
        <f>_xlfn.XLOOKUP(Table6[[#This Row],[app_id]],Table5[app_id],Table5[category],"",0)</f>
        <v>Food Delivery</v>
      </c>
      <c r="E166" t="s">
        <v>546</v>
      </c>
      <c r="F166" t="s">
        <v>534</v>
      </c>
      <c r="G166" t="s">
        <v>69</v>
      </c>
      <c r="H166" t="s">
        <v>535</v>
      </c>
      <c r="I166">
        <v>8</v>
      </c>
      <c r="J166">
        <v>23.6</v>
      </c>
      <c r="K166" t="s">
        <v>258</v>
      </c>
      <c r="L166" t="s">
        <v>257</v>
      </c>
      <c r="M166" t="s">
        <v>258</v>
      </c>
      <c r="N166" s="5">
        <v>70.38</v>
      </c>
    </row>
    <row r="167" spans="1:14" x14ac:dyDescent="0.25">
      <c r="A167" t="s">
        <v>708</v>
      </c>
      <c r="B167" t="s">
        <v>172</v>
      </c>
      <c r="C167" t="str">
        <f>_xlfn.XLOOKUP(Table6[[#This Row],[app_id]],Table5[app_id],Table5[app_name],"",0)</f>
        <v>FoodOne</v>
      </c>
      <c r="D167" t="str">
        <f>_xlfn.XLOOKUP(Table6[[#This Row],[app_id]],Table5[app_id],Table5[category],"",0)</f>
        <v>Food Delivery</v>
      </c>
      <c r="E167" t="s">
        <v>537</v>
      </c>
      <c r="F167" t="s">
        <v>534</v>
      </c>
      <c r="G167" t="s">
        <v>30</v>
      </c>
      <c r="H167" t="s">
        <v>535</v>
      </c>
      <c r="I167">
        <v>20</v>
      </c>
      <c r="J167">
        <v>22.7</v>
      </c>
      <c r="K167" t="s">
        <v>258</v>
      </c>
      <c r="L167" t="s">
        <v>258</v>
      </c>
      <c r="M167" t="s">
        <v>258</v>
      </c>
      <c r="N167" s="5">
        <v>0</v>
      </c>
    </row>
    <row r="168" spans="1:14" x14ac:dyDescent="0.25">
      <c r="A168" t="s">
        <v>709</v>
      </c>
      <c r="B168" t="s">
        <v>174</v>
      </c>
      <c r="C168" t="str">
        <f>_xlfn.XLOOKUP(Table6[[#This Row],[app_id]],Table5[app_id],Table5[app_name],"",0)</f>
        <v>MealMate</v>
      </c>
      <c r="D168" t="str">
        <f>_xlfn.XLOOKUP(Table6[[#This Row],[app_id]],Table5[app_id],Table5[category],"",0)</f>
        <v>Food Delivery</v>
      </c>
      <c r="E168" t="s">
        <v>533</v>
      </c>
      <c r="F168" t="s">
        <v>534</v>
      </c>
      <c r="G168" t="s">
        <v>26</v>
      </c>
      <c r="H168" t="s">
        <v>535</v>
      </c>
      <c r="I168">
        <v>8</v>
      </c>
      <c r="J168">
        <v>20.3</v>
      </c>
      <c r="K168" t="s">
        <v>258</v>
      </c>
      <c r="L168" t="s">
        <v>257</v>
      </c>
      <c r="M168" t="s">
        <v>258</v>
      </c>
      <c r="N168" s="5">
        <v>25.63</v>
      </c>
    </row>
    <row r="169" spans="1:14" x14ac:dyDescent="0.25">
      <c r="A169" t="s">
        <v>710</v>
      </c>
      <c r="B169" t="s">
        <v>176</v>
      </c>
      <c r="C169" t="str">
        <f>_xlfn.XLOOKUP(Table6[[#This Row],[app_id]],Table5[app_id],Table5[app_name],"",0)</f>
        <v>SnackHub</v>
      </c>
      <c r="D169" t="str">
        <f>_xlfn.XLOOKUP(Table6[[#This Row],[app_id]],Table5[app_id],Table5[category],"",0)</f>
        <v>Food Delivery</v>
      </c>
      <c r="E169" t="s">
        <v>537</v>
      </c>
      <c r="F169" t="s">
        <v>538</v>
      </c>
      <c r="G169" t="s">
        <v>69</v>
      </c>
      <c r="H169" t="s">
        <v>535</v>
      </c>
      <c r="I169">
        <v>34</v>
      </c>
      <c r="J169">
        <v>6.3</v>
      </c>
      <c r="K169" t="s">
        <v>257</v>
      </c>
      <c r="L169" t="s">
        <v>257</v>
      </c>
      <c r="M169" t="s">
        <v>258</v>
      </c>
      <c r="N169" s="5">
        <v>0</v>
      </c>
    </row>
    <row r="170" spans="1:14" x14ac:dyDescent="0.25">
      <c r="A170" t="s">
        <v>711</v>
      </c>
      <c r="B170" t="s">
        <v>178</v>
      </c>
      <c r="C170" t="str">
        <f>_xlfn.XLOOKUP(Table6[[#This Row],[app_id]],Table5[app_id],Table5[app_name],"",0)</f>
        <v>BiteCloud</v>
      </c>
      <c r="D170" t="str">
        <f>_xlfn.XLOOKUP(Table6[[#This Row],[app_id]],Table5[app_id],Table5[category],"",0)</f>
        <v>Food Delivery</v>
      </c>
      <c r="E170" t="s">
        <v>533</v>
      </c>
      <c r="F170" t="s">
        <v>538</v>
      </c>
      <c r="G170" t="s">
        <v>35</v>
      </c>
      <c r="H170" t="s">
        <v>535</v>
      </c>
      <c r="I170">
        <v>18</v>
      </c>
      <c r="J170">
        <v>16</v>
      </c>
      <c r="K170" t="s">
        <v>258</v>
      </c>
      <c r="L170" t="s">
        <v>258</v>
      </c>
      <c r="M170" t="s">
        <v>257</v>
      </c>
      <c r="N170" s="5">
        <v>21.66</v>
      </c>
    </row>
    <row r="171" spans="1:14" x14ac:dyDescent="0.25">
      <c r="A171" t="s">
        <v>712</v>
      </c>
      <c r="B171" t="s">
        <v>180</v>
      </c>
      <c r="C171" t="str">
        <f>_xlfn.XLOOKUP(Table6[[#This Row],[app_id]],Table5[app_id],Table5[app_name],"",0)</f>
        <v>PlatePlus</v>
      </c>
      <c r="D171" t="str">
        <f>_xlfn.XLOOKUP(Table6[[#This Row],[app_id]],Table5[app_id],Table5[category],"",0)</f>
        <v>Food Delivery</v>
      </c>
      <c r="E171" t="s">
        <v>552</v>
      </c>
      <c r="F171" t="s">
        <v>534</v>
      </c>
      <c r="G171" t="s">
        <v>35</v>
      </c>
      <c r="H171" t="s">
        <v>535</v>
      </c>
      <c r="I171">
        <v>7</v>
      </c>
      <c r="J171">
        <v>20.399999999999999</v>
      </c>
      <c r="K171" t="s">
        <v>258</v>
      </c>
      <c r="L171" t="s">
        <v>258</v>
      </c>
      <c r="M171" t="s">
        <v>258</v>
      </c>
      <c r="N171" s="5">
        <v>0</v>
      </c>
    </row>
    <row r="172" spans="1:14" x14ac:dyDescent="0.25">
      <c r="A172" t="s">
        <v>713</v>
      </c>
      <c r="B172" t="s">
        <v>182</v>
      </c>
      <c r="C172" t="str">
        <f>_xlfn.XLOOKUP(Table6[[#This Row],[app_id]],Table5[app_id],Table5[app_name],"",0)</f>
        <v>VoyageGo</v>
      </c>
      <c r="D172" t="str">
        <f>_xlfn.XLOOKUP(Table6[[#This Row],[app_id]],Table5[app_id],Table5[category],"",0)</f>
        <v>Travel</v>
      </c>
      <c r="E172" t="s">
        <v>533</v>
      </c>
      <c r="F172" t="s">
        <v>534</v>
      </c>
      <c r="G172" t="s">
        <v>46</v>
      </c>
      <c r="H172" t="s">
        <v>535</v>
      </c>
      <c r="I172">
        <v>58</v>
      </c>
      <c r="J172">
        <v>4.4000000000000004</v>
      </c>
      <c r="K172" t="s">
        <v>257</v>
      </c>
      <c r="L172" t="s">
        <v>257</v>
      </c>
      <c r="M172" t="s">
        <v>258</v>
      </c>
      <c r="N172" s="5">
        <v>0</v>
      </c>
    </row>
    <row r="173" spans="1:14" x14ac:dyDescent="0.25">
      <c r="A173" t="s">
        <v>714</v>
      </c>
      <c r="B173" t="s">
        <v>185</v>
      </c>
      <c r="C173" t="str">
        <f>_xlfn.XLOOKUP(Table6[[#This Row],[app_id]],Table5[app_id],Table5[app_name],"",0)</f>
        <v>TripOne</v>
      </c>
      <c r="D173" t="str">
        <f>_xlfn.XLOOKUP(Table6[[#This Row],[app_id]],Table5[app_id],Table5[category],"",0)</f>
        <v>Travel</v>
      </c>
      <c r="E173" t="s">
        <v>546</v>
      </c>
      <c r="F173" t="s">
        <v>534</v>
      </c>
      <c r="G173" t="s">
        <v>61</v>
      </c>
      <c r="H173" t="s">
        <v>535</v>
      </c>
      <c r="I173">
        <v>53</v>
      </c>
      <c r="J173">
        <v>18.2</v>
      </c>
      <c r="K173" t="s">
        <v>257</v>
      </c>
      <c r="L173" t="s">
        <v>258</v>
      </c>
      <c r="M173" t="s">
        <v>257</v>
      </c>
      <c r="N173" s="5">
        <v>0</v>
      </c>
    </row>
    <row r="174" spans="1:14" x14ac:dyDescent="0.25">
      <c r="A174" t="s">
        <v>715</v>
      </c>
      <c r="B174" t="s">
        <v>187</v>
      </c>
      <c r="C174" t="str">
        <f>_xlfn.XLOOKUP(Table6[[#This Row],[app_id]],Table5[app_id],Table5[app_name],"",0)</f>
        <v>FlyGo</v>
      </c>
      <c r="D174" t="str">
        <f>_xlfn.XLOOKUP(Table6[[#This Row],[app_id]],Table5[app_id],Table5[category],"",0)</f>
        <v>Travel</v>
      </c>
      <c r="E174" t="s">
        <v>537</v>
      </c>
      <c r="F174" t="s">
        <v>538</v>
      </c>
      <c r="G174" t="s">
        <v>46</v>
      </c>
      <c r="H174" t="s">
        <v>535</v>
      </c>
      <c r="I174">
        <v>8</v>
      </c>
      <c r="J174">
        <v>18</v>
      </c>
      <c r="K174" t="s">
        <v>258</v>
      </c>
      <c r="L174" t="s">
        <v>258</v>
      </c>
      <c r="M174" t="s">
        <v>257</v>
      </c>
      <c r="N174" s="5">
        <v>0</v>
      </c>
    </row>
    <row r="175" spans="1:14" x14ac:dyDescent="0.25">
      <c r="A175" t="s">
        <v>716</v>
      </c>
      <c r="B175" t="s">
        <v>189</v>
      </c>
      <c r="C175" t="str">
        <f>_xlfn.XLOOKUP(Table6[[#This Row],[app_id]],Table5[app_id],Table5[app_name],"",0)</f>
        <v>MapX</v>
      </c>
      <c r="D175" t="str">
        <f>_xlfn.XLOOKUP(Table6[[#This Row],[app_id]],Table5[app_id],Table5[category],"",0)</f>
        <v>Travel</v>
      </c>
      <c r="E175" t="s">
        <v>537</v>
      </c>
      <c r="F175" t="s">
        <v>534</v>
      </c>
      <c r="G175" t="s">
        <v>69</v>
      </c>
      <c r="H175" t="s">
        <v>535</v>
      </c>
      <c r="I175">
        <v>28</v>
      </c>
      <c r="J175">
        <v>17.899999999999999</v>
      </c>
      <c r="K175" t="s">
        <v>258</v>
      </c>
      <c r="L175" t="s">
        <v>258</v>
      </c>
      <c r="M175" t="s">
        <v>258</v>
      </c>
      <c r="N175" s="5">
        <v>0</v>
      </c>
    </row>
    <row r="176" spans="1:14" x14ac:dyDescent="0.25">
      <c r="A176" t="s">
        <v>717</v>
      </c>
      <c r="B176" t="s">
        <v>191</v>
      </c>
      <c r="C176" t="str">
        <f>_xlfn.XLOOKUP(Table6[[#This Row],[app_id]],Table5[app_id],Table5[app_name],"",0)</f>
        <v>StayX</v>
      </c>
      <c r="D176" t="str">
        <f>_xlfn.XLOOKUP(Table6[[#This Row],[app_id]],Table5[app_id],Table5[category],"",0)</f>
        <v>Travel</v>
      </c>
      <c r="E176" t="s">
        <v>546</v>
      </c>
      <c r="F176" t="s">
        <v>534</v>
      </c>
      <c r="G176" t="s">
        <v>46</v>
      </c>
      <c r="H176" t="s">
        <v>535</v>
      </c>
      <c r="I176">
        <v>19</v>
      </c>
      <c r="J176">
        <v>17.5</v>
      </c>
      <c r="K176" t="s">
        <v>258</v>
      </c>
      <c r="L176" t="s">
        <v>257</v>
      </c>
      <c r="M176" t="s">
        <v>258</v>
      </c>
      <c r="N176" s="5">
        <v>0</v>
      </c>
    </row>
    <row r="177" spans="1:14" x14ac:dyDescent="0.25">
      <c r="A177" t="s">
        <v>718</v>
      </c>
      <c r="B177" t="s">
        <v>193</v>
      </c>
      <c r="C177" t="str">
        <f>_xlfn.XLOOKUP(Table6[[#This Row],[app_id]],Table5[app_id],Table5[app_name],"",0)</f>
        <v>GoNow</v>
      </c>
      <c r="D177" t="str">
        <f>_xlfn.XLOOKUP(Table6[[#This Row],[app_id]],Table5[app_id],Table5[category],"",0)</f>
        <v>Travel</v>
      </c>
      <c r="E177" t="s">
        <v>557</v>
      </c>
      <c r="F177" t="s">
        <v>534</v>
      </c>
      <c r="G177" t="s">
        <v>18</v>
      </c>
      <c r="H177" t="s">
        <v>540</v>
      </c>
      <c r="I177">
        <v>28</v>
      </c>
      <c r="J177">
        <v>9.9</v>
      </c>
      <c r="K177" t="s">
        <v>258</v>
      </c>
      <c r="L177" t="s">
        <v>258</v>
      </c>
      <c r="M177" t="s">
        <v>257</v>
      </c>
      <c r="N177" s="5">
        <v>0</v>
      </c>
    </row>
    <row r="178" spans="1:14" x14ac:dyDescent="0.25">
      <c r="A178" t="s">
        <v>719</v>
      </c>
      <c r="B178" t="s">
        <v>195</v>
      </c>
      <c r="C178" t="str">
        <f>_xlfn.XLOOKUP(Table6[[#This Row],[app_id]],Table5[app_id],Table5[app_name],"",0)</f>
        <v>RouteGo</v>
      </c>
      <c r="D178" t="str">
        <f>_xlfn.XLOOKUP(Table6[[#This Row],[app_id]],Table5[app_id],Table5[category],"",0)</f>
        <v>Travel</v>
      </c>
      <c r="E178" t="s">
        <v>557</v>
      </c>
      <c r="F178" t="s">
        <v>534</v>
      </c>
      <c r="G178" t="s">
        <v>35</v>
      </c>
      <c r="H178" t="s">
        <v>535</v>
      </c>
      <c r="I178">
        <v>44</v>
      </c>
      <c r="J178">
        <v>8.6</v>
      </c>
      <c r="K178" t="s">
        <v>257</v>
      </c>
      <c r="L178" t="s">
        <v>258</v>
      </c>
      <c r="M178" t="s">
        <v>257</v>
      </c>
      <c r="N178" s="5">
        <v>0</v>
      </c>
    </row>
    <row r="179" spans="1:14" x14ac:dyDescent="0.25">
      <c r="A179" t="s">
        <v>720</v>
      </c>
      <c r="B179" t="s">
        <v>197</v>
      </c>
      <c r="C179" t="str">
        <f>_xlfn.XLOOKUP(Table6[[#This Row],[app_id]],Table5[app_id],Table5[app_name],"",0)</f>
        <v>TripGo</v>
      </c>
      <c r="D179" t="str">
        <f>_xlfn.XLOOKUP(Table6[[#This Row],[app_id]],Table5[app_id],Table5[category],"",0)</f>
        <v>Travel</v>
      </c>
      <c r="E179" t="s">
        <v>552</v>
      </c>
      <c r="F179" t="s">
        <v>548</v>
      </c>
      <c r="G179" t="s">
        <v>35</v>
      </c>
      <c r="H179" t="s">
        <v>535</v>
      </c>
      <c r="I179">
        <v>2</v>
      </c>
      <c r="J179">
        <v>10.3</v>
      </c>
      <c r="K179" t="s">
        <v>258</v>
      </c>
      <c r="L179" t="s">
        <v>258</v>
      </c>
      <c r="M179" t="s">
        <v>257</v>
      </c>
      <c r="N179" s="5">
        <v>31.02</v>
      </c>
    </row>
    <row r="180" spans="1:14" x14ac:dyDescent="0.25">
      <c r="A180" t="s">
        <v>721</v>
      </c>
      <c r="B180" t="s">
        <v>199</v>
      </c>
      <c r="C180" t="str">
        <f>_xlfn.XLOOKUP(Table6[[#This Row],[app_id]],Table5[app_id],Table5[app_name],"",0)</f>
        <v>Flyly</v>
      </c>
      <c r="D180" t="str">
        <f>_xlfn.XLOOKUP(Table6[[#This Row],[app_id]],Table5[app_id],Table5[category],"",0)</f>
        <v>Travel</v>
      </c>
      <c r="E180" t="s">
        <v>533</v>
      </c>
      <c r="F180" t="s">
        <v>534</v>
      </c>
      <c r="G180" t="s">
        <v>35</v>
      </c>
      <c r="H180" t="s">
        <v>535</v>
      </c>
      <c r="I180">
        <v>28</v>
      </c>
      <c r="J180">
        <v>22.4</v>
      </c>
      <c r="K180" t="s">
        <v>257</v>
      </c>
      <c r="L180" t="s">
        <v>257</v>
      </c>
      <c r="M180" t="s">
        <v>258</v>
      </c>
      <c r="N180" s="5">
        <v>0</v>
      </c>
    </row>
    <row r="181" spans="1:14" x14ac:dyDescent="0.25">
      <c r="A181" t="s">
        <v>722</v>
      </c>
      <c r="B181" t="s">
        <v>201</v>
      </c>
      <c r="C181" t="str">
        <f>_xlfn.XLOOKUP(Table6[[#This Row],[app_id]],Table5[app_id],Table5[app_name],"",0)</f>
        <v>TripPro</v>
      </c>
      <c r="D181" t="str">
        <f>_xlfn.XLOOKUP(Table6[[#This Row],[app_id]],Table5[app_id],Table5[category],"",0)</f>
        <v>Travel</v>
      </c>
      <c r="E181" t="s">
        <v>533</v>
      </c>
      <c r="F181" t="s">
        <v>534</v>
      </c>
      <c r="G181" t="s">
        <v>61</v>
      </c>
      <c r="H181" t="s">
        <v>540</v>
      </c>
      <c r="I181">
        <v>32</v>
      </c>
      <c r="J181">
        <v>6.6</v>
      </c>
      <c r="K181" t="s">
        <v>257</v>
      </c>
      <c r="L181" t="s">
        <v>257</v>
      </c>
      <c r="M181" t="s">
        <v>258</v>
      </c>
      <c r="N181" s="5">
        <v>0</v>
      </c>
    </row>
    <row r="182" spans="1:14" x14ac:dyDescent="0.25">
      <c r="A182" t="s">
        <v>723</v>
      </c>
      <c r="B182" t="s">
        <v>203</v>
      </c>
      <c r="C182" t="str">
        <f>_xlfn.XLOOKUP(Table6[[#This Row],[app_id]],Table5[app_id],Table5[app_name],"",0)</f>
        <v>Focusly</v>
      </c>
      <c r="D182" t="str">
        <f>_xlfn.XLOOKUP(Table6[[#This Row],[app_id]],Table5[app_id],Table5[category],"",0)</f>
        <v>Productivity</v>
      </c>
      <c r="E182" t="s">
        <v>537</v>
      </c>
      <c r="F182" t="s">
        <v>628</v>
      </c>
      <c r="G182" t="s">
        <v>35</v>
      </c>
      <c r="H182" t="s">
        <v>535</v>
      </c>
      <c r="I182">
        <v>26</v>
      </c>
      <c r="J182">
        <v>8.1</v>
      </c>
      <c r="K182" t="s">
        <v>258</v>
      </c>
      <c r="L182" t="s">
        <v>258</v>
      </c>
      <c r="M182" t="s">
        <v>258</v>
      </c>
      <c r="N182" s="5">
        <v>0</v>
      </c>
    </row>
    <row r="183" spans="1:14" x14ac:dyDescent="0.25">
      <c r="A183" t="s">
        <v>724</v>
      </c>
      <c r="B183" t="s">
        <v>206</v>
      </c>
      <c r="C183" t="str">
        <f>_xlfn.XLOOKUP(Table6[[#This Row],[app_id]],Table5[app_id],Table5[app_name],"",0)</f>
        <v>DeskX</v>
      </c>
      <c r="D183" t="str">
        <f>_xlfn.XLOOKUP(Table6[[#This Row],[app_id]],Table5[app_id],Table5[category],"",0)</f>
        <v>Productivity</v>
      </c>
      <c r="E183" t="s">
        <v>533</v>
      </c>
      <c r="F183" t="s">
        <v>534</v>
      </c>
      <c r="G183" t="s">
        <v>30</v>
      </c>
      <c r="H183" t="s">
        <v>535</v>
      </c>
      <c r="I183">
        <v>49</v>
      </c>
      <c r="J183">
        <v>16.2</v>
      </c>
      <c r="K183" t="s">
        <v>257</v>
      </c>
      <c r="L183" t="s">
        <v>258</v>
      </c>
      <c r="M183" t="s">
        <v>258</v>
      </c>
      <c r="N183" s="5">
        <v>0</v>
      </c>
    </row>
    <row r="184" spans="1:14" x14ac:dyDescent="0.25">
      <c r="A184" t="s">
        <v>725</v>
      </c>
      <c r="B184" t="s">
        <v>208</v>
      </c>
      <c r="C184" t="str">
        <f>_xlfn.XLOOKUP(Table6[[#This Row],[app_id]],Table5[app_id],Table5[app_name],"",0)</f>
        <v>DonePro</v>
      </c>
      <c r="D184" t="str">
        <f>_xlfn.XLOOKUP(Table6[[#This Row],[app_id]],Table5[app_id],Table5[category],"",0)</f>
        <v>Productivity</v>
      </c>
      <c r="E184" t="s">
        <v>557</v>
      </c>
      <c r="F184" t="s">
        <v>538</v>
      </c>
      <c r="G184" t="s">
        <v>30</v>
      </c>
      <c r="H184" t="s">
        <v>535</v>
      </c>
      <c r="I184">
        <v>14</v>
      </c>
      <c r="J184">
        <v>13.5</v>
      </c>
      <c r="K184" t="s">
        <v>257</v>
      </c>
      <c r="L184" t="s">
        <v>257</v>
      </c>
      <c r="M184" t="s">
        <v>258</v>
      </c>
      <c r="N184" s="5">
        <v>0</v>
      </c>
    </row>
    <row r="185" spans="1:14" x14ac:dyDescent="0.25">
      <c r="A185" t="s">
        <v>726</v>
      </c>
      <c r="B185" t="s">
        <v>210</v>
      </c>
      <c r="C185" t="str">
        <f>_xlfn.XLOOKUP(Table6[[#This Row],[app_id]],Table5[app_id],Table5[app_name],"",0)</f>
        <v>NotePlus</v>
      </c>
      <c r="D185" t="str">
        <f>_xlfn.XLOOKUP(Table6[[#This Row],[app_id]],Table5[app_id],Table5[category],"",0)</f>
        <v>Productivity</v>
      </c>
      <c r="E185" t="s">
        <v>537</v>
      </c>
      <c r="F185" t="s">
        <v>548</v>
      </c>
      <c r="G185" t="s">
        <v>26</v>
      </c>
      <c r="H185" t="s">
        <v>535</v>
      </c>
      <c r="I185">
        <v>69</v>
      </c>
      <c r="J185">
        <v>18.100000000000001</v>
      </c>
      <c r="K185" t="s">
        <v>257</v>
      </c>
      <c r="L185" t="s">
        <v>257</v>
      </c>
      <c r="M185" t="s">
        <v>258</v>
      </c>
      <c r="N185" s="5">
        <v>47.94</v>
      </c>
    </row>
    <row r="186" spans="1:14" x14ac:dyDescent="0.25">
      <c r="A186" t="s">
        <v>727</v>
      </c>
      <c r="B186" t="s">
        <v>212</v>
      </c>
      <c r="C186" t="str">
        <f>_xlfn.XLOOKUP(Table6[[#This Row],[app_id]],Table5[app_id],Table5[app_name],"",0)</f>
        <v>SyncPlus</v>
      </c>
      <c r="D186" t="str">
        <f>_xlfn.XLOOKUP(Table6[[#This Row],[app_id]],Table5[app_id],Table5[category],"",0)</f>
        <v>Productivity</v>
      </c>
      <c r="E186" t="s">
        <v>546</v>
      </c>
      <c r="F186" t="s">
        <v>534</v>
      </c>
      <c r="G186" t="s">
        <v>46</v>
      </c>
      <c r="H186" t="s">
        <v>535</v>
      </c>
      <c r="I186">
        <v>36</v>
      </c>
      <c r="J186">
        <v>18.399999999999999</v>
      </c>
      <c r="K186" t="s">
        <v>257</v>
      </c>
      <c r="L186" t="s">
        <v>257</v>
      </c>
      <c r="M186" t="s">
        <v>258</v>
      </c>
      <c r="N186" s="5">
        <v>0</v>
      </c>
    </row>
    <row r="187" spans="1:14" x14ac:dyDescent="0.25">
      <c r="A187" t="s">
        <v>728</v>
      </c>
      <c r="B187" t="s">
        <v>214</v>
      </c>
      <c r="C187" t="str">
        <f>_xlfn.XLOOKUP(Table6[[#This Row],[app_id]],Table5[app_id],Table5[app_name],"",0)</f>
        <v>NoteOne</v>
      </c>
      <c r="D187" t="str">
        <f>_xlfn.XLOOKUP(Table6[[#This Row],[app_id]],Table5[app_id],Table5[category],"",0)</f>
        <v>Productivity</v>
      </c>
      <c r="E187" t="s">
        <v>533</v>
      </c>
      <c r="F187" t="s">
        <v>628</v>
      </c>
      <c r="G187" t="s">
        <v>35</v>
      </c>
      <c r="H187" t="s">
        <v>540</v>
      </c>
      <c r="I187">
        <v>95</v>
      </c>
      <c r="J187">
        <v>7</v>
      </c>
      <c r="K187" t="s">
        <v>257</v>
      </c>
      <c r="L187" t="s">
        <v>258</v>
      </c>
      <c r="M187" t="s">
        <v>258</v>
      </c>
      <c r="N187" s="5">
        <v>0</v>
      </c>
    </row>
    <row r="188" spans="1:14" x14ac:dyDescent="0.25">
      <c r="A188" t="s">
        <v>729</v>
      </c>
      <c r="B188" t="s">
        <v>216</v>
      </c>
      <c r="C188" t="str">
        <f>_xlfn.XLOOKUP(Table6[[#This Row],[app_id]],Table5[app_id],Table5[app_name],"",0)</f>
        <v>NoteMate</v>
      </c>
      <c r="D188" t="str">
        <f>_xlfn.XLOOKUP(Table6[[#This Row],[app_id]],Table5[app_id],Table5[category],"",0)</f>
        <v>Productivity</v>
      </c>
      <c r="E188" t="s">
        <v>557</v>
      </c>
      <c r="F188" t="s">
        <v>538</v>
      </c>
      <c r="G188" t="s">
        <v>26</v>
      </c>
      <c r="H188" t="s">
        <v>535</v>
      </c>
      <c r="I188">
        <v>25</v>
      </c>
      <c r="J188">
        <v>18.600000000000001</v>
      </c>
      <c r="K188" t="s">
        <v>257</v>
      </c>
      <c r="L188" t="s">
        <v>257</v>
      </c>
      <c r="M188" t="s">
        <v>258</v>
      </c>
      <c r="N188" s="5">
        <v>0</v>
      </c>
    </row>
    <row r="189" spans="1:14" x14ac:dyDescent="0.25">
      <c r="A189" t="s">
        <v>730</v>
      </c>
      <c r="B189" t="s">
        <v>218</v>
      </c>
      <c r="C189" t="str">
        <f>_xlfn.XLOOKUP(Table6[[#This Row],[app_id]],Table5[app_id],Table5[app_name],"",0)</f>
        <v>PlanPlus</v>
      </c>
      <c r="D189" t="str">
        <f>_xlfn.XLOOKUP(Table6[[#This Row],[app_id]],Table5[app_id],Table5[category],"",0)</f>
        <v>Productivity</v>
      </c>
      <c r="E189" t="s">
        <v>533</v>
      </c>
      <c r="F189" t="s">
        <v>538</v>
      </c>
      <c r="G189" t="s">
        <v>69</v>
      </c>
      <c r="H189" t="s">
        <v>535</v>
      </c>
      <c r="I189">
        <v>18</v>
      </c>
      <c r="J189">
        <v>11.9</v>
      </c>
      <c r="K189" t="s">
        <v>258</v>
      </c>
      <c r="L189" t="s">
        <v>258</v>
      </c>
      <c r="M189" t="s">
        <v>257</v>
      </c>
      <c r="N189" s="5">
        <v>0</v>
      </c>
    </row>
    <row r="190" spans="1:14" x14ac:dyDescent="0.25">
      <c r="A190" t="s">
        <v>731</v>
      </c>
      <c r="B190" t="s">
        <v>220</v>
      </c>
      <c r="C190" t="str">
        <f>_xlfn.XLOOKUP(Table6[[#This Row],[app_id]],Table5[app_id],Table5[app_name],"",0)</f>
        <v>PlanMate</v>
      </c>
      <c r="D190" t="str">
        <f>_xlfn.XLOOKUP(Table6[[#This Row],[app_id]],Table5[app_id],Table5[category],"",0)</f>
        <v>Productivity</v>
      </c>
      <c r="E190" t="s">
        <v>546</v>
      </c>
      <c r="F190" t="s">
        <v>538</v>
      </c>
      <c r="G190" t="s">
        <v>18</v>
      </c>
      <c r="H190" t="s">
        <v>535</v>
      </c>
      <c r="I190">
        <v>31</v>
      </c>
      <c r="J190">
        <v>14.7</v>
      </c>
      <c r="K190" t="s">
        <v>257</v>
      </c>
      <c r="L190" t="s">
        <v>258</v>
      </c>
      <c r="M190" t="s">
        <v>257</v>
      </c>
      <c r="N190" s="5">
        <v>0</v>
      </c>
    </row>
    <row r="191" spans="1:14" x14ac:dyDescent="0.25">
      <c r="A191" t="s">
        <v>732</v>
      </c>
      <c r="B191" t="s">
        <v>222</v>
      </c>
      <c r="C191" t="str">
        <f>_xlfn.XLOOKUP(Table6[[#This Row],[app_id]],Table5[app_id],Table5[app_name],"",0)</f>
        <v>SyncPlus</v>
      </c>
      <c r="D191" t="str">
        <f>_xlfn.XLOOKUP(Table6[[#This Row],[app_id]],Table5[app_id],Table5[category],"",0)</f>
        <v>Productivity</v>
      </c>
      <c r="E191" t="s">
        <v>546</v>
      </c>
      <c r="F191" t="s">
        <v>534</v>
      </c>
      <c r="G191" t="s">
        <v>61</v>
      </c>
      <c r="H191" t="s">
        <v>535</v>
      </c>
      <c r="I191">
        <v>14</v>
      </c>
      <c r="J191">
        <v>21.6</v>
      </c>
      <c r="K191" t="s">
        <v>258</v>
      </c>
      <c r="L191" t="s">
        <v>258</v>
      </c>
      <c r="M191" t="s">
        <v>258</v>
      </c>
      <c r="N191" s="5">
        <v>0</v>
      </c>
    </row>
    <row r="192" spans="1:14" x14ac:dyDescent="0.25">
      <c r="A192" t="s">
        <v>733</v>
      </c>
      <c r="B192" t="s">
        <v>223</v>
      </c>
      <c r="C192" t="str">
        <f>_xlfn.XLOOKUP(Table6[[#This Row],[app_id]],Table5[app_id],Table5[app_name],"",0)</f>
        <v>ClinicPro</v>
      </c>
      <c r="D192" t="str">
        <f>_xlfn.XLOOKUP(Table6[[#This Row],[app_id]],Table5[app_id],Table5[category],"",0)</f>
        <v>Health</v>
      </c>
      <c r="E192" t="s">
        <v>533</v>
      </c>
      <c r="F192" t="s">
        <v>538</v>
      </c>
      <c r="G192" t="s">
        <v>30</v>
      </c>
      <c r="H192" t="s">
        <v>535</v>
      </c>
      <c r="I192">
        <v>71</v>
      </c>
      <c r="J192">
        <v>6.6</v>
      </c>
      <c r="K192" t="s">
        <v>257</v>
      </c>
      <c r="L192" t="s">
        <v>257</v>
      </c>
      <c r="M192" t="s">
        <v>258</v>
      </c>
      <c r="N192" s="5">
        <v>0</v>
      </c>
    </row>
    <row r="193" spans="1:14" x14ac:dyDescent="0.25">
      <c r="A193" t="s">
        <v>734</v>
      </c>
      <c r="B193" t="s">
        <v>226</v>
      </c>
      <c r="C193" t="str">
        <f>_xlfn.XLOOKUP(Table6[[#This Row],[app_id]],Table5[app_id],Table5[app_name],"",0)</f>
        <v>MindMate</v>
      </c>
      <c r="D193" t="str">
        <f>_xlfn.XLOOKUP(Table6[[#This Row],[app_id]],Table5[app_id],Table5[category],"",0)</f>
        <v>Health</v>
      </c>
      <c r="E193" t="s">
        <v>546</v>
      </c>
      <c r="F193" t="s">
        <v>628</v>
      </c>
      <c r="G193" t="s">
        <v>46</v>
      </c>
      <c r="H193" t="s">
        <v>535</v>
      </c>
      <c r="I193">
        <v>39</v>
      </c>
      <c r="J193">
        <v>10.7</v>
      </c>
      <c r="K193" t="s">
        <v>257</v>
      </c>
      <c r="L193" t="s">
        <v>257</v>
      </c>
      <c r="M193" t="s">
        <v>258</v>
      </c>
      <c r="N193" s="5">
        <v>0</v>
      </c>
    </row>
    <row r="194" spans="1:14" x14ac:dyDescent="0.25">
      <c r="A194" t="s">
        <v>735</v>
      </c>
      <c r="B194" t="s">
        <v>228</v>
      </c>
      <c r="C194" t="str">
        <f>_xlfn.XLOOKUP(Table6[[#This Row],[app_id]],Table5[app_id],Table5[app_name],"",0)</f>
        <v>ClinicOne</v>
      </c>
      <c r="D194" t="str">
        <f>_xlfn.XLOOKUP(Table6[[#This Row],[app_id]],Table5[app_id],Table5[category],"",0)</f>
        <v>Health</v>
      </c>
      <c r="E194" t="s">
        <v>533</v>
      </c>
      <c r="F194" t="s">
        <v>548</v>
      </c>
      <c r="G194" t="s">
        <v>18</v>
      </c>
      <c r="H194" t="s">
        <v>535</v>
      </c>
      <c r="I194">
        <v>17</v>
      </c>
      <c r="J194">
        <v>10.9</v>
      </c>
      <c r="K194" t="s">
        <v>257</v>
      </c>
      <c r="L194" t="s">
        <v>257</v>
      </c>
      <c r="M194" t="s">
        <v>258</v>
      </c>
      <c r="N194" s="5">
        <v>0</v>
      </c>
    </row>
    <row r="195" spans="1:14" x14ac:dyDescent="0.25">
      <c r="A195" t="s">
        <v>736</v>
      </c>
      <c r="B195" t="s">
        <v>230</v>
      </c>
      <c r="C195" t="str">
        <f>_xlfn.XLOOKUP(Table6[[#This Row],[app_id]],Table5[app_id],Table5[app_name],"",0)</f>
        <v>WellMate</v>
      </c>
      <c r="D195" t="str">
        <f>_xlfn.XLOOKUP(Table6[[#This Row],[app_id]],Table5[app_id],Table5[category],"",0)</f>
        <v>Health</v>
      </c>
      <c r="E195" t="s">
        <v>533</v>
      </c>
      <c r="F195" t="s">
        <v>534</v>
      </c>
      <c r="G195" t="s">
        <v>46</v>
      </c>
      <c r="H195" t="s">
        <v>535</v>
      </c>
      <c r="I195">
        <v>19</v>
      </c>
      <c r="J195">
        <v>22.5</v>
      </c>
      <c r="K195" t="s">
        <v>258</v>
      </c>
      <c r="L195" t="s">
        <v>258</v>
      </c>
      <c r="M195" t="s">
        <v>258</v>
      </c>
      <c r="N195" s="5">
        <v>0</v>
      </c>
    </row>
    <row r="196" spans="1:14" x14ac:dyDescent="0.25">
      <c r="A196" t="s">
        <v>737</v>
      </c>
      <c r="B196" t="s">
        <v>232</v>
      </c>
      <c r="C196" t="str">
        <f>_xlfn.XLOOKUP(Table6[[#This Row],[app_id]],Table5[app_id],Table5[app_name],"",0)</f>
        <v>MediMate</v>
      </c>
      <c r="D196" t="str">
        <f>_xlfn.XLOOKUP(Table6[[#This Row],[app_id]],Table5[app_id],Table5[category],"",0)</f>
        <v>Health</v>
      </c>
      <c r="E196" t="s">
        <v>546</v>
      </c>
      <c r="F196" t="s">
        <v>534</v>
      </c>
      <c r="G196" t="s">
        <v>18</v>
      </c>
      <c r="H196" t="s">
        <v>535</v>
      </c>
      <c r="I196">
        <v>57</v>
      </c>
      <c r="J196">
        <v>5.0999999999999996</v>
      </c>
      <c r="K196" t="s">
        <v>257</v>
      </c>
      <c r="L196" t="s">
        <v>257</v>
      </c>
      <c r="M196" t="s">
        <v>258</v>
      </c>
      <c r="N196" s="5">
        <v>0</v>
      </c>
    </row>
    <row r="197" spans="1:14" x14ac:dyDescent="0.25">
      <c r="A197" t="s">
        <v>738</v>
      </c>
      <c r="B197" t="s">
        <v>234</v>
      </c>
      <c r="C197" t="str">
        <f>_xlfn.XLOOKUP(Table6[[#This Row],[app_id]],Table5[app_id],Table5[app_name],"",0)</f>
        <v>WellNow</v>
      </c>
      <c r="D197" t="str">
        <f>_xlfn.XLOOKUP(Table6[[#This Row],[app_id]],Table5[app_id],Table5[category],"",0)</f>
        <v>Health</v>
      </c>
      <c r="E197" t="s">
        <v>533</v>
      </c>
      <c r="F197" t="s">
        <v>548</v>
      </c>
      <c r="G197" t="s">
        <v>46</v>
      </c>
      <c r="H197" t="s">
        <v>535</v>
      </c>
      <c r="I197">
        <v>44</v>
      </c>
      <c r="J197">
        <v>16.7</v>
      </c>
      <c r="K197" t="s">
        <v>257</v>
      </c>
      <c r="L197" t="s">
        <v>257</v>
      </c>
      <c r="M197" t="s">
        <v>258</v>
      </c>
      <c r="N197" s="5">
        <v>9.74</v>
      </c>
    </row>
    <row r="198" spans="1:14" x14ac:dyDescent="0.25">
      <c r="A198" t="s">
        <v>739</v>
      </c>
      <c r="B198" t="s">
        <v>236</v>
      </c>
      <c r="C198" t="str">
        <f>_xlfn.XLOOKUP(Table6[[#This Row],[app_id]],Table5[app_id],Table5[app_name],"",0)</f>
        <v>CareCloud</v>
      </c>
      <c r="D198" t="str">
        <f>_xlfn.XLOOKUP(Table6[[#This Row],[app_id]],Table5[app_id],Table5[category],"",0)</f>
        <v>Health</v>
      </c>
      <c r="E198" t="s">
        <v>533</v>
      </c>
      <c r="F198" t="s">
        <v>534</v>
      </c>
      <c r="G198" t="s">
        <v>61</v>
      </c>
      <c r="H198" t="s">
        <v>535</v>
      </c>
      <c r="I198">
        <v>64</v>
      </c>
      <c r="J198">
        <v>14.1</v>
      </c>
      <c r="K198" t="s">
        <v>257</v>
      </c>
      <c r="L198" t="s">
        <v>257</v>
      </c>
      <c r="M198" t="s">
        <v>258</v>
      </c>
      <c r="N198" s="5">
        <v>0</v>
      </c>
    </row>
    <row r="199" spans="1:14" x14ac:dyDescent="0.25">
      <c r="A199" t="s">
        <v>740</v>
      </c>
      <c r="B199" t="s">
        <v>238</v>
      </c>
      <c r="C199" t="str">
        <f>_xlfn.XLOOKUP(Table6[[#This Row],[app_id]],Table5[app_id],Table5[app_name],"",0)</f>
        <v>MediNow</v>
      </c>
      <c r="D199" t="str">
        <f>_xlfn.XLOOKUP(Table6[[#This Row],[app_id]],Table5[app_id],Table5[category],"",0)</f>
        <v>Health</v>
      </c>
      <c r="E199" t="s">
        <v>537</v>
      </c>
      <c r="F199" t="s">
        <v>538</v>
      </c>
      <c r="G199" t="s">
        <v>69</v>
      </c>
      <c r="H199" t="s">
        <v>535</v>
      </c>
      <c r="I199">
        <v>60</v>
      </c>
      <c r="J199">
        <v>11.6</v>
      </c>
      <c r="K199" t="s">
        <v>257</v>
      </c>
      <c r="L199" t="s">
        <v>258</v>
      </c>
      <c r="M199" t="s">
        <v>258</v>
      </c>
      <c r="N199" s="5">
        <v>41.57</v>
      </c>
    </row>
    <row r="200" spans="1:14" x14ac:dyDescent="0.25">
      <c r="A200" t="s">
        <v>741</v>
      </c>
      <c r="B200" t="s">
        <v>240</v>
      </c>
      <c r="C200" t="str">
        <f>_xlfn.XLOOKUP(Table6[[#This Row],[app_id]],Table5[app_id],Table5[app_name],"",0)</f>
        <v>MindPlus</v>
      </c>
      <c r="D200" t="str">
        <f>_xlfn.XLOOKUP(Table6[[#This Row],[app_id]],Table5[app_id],Table5[category],"",0)</f>
        <v>Health</v>
      </c>
      <c r="E200" t="s">
        <v>546</v>
      </c>
      <c r="F200" t="s">
        <v>534</v>
      </c>
      <c r="G200" t="s">
        <v>30</v>
      </c>
      <c r="H200" t="s">
        <v>535</v>
      </c>
      <c r="I200">
        <v>5</v>
      </c>
      <c r="J200">
        <v>10.7</v>
      </c>
      <c r="K200" t="s">
        <v>258</v>
      </c>
      <c r="L200" t="s">
        <v>258</v>
      </c>
      <c r="M200" t="s">
        <v>257</v>
      </c>
      <c r="N200" s="5">
        <v>0</v>
      </c>
    </row>
    <row r="201" spans="1:14" x14ac:dyDescent="0.25">
      <c r="A201" t="s">
        <v>742</v>
      </c>
      <c r="B201" t="s">
        <v>242</v>
      </c>
      <c r="C201" t="str">
        <f>_xlfn.XLOOKUP(Table6[[#This Row],[app_id]],Table5[app_id],Table5[app_name],"",0)</f>
        <v>MediCloud</v>
      </c>
      <c r="D201" t="str">
        <f>_xlfn.XLOOKUP(Table6[[#This Row],[app_id]],Table5[app_id],Table5[category],"",0)</f>
        <v>Health</v>
      </c>
      <c r="E201" t="s">
        <v>537</v>
      </c>
      <c r="F201" t="s">
        <v>538</v>
      </c>
      <c r="G201" t="s">
        <v>46</v>
      </c>
      <c r="H201" t="s">
        <v>535</v>
      </c>
      <c r="I201">
        <v>57</v>
      </c>
      <c r="J201">
        <v>17.8</v>
      </c>
      <c r="K201" t="s">
        <v>257</v>
      </c>
      <c r="L201" t="s">
        <v>257</v>
      </c>
      <c r="M201" t="s">
        <v>258</v>
      </c>
      <c r="N201" s="5">
        <v>21.65</v>
      </c>
    </row>
    <row r="202" spans="1:14" x14ac:dyDescent="0.25">
      <c r="A202" t="s">
        <v>743</v>
      </c>
      <c r="B202" t="s">
        <v>12</v>
      </c>
      <c r="C202" t="str">
        <f>_xlfn.XLOOKUP(Table6[[#This Row],[app_id]],Table5[app_id],Table5[app_name],"",0)</f>
        <v>InvestPro</v>
      </c>
      <c r="D202" t="str">
        <f>_xlfn.XLOOKUP(Table6[[#This Row],[app_id]],Table5[app_id],Table5[category],"",0)</f>
        <v>Finance</v>
      </c>
      <c r="E202" t="s">
        <v>533</v>
      </c>
      <c r="F202" t="s">
        <v>534</v>
      </c>
      <c r="G202" t="s">
        <v>69</v>
      </c>
      <c r="H202" t="s">
        <v>535</v>
      </c>
      <c r="I202">
        <v>30</v>
      </c>
      <c r="J202">
        <v>4.2</v>
      </c>
      <c r="K202" t="s">
        <v>257</v>
      </c>
      <c r="L202" t="s">
        <v>257</v>
      </c>
      <c r="M202" t="s">
        <v>258</v>
      </c>
      <c r="N202" s="5">
        <v>0</v>
      </c>
    </row>
    <row r="203" spans="1:14" x14ac:dyDescent="0.25">
      <c r="A203" t="s">
        <v>744</v>
      </c>
      <c r="B203" t="s">
        <v>19</v>
      </c>
      <c r="C203" t="str">
        <f>_xlfn.XLOOKUP(Table6[[#This Row],[app_id]],Table5[app_id],Table5[app_name],"",0)</f>
        <v>BankPro</v>
      </c>
      <c r="D203" t="str">
        <f>_xlfn.XLOOKUP(Table6[[#This Row],[app_id]],Table5[app_id],Table5[category],"",0)</f>
        <v>Finance</v>
      </c>
      <c r="E203" t="s">
        <v>537</v>
      </c>
      <c r="F203" t="s">
        <v>538</v>
      </c>
      <c r="G203" t="s">
        <v>26</v>
      </c>
      <c r="H203" t="s">
        <v>535</v>
      </c>
      <c r="I203">
        <v>86</v>
      </c>
      <c r="J203">
        <v>20.100000000000001</v>
      </c>
      <c r="K203" t="s">
        <v>257</v>
      </c>
      <c r="L203" t="s">
        <v>257</v>
      </c>
      <c r="M203" t="s">
        <v>258</v>
      </c>
      <c r="N203" s="5">
        <v>0</v>
      </c>
    </row>
    <row r="204" spans="1:14" x14ac:dyDescent="0.25">
      <c r="A204" t="s">
        <v>745</v>
      </c>
      <c r="B204" t="s">
        <v>24</v>
      </c>
      <c r="C204" t="str">
        <f>_xlfn.XLOOKUP(Table6[[#This Row],[app_id]],Table5[app_id],Table5[app_name],"",0)</f>
        <v>BankX</v>
      </c>
      <c r="D204" t="str">
        <f>_xlfn.XLOOKUP(Table6[[#This Row],[app_id]],Table5[app_id],Table5[category],"",0)</f>
        <v>Finance</v>
      </c>
      <c r="E204" t="s">
        <v>546</v>
      </c>
      <c r="F204" t="s">
        <v>534</v>
      </c>
      <c r="G204" t="s">
        <v>26</v>
      </c>
      <c r="H204" t="s">
        <v>535</v>
      </c>
      <c r="I204">
        <v>5</v>
      </c>
      <c r="J204">
        <v>6.8</v>
      </c>
      <c r="K204" t="s">
        <v>258</v>
      </c>
      <c r="L204" t="s">
        <v>258</v>
      </c>
      <c r="M204" t="s">
        <v>258</v>
      </c>
      <c r="N204" s="5">
        <v>0</v>
      </c>
    </row>
    <row r="205" spans="1:14" x14ac:dyDescent="0.25">
      <c r="A205" t="s">
        <v>746</v>
      </c>
      <c r="B205" t="s">
        <v>27</v>
      </c>
      <c r="C205" t="str">
        <f>_xlfn.XLOOKUP(Table6[[#This Row],[app_id]],Table5[app_id],Table5[app_name],"",0)</f>
        <v>BankNow</v>
      </c>
      <c r="D205" t="str">
        <f>_xlfn.XLOOKUP(Table6[[#This Row],[app_id]],Table5[app_id],Table5[category],"",0)</f>
        <v>Finance</v>
      </c>
      <c r="E205" t="s">
        <v>557</v>
      </c>
      <c r="F205" t="s">
        <v>534</v>
      </c>
      <c r="G205" t="s">
        <v>18</v>
      </c>
      <c r="H205" t="s">
        <v>535</v>
      </c>
      <c r="I205">
        <v>20</v>
      </c>
      <c r="J205">
        <v>23.4</v>
      </c>
      <c r="K205" t="s">
        <v>258</v>
      </c>
      <c r="L205" t="s">
        <v>258</v>
      </c>
      <c r="M205" t="s">
        <v>258</v>
      </c>
      <c r="N205" s="5">
        <v>26.44</v>
      </c>
    </row>
    <row r="206" spans="1:14" x14ac:dyDescent="0.25">
      <c r="A206" t="s">
        <v>747</v>
      </c>
      <c r="B206" t="s">
        <v>31</v>
      </c>
      <c r="C206" t="str">
        <f>_xlfn.XLOOKUP(Table6[[#This Row],[app_id]],Table5[app_id],Table5[app_name],"",0)</f>
        <v>CreditHub</v>
      </c>
      <c r="D206" t="str">
        <f>_xlfn.XLOOKUP(Table6[[#This Row],[app_id]],Table5[app_id],Table5[category],"",0)</f>
        <v>Finance</v>
      </c>
      <c r="E206" t="s">
        <v>546</v>
      </c>
      <c r="F206" t="s">
        <v>534</v>
      </c>
      <c r="G206" t="s">
        <v>61</v>
      </c>
      <c r="H206" t="s">
        <v>535</v>
      </c>
      <c r="I206">
        <v>8</v>
      </c>
      <c r="J206">
        <v>7.5</v>
      </c>
      <c r="K206" t="s">
        <v>258</v>
      </c>
      <c r="L206" t="s">
        <v>258</v>
      </c>
      <c r="M206" t="s">
        <v>258</v>
      </c>
      <c r="N206" s="5">
        <v>0</v>
      </c>
    </row>
    <row r="207" spans="1:14" x14ac:dyDescent="0.25">
      <c r="A207" t="s">
        <v>748</v>
      </c>
      <c r="B207" t="s">
        <v>36</v>
      </c>
      <c r="C207" t="str">
        <f>_xlfn.XLOOKUP(Table6[[#This Row],[app_id]],Table5[app_id],Table5[app_name],"",0)</f>
        <v>PayPlus</v>
      </c>
      <c r="D207" t="str">
        <f>_xlfn.XLOOKUP(Table6[[#This Row],[app_id]],Table5[app_id],Table5[category],"",0)</f>
        <v>Finance</v>
      </c>
      <c r="E207" t="s">
        <v>537</v>
      </c>
      <c r="F207" t="s">
        <v>548</v>
      </c>
      <c r="G207" t="s">
        <v>30</v>
      </c>
      <c r="H207" t="s">
        <v>535</v>
      </c>
      <c r="I207">
        <v>16</v>
      </c>
      <c r="J207">
        <v>21.8</v>
      </c>
      <c r="K207" t="s">
        <v>258</v>
      </c>
      <c r="L207" t="s">
        <v>258</v>
      </c>
      <c r="M207" t="s">
        <v>257</v>
      </c>
      <c r="N207" s="5">
        <v>28.33</v>
      </c>
    </row>
    <row r="208" spans="1:14" x14ac:dyDescent="0.25">
      <c r="A208" t="s">
        <v>749</v>
      </c>
      <c r="B208" t="s">
        <v>39</v>
      </c>
      <c r="C208" t="str">
        <f>_xlfn.XLOOKUP(Table6[[#This Row],[app_id]],Table5[app_id],Table5[app_name],"",0)</f>
        <v>BankPlus</v>
      </c>
      <c r="D208" t="str">
        <f>_xlfn.XLOOKUP(Table6[[#This Row],[app_id]],Table5[app_id],Table5[category],"",0)</f>
        <v>Finance</v>
      </c>
      <c r="E208" t="s">
        <v>546</v>
      </c>
      <c r="F208" t="s">
        <v>538</v>
      </c>
      <c r="G208" t="s">
        <v>18</v>
      </c>
      <c r="H208" t="s">
        <v>535</v>
      </c>
      <c r="I208">
        <v>1</v>
      </c>
      <c r="J208">
        <v>10.6</v>
      </c>
      <c r="K208" t="s">
        <v>258</v>
      </c>
      <c r="L208" t="s">
        <v>258</v>
      </c>
      <c r="M208" t="s">
        <v>258</v>
      </c>
      <c r="N208" s="5">
        <v>0</v>
      </c>
    </row>
    <row r="209" spans="1:14" x14ac:dyDescent="0.25">
      <c r="A209" t="s">
        <v>750</v>
      </c>
      <c r="B209" t="s">
        <v>42</v>
      </c>
      <c r="C209" t="str">
        <f>_xlfn.XLOOKUP(Table6[[#This Row],[app_id]],Table5[app_id],Table5[app_name],"",0)</f>
        <v>CoinPlus</v>
      </c>
      <c r="D209" t="str">
        <f>_xlfn.XLOOKUP(Table6[[#This Row],[app_id]],Table5[app_id],Table5[category],"",0)</f>
        <v>Finance</v>
      </c>
      <c r="E209" t="s">
        <v>537</v>
      </c>
      <c r="F209" t="s">
        <v>534</v>
      </c>
      <c r="G209" t="s">
        <v>26</v>
      </c>
      <c r="H209" t="s">
        <v>535</v>
      </c>
      <c r="I209">
        <v>3</v>
      </c>
      <c r="J209">
        <v>7.1</v>
      </c>
      <c r="K209" t="s">
        <v>258</v>
      </c>
      <c r="L209" t="s">
        <v>258</v>
      </c>
      <c r="M209" t="s">
        <v>258</v>
      </c>
      <c r="N209" s="5">
        <v>0</v>
      </c>
    </row>
    <row r="210" spans="1:14" x14ac:dyDescent="0.25">
      <c r="A210" t="s">
        <v>751</v>
      </c>
      <c r="B210" t="s">
        <v>47</v>
      </c>
      <c r="C210" t="str">
        <f>_xlfn.XLOOKUP(Table6[[#This Row],[app_id]],Table5[app_id],Table5[app_name],"",0)</f>
        <v>CreditOne</v>
      </c>
      <c r="D210" t="str">
        <f>_xlfn.XLOOKUP(Table6[[#This Row],[app_id]],Table5[app_id],Table5[category],"",0)</f>
        <v>Finance</v>
      </c>
      <c r="E210" t="s">
        <v>546</v>
      </c>
      <c r="F210" t="s">
        <v>534</v>
      </c>
      <c r="G210" t="s">
        <v>26</v>
      </c>
      <c r="H210" t="s">
        <v>535</v>
      </c>
      <c r="I210">
        <v>30</v>
      </c>
      <c r="J210">
        <v>14</v>
      </c>
      <c r="K210" t="s">
        <v>257</v>
      </c>
      <c r="L210" t="s">
        <v>257</v>
      </c>
      <c r="M210" t="s">
        <v>258</v>
      </c>
      <c r="N210" s="5">
        <v>0</v>
      </c>
    </row>
    <row r="211" spans="1:14" x14ac:dyDescent="0.25">
      <c r="A211" t="s">
        <v>752</v>
      </c>
      <c r="B211" t="s">
        <v>49</v>
      </c>
      <c r="C211" t="str">
        <f>_xlfn.XLOOKUP(Table6[[#This Row],[app_id]],Table5[app_id],Table5[app_name],"",0)</f>
        <v>PayPro</v>
      </c>
      <c r="D211" t="str">
        <f>_xlfn.XLOOKUP(Table6[[#This Row],[app_id]],Table5[app_id],Table5[category],"",0)</f>
        <v>Finance</v>
      </c>
      <c r="E211" t="s">
        <v>537</v>
      </c>
      <c r="F211" t="s">
        <v>534</v>
      </c>
      <c r="G211" t="s">
        <v>30</v>
      </c>
      <c r="H211" t="s">
        <v>535</v>
      </c>
      <c r="I211">
        <v>70</v>
      </c>
      <c r="J211">
        <v>3.4</v>
      </c>
      <c r="K211" t="s">
        <v>257</v>
      </c>
      <c r="L211" t="s">
        <v>258</v>
      </c>
      <c r="M211" t="s">
        <v>258</v>
      </c>
      <c r="N211" s="5">
        <v>0</v>
      </c>
    </row>
    <row r="212" spans="1:14" x14ac:dyDescent="0.25">
      <c r="A212" t="s">
        <v>753</v>
      </c>
      <c r="B212" t="s">
        <v>51</v>
      </c>
      <c r="C212" t="str">
        <f>_xlfn.XLOOKUP(Table6[[#This Row],[app_id]],Table5[app_id],Table5[app_name],"",0)</f>
        <v>Creditly</v>
      </c>
      <c r="D212" t="str">
        <f>_xlfn.XLOOKUP(Table6[[#This Row],[app_id]],Table5[app_id],Table5[category],"",0)</f>
        <v>Finance</v>
      </c>
      <c r="E212" t="s">
        <v>537</v>
      </c>
      <c r="F212" t="s">
        <v>538</v>
      </c>
      <c r="G212" t="s">
        <v>18</v>
      </c>
      <c r="H212" t="s">
        <v>540</v>
      </c>
      <c r="I212">
        <v>45</v>
      </c>
      <c r="J212">
        <v>22</v>
      </c>
      <c r="K212" t="s">
        <v>257</v>
      </c>
      <c r="L212" t="s">
        <v>257</v>
      </c>
      <c r="M212" t="s">
        <v>258</v>
      </c>
      <c r="N212" s="5">
        <v>0</v>
      </c>
    </row>
    <row r="213" spans="1:14" x14ac:dyDescent="0.25">
      <c r="A213" t="s">
        <v>754</v>
      </c>
      <c r="B213" t="s">
        <v>53</v>
      </c>
      <c r="C213" t="str">
        <f>_xlfn.XLOOKUP(Table6[[#This Row],[app_id]],Table5[app_id],Table5[app_name],"",0)</f>
        <v>PayX</v>
      </c>
      <c r="D213" t="str">
        <f>_xlfn.XLOOKUP(Table6[[#This Row],[app_id]],Table5[app_id],Table5[category],"",0)</f>
        <v>Finance</v>
      </c>
      <c r="E213" t="s">
        <v>533</v>
      </c>
      <c r="F213" t="s">
        <v>548</v>
      </c>
      <c r="G213" t="s">
        <v>18</v>
      </c>
      <c r="H213" t="s">
        <v>535</v>
      </c>
      <c r="I213">
        <v>5</v>
      </c>
      <c r="J213">
        <v>12.7</v>
      </c>
      <c r="K213" t="s">
        <v>258</v>
      </c>
      <c r="L213" t="s">
        <v>257</v>
      </c>
      <c r="M213" t="s">
        <v>258</v>
      </c>
      <c r="N213" s="5">
        <v>0</v>
      </c>
    </row>
    <row r="214" spans="1:14" x14ac:dyDescent="0.25">
      <c r="A214" t="s">
        <v>755</v>
      </c>
      <c r="B214" t="s">
        <v>56</v>
      </c>
      <c r="C214" t="str">
        <f>_xlfn.XLOOKUP(Table6[[#This Row],[app_id]],Table5[app_id],Table5[app_name],"",0)</f>
        <v>DealGo</v>
      </c>
      <c r="D214" t="str">
        <f>_xlfn.XLOOKUP(Table6[[#This Row],[app_id]],Table5[app_id],Table5[category],"",0)</f>
        <v>Shopping</v>
      </c>
      <c r="E214" t="s">
        <v>533</v>
      </c>
      <c r="F214" t="s">
        <v>538</v>
      </c>
      <c r="G214" t="s">
        <v>30</v>
      </c>
      <c r="H214" t="s">
        <v>535</v>
      </c>
      <c r="I214">
        <v>1</v>
      </c>
      <c r="J214">
        <v>23.5</v>
      </c>
      <c r="K214" t="s">
        <v>258</v>
      </c>
      <c r="L214" t="s">
        <v>258</v>
      </c>
      <c r="M214" t="s">
        <v>257</v>
      </c>
      <c r="N214" s="5">
        <v>0</v>
      </c>
    </row>
    <row r="215" spans="1:14" x14ac:dyDescent="0.25">
      <c r="A215" t="s">
        <v>756</v>
      </c>
      <c r="B215" t="s">
        <v>62</v>
      </c>
      <c r="C215" t="str">
        <f>_xlfn.XLOOKUP(Table6[[#This Row],[app_id]],Table5[app_id],Table5[app_name],"",0)</f>
        <v>MallNow</v>
      </c>
      <c r="D215" t="str">
        <f>_xlfn.XLOOKUP(Table6[[#This Row],[app_id]],Table5[app_id],Table5[category],"",0)</f>
        <v>Shopping</v>
      </c>
      <c r="E215" t="s">
        <v>557</v>
      </c>
      <c r="F215" t="s">
        <v>538</v>
      </c>
      <c r="G215" t="s">
        <v>30</v>
      </c>
      <c r="H215" t="s">
        <v>540</v>
      </c>
      <c r="I215">
        <v>73</v>
      </c>
      <c r="J215">
        <v>5.5</v>
      </c>
      <c r="K215" t="s">
        <v>257</v>
      </c>
      <c r="L215" t="s">
        <v>257</v>
      </c>
      <c r="M215" t="s">
        <v>258</v>
      </c>
      <c r="N215" s="5">
        <v>0</v>
      </c>
    </row>
    <row r="216" spans="1:14" x14ac:dyDescent="0.25">
      <c r="A216" t="s">
        <v>757</v>
      </c>
      <c r="B216" t="s">
        <v>65</v>
      </c>
      <c r="C216" t="str">
        <f>_xlfn.XLOOKUP(Table6[[#This Row],[app_id]],Table5[app_id],Table5[app_name],"",0)</f>
        <v>DealPro</v>
      </c>
      <c r="D216" t="str">
        <f>_xlfn.XLOOKUP(Table6[[#This Row],[app_id]],Table5[app_id],Table5[category],"",0)</f>
        <v>Shopping</v>
      </c>
      <c r="E216" t="s">
        <v>552</v>
      </c>
      <c r="F216" t="s">
        <v>538</v>
      </c>
      <c r="G216" t="s">
        <v>23</v>
      </c>
      <c r="H216" t="s">
        <v>535</v>
      </c>
      <c r="I216">
        <v>21</v>
      </c>
      <c r="J216">
        <v>12.9</v>
      </c>
      <c r="K216" t="s">
        <v>258</v>
      </c>
      <c r="L216" t="s">
        <v>258</v>
      </c>
      <c r="M216" t="s">
        <v>258</v>
      </c>
      <c r="N216" s="5">
        <v>0</v>
      </c>
    </row>
    <row r="217" spans="1:14" x14ac:dyDescent="0.25">
      <c r="A217" t="s">
        <v>758</v>
      </c>
      <c r="B217" t="s">
        <v>67</v>
      </c>
      <c r="C217" t="str">
        <f>_xlfn.XLOOKUP(Table6[[#This Row],[app_id]],Table5[app_id],Table5[app_name],"",0)</f>
        <v>StyleNow</v>
      </c>
      <c r="D217" t="str">
        <f>_xlfn.XLOOKUP(Table6[[#This Row],[app_id]],Table5[app_id],Table5[category],"",0)</f>
        <v>Shopping</v>
      </c>
      <c r="E217" t="s">
        <v>533</v>
      </c>
      <c r="F217" t="s">
        <v>538</v>
      </c>
      <c r="G217" t="s">
        <v>26</v>
      </c>
      <c r="H217" t="s">
        <v>535</v>
      </c>
      <c r="I217">
        <v>70</v>
      </c>
      <c r="J217">
        <v>3.2</v>
      </c>
      <c r="K217" t="s">
        <v>257</v>
      </c>
      <c r="L217" t="s">
        <v>258</v>
      </c>
      <c r="M217" t="s">
        <v>258</v>
      </c>
      <c r="N217" s="5">
        <v>93.55</v>
      </c>
    </row>
    <row r="218" spans="1:14" x14ac:dyDescent="0.25">
      <c r="A218" t="s">
        <v>759</v>
      </c>
      <c r="B218" t="s">
        <v>70</v>
      </c>
      <c r="C218" t="str">
        <f>_xlfn.XLOOKUP(Table6[[#This Row],[app_id]],Table5[app_id],Table5[app_name],"",0)</f>
        <v>DealCloud</v>
      </c>
      <c r="D218" t="str">
        <f>_xlfn.XLOOKUP(Table6[[#This Row],[app_id]],Table5[app_id],Table5[category],"",0)</f>
        <v>Shopping</v>
      </c>
      <c r="E218" t="s">
        <v>533</v>
      </c>
      <c r="F218" t="s">
        <v>534</v>
      </c>
      <c r="G218" t="s">
        <v>26</v>
      </c>
      <c r="H218" t="s">
        <v>540</v>
      </c>
      <c r="I218">
        <v>34</v>
      </c>
      <c r="J218">
        <v>21.6</v>
      </c>
      <c r="K218" t="s">
        <v>257</v>
      </c>
      <c r="L218" t="s">
        <v>257</v>
      </c>
      <c r="M218" t="s">
        <v>258</v>
      </c>
      <c r="N218" s="5">
        <v>84.02</v>
      </c>
    </row>
    <row r="219" spans="1:14" x14ac:dyDescent="0.25">
      <c r="A219" t="s">
        <v>760</v>
      </c>
      <c r="B219" t="s">
        <v>72</v>
      </c>
      <c r="C219" t="str">
        <f>_xlfn.XLOOKUP(Table6[[#This Row],[app_id]],Table5[app_id],Table5[app_name],"",0)</f>
        <v>CartCloud</v>
      </c>
      <c r="D219" t="str">
        <f>_xlfn.XLOOKUP(Table6[[#This Row],[app_id]],Table5[app_id],Table5[category],"",0)</f>
        <v>Shopping</v>
      </c>
      <c r="E219" t="s">
        <v>537</v>
      </c>
      <c r="F219" t="s">
        <v>628</v>
      </c>
      <c r="G219" t="s">
        <v>61</v>
      </c>
      <c r="H219" t="s">
        <v>535</v>
      </c>
      <c r="I219">
        <v>82</v>
      </c>
      <c r="J219">
        <v>5.4</v>
      </c>
      <c r="K219" t="s">
        <v>257</v>
      </c>
      <c r="L219" t="s">
        <v>258</v>
      </c>
      <c r="M219" t="s">
        <v>257</v>
      </c>
      <c r="N219" s="5">
        <v>26.22</v>
      </c>
    </row>
    <row r="220" spans="1:14" x14ac:dyDescent="0.25">
      <c r="A220" t="s">
        <v>761</v>
      </c>
      <c r="B220" t="s">
        <v>74</v>
      </c>
      <c r="C220" t="str">
        <f>_xlfn.XLOOKUP(Table6[[#This Row],[app_id]],Table5[app_id],Table5[app_name],"",0)</f>
        <v>CartMate</v>
      </c>
      <c r="D220" t="str">
        <f>_xlfn.XLOOKUP(Table6[[#This Row],[app_id]],Table5[app_id],Table5[category],"",0)</f>
        <v>Shopping</v>
      </c>
      <c r="E220" t="s">
        <v>546</v>
      </c>
      <c r="F220" t="s">
        <v>538</v>
      </c>
      <c r="G220" t="s">
        <v>30</v>
      </c>
      <c r="H220" t="s">
        <v>535</v>
      </c>
      <c r="I220">
        <v>14</v>
      </c>
      <c r="J220">
        <v>20.7</v>
      </c>
      <c r="K220" t="s">
        <v>258</v>
      </c>
      <c r="L220" t="s">
        <v>257</v>
      </c>
      <c r="M220" t="s">
        <v>258</v>
      </c>
      <c r="N220" s="5">
        <v>0</v>
      </c>
    </row>
    <row r="221" spans="1:14" x14ac:dyDescent="0.25">
      <c r="A221" t="s">
        <v>762</v>
      </c>
      <c r="B221" t="s">
        <v>76</v>
      </c>
      <c r="C221" t="str">
        <f>_xlfn.XLOOKUP(Table6[[#This Row],[app_id]],Table5[app_id],Table5[app_name],"",0)</f>
        <v>BazaarOne</v>
      </c>
      <c r="D221" t="str">
        <f>_xlfn.XLOOKUP(Table6[[#This Row],[app_id]],Table5[app_id],Table5[category],"",0)</f>
        <v>Shopping</v>
      </c>
      <c r="E221" t="s">
        <v>537</v>
      </c>
      <c r="F221" t="s">
        <v>534</v>
      </c>
      <c r="G221" t="s">
        <v>69</v>
      </c>
      <c r="H221" t="s">
        <v>540</v>
      </c>
      <c r="I221">
        <v>19</v>
      </c>
      <c r="J221">
        <v>15.3</v>
      </c>
      <c r="K221" t="s">
        <v>258</v>
      </c>
      <c r="L221" t="s">
        <v>258</v>
      </c>
      <c r="M221" t="s">
        <v>258</v>
      </c>
      <c r="N221" s="5">
        <v>0</v>
      </c>
    </row>
    <row r="222" spans="1:14" x14ac:dyDescent="0.25">
      <c r="A222" t="s">
        <v>763</v>
      </c>
      <c r="B222" t="s">
        <v>78</v>
      </c>
      <c r="C222" t="str">
        <f>_xlfn.XLOOKUP(Table6[[#This Row],[app_id]],Table5[app_id],Table5[app_name],"",0)</f>
        <v>StyleOne</v>
      </c>
      <c r="D222" t="str">
        <f>_xlfn.XLOOKUP(Table6[[#This Row],[app_id]],Table5[app_id],Table5[category],"",0)</f>
        <v>Shopping</v>
      </c>
      <c r="E222" t="s">
        <v>537</v>
      </c>
      <c r="F222" t="s">
        <v>534</v>
      </c>
      <c r="G222" t="s">
        <v>35</v>
      </c>
      <c r="H222" t="s">
        <v>535</v>
      </c>
      <c r="I222">
        <v>44</v>
      </c>
      <c r="J222">
        <v>13.5</v>
      </c>
      <c r="K222" t="s">
        <v>257</v>
      </c>
      <c r="L222" t="s">
        <v>257</v>
      </c>
      <c r="M222" t="s">
        <v>258</v>
      </c>
      <c r="N222" s="5">
        <v>0</v>
      </c>
    </row>
    <row r="223" spans="1:14" x14ac:dyDescent="0.25">
      <c r="A223" t="s">
        <v>764</v>
      </c>
      <c r="B223" t="s">
        <v>80</v>
      </c>
      <c r="C223" t="str">
        <f>_xlfn.XLOOKUP(Table6[[#This Row],[app_id]],Table5[app_id],Table5[app_name],"",0)</f>
        <v>Cartly</v>
      </c>
      <c r="D223" t="str">
        <f>_xlfn.XLOOKUP(Table6[[#This Row],[app_id]],Table5[app_id],Table5[category],"",0)</f>
        <v>Shopping</v>
      </c>
      <c r="E223" t="s">
        <v>557</v>
      </c>
      <c r="F223" t="s">
        <v>534</v>
      </c>
      <c r="G223" t="s">
        <v>26</v>
      </c>
      <c r="H223" t="s">
        <v>535</v>
      </c>
      <c r="I223">
        <v>50</v>
      </c>
      <c r="J223">
        <v>8</v>
      </c>
      <c r="K223" t="s">
        <v>257</v>
      </c>
      <c r="L223" t="s">
        <v>258</v>
      </c>
      <c r="M223" t="s">
        <v>258</v>
      </c>
      <c r="N223" s="5">
        <v>0</v>
      </c>
    </row>
    <row r="224" spans="1:14" x14ac:dyDescent="0.25">
      <c r="A224" t="s">
        <v>765</v>
      </c>
      <c r="B224" t="s">
        <v>83</v>
      </c>
      <c r="C224" t="str">
        <f>_xlfn.XLOOKUP(Table6[[#This Row],[app_id]],Table5[app_id],Table5[app_name],"",0)</f>
        <v>BazaarCloud</v>
      </c>
      <c r="D224" t="str">
        <f>_xlfn.XLOOKUP(Table6[[#This Row],[app_id]],Table5[app_id],Table5[category],"",0)</f>
        <v>Shopping</v>
      </c>
      <c r="E224" t="s">
        <v>533</v>
      </c>
      <c r="F224" t="s">
        <v>548</v>
      </c>
      <c r="G224" t="s">
        <v>61</v>
      </c>
      <c r="H224" t="s">
        <v>535</v>
      </c>
      <c r="I224">
        <v>18</v>
      </c>
      <c r="J224">
        <v>14.5</v>
      </c>
      <c r="K224" t="s">
        <v>257</v>
      </c>
      <c r="L224" t="s">
        <v>257</v>
      </c>
      <c r="M224" t="s">
        <v>258</v>
      </c>
      <c r="N224" s="5">
        <v>0</v>
      </c>
    </row>
    <row r="225" spans="1:14" x14ac:dyDescent="0.25">
      <c r="A225" t="s">
        <v>766</v>
      </c>
      <c r="B225" t="s">
        <v>85</v>
      </c>
      <c r="C225" t="str">
        <f>_xlfn.XLOOKUP(Table6[[#This Row],[app_id]],Table5[app_id],Table5[app_name],"",0)</f>
        <v>CartPro</v>
      </c>
      <c r="D225" t="str">
        <f>_xlfn.XLOOKUP(Table6[[#This Row],[app_id]],Table5[app_id],Table5[category],"",0)</f>
        <v>Shopping</v>
      </c>
      <c r="E225" t="s">
        <v>537</v>
      </c>
      <c r="F225" t="s">
        <v>538</v>
      </c>
      <c r="G225" t="s">
        <v>30</v>
      </c>
      <c r="H225" t="s">
        <v>535</v>
      </c>
      <c r="I225">
        <v>26</v>
      </c>
      <c r="J225">
        <v>18.100000000000001</v>
      </c>
      <c r="K225" t="s">
        <v>258</v>
      </c>
      <c r="L225" t="s">
        <v>258</v>
      </c>
      <c r="M225" t="s">
        <v>258</v>
      </c>
      <c r="N225" s="5">
        <v>0</v>
      </c>
    </row>
    <row r="226" spans="1:14" x14ac:dyDescent="0.25">
      <c r="A226" t="s">
        <v>767</v>
      </c>
      <c r="B226" t="s">
        <v>87</v>
      </c>
      <c r="C226" t="str">
        <f>_xlfn.XLOOKUP(Table6[[#This Row],[app_id]],Table5[app_id],Table5[app_name],"",0)</f>
        <v>RunPlus</v>
      </c>
      <c r="D226" t="str">
        <f>_xlfn.XLOOKUP(Table6[[#This Row],[app_id]],Table5[app_id],Table5[category],"",0)</f>
        <v>Fitness</v>
      </c>
      <c r="E226" t="s">
        <v>546</v>
      </c>
      <c r="F226" t="s">
        <v>534</v>
      </c>
      <c r="G226" t="s">
        <v>30</v>
      </c>
      <c r="H226" t="s">
        <v>535</v>
      </c>
      <c r="I226">
        <v>61</v>
      </c>
      <c r="J226">
        <v>17.600000000000001</v>
      </c>
      <c r="K226" t="s">
        <v>257</v>
      </c>
      <c r="L226" t="s">
        <v>258</v>
      </c>
      <c r="M226" t="s">
        <v>258</v>
      </c>
      <c r="N226" s="5">
        <v>0</v>
      </c>
    </row>
    <row r="227" spans="1:14" x14ac:dyDescent="0.25">
      <c r="A227" t="s">
        <v>768</v>
      </c>
      <c r="B227" t="s">
        <v>90</v>
      </c>
      <c r="C227" t="str">
        <f>_xlfn.XLOOKUP(Table6[[#This Row],[app_id]],Table5[app_id],Table5[app_name],"",0)</f>
        <v>TrainCloud</v>
      </c>
      <c r="D227" t="str">
        <f>_xlfn.XLOOKUP(Table6[[#This Row],[app_id]],Table5[app_id],Table5[category],"",0)</f>
        <v>Fitness</v>
      </c>
      <c r="E227" t="s">
        <v>533</v>
      </c>
      <c r="F227" t="s">
        <v>538</v>
      </c>
      <c r="G227" t="s">
        <v>26</v>
      </c>
      <c r="H227" t="s">
        <v>535</v>
      </c>
      <c r="I227">
        <v>6</v>
      </c>
      <c r="J227">
        <v>32.5</v>
      </c>
      <c r="K227" t="s">
        <v>258</v>
      </c>
      <c r="L227" t="s">
        <v>258</v>
      </c>
      <c r="M227" t="s">
        <v>257</v>
      </c>
      <c r="N227" s="5">
        <v>0</v>
      </c>
    </row>
    <row r="228" spans="1:14" x14ac:dyDescent="0.25">
      <c r="A228" t="s">
        <v>769</v>
      </c>
      <c r="B228" t="s">
        <v>92</v>
      </c>
      <c r="C228" t="str">
        <f>_xlfn.XLOOKUP(Table6[[#This Row],[app_id]],Table5[app_id],Table5[app_name],"",0)</f>
        <v>Trainly</v>
      </c>
      <c r="D228" t="str">
        <f>_xlfn.XLOOKUP(Table6[[#This Row],[app_id]],Table5[app_id],Table5[category],"",0)</f>
        <v>Fitness</v>
      </c>
      <c r="E228" t="s">
        <v>546</v>
      </c>
      <c r="F228" t="s">
        <v>538</v>
      </c>
      <c r="G228" t="s">
        <v>35</v>
      </c>
      <c r="H228" t="s">
        <v>535</v>
      </c>
      <c r="I228">
        <v>40</v>
      </c>
      <c r="J228">
        <v>11.9</v>
      </c>
      <c r="K228" t="s">
        <v>257</v>
      </c>
      <c r="L228" t="s">
        <v>257</v>
      </c>
      <c r="M228" t="s">
        <v>257</v>
      </c>
      <c r="N228" s="5">
        <v>10.130000000000001</v>
      </c>
    </row>
    <row r="229" spans="1:14" x14ac:dyDescent="0.25">
      <c r="A229" t="s">
        <v>770</v>
      </c>
      <c r="B229" t="s">
        <v>94</v>
      </c>
      <c r="C229" t="str">
        <f>_xlfn.XLOOKUP(Table6[[#This Row],[app_id]],Table5[app_id],Table5[app_name],"",0)</f>
        <v>LiftCloud</v>
      </c>
      <c r="D229" t="str">
        <f>_xlfn.XLOOKUP(Table6[[#This Row],[app_id]],Table5[app_id],Table5[category],"",0)</f>
        <v>Fitness</v>
      </c>
      <c r="E229" t="s">
        <v>533</v>
      </c>
      <c r="F229" t="s">
        <v>534</v>
      </c>
      <c r="G229" t="s">
        <v>61</v>
      </c>
      <c r="H229" t="s">
        <v>535</v>
      </c>
      <c r="I229">
        <v>17</v>
      </c>
      <c r="J229">
        <v>19.5</v>
      </c>
      <c r="K229" t="s">
        <v>258</v>
      </c>
      <c r="L229" t="s">
        <v>257</v>
      </c>
      <c r="M229" t="s">
        <v>257</v>
      </c>
      <c r="N229" s="5">
        <v>15.62</v>
      </c>
    </row>
    <row r="230" spans="1:14" x14ac:dyDescent="0.25">
      <c r="A230" t="s">
        <v>771</v>
      </c>
      <c r="B230" t="s">
        <v>96</v>
      </c>
      <c r="C230" t="str">
        <f>_xlfn.XLOOKUP(Table6[[#This Row],[app_id]],Table5[app_id],Table5[app_name],"",0)</f>
        <v>MoveNow</v>
      </c>
      <c r="D230" t="str">
        <f>_xlfn.XLOOKUP(Table6[[#This Row],[app_id]],Table5[app_id],Table5[category],"",0)</f>
        <v>Fitness</v>
      </c>
      <c r="E230" t="s">
        <v>557</v>
      </c>
      <c r="F230" t="s">
        <v>534</v>
      </c>
      <c r="G230" t="s">
        <v>18</v>
      </c>
      <c r="H230" t="s">
        <v>535</v>
      </c>
      <c r="I230">
        <v>21</v>
      </c>
      <c r="J230">
        <v>41.2</v>
      </c>
      <c r="K230" t="s">
        <v>257</v>
      </c>
      <c r="L230" t="s">
        <v>257</v>
      </c>
      <c r="M230" t="s">
        <v>258</v>
      </c>
      <c r="N230" s="5">
        <v>51.96</v>
      </c>
    </row>
    <row r="231" spans="1:14" x14ac:dyDescent="0.25">
      <c r="A231" t="s">
        <v>772</v>
      </c>
      <c r="B231" t="s">
        <v>98</v>
      </c>
      <c r="C231" t="str">
        <f>_xlfn.XLOOKUP(Table6[[#This Row],[app_id]],Table5[app_id],Table5[app_name],"",0)</f>
        <v>ActiveMate</v>
      </c>
      <c r="D231" t="str">
        <f>_xlfn.XLOOKUP(Table6[[#This Row],[app_id]],Table5[app_id],Table5[category],"",0)</f>
        <v>Fitness</v>
      </c>
      <c r="E231" t="s">
        <v>537</v>
      </c>
      <c r="F231" t="s">
        <v>534</v>
      </c>
      <c r="G231" t="s">
        <v>23</v>
      </c>
      <c r="H231" t="s">
        <v>535</v>
      </c>
      <c r="I231">
        <v>81</v>
      </c>
      <c r="J231">
        <v>30.2</v>
      </c>
      <c r="K231" t="s">
        <v>257</v>
      </c>
      <c r="L231" t="s">
        <v>258</v>
      </c>
      <c r="M231" t="s">
        <v>258</v>
      </c>
      <c r="N231" s="5">
        <v>0</v>
      </c>
    </row>
    <row r="232" spans="1:14" x14ac:dyDescent="0.25">
      <c r="A232" t="s">
        <v>773</v>
      </c>
      <c r="B232" t="s">
        <v>100</v>
      </c>
      <c r="C232" t="str">
        <f>_xlfn.XLOOKUP(Table6[[#This Row],[app_id]],Table5[app_id],Table5[app_name],"",0)</f>
        <v>RunGo</v>
      </c>
      <c r="D232" t="str">
        <f>_xlfn.XLOOKUP(Table6[[#This Row],[app_id]],Table5[app_id],Table5[category],"",0)</f>
        <v>Fitness</v>
      </c>
      <c r="E232" t="s">
        <v>533</v>
      </c>
      <c r="F232" t="s">
        <v>534</v>
      </c>
      <c r="G232" t="s">
        <v>61</v>
      </c>
      <c r="H232" t="s">
        <v>535</v>
      </c>
      <c r="I232">
        <v>23</v>
      </c>
      <c r="J232">
        <v>11.8</v>
      </c>
      <c r="K232" t="s">
        <v>257</v>
      </c>
      <c r="L232" t="s">
        <v>258</v>
      </c>
      <c r="M232" t="s">
        <v>258</v>
      </c>
      <c r="N232" s="5">
        <v>0</v>
      </c>
    </row>
    <row r="233" spans="1:14" x14ac:dyDescent="0.25">
      <c r="A233" t="s">
        <v>774</v>
      </c>
      <c r="B233" t="s">
        <v>102</v>
      </c>
      <c r="C233" t="str">
        <f>_xlfn.XLOOKUP(Table6[[#This Row],[app_id]],Table5[app_id],Table5[app_name],"",0)</f>
        <v>LiftPro</v>
      </c>
      <c r="D233" t="str">
        <f>_xlfn.XLOOKUP(Table6[[#This Row],[app_id]],Table5[app_id],Table5[category],"",0)</f>
        <v>Fitness</v>
      </c>
      <c r="E233" t="s">
        <v>546</v>
      </c>
      <c r="F233" t="s">
        <v>534</v>
      </c>
      <c r="G233" t="s">
        <v>69</v>
      </c>
      <c r="H233" t="s">
        <v>535</v>
      </c>
      <c r="I233">
        <v>89</v>
      </c>
      <c r="J233">
        <v>24.6</v>
      </c>
      <c r="K233" t="s">
        <v>257</v>
      </c>
      <c r="L233" t="s">
        <v>257</v>
      </c>
      <c r="M233" t="s">
        <v>258</v>
      </c>
      <c r="N233" s="5">
        <v>0</v>
      </c>
    </row>
    <row r="234" spans="1:14" x14ac:dyDescent="0.25">
      <c r="A234" t="s">
        <v>775</v>
      </c>
      <c r="B234" t="s">
        <v>104</v>
      </c>
      <c r="C234" t="str">
        <f>_xlfn.XLOOKUP(Table6[[#This Row],[app_id]],Table5[app_id],Table5[app_name],"",0)</f>
        <v>LiftPro</v>
      </c>
      <c r="D234" t="str">
        <f>_xlfn.XLOOKUP(Table6[[#This Row],[app_id]],Table5[app_id],Table5[category],"",0)</f>
        <v>Fitness</v>
      </c>
      <c r="E234" t="s">
        <v>533</v>
      </c>
      <c r="F234" t="s">
        <v>534</v>
      </c>
      <c r="G234" t="s">
        <v>35</v>
      </c>
      <c r="H234" t="s">
        <v>535</v>
      </c>
      <c r="I234">
        <v>7</v>
      </c>
      <c r="J234">
        <v>29.8</v>
      </c>
      <c r="K234" t="s">
        <v>258</v>
      </c>
      <c r="L234" t="s">
        <v>257</v>
      </c>
      <c r="M234" t="s">
        <v>258</v>
      </c>
      <c r="N234" s="5">
        <v>0</v>
      </c>
    </row>
    <row r="235" spans="1:14" x14ac:dyDescent="0.25">
      <c r="A235" t="s">
        <v>776</v>
      </c>
      <c r="B235" t="s">
        <v>105</v>
      </c>
      <c r="C235" t="str">
        <f>_xlfn.XLOOKUP(Table6[[#This Row],[app_id]],Table5[app_id],Table5[app_name],"",0)</f>
        <v>Liftly</v>
      </c>
      <c r="D235" t="str">
        <f>_xlfn.XLOOKUP(Table6[[#This Row],[app_id]],Table5[app_id],Table5[category],"",0)</f>
        <v>Fitness</v>
      </c>
      <c r="E235" t="s">
        <v>533</v>
      </c>
      <c r="F235" t="s">
        <v>628</v>
      </c>
      <c r="G235" t="s">
        <v>69</v>
      </c>
      <c r="H235" t="s">
        <v>535</v>
      </c>
      <c r="I235">
        <v>26</v>
      </c>
      <c r="J235">
        <v>40</v>
      </c>
      <c r="K235" t="s">
        <v>258</v>
      </c>
      <c r="L235" t="s">
        <v>257</v>
      </c>
      <c r="M235" t="s">
        <v>258</v>
      </c>
      <c r="N235" s="5">
        <v>7.97</v>
      </c>
    </row>
    <row r="236" spans="1:14" x14ac:dyDescent="0.25">
      <c r="A236" t="s">
        <v>777</v>
      </c>
      <c r="B236" t="s">
        <v>107</v>
      </c>
      <c r="C236" t="str">
        <f>_xlfn.XLOOKUP(Table6[[#This Row],[app_id]],Table5[app_id],Table5[app_name],"",0)</f>
        <v>YogaHub</v>
      </c>
      <c r="D236" t="str">
        <f>_xlfn.XLOOKUP(Table6[[#This Row],[app_id]],Table5[app_id],Table5[category],"",0)</f>
        <v>Fitness</v>
      </c>
      <c r="E236" t="s">
        <v>537</v>
      </c>
      <c r="F236" t="s">
        <v>538</v>
      </c>
      <c r="G236" t="s">
        <v>18</v>
      </c>
      <c r="H236" t="s">
        <v>540</v>
      </c>
      <c r="I236">
        <v>19</v>
      </c>
      <c r="J236">
        <v>40.299999999999997</v>
      </c>
      <c r="K236" t="s">
        <v>258</v>
      </c>
      <c r="L236" t="s">
        <v>257</v>
      </c>
      <c r="M236" t="s">
        <v>258</v>
      </c>
      <c r="N236" s="5">
        <v>0</v>
      </c>
    </row>
    <row r="237" spans="1:14" x14ac:dyDescent="0.25">
      <c r="A237" t="s">
        <v>778</v>
      </c>
      <c r="B237" t="s">
        <v>109</v>
      </c>
      <c r="C237" t="str">
        <f>_xlfn.XLOOKUP(Table6[[#This Row],[app_id]],Table5[app_id],Table5[app_name],"",0)</f>
        <v>MoveGo</v>
      </c>
      <c r="D237" t="str">
        <f>_xlfn.XLOOKUP(Table6[[#This Row],[app_id]],Table5[app_id],Table5[category],"",0)</f>
        <v>Fitness</v>
      </c>
      <c r="E237" t="s">
        <v>557</v>
      </c>
      <c r="F237" t="s">
        <v>534</v>
      </c>
      <c r="G237" t="s">
        <v>61</v>
      </c>
      <c r="H237" t="s">
        <v>535</v>
      </c>
      <c r="I237">
        <v>18</v>
      </c>
      <c r="J237">
        <v>26.5</v>
      </c>
      <c r="K237" t="s">
        <v>257</v>
      </c>
      <c r="L237" t="s">
        <v>257</v>
      </c>
      <c r="M237" t="s">
        <v>258</v>
      </c>
      <c r="N237" s="5">
        <v>0</v>
      </c>
    </row>
    <row r="238" spans="1:14" x14ac:dyDescent="0.25">
      <c r="A238" t="s">
        <v>779</v>
      </c>
      <c r="B238" t="s">
        <v>111</v>
      </c>
      <c r="C238" t="str">
        <f>_xlfn.XLOOKUP(Table6[[#This Row],[app_id]],Table5[app_id],Table5[app_name],"",0)</f>
        <v>BrightNow</v>
      </c>
      <c r="D238" t="str">
        <f>_xlfn.XLOOKUP(Table6[[#This Row],[app_id]],Table5[app_id],Table5[category],"",0)</f>
        <v>Education</v>
      </c>
      <c r="E238" t="s">
        <v>537</v>
      </c>
      <c r="F238" t="s">
        <v>538</v>
      </c>
      <c r="G238" t="s">
        <v>30</v>
      </c>
      <c r="H238" t="s">
        <v>535</v>
      </c>
      <c r="I238">
        <v>1</v>
      </c>
      <c r="J238">
        <v>14.6</v>
      </c>
      <c r="K238" t="s">
        <v>258</v>
      </c>
      <c r="L238" t="s">
        <v>258</v>
      </c>
      <c r="M238" t="s">
        <v>257</v>
      </c>
      <c r="N238" s="5">
        <v>0</v>
      </c>
    </row>
    <row r="239" spans="1:14" x14ac:dyDescent="0.25">
      <c r="A239" t="s">
        <v>780</v>
      </c>
      <c r="B239" t="s">
        <v>114</v>
      </c>
      <c r="C239" t="str">
        <f>_xlfn.XLOOKUP(Table6[[#This Row],[app_id]],Table5[app_id],Table5[app_name],"",0)</f>
        <v>StudyCloud</v>
      </c>
      <c r="D239" t="str">
        <f>_xlfn.XLOOKUP(Table6[[#This Row],[app_id]],Table5[app_id],Table5[category],"",0)</f>
        <v>Education</v>
      </c>
      <c r="E239" t="s">
        <v>533</v>
      </c>
      <c r="F239" t="s">
        <v>538</v>
      </c>
      <c r="G239" t="s">
        <v>30</v>
      </c>
      <c r="H239" t="s">
        <v>535</v>
      </c>
      <c r="I239">
        <v>4</v>
      </c>
      <c r="J239">
        <v>31.6</v>
      </c>
      <c r="K239" t="s">
        <v>258</v>
      </c>
      <c r="L239" t="s">
        <v>258</v>
      </c>
      <c r="M239" t="s">
        <v>258</v>
      </c>
      <c r="N239" s="5">
        <v>0</v>
      </c>
    </row>
    <row r="240" spans="1:14" x14ac:dyDescent="0.25">
      <c r="A240" t="s">
        <v>781</v>
      </c>
      <c r="B240" t="s">
        <v>116</v>
      </c>
      <c r="C240" t="str">
        <f>_xlfn.XLOOKUP(Table6[[#This Row],[app_id]],Table5[app_id],Table5[app_name],"",0)</f>
        <v>SkillNow</v>
      </c>
      <c r="D240" t="str">
        <f>_xlfn.XLOOKUP(Table6[[#This Row],[app_id]],Table5[app_id],Table5[category],"",0)</f>
        <v>Education</v>
      </c>
      <c r="E240" t="s">
        <v>533</v>
      </c>
      <c r="F240" t="s">
        <v>538</v>
      </c>
      <c r="G240" t="s">
        <v>61</v>
      </c>
      <c r="H240" t="s">
        <v>535</v>
      </c>
      <c r="I240">
        <v>18</v>
      </c>
      <c r="J240">
        <v>13.3</v>
      </c>
      <c r="K240" t="s">
        <v>257</v>
      </c>
      <c r="L240" t="s">
        <v>257</v>
      </c>
      <c r="M240" t="s">
        <v>258</v>
      </c>
      <c r="N240" s="5">
        <v>0</v>
      </c>
    </row>
    <row r="241" spans="1:14" x14ac:dyDescent="0.25">
      <c r="A241" t="s">
        <v>782</v>
      </c>
      <c r="B241" t="s">
        <v>118</v>
      </c>
      <c r="C241" t="str">
        <f>_xlfn.XLOOKUP(Table6[[#This Row],[app_id]],Table5[app_id],Table5[app_name],"",0)</f>
        <v>LearnMate</v>
      </c>
      <c r="D241" t="str">
        <f>_xlfn.XLOOKUP(Table6[[#This Row],[app_id]],Table5[app_id],Table5[category],"",0)</f>
        <v>Education</v>
      </c>
      <c r="E241" t="s">
        <v>533</v>
      </c>
      <c r="F241" t="s">
        <v>534</v>
      </c>
      <c r="G241" t="s">
        <v>18</v>
      </c>
      <c r="H241" t="s">
        <v>535</v>
      </c>
      <c r="I241">
        <v>25</v>
      </c>
      <c r="J241">
        <v>24.1</v>
      </c>
      <c r="K241" t="s">
        <v>258</v>
      </c>
      <c r="L241" t="s">
        <v>257</v>
      </c>
      <c r="M241" t="s">
        <v>258</v>
      </c>
      <c r="N241" s="5">
        <v>0</v>
      </c>
    </row>
    <row r="242" spans="1:14" x14ac:dyDescent="0.25">
      <c r="A242" t="s">
        <v>783</v>
      </c>
      <c r="B242" t="s">
        <v>120</v>
      </c>
      <c r="C242" t="str">
        <f>_xlfn.XLOOKUP(Table6[[#This Row],[app_id]],Table5[app_id],Table5[app_name],"",0)</f>
        <v>QuestNow</v>
      </c>
      <c r="D242" t="str">
        <f>_xlfn.XLOOKUP(Table6[[#This Row],[app_id]],Table5[app_id],Table5[category],"",0)</f>
        <v>Education</v>
      </c>
      <c r="E242" t="s">
        <v>533</v>
      </c>
      <c r="F242" t="s">
        <v>538</v>
      </c>
      <c r="G242" t="s">
        <v>26</v>
      </c>
      <c r="H242" t="s">
        <v>535</v>
      </c>
      <c r="I242">
        <v>32</v>
      </c>
      <c r="J242">
        <v>35.200000000000003</v>
      </c>
      <c r="K242" t="s">
        <v>257</v>
      </c>
      <c r="L242" t="s">
        <v>258</v>
      </c>
      <c r="M242" t="s">
        <v>258</v>
      </c>
      <c r="N242" s="5">
        <v>0</v>
      </c>
    </row>
    <row r="243" spans="1:14" x14ac:dyDescent="0.25">
      <c r="A243" t="s">
        <v>784</v>
      </c>
      <c r="B243" t="s">
        <v>122</v>
      </c>
      <c r="C243" t="str">
        <f>_xlfn.XLOOKUP(Table6[[#This Row],[app_id]],Table5[app_id],Table5[app_name],"",0)</f>
        <v>SkillHub</v>
      </c>
      <c r="D243" t="str">
        <f>_xlfn.XLOOKUP(Table6[[#This Row],[app_id]],Table5[app_id],Table5[category],"",0)</f>
        <v>Education</v>
      </c>
      <c r="E243" t="s">
        <v>533</v>
      </c>
      <c r="F243" t="s">
        <v>628</v>
      </c>
      <c r="G243" t="s">
        <v>30</v>
      </c>
      <c r="H243" t="s">
        <v>535</v>
      </c>
      <c r="I243">
        <v>21</v>
      </c>
      <c r="J243">
        <v>20.7</v>
      </c>
      <c r="K243" t="s">
        <v>258</v>
      </c>
      <c r="L243" t="s">
        <v>258</v>
      </c>
      <c r="M243" t="s">
        <v>258</v>
      </c>
      <c r="N243" s="5">
        <v>0</v>
      </c>
    </row>
    <row r="244" spans="1:14" x14ac:dyDescent="0.25">
      <c r="A244" t="s">
        <v>785</v>
      </c>
      <c r="B244" t="s">
        <v>124</v>
      </c>
      <c r="C244" t="str">
        <f>_xlfn.XLOOKUP(Table6[[#This Row],[app_id]],Table5[app_id],Table5[app_name],"",0)</f>
        <v>TutorCloud</v>
      </c>
      <c r="D244" t="str">
        <f>_xlfn.XLOOKUP(Table6[[#This Row],[app_id]],Table5[app_id],Table5[category],"",0)</f>
        <v>Education</v>
      </c>
      <c r="E244" t="s">
        <v>533</v>
      </c>
      <c r="F244" t="s">
        <v>534</v>
      </c>
      <c r="G244" t="s">
        <v>61</v>
      </c>
      <c r="H244" t="s">
        <v>535</v>
      </c>
      <c r="I244">
        <v>28</v>
      </c>
      <c r="J244">
        <v>12.8</v>
      </c>
      <c r="K244" t="s">
        <v>258</v>
      </c>
      <c r="L244" t="s">
        <v>258</v>
      </c>
      <c r="M244" t="s">
        <v>258</v>
      </c>
      <c r="N244" s="5">
        <v>19.260000000000002</v>
      </c>
    </row>
    <row r="245" spans="1:14" x14ac:dyDescent="0.25">
      <c r="A245" t="s">
        <v>786</v>
      </c>
      <c r="B245" t="s">
        <v>126</v>
      </c>
      <c r="C245" t="str">
        <f>_xlfn.XLOOKUP(Table6[[#This Row],[app_id]],Table5[app_id],Table5[app_name],"",0)</f>
        <v>SkillOne</v>
      </c>
      <c r="D245" t="str">
        <f>_xlfn.XLOOKUP(Table6[[#This Row],[app_id]],Table5[app_id],Table5[category],"",0)</f>
        <v>Education</v>
      </c>
      <c r="E245" t="s">
        <v>546</v>
      </c>
      <c r="F245" t="s">
        <v>548</v>
      </c>
      <c r="G245" t="s">
        <v>35</v>
      </c>
      <c r="H245" t="s">
        <v>535</v>
      </c>
      <c r="I245">
        <v>82</v>
      </c>
      <c r="J245">
        <v>37.700000000000003</v>
      </c>
      <c r="K245" t="s">
        <v>257</v>
      </c>
      <c r="L245" t="s">
        <v>257</v>
      </c>
      <c r="M245" t="s">
        <v>258</v>
      </c>
      <c r="N245" s="5">
        <v>0</v>
      </c>
    </row>
    <row r="246" spans="1:14" x14ac:dyDescent="0.25">
      <c r="A246" t="s">
        <v>787</v>
      </c>
      <c r="B246" t="s">
        <v>128</v>
      </c>
      <c r="C246" t="str">
        <f>_xlfn.XLOOKUP(Table6[[#This Row],[app_id]],Table5[app_id],Table5[app_name],"",0)</f>
        <v>LearnOne</v>
      </c>
      <c r="D246" t="str">
        <f>_xlfn.XLOOKUP(Table6[[#This Row],[app_id]],Table5[app_id],Table5[category],"",0)</f>
        <v>Education</v>
      </c>
      <c r="E246" t="s">
        <v>533</v>
      </c>
      <c r="F246" t="s">
        <v>548</v>
      </c>
      <c r="G246" t="s">
        <v>35</v>
      </c>
      <c r="H246" t="s">
        <v>535</v>
      </c>
      <c r="I246">
        <v>15</v>
      </c>
      <c r="J246">
        <v>40</v>
      </c>
      <c r="K246" t="s">
        <v>258</v>
      </c>
      <c r="L246" t="s">
        <v>258</v>
      </c>
      <c r="M246" t="s">
        <v>257</v>
      </c>
      <c r="N246" s="5">
        <v>0</v>
      </c>
    </row>
    <row r="247" spans="1:14" x14ac:dyDescent="0.25">
      <c r="A247" t="s">
        <v>788</v>
      </c>
      <c r="B247" t="s">
        <v>130</v>
      </c>
      <c r="C247" t="str">
        <f>_xlfn.XLOOKUP(Table6[[#This Row],[app_id]],Table5[app_id],Table5[app_name],"",0)</f>
        <v>LearnPlus</v>
      </c>
      <c r="D247" t="str">
        <f>_xlfn.XLOOKUP(Table6[[#This Row],[app_id]],Table5[app_id],Table5[category],"",0)</f>
        <v>Education</v>
      </c>
      <c r="E247" t="s">
        <v>546</v>
      </c>
      <c r="F247" t="s">
        <v>538</v>
      </c>
      <c r="G247" t="s">
        <v>18</v>
      </c>
      <c r="H247" t="s">
        <v>535</v>
      </c>
      <c r="I247">
        <v>11</v>
      </c>
      <c r="J247">
        <v>38</v>
      </c>
      <c r="K247" t="s">
        <v>258</v>
      </c>
      <c r="L247" t="s">
        <v>258</v>
      </c>
      <c r="M247" t="s">
        <v>258</v>
      </c>
      <c r="N247" s="5">
        <v>0</v>
      </c>
    </row>
    <row r="248" spans="1:14" x14ac:dyDescent="0.25">
      <c r="A248" t="s">
        <v>789</v>
      </c>
      <c r="B248" t="s">
        <v>132</v>
      </c>
      <c r="C248" t="str">
        <f>_xlfn.XLOOKUP(Table6[[#This Row],[app_id]],Table5[app_id],Table5[app_name],"",0)</f>
        <v>StudyPlus</v>
      </c>
      <c r="D248" t="str">
        <f>_xlfn.XLOOKUP(Table6[[#This Row],[app_id]],Table5[app_id],Table5[category],"",0)</f>
        <v>Education</v>
      </c>
      <c r="E248" t="s">
        <v>533</v>
      </c>
      <c r="F248" t="s">
        <v>534</v>
      </c>
      <c r="G248" t="s">
        <v>69</v>
      </c>
      <c r="H248" t="s">
        <v>540</v>
      </c>
      <c r="I248">
        <v>25</v>
      </c>
      <c r="J248">
        <v>36.6</v>
      </c>
      <c r="K248" t="s">
        <v>258</v>
      </c>
      <c r="L248" t="s">
        <v>258</v>
      </c>
      <c r="M248" t="s">
        <v>258</v>
      </c>
      <c r="N248" s="5">
        <v>0</v>
      </c>
    </row>
    <row r="249" spans="1:14" x14ac:dyDescent="0.25">
      <c r="A249" t="s">
        <v>790</v>
      </c>
      <c r="B249" t="s">
        <v>134</v>
      </c>
      <c r="C249" t="str">
        <f>_xlfn.XLOOKUP(Table6[[#This Row],[app_id]],Table5[app_id],Table5[app_name],"",0)</f>
        <v>StudyX</v>
      </c>
      <c r="D249" t="str">
        <f>_xlfn.XLOOKUP(Table6[[#This Row],[app_id]],Table5[app_id],Table5[category],"",0)</f>
        <v>Education</v>
      </c>
      <c r="E249" t="s">
        <v>552</v>
      </c>
      <c r="F249" t="s">
        <v>538</v>
      </c>
      <c r="G249" t="s">
        <v>26</v>
      </c>
      <c r="H249" t="s">
        <v>535</v>
      </c>
      <c r="I249">
        <v>79</v>
      </c>
      <c r="J249">
        <v>11.5</v>
      </c>
      <c r="K249" t="s">
        <v>257</v>
      </c>
      <c r="L249" t="s">
        <v>258</v>
      </c>
      <c r="M249" t="s">
        <v>257</v>
      </c>
      <c r="N249" s="5">
        <v>0</v>
      </c>
    </row>
    <row r="250" spans="1:14" x14ac:dyDescent="0.25">
      <c r="A250" t="s">
        <v>791</v>
      </c>
      <c r="B250" t="s">
        <v>136</v>
      </c>
      <c r="C250" t="str">
        <f>_xlfn.XLOOKUP(Table6[[#This Row],[app_id]],Table5[app_id],Table5[app_name],"",0)</f>
        <v>PlayPlus</v>
      </c>
      <c r="D250" t="str">
        <f>_xlfn.XLOOKUP(Table6[[#This Row],[app_id]],Table5[app_id],Table5[category],"",0)</f>
        <v>Entertainment</v>
      </c>
      <c r="E250" t="s">
        <v>546</v>
      </c>
      <c r="F250" t="s">
        <v>538</v>
      </c>
      <c r="G250" t="s">
        <v>69</v>
      </c>
      <c r="H250" t="s">
        <v>535</v>
      </c>
      <c r="I250">
        <v>27</v>
      </c>
      <c r="J250">
        <v>27.3</v>
      </c>
      <c r="K250" t="s">
        <v>258</v>
      </c>
      <c r="L250" t="s">
        <v>257</v>
      </c>
      <c r="M250" t="s">
        <v>258</v>
      </c>
      <c r="N250" s="5">
        <v>0</v>
      </c>
    </row>
    <row r="251" spans="1:14" x14ac:dyDescent="0.25">
      <c r="A251" t="s">
        <v>792</v>
      </c>
      <c r="B251" t="s">
        <v>139</v>
      </c>
      <c r="C251" t="str">
        <f>_xlfn.XLOOKUP(Table6[[#This Row],[app_id]],Table5[app_id],Table5[app_name],"",0)</f>
        <v>ShowMate</v>
      </c>
      <c r="D251" t="str">
        <f>_xlfn.XLOOKUP(Table6[[#This Row],[app_id]],Table5[app_id],Table5[category],"",0)</f>
        <v>Entertainment</v>
      </c>
      <c r="E251" t="s">
        <v>557</v>
      </c>
      <c r="F251" t="s">
        <v>534</v>
      </c>
      <c r="G251" t="s">
        <v>69</v>
      </c>
      <c r="H251" t="s">
        <v>535</v>
      </c>
      <c r="I251">
        <v>1</v>
      </c>
      <c r="J251">
        <v>26.7</v>
      </c>
      <c r="K251" t="s">
        <v>258</v>
      </c>
      <c r="L251" t="s">
        <v>257</v>
      </c>
      <c r="M251" t="s">
        <v>258</v>
      </c>
      <c r="N251" s="5">
        <v>0</v>
      </c>
    </row>
    <row r="252" spans="1:14" x14ac:dyDescent="0.25">
      <c r="A252" t="s">
        <v>793</v>
      </c>
      <c r="B252" t="s">
        <v>141</v>
      </c>
      <c r="C252" t="str">
        <f>_xlfn.XLOOKUP(Table6[[#This Row],[app_id]],Table5[app_id],Table5[app_name],"",0)</f>
        <v>VibeX</v>
      </c>
      <c r="D252" t="str">
        <f>_xlfn.XLOOKUP(Table6[[#This Row],[app_id]],Table5[app_id],Table5[category],"",0)</f>
        <v>Entertainment</v>
      </c>
      <c r="E252" t="s">
        <v>546</v>
      </c>
      <c r="F252" t="s">
        <v>534</v>
      </c>
      <c r="G252" t="s">
        <v>69</v>
      </c>
      <c r="H252" t="s">
        <v>535</v>
      </c>
      <c r="I252">
        <v>53</v>
      </c>
      <c r="J252">
        <v>9.9</v>
      </c>
      <c r="K252" t="s">
        <v>257</v>
      </c>
      <c r="L252" t="s">
        <v>257</v>
      </c>
      <c r="M252" t="s">
        <v>258</v>
      </c>
      <c r="N252" s="5">
        <v>86.9</v>
      </c>
    </row>
    <row r="253" spans="1:14" x14ac:dyDescent="0.25">
      <c r="A253" t="s">
        <v>794</v>
      </c>
      <c r="B253" t="s">
        <v>143</v>
      </c>
      <c r="C253" t="str">
        <f>_xlfn.XLOOKUP(Table6[[#This Row],[app_id]],Table5[app_id],Table5[app_name],"",0)</f>
        <v>BuzzNow</v>
      </c>
      <c r="D253" t="str">
        <f>_xlfn.XLOOKUP(Table6[[#This Row],[app_id]],Table5[app_id],Table5[category],"",0)</f>
        <v>Entertainment</v>
      </c>
      <c r="E253" t="s">
        <v>546</v>
      </c>
      <c r="F253" t="s">
        <v>548</v>
      </c>
      <c r="G253" t="s">
        <v>23</v>
      </c>
      <c r="H253" t="s">
        <v>535</v>
      </c>
      <c r="I253">
        <v>27</v>
      </c>
      <c r="J253">
        <v>18.8</v>
      </c>
      <c r="K253" t="s">
        <v>257</v>
      </c>
      <c r="L253" t="s">
        <v>258</v>
      </c>
      <c r="M253" t="s">
        <v>257</v>
      </c>
      <c r="N253" s="5">
        <v>0</v>
      </c>
    </row>
    <row r="254" spans="1:14" x14ac:dyDescent="0.25">
      <c r="A254" t="s">
        <v>795</v>
      </c>
      <c r="B254" t="s">
        <v>145</v>
      </c>
      <c r="C254" t="str">
        <f>_xlfn.XLOOKUP(Table6[[#This Row],[app_id]],Table5[app_id],Table5[app_name],"",0)</f>
        <v>StreamPlus</v>
      </c>
      <c r="D254" t="str">
        <f>_xlfn.XLOOKUP(Table6[[#This Row],[app_id]],Table5[app_id],Table5[category],"",0)</f>
        <v>Entertainment</v>
      </c>
      <c r="E254" t="s">
        <v>557</v>
      </c>
      <c r="F254" t="s">
        <v>548</v>
      </c>
      <c r="G254" t="s">
        <v>23</v>
      </c>
      <c r="H254" t="s">
        <v>535</v>
      </c>
      <c r="I254">
        <v>19</v>
      </c>
      <c r="J254">
        <v>15.3</v>
      </c>
      <c r="K254" t="s">
        <v>257</v>
      </c>
      <c r="L254" t="s">
        <v>258</v>
      </c>
      <c r="M254" t="s">
        <v>258</v>
      </c>
      <c r="N254" s="5">
        <v>0</v>
      </c>
    </row>
    <row r="255" spans="1:14" x14ac:dyDescent="0.25">
      <c r="A255" t="s">
        <v>796</v>
      </c>
      <c r="B255" t="s">
        <v>147</v>
      </c>
      <c r="C255" t="str">
        <f>_xlfn.XLOOKUP(Table6[[#This Row],[app_id]],Table5[app_id],Table5[app_name],"",0)</f>
        <v>Showly</v>
      </c>
      <c r="D255" t="str">
        <f>_xlfn.XLOOKUP(Table6[[#This Row],[app_id]],Table5[app_id],Table5[category],"",0)</f>
        <v>Entertainment</v>
      </c>
      <c r="E255" t="s">
        <v>537</v>
      </c>
      <c r="F255" t="s">
        <v>534</v>
      </c>
      <c r="G255" t="s">
        <v>35</v>
      </c>
      <c r="H255" t="s">
        <v>535</v>
      </c>
      <c r="I255">
        <v>23</v>
      </c>
      <c r="J255">
        <v>25.7</v>
      </c>
      <c r="K255" t="s">
        <v>258</v>
      </c>
      <c r="L255" t="s">
        <v>258</v>
      </c>
      <c r="M255" t="s">
        <v>257</v>
      </c>
      <c r="N255" s="5">
        <v>0</v>
      </c>
    </row>
    <row r="256" spans="1:14" x14ac:dyDescent="0.25">
      <c r="A256" t="s">
        <v>797</v>
      </c>
      <c r="B256" t="s">
        <v>149</v>
      </c>
      <c r="C256" t="str">
        <f>_xlfn.XLOOKUP(Table6[[#This Row],[app_id]],Table5[app_id],Table5[app_name],"",0)</f>
        <v>BuzzOne</v>
      </c>
      <c r="D256" t="str">
        <f>_xlfn.XLOOKUP(Table6[[#This Row],[app_id]],Table5[app_id],Table5[category],"",0)</f>
        <v>Entertainment</v>
      </c>
      <c r="E256" t="s">
        <v>533</v>
      </c>
      <c r="F256" t="s">
        <v>534</v>
      </c>
      <c r="G256" t="s">
        <v>18</v>
      </c>
      <c r="H256" t="s">
        <v>535</v>
      </c>
      <c r="I256">
        <v>84</v>
      </c>
      <c r="J256">
        <v>20.6</v>
      </c>
      <c r="K256" t="s">
        <v>257</v>
      </c>
      <c r="L256" t="s">
        <v>257</v>
      </c>
      <c r="M256" t="s">
        <v>258</v>
      </c>
      <c r="N256" s="5">
        <v>0</v>
      </c>
    </row>
    <row r="257" spans="1:14" x14ac:dyDescent="0.25">
      <c r="A257" t="s">
        <v>798</v>
      </c>
      <c r="B257" t="s">
        <v>151</v>
      </c>
      <c r="C257" t="str">
        <f>_xlfn.XLOOKUP(Table6[[#This Row],[app_id]],Table5[app_id],Table5[app_name],"",0)</f>
        <v>PlayHub</v>
      </c>
      <c r="D257" t="str">
        <f>_xlfn.XLOOKUP(Table6[[#This Row],[app_id]],Table5[app_id],Table5[category],"",0)</f>
        <v>Entertainment</v>
      </c>
      <c r="E257" t="s">
        <v>533</v>
      </c>
      <c r="F257" t="s">
        <v>534</v>
      </c>
      <c r="G257" t="s">
        <v>30</v>
      </c>
      <c r="H257" t="s">
        <v>540</v>
      </c>
      <c r="I257">
        <v>44</v>
      </c>
      <c r="J257">
        <v>30.2</v>
      </c>
      <c r="K257" t="s">
        <v>257</v>
      </c>
      <c r="L257" t="s">
        <v>257</v>
      </c>
      <c r="M257" t="s">
        <v>258</v>
      </c>
      <c r="N257" s="5">
        <v>0</v>
      </c>
    </row>
    <row r="258" spans="1:14" x14ac:dyDescent="0.25">
      <c r="A258" t="s">
        <v>799</v>
      </c>
      <c r="B258" t="s">
        <v>153</v>
      </c>
      <c r="C258" t="str">
        <f>_xlfn.XLOOKUP(Table6[[#This Row],[app_id]],Table5[app_id],Table5[app_name],"",0)</f>
        <v>CinemaGo</v>
      </c>
      <c r="D258" t="str">
        <f>_xlfn.XLOOKUP(Table6[[#This Row],[app_id]],Table5[app_id],Table5[category],"",0)</f>
        <v>Entertainment</v>
      </c>
      <c r="E258" t="s">
        <v>537</v>
      </c>
      <c r="F258" t="s">
        <v>534</v>
      </c>
      <c r="G258" t="s">
        <v>26</v>
      </c>
      <c r="H258" t="s">
        <v>535</v>
      </c>
      <c r="I258">
        <v>57</v>
      </c>
      <c r="J258">
        <v>16.600000000000001</v>
      </c>
      <c r="K258" t="s">
        <v>257</v>
      </c>
      <c r="L258" t="s">
        <v>257</v>
      </c>
      <c r="M258" t="s">
        <v>258</v>
      </c>
      <c r="N258" s="5">
        <v>0</v>
      </c>
    </row>
    <row r="259" spans="1:14" x14ac:dyDescent="0.25">
      <c r="A259" t="s">
        <v>800</v>
      </c>
      <c r="B259" t="s">
        <v>155</v>
      </c>
      <c r="C259" t="str">
        <f>_xlfn.XLOOKUP(Table6[[#This Row],[app_id]],Table5[app_id],Table5[app_name],"",0)</f>
        <v>LaughX</v>
      </c>
      <c r="D259" t="str">
        <f>_xlfn.XLOOKUP(Table6[[#This Row],[app_id]],Table5[app_id],Table5[category],"",0)</f>
        <v>Entertainment</v>
      </c>
      <c r="E259" t="s">
        <v>537</v>
      </c>
      <c r="F259" t="s">
        <v>534</v>
      </c>
      <c r="G259" t="s">
        <v>30</v>
      </c>
      <c r="H259" t="s">
        <v>535</v>
      </c>
      <c r="I259">
        <v>42</v>
      </c>
      <c r="J259">
        <v>34</v>
      </c>
      <c r="K259" t="s">
        <v>257</v>
      </c>
      <c r="L259" t="s">
        <v>257</v>
      </c>
      <c r="M259" t="s">
        <v>258</v>
      </c>
      <c r="N259" s="5">
        <v>0</v>
      </c>
    </row>
    <row r="260" spans="1:14" x14ac:dyDescent="0.25">
      <c r="A260" t="s">
        <v>801</v>
      </c>
      <c r="B260" t="s">
        <v>157</v>
      </c>
      <c r="C260" t="str">
        <f>_xlfn.XLOOKUP(Table6[[#This Row],[app_id]],Table5[app_id],Table5[app_name],"",0)</f>
        <v>CinemaHub</v>
      </c>
      <c r="D260" t="str">
        <f>_xlfn.XLOOKUP(Table6[[#This Row],[app_id]],Table5[app_id],Table5[category],"",0)</f>
        <v>Entertainment</v>
      </c>
      <c r="E260" t="s">
        <v>533</v>
      </c>
      <c r="F260" t="s">
        <v>538</v>
      </c>
      <c r="G260" t="s">
        <v>18</v>
      </c>
      <c r="H260" t="s">
        <v>535</v>
      </c>
      <c r="I260">
        <v>23</v>
      </c>
      <c r="J260">
        <v>25.8</v>
      </c>
      <c r="K260" t="s">
        <v>258</v>
      </c>
      <c r="L260" t="s">
        <v>257</v>
      </c>
      <c r="M260" t="s">
        <v>258</v>
      </c>
      <c r="N260" s="5">
        <v>0</v>
      </c>
    </row>
    <row r="261" spans="1:14" x14ac:dyDescent="0.25">
      <c r="A261" t="s">
        <v>802</v>
      </c>
      <c r="B261" t="s">
        <v>159</v>
      </c>
      <c r="C261" t="str">
        <f>_xlfn.XLOOKUP(Table6[[#This Row],[app_id]],Table5[app_id],Table5[app_name],"",0)</f>
        <v>ShowPro</v>
      </c>
      <c r="D261" t="str">
        <f>_xlfn.XLOOKUP(Table6[[#This Row],[app_id]],Table5[app_id],Table5[category],"",0)</f>
        <v>Entertainment</v>
      </c>
      <c r="E261" t="s">
        <v>533</v>
      </c>
      <c r="F261" t="s">
        <v>538</v>
      </c>
      <c r="G261" t="s">
        <v>18</v>
      </c>
      <c r="H261" t="s">
        <v>535</v>
      </c>
      <c r="I261">
        <v>28</v>
      </c>
      <c r="J261">
        <v>28.3</v>
      </c>
      <c r="K261" t="s">
        <v>258</v>
      </c>
      <c r="L261" t="s">
        <v>257</v>
      </c>
      <c r="M261" t="s">
        <v>258</v>
      </c>
      <c r="N261" s="5">
        <v>0</v>
      </c>
    </row>
    <row r="262" spans="1:14" x14ac:dyDescent="0.25">
      <c r="A262" t="s">
        <v>803</v>
      </c>
      <c r="B262" t="s">
        <v>161</v>
      </c>
      <c r="C262" t="str">
        <f>_xlfn.XLOOKUP(Table6[[#This Row],[app_id]],Table5[app_id],Table5[app_name],"",0)</f>
        <v>FoodPlus</v>
      </c>
      <c r="D262" t="str">
        <f>_xlfn.XLOOKUP(Table6[[#This Row],[app_id]],Table5[app_id],Table5[category],"",0)</f>
        <v>Food Delivery</v>
      </c>
      <c r="E262" t="s">
        <v>537</v>
      </c>
      <c r="F262" t="s">
        <v>534</v>
      </c>
      <c r="G262" t="s">
        <v>61</v>
      </c>
      <c r="H262" t="s">
        <v>535</v>
      </c>
      <c r="I262">
        <v>46</v>
      </c>
      <c r="J262">
        <v>22.2</v>
      </c>
      <c r="K262" t="s">
        <v>257</v>
      </c>
      <c r="L262" t="s">
        <v>257</v>
      </c>
      <c r="M262" t="s">
        <v>258</v>
      </c>
      <c r="N262" s="5">
        <v>0</v>
      </c>
    </row>
    <row r="263" spans="1:14" x14ac:dyDescent="0.25">
      <c r="A263" t="s">
        <v>804</v>
      </c>
      <c r="B263" t="s">
        <v>164</v>
      </c>
      <c r="C263" t="str">
        <f>_xlfn.XLOOKUP(Table6[[#This Row],[app_id]],Table5[app_id],Table5[app_name],"",0)</f>
        <v>BiteGo</v>
      </c>
      <c r="D263" t="str">
        <f>_xlfn.XLOOKUP(Table6[[#This Row],[app_id]],Table5[app_id],Table5[category],"",0)</f>
        <v>Food Delivery</v>
      </c>
      <c r="E263" t="s">
        <v>537</v>
      </c>
      <c r="F263" t="s">
        <v>538</v>
      </c>
      <c r="G263" t="s">
        <v>30</v>
      </c>
      <c r="H263" t="s">
        <v>535</v>
      </c>
      <c r="I263">
        <v>82</v>
      </c>
      <c r="J263">
        <v>12.6</v>
      </c>
      <c r="K263" t="s">
        <v>257</v>
      </c>
      <c r="L263" t="s">
        <v>257</v>
      </c>
      <c r="M263" t="s">
        <v>258</v>
      </c>
      <c r="N263" s="5">
        <v>0</v>
      </c>
    </row>
    <row r="264" spans="1:14" x14ac:dyDescent="0.25">
      <c r="A264" t="s">
        <v>805</v>
      </c>
      <c r="B264" t="s">
        <v>166</v>
      </c>
      <c r="C264" t="str">
        <f>_xlfn.XLOOKUP(Table6[[#This Row],[app_id]],Table5[app_id],Table5[app_name],"",0)</f>
        <v>OrderCloud</v>
      </c>
      <c r="D264" t="str">
        <f>_xlfn.XLOOKUP(Table6[[#This Row],[app_id]],Table5[app_id],Table5[category],"",0)</f>
        <v>Food Delivery</v>
      </c>
      <c r="E264" t="s">
        <v>546</v>
      </c>
      <c r="F264" t="s">
        <v>538</v>
      </c>
      <c r="G264" t="s">
        <v>26</v>
      </c>
      <c r="H264" t="s">
        <v>535</v>
      </c>
      <c r="I264">
        <v>21</v>
      </c>
      <c r="J264">
        <v>13.4</v>
      </c>
      <c r="K264" t="s">
        <v>258</v>
      </c>
      <c r="L264" t="s">
        <v>257</v>
      </c>
      <c r="M264" t="s">
        <v>258</v>
      </c>
      <c r="N264" s="5">
        <v>0</v>
      </c>
    </row>
    <row r="265" spans="1:14" x14ac:dyDescent="0.25">
      <c r="A265" t="s">
        <v>806</v>
      </c>
      <c r="B265" t="s">
        <v>168</v>
      </c>
      <c r="C265" t="str">
        <f>_xlfn.XLOOKUP(Table6[[#This Row],[app_id]],Table5[app_id],Table5[app_name],"",0)</f>
        <v>DinePlus</v>
      </c>
      <c r="D265" t="str">
        <f>_xlfn.XLOOKUP(Table6[[#This Row],[app_id]],Table5[app_id],Table5[category],"",0)</f>
        <v>Food Delivery</v>
      </c>
      <c r="E265" t="s">
        <v>552</v>
      </c>
      <c r="F265" t="s">
        <v>538</v>
      </c>
      <c r="G265" t="s">
        <v>61</v>
      </c>
      <c r="H265" t="s">
        <v>535</v>
      </c>
      <c r="I265">
        <v>64</v>
      </c>
      <c r="J265">
        <v>21.3</v>
      </c>
      <c r="K265" t="s">
        <v>257</v>
      </c>
      <c r="L265" t="s">
        <v>257</v>
      </c>
      <c r="M265" t="s">
        <v>258</v>
      </c>
      <c r="N265" s="5">
        <v>0</v>
      </c>
    </row>
    <row r="266" spans="1:14" x14ac:dyDescent="0.25">
      <c r="A266" t="s">
        <v>807</v>
      </c>
      <c r="B266" t="s">
        <v>170</v>
      </c>
      <c r="C266" t="str">
        <f>_xlfn.XLOOKUP(Table6[[#This Row],[app_id]],Table5[app_id],Table5[app_name],"",0)</f>
        <v>SnackX</v>
      </c>
      <c r="D266" t="str">
        <f>_xlfn.XLOOKUP(Table6[[#This Row],[app_id]],Table5[app_id],Table5[category],"",0)</f>
        <v>Food Delivery</v>
      </c>
      <c r="E266" t="s">
        <v>533</v>
      </c>
      <c r="F266" t="s">
        <v>538</v>
      </c>
      <c r="G266" t="s">
        <v>23</v>
      </c>
      <c r="H266" t="s">
        <v>535</v>
      </c>
      <c r="I266">
        <v>36</v>
      </c>
      <c r="J266">
        <v>19</v>
      </c>
      <c r="K266" t="s">
        <v>257</v>
      </c>
      <c r="L266" t="s">
        <v>257</v>
      </c>
      <c r="M266" t="s">
        <v>258</v>
      </c>
      <c r="N266" s="5">
        <v>90.95</v>
      </c>
    </row>
    <row r="267" spans="1:14" x14ac:dyDescent="0.25">
      <c r="A267" t="s">
        <v>808</v>
      </c>
      <c r="B267" t="s">
        <v>172</v>
      </c>
      <c r="C267" t="str">
        <f>_xlfn.XLOOKUP(Table6[[#This Row],[app_id]],Table5[app_id],Table5[app_name],"",0)</f>
        <v>FoodOne</v>
      </c>
      <c r="D267" t="str">
        <f>_xlfn.XLOOKUP(Table6[[#This Row],[app_id]],Table5[app_id],Table5[category],"",0)</f>
        <v>Food Delivery</v>
      </c>
      <c r="E267" t="s">
        <v>533</v>
      </c>
      <c r="F267" t="s">
        <v>538</v>
      </c>
      <c r="G267" t="s">
        <v>18</v>
      </c>
      <c r="H267" t="s">
        <v>535</v>
      </c>
      <c r="I267">
        <v>71</v>
      </c>
      <c r="J267">
        <v>18.7</v>
      </c>
      <c r="K267" t="s">
        <v>257</v>
      </c>
      <c r="L267" t="s">
        <v>257</v>
      </c>
      <c r="M267" t="s">
        <v>258</v>
      </c>
      <c r="N267" s="5">
        <v>0</v>
      </c>
    </row>
    <row r="268" spans="1:14" x14ac:dyDescent="0.25">
      <c r="A268" t="s">
        <v>809</v>
      </c>
      <c r="B268" t="s">
        <v>174</v>
      </c>
      <c r="C268" t="str">
        <f>_xlfn.XLOOKUP(Table6[[#This Row],[app_id]],Table5[app_id],Table5[app_name],"",0)</f>
        <v>MealMate</v>
      </c>
      <c r="D268" t="str">
        <f>_xlfn.XLOOKUP(Table6[[#This Row],[app_id]],Table5[app_id],Table5[category],"",0)</f>
        <v>Food Delivery</v>
      </c>
      <c r="E268" t="s">
        <v>533</v>
      </c>
      <c r="F268" t="s">
        <v>538</v>
      </c>
      <c r="G268" t="s">
        <v>61</v>
      </c>
      <c r="H268" t="s">
        <v>535</v>
      </c>
      <c r="I268">
        <v>64</v>
      </c>
      <c r="J268">
        <v>23.4</v>
      </c>
      <c r="K268" t="s">
        <v>257</v>
      </c>
      <c r="L268" t="s">
        <v>258</v>
      </c>
      <c r="M268" t="s">
        <v>258</v>
      </c>
      <c r="N268" s="5">
        <v>0</v>
      </c>
    </row>
    <row r="269" spans="1:14" x14ac:dyDescent="0.25">
      <c r="A269" t="s">
        <v>810</v>
      </c>
      <c r="B269" t="s">
        <v>176</v>
      </c>
      <c r="C269" t="str">
        <f>_xlfn.XLOOKUP(Table6[[#This Row],[app_id]],Table5[app_id],Table5[app_name],"",0)</f>
        <v>SnackHub</v>
      </c>
      <c r="D269" t="str">
        <f>_xlfn.XLOOKUP(Table6[[#This Row],[app_id]],Table5[app_id],Table5[category],"",0)</f>
        <v>Food Delivery</v>
      </c>
      <c r="E269" t="s">
        <v>537</v>
      </c>
      <c r="F269" t="s">
        <v>538</v>
      </c>
      <c r="G269" t="s">
        <v>69</v>
      </c>
      <c r="H269" t="s">
        <v>535</v>
      </c>
      <c r="I269">
        <v>28</v>
      </c>
      <c r="J269">
        <v>9</v>
      </c>
      <c r="K269" t="s">
        <v>258</v>
      </c>
      <c r="L269" t="s">
        <v>257</v>
      </c>
      <c r="M269" t="s">
        <v>258</v>
      </c>
      <c r="N269" s="5">
        <v>0</v>
      </c>
    </row>
    <row r="270" spans="1:14" x14ac:dyDescent="0.25">
      <c r="A270" t="s">
        <v>811</v>
      </c>
      <c r="B270" t="s">
        <v>178</v>
      </c>
      <c r="C270" t="str">
        <f>_xlfn.XLOOKUP(Table6[[#This Row],[app_id]],Table5[app_id],Table5[app_name],"",0)</f>
        <v>BiteCloud</v>
      </c>
      <c r="D270" t="str">
        <f>_xlfn.XLOOKUP(Table6[[#This Row],[app_id]],Table5[app_id],Table5[category],"",0)</f>
        <v>Food Delivery</v>
      </c>
      <c r="E270" t="s">
        <v>533</v>
      </c>
      <c r="F270" t="s">
        <v>538</v>
      </c>
      <c r="G270" t="s">
        <v>30</v>
      </c>
      <c r="H270" t="s">
        <v>535</v>
      </c>
      <c r="I270">
        <v>27</v>
      </c>
      <c r="J270">
        <v>19.8</v>
      </c>
      <c r="K270" t="s">
        <v>257</v>
      </c>
      <c r="L270" t="s">
        <v>257</v>
      </c>
      <c r="M270" t="s">
        <v>258</v>
      </c>
      <c r="N270" s="5">
        <v>0</v>
      </c>
    </row>
    <row r="271" spans="1:14" x14ac:dyDescent="0.25">
      <c r="A271" t="s">
        <v>812</v>
      </c>
      <c r="B271" t="s">
        <v>180</v>
      </c>
      <c r="C271" t="str">
        <f>_xlfn.XLOOKUP(Table6[[#This Row],[app_id]],Table5[app_id],Table5[app_name],"",0)</f>
        <v>PlatePlus</v>
      </c>
      <c r="D271" t="str">
        <f>_xlfn.XLOOKUP(Table6[[#This Row],[app_id]],Table5[app_id],Table5[category],"",0)</f>
        <v>Food Delivery</v>
      </c>
      <c r="E271" t="s">
        <v>537</v>
      </c>
      <c r="F271" t="s">
        <v>534</v>
      </c>
      <c r="G271" t="s">
        <v>35</v>
      </c>
      <c r="H271" t="s">
        <v>535</v>
      </c>
      <c r="I271">
        <v>15</v>
      </c>
      <c r="J271">
        <v>23.1</v>
      </c>
      <c r="K271" t="s">
        <v>258</v>
      </c>
      <c r="L271" t="s">
        <v>258</v>
      </c>
      <c r="M271" t="s">
        <v>258</v>
      </c>
      <c r="N271" s="5">
        <v>0</v>
      </c>
    </row>
    <row r="272" spans="1:14" x14ac:dyDescent="0.25">
      <c r="A272" t="s">
        <v>813</v>
      </c>
      <c r="B272" t="s">
        <v>182</v>
      </c>
      <c r="C272" t="str">
        <f>_xlfn.XLOOKUP(Table6[[#This Row],[app_id]],Table5[app_id],Table5[app_name],"",0)</f>
        <v>VoyageGo</v>
      </c>
      <c r="D272" t="str">
        <f>_xlfn.XLOOKUP(Table6[[#This Row],[app_id]],Table5[app_id],Table5[category],"",0)</f>
        <v>Travel</v>
      </c>
      <c r="E272" t="s">
        <v>533</v>
      </c>
      <c r="F272" t="s">
        <v>534</v>
      </c>
      <c r="G272" t="s">
        <v>35</v>
      </c>
      <c r="H272" t="s">
        <v>535</v>
      </c>
      <c r="I272">
        <v>6</v>
      </c>
      <c r="J272">
        <v>12.9</v>
      </c>
      <c r="K272" t="s">
        <v>258</v>
      </c>
      <c r="L272" t="s">
        <v>258</v>
      </c>
      <c r="M272" t="s">
        <v>258</v>
      </c>
      <c r="N272" s="5">
        <v>0</v>
      </c>
    </row>
    <row r="273" spans="1:14" x14ac:dyDescent="0.25">
      <c r="A273" t="s">
        <v>814</v>
      </c>
      <c r="B273" t="s">
        <v>185</v>
      </c>
      <c r="C273" t="str">
        <f>_xlfn.XLOOKUP(Table6[[#This Row],[app_id]],Table5[app_id],Table5[app_name],"",0)</f>
        <v>TripOne</v>
      </c>
      <c r="D273" t="str">
        <f>_xlfn.XLOOKUP(Table6[[#This Row],[app_id]],Table5[app_id],Table5[category],"",0)</f>
        <v>Travel</v>
      </c>
      <c r="E273" t="s">
        <v>533</v>
      </c>
      <c r="F273" t="s">
        <v>538</v>
      </c>
      <c r="G273" t="s">
        <v>18</v>
      </c>
      <c r="H273" t="s">
        <v>535</v>
      </c>
      <c r="I273">
        <v>45</v>
      </c>
      <c r="J273">
        <v>17.2</v>
      </c>
      <c r="K273" t="s">
        <v>257</v>
      </c>
      <c r="L273" t="s">
        <v>257</v>
      </c>
      <c r="M273" t="s">
        <v>258</v>
      </c>
      <c r="N273" s="5">
        <v>0</v>
      </c>
    </row>
    <row r="274" spans="1:14" x14ac:dyDescent="0.25">
      <c r="A274" t="s">
        <v>815</v>
      </c>
      <c r="B274" t="s">
        <v>187</v>
      </c>
      <c r="C274" t="str">
        <f>_xlfn.XLOOKUP(Table6[[#This Row],[app_id]],Table5[app_id],Table5[app_name],"",0)</f>
        <v>FlyGo</v>
      </c>
      <c r="D274" t="str">
        <f>_xlfn.XLOOKUP(Table6[[#This Row],[app_id]],Table5[app_id],Table5[category],"",0)</f>
        <v>Travel</v>
      </c>
      <c r="E274" t="s">
        <v>533</v>
      </c>
      <c r="F274" t="s">
        <v>534</v>
      </c>
      <c r="G274" t="s">
        <v>69</v>
      </c>
      <c r="H274" t="s">
        <v>535</v>
      </c>
      <c r="I274">
        <v>70</v>
      </c>
      <c r="J274">
        <v>15.6</v>
      </c>
      <c r="K274" t="s">
        <v>257</v>
      </c>
      <c r="L274" t="s">
        <v>258</v>
      </c>
      <c r="M274" t="s">
        <v>257</v>
      </c>
      <c r="N274" s="5">
        <v>0</v>
      </c>
    </row>
    <row r="275" spans="1:14" x14ac:dyDescent="0.25">
      <c r="A275" t="s">
        <v>816</v>
      </c>
      <c r="B275" t="s">
        <v>189</v>
      </c>
      <c r="C275" t="str">
        <f>_xlfn.XLOOKUP(Table6[[#This Row],[app_id]],Table5[app_id],Table5[app_name],"",0)</f>
        <v>MapX</v>
      </c>
      <c r="D275" t="str">
        <f>_xlfn.XLOOKUP(Table6[[#This Row],[app_id]],Table5[app_id],Table5[category],"",0)</f>
        <v>Travel</v>
      </c>
      <c r="E275" t="s">
        <v>557</v>
      </c>
      <c r="F275" t="s">
        <v>538</v>
      </c>
      <c r="G275" t="s">
        <v>26</v>
      </c>
      <c r="H275" t="s">
        <v>535</v>
      </c>
      <c r="I275">
        <v>6</v>
      </c>
      <c r="J275">
        <v>11.5</v>
      </c>
      <c r="K275" t="s">
        <v>258</v>
      </c>
      <c r="L275" t="s">
        <v>257</v>
      </c>
      <c r="M275" t="s">
        <v>258</v>
      </c>
      <c r="N275" s="5">
        <v>0</v>
      </c>
    </row>
    <row r="276" spans="1:14" x14ac:dyDescent="0.25">
      <c r="A276" t="s">
        <v>817</v>
      </c>
      <c r="B276" t="s">
        <v>191</v>
      </c>
      <c r="C276" t="str">
        <f>_xlfn.XLOOKUP(Table6[[#This Row],[app_id]],Table5[app_id],Table5[app_name],"",0)</f>
        <v>StayX</v>
      </c>
      <c r="D276" t="str">
        <f>_xlfn.XLOOKUP(Table6[[#This Row],[app_id]],Table5[app_id],Table5[category],"",0)</f>
        <v>Travel</v>
      </c>
      <c r="E276" t="s">
        <v>533</v>
      </c>
      <c r="F276" t="s">
        <v>538</v>
      </c>
      <c r="G276" t="s">
        <v>30</v>
      </c>
      <c r="H276" t="s">
        <v>535</v>
      </c>
      <c r="I276">
        <v>40</v>
      </c>
      <c r="J276">
        <v>12</v>
      </c>
      <c r="K276" t="s">
        <v>257</v>
      </c>
      <c r="L276" t="s">
        <v>257</v>
      </c>
      <c r="M276" t="s">
        <v>258</v>
      </c>
      <c r="N276" s="5">
        <v>0</v>
      </c>
    </row>
    <row r="277" spans="1:14" x14ac:dyDescent="0.25">
      <c r="A277" t="s">
        <v>818</v>
      </c>
      <c r="B277" t="s">
        <v>193</v>
      </c>
      <c r="C277" t="str">
        <f>_xlfn.XLOOKUP(Table6[[#This Row],[app_id]],Table5[app_id],Table5[app_name],"",0)</f>
        <v>GoNow</v>
      </c>
      <c r="D277" t="str">
        <f>_xlfn.XLOOKUP(Table6[[#This Row],[app_id]],Table5[app_id],Table5[category],"",0)</f>
        <v>Travel</v>
      </c>
      <c r="E277" t="s">
        <v>557</v>
      </c>
      <c r="F277" t="s">
        <v>534</v>
      </c>
      <c r="G277" t="s">
        <v>23</v>
      </c>
      <c r="H277" t="s">
        <v>535</v>
      </c>
      <c r="I277">
        <v>78</v>
      </c>
      <c r="J277">
        <v>23.1</v>
      </c>
      <c r="K277" t="s">
        <v>257</v>
      </c>
      <c r="L277" t="s">
        <v>257</v>
      </c>
      <c r="M277" t="s">
        <v>258</v>
      </c>
      <c r="N277" s="5">
        <v>40.799999999999997</v>
      </c>
    </row>
    <row r="278" spans="1:14" x14ac:dyDescent="0.25">
      <c r="A278" t="s">
        <v>819</v>
      </c>
      <c r="B278" t="s">
        <v>195</v>
      </c>
      <c r="C278" t="str">
        <f>_xlfn.XLOOKUP(Table6[[#This Row],[app_id]],Table5[app_id],Table5[app_name],"",0)</f>
        <v>RouteGo</v>
      </c>
      <c r="D278" t="str">
        <f>_xlfn.XLOOKUP(Table6[[#This Row],[app_id]],Table5[app_id],Table5[category],"",0)</f>
        <v>Travel</v>
      </c>
      <c r="E278" t="s">
        <v>546</v>
      </c>
      <c r="F278" t="s">
        <v>534</v>
      </c>
      <c r="G278" t="s">
        <v>30</v>
      </c>
      <c r="H278" t="s">
        <v>540</v>
      </c>
      <c r="I278">
        <v>3</v>
      </c>
      <c r="J278">
        <v>7.5</v>
      </c>
      <c r="K278" t="s">
        <v>258</v>
      </c>
      <c r="L278" t="s">
        <v>257</v>
      </c>
      <c r="M278" t="s">
        <v>258</v>
      </c>
      <c r="N278" s="5">
        <v>0</v>
      </c>
    </row>
    <row r="279" spans="1:14" x14ac:dyDescent="0.25">
      <c r="A279" t="s">
        <v>820</v>
      </c>
      <c r="B279" t="s">
        <v>197</v>
      </c>
      <c r="C279" t="str">
        <f>_xlfn.XLOOKUP(Table6[[#This Row],[app_id]],Table5[app_id],Table5[app_name],"",0)</f>
        <v>TripGo</v>
      </c>
      <c r="D279" t="str">
        <f>_xlfn.XLOOKUP(Table6[[#This Row],[app_id]],Table5[app_id],Table5[category],"",0)</f>
        <v>Travel</v>
      </c>
      <c r="E279" t="s">
        <v>557</v>
      </c>
      <c r="F279" t="s">
        <v>534</v>
      </c>
      <c r="G279" t="s">
        <v>61</v>
      </c>
      <c r="H279" t="s">
        <v>535</v>
      </c>
      <c r="I279">
        <v>4</v>
      </c>
      <c r="J279">
        <v>4.4000000000000004</v>
      </c>
      <c r="K279" t="s">
        <v>258</v>
      </c>
      <c r="L279" t="s">
        <v>257</v>
      </c>
      <c r="M279" t="s">
        <v>258</v>
      </c>
      <c r="N279" s="5">
        <v>0</v>
      </c>
    </row>
    <row r="280" spans="1:14" x14ac:dyDescent="0.25">
      <c r="A280" t="s">
        <v>821</v>
      </c>
      <c r="B280" t="s">
        <v>199</v>
      </c>
      <c r="C280" t="str">
        <f>_xlfn.XLOOKUP(Table6[[#This Row],[app_id]],Table5[app_id],Table5[app_name],"",0)</f>
        <v>Flyly</v>
      </c>
      <c r="D280" t="str">
        <f>_xlfn.XLOOKUP(Table6[[#This Row],[app_id]],Table5[app_id],Table5[category],"",0)</f>
        <v>Travel</v>
      </c>
      <c r="E280" t="s">
        <v>546</v>
      </c>
      <c r="F280" t="s">
        <v>538</v>
      </c>
      <c r="G280" t="s">
        <v>35</v>
      </c>
      <c r="H280" t="s">
        <v>535</v>
      </c>
      <c r="I280">
        <v>46</v>
      </c>
      <c r="J280">
        <v>7.7</v>
      </c>
      <c r="K280" t="s">
        <v>257</v>
      </c>
      <c r="L280" t="s">
        <v>257</v>
      </c>
      <c r="M280" t="s">
        <v>258</v>
      </c>
      <c r="N280" s="5">
        <v>0</v>
      </c>
    </row>
    <row r="281" spans="1:14" x14ac:dyDescent="0.25">
      <c r="A281" t="s">
        <v>822</v>
      </c>
      <c r="B281" t="s">
        <v>201</v>
      </c>
      <c r="C281" t="str">
        <f>_xlfn.XLOOKUP(Table6[[#This Row],[app_id]],Table5[app_id],Table5[app_name],"",0)</f>
        <v>TripPro</v>
      </c>
      <c r="D281" t="str">
        <f>_xlfn.XLOOKUP(Table6[[#This Row],[app_id]],Table5[app_id],Table5[category],"",0)</f>
        <v>Travel</v>
      </c>
      <c r="E281" t="s">
        <v>546</v>
      </c>
      <c r="F281" t="s">
        <v>538</v>
      </c>
      <c r="G281" t="s">
        <v>18</v>
      </c>
      <c r="H281" t="s">
        <v>535</v>
      </c>
      <c r="I281">
        <v>36</v>
      </c>
      <c r="J281">
        <v>20.3</v>
      </c>
      <c r="K281" t="s">
        <v>257</v>
      </c>
      <c r="L281" t="s">
        <v>257</v>
      </c>
      <c r="M281" t="s">
        <v>258</v>
      </c>
      <c r="N281" s="5">
        <v>0</v>
      </c>
    </row>
    <row r="282" spans="1:14" x14ac:dyDescent="0.25">
      <c r="A282" t="s">
        <v>823</v>
      </c>
      <c r="B282" t="s">
        <v>203</v>
      </c>
      <c r="C282" t="str">
        <f>_xlfn.XLOOKUP(Table6[[#This Row],[app_id]],Table5[app_id],Table5[app_name],"",0)</f>
        <v>Focusly</v>
      </c>
      <c r="D282" t="str">
        <f>_xlfn.XLOOKUP(Table6[[#This Row],[app_id]],Table5[app_id],Table5[category],"",0)</f>
        <v>Productivity</v>
      </c>
      <c r="E282" t="s">
        <v>537</v>
      </c>
      <c r="F282" t="s">
        <v>548</v>
      </c>
      <c r="G282" t="s">
        <v>23</v>
      </c>
      <c r="H282" t="s">
        <v>540</v>
      </c>
      <c r="I282">
        <v>47</v>
      </c>
      <c r="J282">
        <v>6.5</v>
      </c>
      <c r="K282" t="s">
        <v>257</v>
      </c>
      <c r="L282" t="s">
        <v>257</v>
      </c>
      <c r="M282" t="s">
        <v>258</v>
      </c>
      <c r="N282" s="5">
        <v>32.630000000000003</v>
      </c>
    </row>
    <row r="283" spans="1:14" x14ac:dyDescent="0.25">
      <c r="A283" t="s">
        <v>824</v>
      </c>
      <c r="B283" t="s">
        <v>206</v>
      </c>
      <c r="C283" t="str">
        <f>_xlfn.XLOOKUP(Table6[[#This Row],[app_id]],Table5[app_id],Table5[app_name],"",0)</f>
        <v>DeskX</v>
      </c>
      <c r="D283" t="str">
        <f>_xlfn.XLOOKUP(Table6[[#This Row],[app_id]],Table5[app_id],Table5[category],"",0)</f>
        <v>Productivity</v>
      </c>
      <c r="E283" t="s">
        <v>533</v>
      </c>
      <c r="F283" t="s">
        <v>534</v>
      </c>
      <c r="G283" t="s">
        <v>23</v>
      </c>
      <c r="H283" t="s">
        <v>540</v>
      </c>
      <c r="I283">
        <v>80</v>
      </c>
      <c r="J283">
        <v>12.5</v>
      </c>
      <c r="K283" t="s">
        <v>257</v>
      </c>
      <c r="L283" t="s">
        <v>257</v>
      </c>
      <c r="M283" t="s">
        <v>258</v>
      </c>
      <c r="N283" s="5">
        <v>37.479999999999997</v>
      </c>
    </row>
    <row r="284" spans="1:14" x14ac:dyDescent="0.25">
      <c r="A284" t="s">
        <v>825</v>
      </c>
      <c r="B284" t="s">
        <v>208</v>
      </c>
      <c r="C284" t="str">
        <f>_xlfn.XLOOKUP(Table6[[#This Row],[app_id]],Table5[app_id],Table5[app_name],"",0)</f>
        <v>DonePro</v>
      </c>
      <c r="D284" t="str">
        <f>_xlfn.XLOOKUP(Table6[[#This Row],[app_id]],Table5[app_id],Table5[category],"",0)</f>
        <v>Productivity</v>
      </c>
      <c r="E284" t="s">
        <v>557</v>
      </c>
      <c r="F284" t="s">
        <v>538</v>
      </c>
      <c r="G284" t="s">
        <v>26</v>
      </c>
      <c r="H284" t="s">
        <v>535</v>
      </c>
      <c r="I284">
        <v>44</v>
      </c>
      <c r="J284">
        <v>9.4</v>
      </c>
      <c r="K284" t="s">
        <v>257</v>
      </c>
      <c r="L284" t="s">
        <v>257</v>
      </c>
      <c r="M284" t="s">
        <v>258</v>
      </c>
      <c r="N284" s="5">
        <v>0</v>
      </c>
    </row>
    <row r="285" spans="1:14" x14ac:dyDescent="0.25">
      <c r="A285" t="s">
        <v>826</v>
      </c>
      <c r="B285" t="s">
        <v>210</v>
      </c>
      <c r="C285" t="str">
        <f>_xlfn.XLOOKUP(Table6[[#This Row],[app_id]],Table5[app_id],Table5[app_name],"",0)</f>
        <v>NotePlus</v>
      </c>
      <c r="D285" t="str">
        <f>_xlfn.XLOOKUP(Table6[[#This Row],[app_id]],Table5[app_id],Table5[category],"",0)</f>
        <v>Productivity</v>
      </c>
      <c r="E285" t="s">
        <v>533</v>
      </c>
      <c r="F285" t="s">
        <v>538</v>
      </c>
      <c r="G285" t="s">
        <v>18</v>
      </c>
      <c r="H285" t="s">
        <v>535</v>
      </c>
      <c r="I285">
        <v>88</v>
      </c>
      <c r="J285">
        <v>16.100000000000001</v>
      </c>
      <c r="K285" t="s">
        <v>257</v>
      </c>
      <c r="L285" t="s">
        <v>257</v>
      </c>
      <c r="M285" t="s">
        <v>258</v>
      </c>
      <c r="N285" s="5">
        <v>0</v>
      </c>
    </row>
    <row r="286" spans="1:14" x14ac:dyDescent="0.25">
      <c r="A286" t="s">
        <v>827</v>
      </c>
      <c r="B286" t="s">
        <v>212</v>
      </c>
      <c r="C286" t="str">
        <f>_xlfn.XLOOKUP(Table6[[#This Row],[app_id]],Table5[app_id],Table5[app_name],"",0)</f>
        <v>SyncPlus</v>
      </c>
      <c r="D286" t="str">
        <f>_xlfn.XLOOKUP(Table6[[#This Row],[app_id]],Table5[app_id],Table5[category],"",0)</f>
        <v>Productivity</v>
      </c>
      <c r="E286" t="s">
        <v>557</v>
      </c>
      <c r="F286" t="s">
        <v>538</v>
      </c>
      <c r="G286" t="s">
        <v>61</v>
      </c>
      <c r="H286" t="s">
        <v>535</v>
      </c>
      <c r="I286">
        <v>94</v>
      </c>
      <c r="J286">
        <v>5.3</v>
      </c>
      <c r="K286" t="s">
        <v>257</v>
      </c>
      <c r="L286" t="s">
        <v>258</v>
      </c>
      <c r="M286" t="s">
        <v>257</v>
      </c>
      <c r="N286" s="5">
        <v>48.26</v>
      </c>
    </row>
    <row r="287" spans="1:14" x14ac:dyDescent="0.25">
      <c r="A287" t="s">
        <v>828</v>
      </c>
      <c r="B287" t="s">
        <v>214</v>
      </c>
      <c r="C287" t="str">
        <f>_xlfn.XLOOKUP(Table6[[#This Row],[app_id]],Table5[app_id],Table5[app_name],"",0)</f>
        <v>NoteOne</v>
      </c>
      <c r="D287" t="str">
        <f>_xlfn.XLOOKUP(Table6[[#This Row],[app_id]],Table5[app_id],Table5[category],"",0)</f>
        <v>Productivity</v>
      </c>
      <c r="E287" t="s">
        <v>557</v>
      </c>
      <c r="F287" t="s">
        <v>538</v>
      </c>
      <c r="G287" t="s">
        <v>61</v>
      </c>
      <c r="H287" t="s">
        <v>535</v>
      </c>
      <c r="I287">
        <v>20</v>
      </c>
      <c r="J287">
        <v>5.4</v>
      </c>
      <c r="K287" t="s">
        <v>258</v>
      </c>
      <c r="L287" t="s">
        <v>258</v>
      </c>
      <c r="M287" t="s">
        <v>257</v>
      </c>
      <c r="N287" s="5">
        <v>23.77</v>
      </c>
    </row>
    <row r="288" spans="1:14" x14ac:dyDescent="0.25">
      <c r="A288" t="s">
        <v>829</v>
      </c>
      <c r="B288" t="s">
        <v>216</v>
      </c>
      <c r="C288" t="str">
        <f>_xlfn.XLOOKUP(Table6[[#This Row],[app_id]],Table5[app_id],Table5[app_name],"",0)</f>
        <v>NoteMate</v>
      </c>
      <c r="D288" t="str">
        <f>_xlfn.XLOOKUP(Table6[[#This Row],[app_id]],Table5[app_id],Table5[category],"",0)</f>
        <v>Productivity</v>
      </c>
      <c r="E288" t="s">
        <v>537</v>
      </c>
      <c r="F288" t="s">
        <v>534</v>
      </c>
      <c r="G288" t="s">
        <v>23</v>
      </c>
      <c r="H288" t="s">
        <v>535</v>
      </c>
      <c r="I288">
        <v>17</v>
      </c>
      <c r="J288">
        <v>22.1</v>
      </c>
      <c r="K288" t="s">
        <v>257</v>
      </c>
      <c r="L288" t="s">
        <v>257</v>
      </c>
      <c r="M288" t="s">
        <v>258</v>
      </c>
      <c r="N288" s="5">
        <v>0</v>
      </c>
    </row>
    <row r="289" spans="1:14" x14ac:dyDescent="0.25">
      <c r="A289" t="s">
        <v>830</v>
      </c>
      <c r="B289" t="s">
        <v>218</v>
      </c>
      <c r="C289" t="str">
        <f>_xlfn.XLOOKUP(Table6[[#This Row],[app_id]],Table5[app_id],Table5[app_name],"",0)</f>
        <v>PlanPlus</v>
      </c>
      <c r="D289" t="str">
        <f>_xlfn.XLOOKUP(Table6[[#This Row],[app_id]],Table5[app_id],Table5[category],"",0)</f>
        <v>Productivity</v>
      </c>
      <c r="E289" t="s">
        <v>552</v>
      </c>
      <c r="F289" t="s">
        <v>534</v>
      </c>
      <c r="G289" t="s">
        <v>23</v>
      </c>
      <c r="H289" t="s">
        <v>535</v>
      </c>
      <c r="I289">
        <v>8</v>
      </c>
      <c r="J289">
        <v>11.2</v>
      </c>
      <c r="K289" t="s">
        <v>258</v>
      </c>
      <c r="L289" t="s">
        <v>258</v>
      </c>
      <c r="M289" t="s">
        <v>258</v>
      </c>
      <c r="N289" s="5">
        <v>0</v>
      </c>
    </row>
    <row r="290" spans="1:14" x14ac:dyDescent="0.25">
      <c r="A290" t="s">
        <v>831</v>
      </c>
      <c r="B290" t="s">
        <v>220</v>
      </c>
      <c r="C290" t="str">
        <f>_xlfn.XLOOKUP(Table6[[#This Row],[app_id]],Table5[app_id],Table5[app_name],"",0)</f>
        <v>PlanMate</v>
      </c>
      <c r="D290" t="str">
        <f>_xlfn.XLOOKUP(Table6[[#This Row],[app_id]],Table5[app_id],Table5[category],"",0)</f>
        <v>Productivity</v>
      </c>
      <c r="E290" t="s">
        <v>533</v>
      </c>
      <c r="F290" t="s">
        <v>534</v>
      </c>
      <c r="G290" t="s">
        <v>26</v>
      </c>
      <c r="H290" t="s">
        <v>535</v>
      </c>
      <c r="I290">
        <v>42</v>
      </c>
      <c r="J290">
        <v>13.2</v>
      </c>
      <c r="K290" t="s">
        <v>257</v>
      </c>
      <c r="L290" t="s">
        <v>257</v>
      </c>
      <c r="M290" t="s">
        <v>258</v>
      </c>
      <c r="N290" s="5">
        <v>14.9</v>
      </c>
    </row>
    <row r="291" spans="1:14" x14ac:dyDescent="0.25">
      <c r="A291" t="s">
        <v>832</v>
      </c>
      <c r="B291" t="s">
        <v>222</v>
      </c>
      <c r="C291" t="str">
        <f>_xlfn.XLOOKUP(Table6[[#This Row],[app_id]],Table5[app_id],Table5[app_name],"",0)</f>
        <v>SyncPlus</v>
      </c>
      <c r="D291" t="str">
        <f>_xlfn.XLOOKUP(Table6[[#This Row],[app_id]],Table5[app_id],Table5[category],"",0)</f>
        <v>Productivity</v>
      </c>
      <c r="E291" t="s">
        <v>557</v>
      </c>
      <c r="F291" t="s">
        <v>534</v>
      </c>
      <c r="G291" t="s">
        <v>23</v>
      </c>
      <c r="H291" t="s">
        <v>535</v>
      </c>
      <c r="I291">
        <v>6</v>
      </c>
      <c r="J291">
        <v>12.4</v>
      </c>
      <c r="K291" t="s">
        <v>258</v>
      </c>
      <c r="L291" t="s">
        <v>258</v>
      </c>
      <c r="M291" t="s">
        <v>257</v>
      </c>
      <c r="N291" s="5">
        <v>0</v>
      </c>
    </row>
    <row r="292" spans="1:14" x14ac:dyDescent="0.25">
      <c r="A292" t="s">
        <v>833</v>
      </c>
      <c r="B292" t="s">
        <v>223</v>
      </c>
      <c r="C292" t="str">
        <f>_xlfn.XLOOKUP(Table6[[#This Row],[app_id]],Table5[app_id],Table5[app_name],"",0)</f>
        <v>ClinicPro</v>
      </c>
      <c r="D292" t="str">
        <f>_xlfn.XLOOKUP(Table6[[#This Row],[app_id]],Table5[app_id],Table5[category],"",0)</f>
        <v>Health</v>
      </c>
      <c r="E292" t="s">
        <v>533</v>
      </c>
      <c r="F292" t="s">
        <v>534</v>
      </c>
      <c r="G292" t="s">
        <v>35</v>
      </c>
      <c r="H292" t="s">
        <v>535</v>
      </c>
      <c r="I292">
        <v>95</v>
      </c>
      <c r="J292">
        <v>12</v>
      </c>
      <c r="K292" t="s">
        <v>257</v>
      </c>
      <c r="L292" t="s">
        <v>258</v>
      </c>
      <c r="M292" t="s">
        <v>257</v>
      </c>
      <c r="N292" s="5">
        <v>0</v>
      </c>
    </row>
    <row r="293" spans="1:14" x14ac:dyDescent="0.25">
      <c r="A293" t="s">
        <v>834</v>
      </c>
      <c r="B293" t="s">
        <v>226</v>
      </c>
      <c r="C293" t="str">
        <f>_xlfn.XLOOKUP(Table6[[#This Row],[app_id]],Table5[app_id],Table5[app_name],"",0)</f>
        <v>MindMate</v>
      </c>
      <c r="D293" t="str">
        <f>_xlfn.XLOOKUP(Table6[[#This Row],[app_id]],Table5[app_id],Table5[category],"",0)</f>
        <v>Health</v>
      </c>
      <c r="E293" t="s">
        <v>552</v>
      </c>
      <c r="F293" t="s">
        <v>538</v>
      </c>
      <c r="G293" t="s">
        <v>18</v>
      </c>
      <c r="H293" t="s">
        <v>535</v>
      </c>
      <c r="I293">
        <v>55</v>
      </c>
      <c r="J293">
        <v>18.2</v>
      </c>
      <c r="K293" t="s">
        <v>257</v>
      </c>
      <c r="L293" t="s">
        <v>257</v>
      </c>
      <c r="M293" t="s">
        <v>258</v>
      </c>
      <c r="N293" s="5">
        <v>0</v>
      </c>
    </row>
    <row r="294" spans="1:14" x14ac:dyDescent="0.25">
      <c r="A294" t="s">
        <v>835</v>
      </c>
      <c r="B294" t="s">
        <v>228</v>
      </c>
      <c r="C294" t="str">
        <f>_xlfn.XLOOKUP(Table6[[#This Row],[app_id]],Table5[app_id],Table5[app_name],"",0)</f>
        <v>ClinicOne</v>
      </c>
      <c r="D294" t="str">
        <f>_xlfn.XLOOKUP(Table6[[#This Row],[app_id]],Table5[app_id],Table5[category],"",0)</f>
        <v>Health</v>
      </c>
      <c r="E294" t="s">
        <v>557</v>
      </c>
      <c r="F294" t="s">
        <v>538</v>
      </c>
      <c r="G294" t="s">
        <v>61</v>
      </c>
      <c r="H294" t="s">
        <v>535</v>
      </c>
      <c r="I294">
        <v>35</v>
      </c>
      <c r="J294">
        <v>8</v>
      </c>
      <c r="K294" t="s">
        <v>257</v>
      </c>
      <c r="L294" t="s">
        <v>258</v>
      </c>
      <c r="M294" t="s">
        <v>257</v>
      </c>
      <c r="N294" s="5">
        <v>0</v>
      </c>
    </row>
    <row r="295" spans="1:14" x14ac:dyDescent="0.25">
      <c r="A295" t="s">
        <v>836</v>
      </c>
      <c r="B295" t="s">
        <v>230</v>
      </c>
      <c r="C295" t="str">
        <f>_xlfn.XLOOKUP(Table6[[#This Row],[app_id]],Table5[app_id],Table5[app_name],"",0)</f>
        <v>WellMate</v>
      </c>
      <c r="D295" t="str">
        <f>_xlfn.XLOOKUP(Table6[[#This Row],[app_id]],Table5[app_id],Table5[category],"",0)</f>
        <v>Health</v>
      </c>
      <c r="E295" t="s">
        <v>557</v>
      </c>
      <c r="F295" t="s">
        <v>538</v>
      </c>
      <c r="G295" t="s">
        <v>61</v>
      </c>
      <c r="H295" t="s">
        <v>535</v>
      </c>
      <c r="I295">
        <v>26</v>
      </c>
      <c r="J295">
        <v>19.7</v>
      </c>
      <c r="K295" t="s">
        <v>258</v>
      </c>
      <c r="L295" t="s">
        <v>257</v>
      </c>
      <c r="M295" t="s">
        <v>258</v>
      </c>
      <c r="N295" s="5">
        <v>0</v>
      </c>
    </row>
    <row r="296" spans="1:14" x14ac:dyDescent="0.25">
      <c r="A296" t="s">
        <v>837</v>
      </c>
      <c r="B296" t="s">
        <v>232</v>
      </c>
      <c r="C296" t="str">
        <f>_xlfn.XLOOKUP(Table6[[#This Row],[app_id]],Table5[app_id],Table5[app_name],"",0)</f>
        <v>MediMate</v>
      </c>
      <c r="D296" t="str">
        <f>_xlfn.XLOOKUP(Table6[[#This Row],[app_id]],Table5[app_id],Table5[category],"",0)</f>
        <v>Health</v>
      </c>
      <c r="E296" t="s">
        <v>546</v>
      </c>
      <c r="F296" t="s">
        <v>534</v>
      </c>
      <c r="G296" t="s">
        <v>26</v>
      </c>
      <c r="H296" t="s">
        <v>535</v>
      </c>
      <c r="I296">
        <v>78</v>
      </c>
      <c r="J296">
        <v>21.7</v>
      </c>
      <c r="K296" t="s">
        <v>257</v>
      </c>
      <c r="L296" t="s">
        <v>257</v>
      </c>
      <c r="M296" t="s">
        <v>258</v>
      </c>
      <c r="N296" s="5">
        <v>0</v>
      </c>
    </row>
    <row r="297" spans="1:14" x14ac:dyDescent="0.25">
      <c r="A297" t="s">
        <v>838</v>
      </c>
      <c r="B297" t="s">
        <v>234</v>
      </c>
      <c r="C297" t="str">
        <f>_xlfn.XLOOKUP(Table6[[#This Row],[app_id]],Table5[app_id],Table5[app_name],"",0)</f>
        <v>WellNow</v>
      </c>
      <c r="D297" t="str">
        <f>_xlfn.XLOOKUP(Table6[[#This Row],[app_id]],Table5[app_id],Table5[category],"",0)</f>
        <v>Health</v>
      </c>
      <c r="E297" t="s">
        <v>533</v>
      </c>
      <c r="F297" t="s">
        <v>534</v>
      </c>
      <c r="G297" t="s">
        <v>30</v>
      </c>
      <c r="H297" t="s">
        <v>535</v>
      </c>
      <c r="I297">
        <v>34</v>
      </c>
      <c r="J297">
        <v>14.4</v>
      </c>
      <c r="K297" t="s">
        <v>257</v>
      </c>
      <c r="L297" t="s">
        <v>257</v>
      </c>
      <c r="M297" t="s">
        <v>258</v>
      </c>
      <c r="N297" s="5">
        <v>0</v>
      </c>
    </row>
    <row r="298" spans="1:14" x14ac:dyDescent="0.25">
      <c r="A298" t="s">
        <v>839</v>
      </c>
      <c r="B298" t="s">
        <v>236</v>
      </c>
      <c r="C298" t="str">
        <f>_xlfn.XLOOKUP(Table6[[#This Row],[app_id]],Table5[app_id],Table5[app_name],"",0)</f>
        <v>CareCloud</v>
      </c>
      <c r="D298" t="str">
        <f>_xlfn.XLOOKUP(Table6[[#This Row],[app_id]],Table5[app_id],Table5[category],"",0)</f>
        <v>Health</v>
      </c>
      <c r="E298" t="s">
        <v>537</v>
      </c>
      <c r="F298" t="s">
        <v>628</v>
      </c>
      <c r="G298" t="s">
        <v>46</v>
      </c>
      <c r="H298" t="s">
        <v>535</v>
      </c>
      <c r="I298">
        <v>48</v>
      </c>
      <c r="J298">
        <v>14.8</v>
      </c>
      <c r="K298" t="s">
        <v>257</v>
      </c>
      <c r="L298" t="s">
        <v>257</v>
      </c>
      <c r="M298" t="s">
        <v>258</v>
      </c>
      <c r="N298" s="5">
        <v>0</v>
      </c>
    </row>
    <row r="299" spans="1:14" x14ac:dyDescent="0.25">
      <c r="A299" t="s">
        <v>840</v>
      </c>
      <c r="B299" t="s">
        <v>238</v>
      </c>
      <c r="C299" t="str">
        <f>_xlfn.XLOOKUP(Table6[[#This Row],[app_id]],Table5[app_id],Table5[app_name],"",0)</f>
        <v>MediNow</v>
      </c>
      <c r="D299" t="str">
        <f>_xlfn.XLOOKUP(Table6[[#This Row],[app_id]],Table5[app_id],Table5[category],"",0)</f>
        <v>Health</v>
      </c>
      <c r="E299" t="s">
        <v>537</v>
      </c>
      <c r="F299" t="s">
        <v>538</v>
      </c>
      <c r="G299" t="s">
        <v>23</v>
      </c>
      <c r="H299" t="s">
        <v>535</v>
      </c>
      <c r="I299">
        <v>24</v>
      </c>
      <c r="J299">
        <v>4.9000000000000004</v>
      </c>
      <c r="K299" t="s">
        <v>258</v>
      </c>
      <c r="L299" t="s">
        <v>258</v>
      </c>
      <c r="M299" t="s">
        <v>258</v>
      </c>
      <c r="N299" s="5">
        <v>0</v>
      </c>
    </row>
    <row r="300" spans="1:14" x14ac:dyDescent="0.25">
      <c r="A300" t="s">
        <v>841</v>
      </c>
      <c r="B300" t="s">
        <v>240</v>
      </c>
      <c r="C300" t="str">
        <f>_xlfn.XLOOKUP(Table6[[#This Row],[app_id]],Table5[app_id],Table5[app_name],"",0)</f>
        <v>MindPlus</v>
      </c>
      <c r="D300" t="str">
        <f>_xlfn.XLOOKUP(Table6[[#This Row],[app_id]],Table5[app_id],Table5[category],"",0)</f>
        <v>Health</v>
      </c>
      <c r="E300" t="s">
        <v>533</v>
      </c>
      <c r="F300" t="s">
        <v>534</v>
      </c>
      <c r="G300" t="s">
        <v>30</v>
      </c>
      <c r="H300" t="s">
        <v>535</v>
      </c>
      <c r="I300">
        <v>19</v>
      </c>
      <c r="J300">
        <v>18.2</v>
      </c>
      <c r="K300" t="s">
        <v>258</v>
      </c>
      <c r="L300" t="s">
        <v>257</v>
      </c>
      <c r="M300" t="s">
        <v>258</v>
      </c>
      <c r="N300" s="5">
        <v>0</v>
      </c>
    </row>
    <row r="301" spans="1:14" x14ac:dyDescent="0.25">
      <c r="A301" t="s">
        <v>842</v>
      </c>
      <c r="B301" t="s">
        <v>242</v>
      </c>
      <c r="C301" t="str">
        <f>_xlfn.XLOOKUP(Table6[[#This Row],[app_id]],Table5[app_id],Table5[app_name],"",0)</f>
        <v>MediCloud</v>
      </c>
      <c r="D301" t="str">
        <f>_xlfn.XLOOKUP(Table6[[#This Row],[app_id]],Table5[app_id],Table5[category],"",0)</f>
        <v>Health</v>
      </c>
      <c r="E301" t="s">
        <v>546</v>
      </c>
      <c r="F301" t="s">
        <v>534</v>
      </c>
      <c r="G301" t="s">
        <v>46</v>
      </c>
      <c r="H301" t="s">
        <v>535</v>
      </c>
      <c r="I301">
        <v>3</v>
      </c>
      <c r="J301">
        <v>4.5999999999999996</v>
      </c>
      <c r="K301" t="s">
        <v>258</v>
      </c>
      <c r="L301" t="s">
        <v>258</v>
      </c>
      <c r="M301" t="s">
        <v>258</v>
      </c>
      <c r="N301" s="5">
        <v>0</v>
      </c>
    </row>
    <row r="302" spans="1:14" x14ac:dyDescent="0.25">
      <c r="A302" t="s">
        <v>843</v>
      </c>
      <c r="B302" t="s">
        <v>12</v>
      </c>
      <c r="C302" t="str">
        <f>_xlfn.XLOOKUP(Table6[[#This Row],[app_id]],Table5[app_id],Table5[app_name],"",0)</f>
        <v>InvestPro</v>
      </c>
      <c r="D302" t="str">
        <f>_xlfn.XLOOKUP(Table6[[#This Row],[app_id]],Table5[app_id],Table5[category],"",0)</f>
        <v>Finance</v>
      </c>
      <c r="E302" t="s">
        <v>533</v>
      </c>
      <c r="F302" t="s">
        <v>538</v>
      </c>
      <c r="G302" t="s">
        <v>61</v>
      </c>
      <c r="H302" t="s">
        <v>535</v>
      </c>
      <c r="I302">
        <v>15</v>
      </c>
      <c r="J302">
        <v>9.8000000000000007</v>
      </c>
      <c r="K302" t="s">
        <v>258</v>
      </c>
      <c r="L302" t="s">
        <v>258</v>
      </c>
      <c r="M302" t="s">
        <v>258</v>
      </c>
      <c r="N302" s="5">
        <v>0</v>
      </c>
    </row>
    <row r="303" spans="1:14" x14ac:dyDescent="0.25">
      <c r="A303" t="s">
        <v>844</v>
      </c>
      <c r="B303" t="s">
        <v>19</v>
      </c>
      <c r="C303" t="str">
        <f>_xlfn.XLOOKUP(Table6[[#This Row],[app_id]],Table5[app_id],Table5[app_name],"",0)</f>
        <v>BankPro</v>
      </c>
      <c r="D303" t="str">
        <f>_xlfn.XLOOKUP(Table6[[#This Row],[app_id]],Table5[app_id],Table5[category],"",0)</f>
        <v>Finance</v>
      </c>
      <c r="E303" t="s">
        <v>537</v>
      </c>
      <c r="F303" t="s">
        <v>534</v>
      </c>
      <c r="G303" t="s">
        <v>18</v>
      </c>
      <c r="H303" t="s">
        <v>535</v>
      </c>
      <c r="I303">
        <v>71</v>
      </c>
      <c r="J303">
        <v>23.9</v>
      </c>
      <c r="K303" t="s">
        <v>257</v>
      </c>
      <c r="L303" t="s">
        <v>257</v>
      </c>
      <c r="M303" t="s">
        <v>258</v>
      </c>
      <c r="N303" s="5">
        <v>0</v>
      </c>
    </row>
    <row r="304" spans="1:14" x14ac:dyDescent="0.25">
      <c r="A304" t="s">
        <v>845</v>
      </c>
      <c r="B304" t="s">
        <v>24</v>
      </c>
      <c r="C304" t="str">
        <f>_xlfn.XLOOKUP(Table6[[#This Row],[app_id]],Table5[app_id],Table5[app_name],"",0)</f>
        <v>BankX</v>
      </c>
      <c r="D304" t="str">
        <f>_xlfn.XLOOKUP(Table6[[#This Row],[app_id]],Table5[app_id],Table5[category],"",0)</f>
        <v>Finance</v>
      </c>
      <c r="E304" t="s">
        <v>546</v>
      </c>
      <c r="F304" t="s">
        <v>548</v>
      </c>
      <c r="G304" t="s">
        <v>23</v>
      </c>
      <c r="H304" t="s">
        <v>535</v>
      </c>
      <c r="I304">
        <v>20</v>
      </c>
      <c r="J304">
        <v>10.199999999999999</v>
      </c>
      <c r="K304" t="s">
        <v>257</v>
      </c>
      <c r="L304" t="s">
        <v>257</v>
      </c>
      <c r="M304" t="s">
        <v>258</v>
      </c>
      <c r="N304" s="5">
        <v>0</v>
      </c>
    </row>
    <row r="305" spans="1:14" x14ac:dyDescent="0.25">
      <c r="A305" t="s">
        <v>846</v>
      </c>
      <c r="B305" t="s">
        <v>27</v>
      </c>
      <c r="C305" t="str">
        <f>_xlfn.XLOOKUP(Table6[[#This Row],[app_id]],Table5[app_id],Table5[app_name],"",0)</f>
        <v>BankNow</v>
      </c>
      <c r="D305" t="str">
        <f>_xlfn.XLOOKUP(Table6[[#This Row],[app_id]],Table5[app_id],Table5[category],"",0)</f>
        <v>Finance</v>
      </c>
      <c r="E305" t="s">
        <v>533</v>
      </c>
      <c r="F305" t="s">
        <v>538</v>
      </c>
      <c r="G305" t="s">
        <v>69</v>
      </c>
      <c r="H305" t="s">
        <v>535</v>
      </c>
      <c r="I305">
        <v>18</v>
      </c>
      <c r="J305">
        <v>3.2</v>
      </c>
      <c r="K305" t="s">
        <v>258</v>
      </c>
      <c r="L305" t="s">
        <v>257</v>
      </c>
      <c r="M305" t="s">
        <v>258</v>
      </c>
      <c r="N305" s="5">
        <v>0</v>
      </c>
    </row>
    <row r="306" spans="1:14" x14ac:dyDescent="0.25">
      <c r="A306" t="s">
        <v>847</v>
      </c>
      <c r="B306" t="s">
        <v>31</v>
      </c>
      <c r="C306" t="str">
        <f>_xlfn.XLOOKUP(Table6[[#This Row],[app_id]],Table5[app_id],Table5[app_name],"",0)</f>
        <v>CreditHub</v>
      </c>
      <c r="D306" t="str">
        <f>_xlfn.XLOOKUP(Table6[[#This Row],[app_id]],Table5[app_id],Table5[category],"",0)</f>
        <v>Finance</v>
      </c>
      <c r="E306" t="s">
        <v>533</v>
      </c>
      <c r="F306" t="s">
        <v>538</v>
      </c>
      <c r="G306" t="s">
        <v>18</v>
      </c>
      <c r="H306" t="s">
        <v>535</v>
      </c>
      <c r="I306">
        <v>51</v>
      </c>
      <c r="J306">
        <v>7.3</v>
      </c>
      <c r="K306" t="s">
        <v>257</v>
      </c>
      <c r="L306" t="s">
        <v>257</v>
      </c>
      <c r="M306" t="s">
        <v>257</v>
      </c>
      <c r="N306" s="5">
        <v>0</v>
      </c>
    </row>
    <row r="307" spans="1:14" x14ac:dyDescent="0.25">
      <c r="A307" t="s">
        <v>848</v>
      </c>
      <c r="B307" t="s">
        <v>36</v>
      </c>
      <c r="C307" t="str">
        <f>_xlfn.XLOOKUP(Table6[[#This Row],[app_id]],Table5[app_id],Table5[app_name],"",0)</f>
        <v>PayPlus</v>
      </c>
      <c r="D307" t="str">
        <f>_xlfn.XLOOKUP(Table6[[#This Row],[app_id]],Table5[app_id],Table5[category],"",0)</f>
        <v>Finance</v>
      </c>
      <c r="E307" t="s">
        <v>533</v>
      </c>
      <c r="F307" t="s">
        <v>534</v>
      </c>
      <c r="G307" t="s">
        <v>26</v>
      </c>
      <c r="H307" t="s">
        <v>535</v>
      </c>
      <c r="I307">
        <v>23</v>
      </c>
      <c r="J307">
        <v>21.7</v>
      </c>
      <c r="K307" t="s">
        <v>257</v>
      </c>
      <c r="L307" t="s">
        <v>257</v>
      </c>
      <c r="M307" t="s">
        <v>258</v>
      </c>
      <c r="N307" s="5">
        <v>0</v>
      </c>
    </row>
    <row r="308" spans="1:14" x14ac:dyDescent="0.25">
      <c r="A308" t="s">
        <v>849</v>
      </c>
      <c r="B308" t="s">
        <v>39</v>
      </c>
      <c r="C308" t="str">
        <f>_xlfn.XLOOKUP(Table6[[#This Row],[app_id]],Table5[app_id],Table5[app_name],"",0)</f>
        <v>BankPlus</v>
      </c>
      <c r="D308" t="str">
        <f>_xlfn.XLOOKUP(Table6[[#This Row],[app_id]],Table5[app_id],Table5[category],"",0)</f>
        <v>Finance</v>
      </c>
      <c r="E308" t="s">
        <v>557</v>
      </c>
      <c r="F308" t="s">
        <v>538</v>
      </c>
      <c r="G308" t="s">
        <v>61</v>
      </c>
      <c r="H308" t="s">
        <v>535</v>
      </c>
      <c r="I308">
        <v>25</v>
      </c>
      <c r="J308">
        <v>5.2</v>
      </c>
      <c r="K308" t="s">
        <v>258</v>
      </c>
      <c r="L308" t="s">
        <v>257</v>
      </c>
      <c r="M308" t="s">
        <v>258</v>
      </c>
      <c r="N308" s="5">
        <v>93.79</v>
      </c>
    </row>
    <row r="309" spans="1:14" x14ac:dyDescent="0.25">
      <c r="A309" t="s">
        <v>850</v>
      </c>
      <c r="B309" t="s">
        <v>42</v>
      </c>
      <c r="C309" t="str">
        <f>_xlfn.XLOOKUP(Table6[[#This Row],[app_id]],Table5[app_id],Table5[app_name],"",0)</f>
        <v>CoinPlus</v>
      </c>
      <c r="D309" t="str">
        <f>_xlfn.XLOOKUP(Table6[[#This Row],[app_id]],Table5[app_id],Table5[category],"",0)</f>
        <v>Finance</v>
      </c>
      <c r="E309" t="s">
        <v>537</v>
      </c>
      <c r="F309" t="s">
        <v>534</v>
      </c>
      <c r="G309" t="s">
        <v>61</v>
      </c>
      <c r="H309" t="s">
        <v>535</v>
      </c>
      <c r="I309">
        <v>22</v>
      </c>
      <c r="J309">
        <v>11.5</v>
      </c>
      <c r="K309" t="s">
        <v>258</v>
      </c>
      <c r="L309" t="s">
        <v>257</v>
      </c>
      <c r="M309" t="s">
        <v>258</v>
      </c>
      <c r="N309" s="5">
        <v>92.09</v>
      </c>
    </row>
    <row r="310" spans="1:14" x14ac:dyDescent="0.25">
      <c r="A310" t="s">
        <v>851</v>
      </c>
      <c r="B310" t="s">
        <v>47</v>
      </c>
      <c r="C310" t="str">
        <f>_xlfn.XLOOKUP(Table6[[#This Row],[app_id]],Table5[app_id],Table5[app_name],"",0)</f>
        <v>CreditOne</v>
      </c>
      <c r="D310" t="str">
        <f>_xlfn.XLOOKUP(Table6[[#This Row],[app_id]],Table5[app_id],Table5[category],"",0)</f>
        <v>Finance</v>
      </c>
      <c r="E310" t="s">
        <v>533</v>
      </c>
      <c r="F310" t="s">
        <v>534</v>
      </c>
      <c r="G310" t="s">
        <v>26</v>
      </c>
      <c r="H310" t="s">
        <v>535</v>
      </c>
      <c r="I310">
        <v>27</v>
      </c>
      <c r="J310">
        <v>13.3</v>
      </c>
      <c r="K310" t="s">
        <v>258</v>
      </c>
      <c r="L310" t="s">
        <v>258</v>
      </c>
      <c r="M310" t="s">
        <v>257</v>
      </c>
      <c r="N310" s="5">
        <v>0</v>
      </c>
    </row>
    <row r="311" spans="1:14" x14ac:dyDescent="0.25">
      <c r="A311" t="s">
        <v>852</v>
      </c>
      <c r="B311" t="s">
        <v>49</v>
      </c>
      <c r="C311" t="str">
        <f>_xlfn.XLOOKUP(Table6[[#This Row],[app_id]],Table5[app_id],Table5[app_name],"",0)</f>
        <v>PayPro</v>
      </c>
      <c r="D311" t="str">
        <f>_xlfn.XLOOKUP(Table6[[#This Row],[app_id]],Table5[app_id],Table5[category],"",0)</f>
        <v>Finance</v>
      </c>
      <c r="E311" t="s">
        <v>537</v>
      </c>
      <c r="F311" t="s">
        <v>534</v>
      </c>
      <c r="G311" t="s">
        <v>23</v>
      </c>
      <c r="H311" t="s">
        <v>535</v>
      </c>
      <c r="I311">
        <v>22</v>
      </c>
      <c r="J311">
        <v>5.2</v>
      </c>
      <c r="K311" t="s">
        <v>258</v>
      </c>
      <c r="L311" t="s">
        <v>257</v>
      </c>
      <c r="M311" t="s">
        <v>258</v>
      </c>
      <c r="N311" s="5">
        <v>0</v>
      </c>
    </row>
    <row r="312" spans="1:14" x14ac:dyDescent="0.25">
      <c r="A312" t="s">
        <v>853</v>
      </c>
      <c r="B312" t="s">
        <v>51</v>
      </c>
      <c r="C312" t="str">
        <f>_xlfn.XLOOKUP(Table6[[#This Row],[app_id]],Table5[app_id],Table5[app_name],"",0)</f>
        <v>Creditly</v>
      </c>
      <c r="D312" t="str">
        <f>_xlfn.XLOOKUP(Table6[[#This Row],[app_id]],Table5[app_id],Table5[category],"",0)</f>
        <v>Finance</v>
      </c>
      <c r="E312" t="s">
        <v>546</v>
      </c>
      <c r="F312" t="s">
        <v>538</v>
      </c>
      <c r="G312" t="s">
        <v>26</v>
      </c>
      <c r="H312" t="s">
        <v>535</v>
      </c>
      <c r="I312">
        <v>8</v>
      </c>
      <c r="J312">
        <v>6.7</v>
      </c>
      <c r="K312" t="s">
        <v>258</v>
      </c>
      <c r="L312" t="s">
        <v>257</v>
      </c>
      <c r="M312" t="s">
        <v>258</v>
      </c>
      <c r="N312" s="5">
        <v>0</v>
      </c>
    </row>
    <row r="313" spans="1:14" x14ac:dyDescent="0.25">
      <c r="A313" t="s">
        <v>854</v>
      </c>
      <c r="B313" t="s">
        <v>53</v>
      </c>
      <c r="C313" t="str">
        <f>_xlfn.XLOOKUP(Table6[[#This Row],[app_id]],Table5[app_id],Table5[app_name],"",0)</f>
        <v>PayX</v>
      </c>
      <c r="D313" t="str">
        <f>_xlfn.XLOOKUP(Table6[[#This Row],[app_id]],Table5[app_id],Table5[category],"",0)</f>
        <v>Finance</v>
      </c>
      <c r="E313" t="s">
        <v>557</v>
      </c>
      <c r="F313" t="s">
        <v>538</v>
      </c>
      <c r="G313" t="s">
        <v>35</v>
      </c>
      <c r="H313" t="s">
        <v>535</v>
      </c>
      <c r="I313">
        <v>72</v>
      </c>
      <c r="J313">
        <v>6.8</v>
      </c>
      <c r="K313" t="s">
        <v>257</v>
      </c>
      <c r="L313" t="s">
        <v>257</v>
      </c>
      <c r="M313" t="s">
        <v>258</v>
      </c>
      <c r="N313" s="5">
        <v>0</v>
      </c>
    </row>
    <row r="314" spans="1:14" x14ac:dyDescent="0.25">
      <c r="A314" t="s">
        <v>855</v>
      </c>
      <c r="B314" t="s">
        <v>56</v>
      </c>
      <c r="C314" t="str">
        <f>_xlfn.XLOOKUP(Table6[[#This Row],[app_id]],Table5[app_id],Table5[app_name],"",0)</f>
        <v>DealGo</v>
      </c>
      <c r="D314" t="str">
        <f>_xlfn.XLOOKUP(Table6[[#This Row],[app_id]],Table5[app_id],Table5[category],"",0)</f>
        <v>Shopping</v>
      </c>
      <c r="E314" t="s">
        <v>533</v>
      </c>
      <c r="F314" t="s">
        <v>538</v>
      </c>
      <c r="G314" t="s">
        <v>69</v>
      </c>
      <c r="H314" t="s">
        <v>535</v>
      </c>
      <c r="I314">
        <v>12</v>
      </c>
      <c r="J314">
        <v>8.6</v>
      </c>
      <c r="K314" t="s">
        <v>258</v>
      </c>
      <c r="L314" t="s">
        <v>257</v>
      </c>
      <c r="M314" t="s">
        <v>258</v>
      </c>
      <c r="N314" s="5">
        <v>0</v>
      </c>
    </row>
    <row r="315" spans="1:14" x14ac:dyDescent="0.25">
      <c r="A315" t="s">
        <v>856</v>
      </c>
      <c r="B315" t="s">
        <v>62</v>
      </c>
      <c r="C315" t="str">
        <f>_xlfn.XLOOKUP(Table6[[#This Row],[app_id]],Table5[app_id],Table5[app_name],"",0)</f>
        <v>MallNow</v>
      </c>
      <c r="D315" t="str">
        <f>_xlfn.XLOOKUP(Table6[[#This Row],[app_id]],Table5[app_id],Table5[category],"",0)</f>
        <v>Shopping</v>
      </c>
      <c r="E315" t="s">
        <v>533</v>
      </c>
      <c r="F315" t="s">
        <v>538</v>
      </c>
      <c r="G315" t="s">
        <v>46</v>
      </c>
      <c r="H315" t="s">
        <v>535</v>
      </c>
      <c r="I315">
        <v>25</v>
      </c>
      <c r="J315">
        <v>12.8</v>
      </c>
      <c r="K315" t="s">
        <v>257</v>
      </c>
      <c r="L315" t="s">
        <v>257</v>
      </c>
      <c r="M315" t="s">
        <v>257</v>
      </c>
      <c r="N315" s="5">
        <v>0</v>
      </c>
    </row>
    <row r="316" spans="1:14" x14ac:dyDescent="0.25">
      <c r="A316" t="s">
        <v>857</v>
      </c>
      <c r="B316" t="s">
        <v>65</v>
      </c>
      <c r="C316" t="str">
        <f>_xlfn.XLOOKUP(Table6[[#This Row],[app_id]],Table5[app_id],Table5[app_name],"",0)</f>
        <v>DealPro</v>
      </c>
      <c r="D316" t="str">
        <f>_xlfn.XLOOKUP(Table6[[#This Row],[app_id]],Table5[app_id],Table5[category],"",0)</f>
        <v>Shopping</v>
      </c>
      <c r="E316" t="s">
        <v>546</v>
      </c>
      <c r="F316" t="s">
        <v>628</v>
      </c>
      <c r="G316" t="s">
        <v>18</v>
      </c>
      <c r="H316" t="s">
        <v>535</v>
      </c>
      <c r="I316">
        <v>86</v>
      </c>
      <c r="J316">
        <v>10.8</v>
      </c>
      <c r="K316" t="s">
        <v>257</v>
      </c>
      <c r="L316" t="s">
        <v>257</v>
      </c>
      <c r="M316" t="s">
        <v>258</v>
      </c>
      <c r="N316" s="5">
        <v>0</v>
      </c>
    </row>
    <row r="317" spans="1:14" x14ac:dyDescent="0.25">
      <c r="A317" t="s">
        <v>858</v>
      </c>
      <c r="B317" t="s">
        <v>67</v>
      </c>
      <c r="C317" t="str">
        <f>_xlfn.XLOOKUP(Table6[[#This Row],[app_id]],Table5[app_id],Table5[app_name],"",0)</f>
        <v>StyleNow</v>
      </c>
      <c r="D317" t="str">
        <f>_xlfn.XLOOKUP(Table6[[#This Row],[app_id]],Table5[app_id],Table5[category],"",0)</f>
        <v>Shopping</v>
      </c>
      <c r="E317" t="s">
        <v>533</v>
      </c>
      <c r="F317" t="s">
        <v>534</v>
      </c>
      <c r="G317" t="s">
        <v>26</v>
      </c>
      <c r="H317" t="s">
        <v>535</v>
      </c>
      <c r="I317">
        <v>34</v>
      </c>
      <c r="J317">
        <v>16.100000000000001</v>
      </c>
      <c r="K317" t="s">
        <v>257</v>
      </c>
      <c r="L317" t="s">
        <v>257</v>
      </c>
      <c r="M317" t="s">
        <v>258</v>
      </c>
      <c r="N317" s="5">
        <v>0</v>
      </c>
    </row>
    <row r="318" spans="1:14" x14ac:dyDescent="0.25">
      <c r="A318" t="s">
        <v>859</v>
      </c>
      <c r="B318" t="s">
        <v>70</v>
      </c>
      <c r="C318" t="str">
        <f>_xlfn.XLOOKUP(Table6[[#This Row],[app_id]],Table5[app_id],Table5[app_name],"",0)</f>
        <v>DealCloud</v>
      </c>
      <c r="D318" t="str">
        <f>_xlfn.XLOOKUP(Table6[[#This Row],[app_id]],Table5[app_id],Table5[category],"",0)</f>
        <v>Shopping</v>
      </c>
      <c r="E318" t="s">
        <v>546</v>
      </c>
      <c r="F318" t="s">
        <v>538</v>
      </c>
      <c r="G318" t="s">
        <v>46</v>
      </c>
      <c r="H318" t="s">
        <v>535</v>
      </c>
      <c r="I318">
        <v>48</v>
      </c>
      <c r="J318">
        <v>5.2</v>
      </c>
      <c r="K318" t="s">
        <v>257</v>
      </c>
      <c r="L318" t="s">
        <v>257</v>
      </c>
      <c r="M318" t="s">
        <v>258</v>
      </c>
      <c r="N318" s="5">
        <v>0</v>
      </c>
    </row>
    <row r="319" spans="1:14" x14ac:dyDescent="0.25">
      <c r="A319" t="s">
        <v>860</v>
      </c>
      <c r="B319" t="s">
        <v>72</v>
      </c>
      <c r="C319" t="str">
        <f>_xlfn.XLOOKUP(Table6[[#This Row],[app_id]],Table5[app_id],Table5[app_name],"",0)</f>
        <v>CartCloud</v>
      </c>
      <c r="D319" t="str">
        <f>_xlfn.XLOOKUP(Table6[[#This Row],[app_id]],Table5[app_id],Table5[category],"",0)</f>
        <v>Shopping</v>
      </c>
      <c r="E319" t="s">
        <v>533</v>
      </c>
      <c r="F319" t="s">
        <v>538</v>
      </c>
      <c r="G319" t="s">
        <v>23</v>
      </c>
      <c r="H319" t="s">
        <v>535</v>
      </c>
      <c r="I319">
        <v>88</v>
      </c>
      <c r="J319">
        <v>15.8</v>
      </c>
      <c r="K319" t="s">
        <v>257</v>
      </c>
      <c r="L319" t="s">
        <v>257</v>
      </c>
      <c r="M319" t="s">
        <v>258</v>
      </c>
      <c r="N319" s="5">
        <v>36.590000000000003</v>
      </c>
    </row>
    <row r="320" spans="1:14" x14ac:dyDescent="0.25">
      <c r="A320" t="s">
        <v>861</v>
      </c>
      <c r="B320" t="s">
        <v>74</v>
      </c>
      <c r="C320" t="str">
        <f>_xlfn.XLOOKUP(Table6[[#This Row],[app_id]],Table5[app_id],Table5[app_name],"",0)</f>
        <v>CartMate</v>
      </c>
      <c r="D320" t="str">
        <f>_xlfn.XLOOKUP(Table6[[#This Row],[app_id]],Table5[app_id],Table5[category],"",0)</f>
        <v>Shopping</v>
      </c>
      <c r="E320" t="s">
        <v>537</v>
      </c>
      <c r="F320" t="s">
        <v>534</v>
      </c>
      <c r="G320" t="s">
        <v>35</v>
      </c>
      <c r="H320" t="s">
        <v>535</v>
      </c>
      <c r="I320">
        <v>11</v>
      </c>
      <c r="J320">
        <v>5.0999999999999996</v>
      </c>
      <c r="K320" t="s">
        <v>258</v>
      </c>
      <c r="L320" t="s">
        <v>257</v>
      </c>
      <c r="M320" t="s">
        <v>258</v>
      </c>
      <c r="N320" s="5">
        <v>0</v>
      </c>
    </row>
    <row r="321" spans="1:14" x14ac:dyDescent="0.25">
      <c r="A321" t="s">
        <v>862</v>
      </c>
      <c r="B321" t="s">
        <v>76</v>
      </c>
      <c r="C321" t="str">
        <f>_xlfn.XLOOKUP(Table6[[#This Row],[app_id]],Table5[app_id],Table5[app_name],"",0)</f>
        <v>BazaarOne</v>
      </c>
      <c r="D321" t="str">
        <f>_xlfn.XLOOKUP(Table6[[#This Row],[app_id]],Table5[app_id],Table5[category],"",0)</f>
        <v>Shopping</v>
      </c>
      <c r="E321" t="s">
        <v>546</v>
      </c>
      <c r="F321" t="s">
        <v>538</v>
      </c>
      <c r="G321" t="s">
        <v>23</v>
      </c>
      <c r="H321" t="s">
        <v>535</v>
      </c>
      <c r="I321">
        <v>80</v>
      </c>
      <c r="J321">
        <v>12.6</v>
      </c>
      <c r="K321" t="s">
        <v>257</v>
      </c>
      <c r="L321" t="s">
        <v>257</v>
      </c>
      <c r="M321" t="s">
        <v>258</v>
      </c>
      <c r="N321" s="5">
        <v>0</v>
      </c>
    </row>
    <row r="322" spans="1:14" x14ac:dyDescent="0.25">
      <c r="A322" t="s">
        <v>863</v>
      </c>
      <c r="B322" t="s">
        <v>78</v>
      </c>
      <c r="C322" t="str">
        <f>_xlfn.XLOOKUP(Table6[[#This Row],[app_id]],Table5[app_id],Table5[app_name],"",0)</f>
        <v>StyleOne</v>
      </c>
      <c r="D322" t="str">
        <f>_xlfn.XLOOKUP(Table6[[#This Row],[app_id]],Table5[app_id],Table5[category],"",0)</f>
        <v>Shopping</v>
      </c>
      <c r="E322" t="s">
        <v>537</v>
      </c>
      <c r="F322" t="s">
        <v>534</v>
      </c>
      <c r="G322" t="s">
        <v>69</v>
      </c>
      <c r="H322" t="s">
        <v>535</v>
      </c>
      <c r="I322">
        <v>15</v>
      </c>
      <c r="J322">
        <v>8</v>
      </c>
      <c r="K322" t="s">
        <v>258</v>
      </c>
      <c r="L322" t="s">
        <v>258</v>
      </c>
      <c r="M322" t="s">
        <v>258</v>
      </c>
      <c r="N322" s="5">
        <v>0</v>
      </c>
    </row>
    <row r="323" spans="1:14" x14ac:dyDescent="0.25">
      <c r="A323" t="s">
        <v>864</v>
      </c>
      <c r="B323" t="s">
        <v>80</v>
      </c>
      <c r="C323" t="str">
        <f>_xlfn.XLOOKUP(Table6[[#This Row],[app_id]],Table5[app_id],Table5[app_name],"",0)</f>
        <v>Cartly</v>
      </c>
      <c r="D323" t="str">
        <f>_xlfn.XLOOKUP(Table6[[#This Row],[app_id]],Table5[app_id],Table5[category],"",0)</f>
        <v>Shopping</v>
      </c>
      <c r="E323" t="s">
        <v>557</v>
      </c>
      <c r="F323" t="s">
        <v>534</v>
      </c>
      <c r="G323" t="s">
        <v>61</v>
      </c>
      <c r="H323" t="s">
        <v>535</v>
      </c>
      <c r="I323">
        <v>40</v>
      </c>
      <c r="J323">
        <v>14.9</v>
      </c>
      <c r="K323" t="s">
        <v>257</v>
      </c>
      <c r="L323" t="s">
        <v>257</v>
      </c>
      <c r="M323" t="s">
        <v>258</v>
      </c>
      <c r="N323" s="5">
        <v>70.290000000000006</v>
      </c>
    </row>
    <row r="324" spans="1:14" x14ac:dyDescent="0.25">
      <c r="A324" t="s">
        <v>865</v>
      </c>
      <c r="B324" t="s">
        <v>83</v>
      </c>
      <c r="C324" t="str">
        <f>_xlfn.XLOOKUP(Table6[[#This Row],[app_id]],Table5[app_id],Table5[app_name],"",0)</f>
        <v>BazaarCloud</v>
      </c>
      <c r="D324" t="str">
        <f>_xlfn.XLOOKUP(Table6[[#This Row],[app_id]],Table5[app_id],Table5[category],"",0)</f>
        <v>Shopping</v>
      </c>
      <c r="E324" t="s">
        <v>533</v>
      </c>
      <c r="F324" t="s">
        <v>538</v>
      </c>
      <c r="G324" t="s">
        <v>35</v>
      </c>
      <c r="H324" t="s">
        <v>535</v>
      </c>
      <c r="I324">
        <v>75</v>
      </c>
      <c r="J324">
        <v>8.6999999999999993</v>
      </c>
      <c r="K324" t="s">
        <v>257</v>
      </c>
      <c r="L324" t="s">
        <v>258</v>
      </c>
      <c r="M324" t="s">
        <v>258</v>
      </c>
      <c r="N324" s="5">
        <v>0</v>
      </c>
    </row>
    <row r="325" spans="1:14" x14ac:dyDescent="0.25">
      <c r="A325" t="s">
        <v>866</v>
      </c>
      <c r="B325" t="s">
        <v>85</v>
      </c>
      <c r="C325" t="str">
        <f>_xlfn.XLOOKUP(Table6[[#This Row],[app_id]],Table5[app_id],Table5[app_name],"",0)</f>
        <v>CartPro</v>
      </c>
      <c r="D325" t="str">
        <f>_xlfn.XLOOKUP(Table6[[#This Row],[app_id]],Table5[app_id],Table5[category],"",0)</f>
        <v>Shopping</v>
      </c>
      <c r="E325" t="s">
        <v>533</v>
      </c>
      <c r="F325" t="s">
        <v>534</v>
      </c>
      <c r="G325" t="s">
        <v>35</v>
      </c>
      <c r="H325" t="s">
        <v>535</v>
      </c>
      <c r="I325">
        <v>19</v>
      </c>
      <c r="J325">
        <v>19.7</v>
      </c>
      <c r="K325" t="s">
        <v>258</v>
      </c>
      <c r="L325" t="s">
        <v>258</v>
      </c>
      <c r="M325" t="s">
        <v>258</v>
      </c>
      <c r="N325" s="5">
        <v>0</v>
      </c>
    </row>
    <row r="326" spans="1:14" x14ac:dyDescent="0.25">
      <c r="A326" t="s">
        <v>867</v>
      </c>
      <c r="B326" t="s">
        <v>87</v>
      </c>
      <c r="C326" t="str">
        <f>_xlfn.XLOOKUP(Table6[[#This Row],[app_id]],Table5[app_id],Table5[app_name],"",0)</f>
        <v>RunPlus</v>
      </c>
      <c r="D326" t="str">
        <f>_xlfn.XLOOKUP(Table6[[#This Row],[app_id]],Table5[app_id],Table5[category],"",0)</f>
        <v>Fitness</v>
      </c>
      <c r="E326" t="s">
        <v>537</v>
      </c>
      <c r="F326" t="s">
        <v>538</v>
      </c>
      <c r="G326" t="s">
        <v>26</v>
      </c>
      <c r="H326" t="s">
        <v>535</v>
      </c>
      <c r="I326">
        <v>68</v>
      </c>
      <c r="J326">
        <v>19.3</v>
      </c>
      <c r="K326" t="s">
        <v>257</v>
      </c>
      <c r="L326" t="s">
        <v>257</v>
      </c>
      <c r="M326" t="s">
        <v>258</v>
      </c>
      <c r="N326" s="5">
        <v>0</v>
      </c>
    </row>
    <row r="327" spans="1:14" x14ac:dyDescent="0.25">
      <c r="A327" t="s">
        <v>868</v>
      </c>
      <c r="B327" t="s">
        <v>90</v>
      </c>
      <c r="C327" t="str">
        <f>_xlfn.XLOOKUP(Table6[[#This Row],[app_id]],Table5[app_id],Table5[app_name],"",0)</f>
        <v>TrainCloud</v>
      </c>
      <c r="D327" t="str">
        <f>_xlfn.XLOOKUP(Table6[[#This Row],[app_id]],Table5[app_id],Table5[category],"",0)</f>
        <v>Fitness</v>
      </c>
      <c r="E327" t="s">
        <v>552</v>
      </c>
      <c r="F327" t="s">
        <v>534</v>
      </c>
      <c r="G327" t="s">
        <v>35</v>
      </c>
      <c r="H327" t="s">
        <v>535</v>
      </c>
      <c r="I327">
        <v>28</v>
      </c>
      <c r="J327">
        <v>31.7</v>
      </c>
      <c r="K327" t="s">
        <v>258</v>
      </c>
      <c r="L327" t="s">
        <v>257</v>
      </c>
      <c r="M327" t="s">
        <v>258</v>
      </c>
      <c r="N327" s="5">
        <v>19.88</v>
      </c>
    </row>
    <row r="328" spans="1:14" x14ac:dyDescent="0.25">
      <c r="A328" t="s">
        <v>869</v>
      </c>
      <c r="B328" t="s">
        <v>92</v>
      </c>
      <c r="C328" t="str">
        <f>_xlfn.XLOOKUP(Table6[[#This Row],[app_id]],Table5[app_id],Table5[app_name],"",0)</f>
        <v>Trainly</v>
      </c>
      <c r="D328" t="str">
        <f>_xlfn.XLOOKUP(Table6[[#This Row],[app_id]],Table5[app_id],Table5[category],"",0)</f>
        <v>Fitness</v>
      </c>
      <c r="E328" t="s">
        <v>546</v>
      </c>
      <c r="F328" t="s">
        <v>534</v>
      </c>
      <c r="G328" t="s">
        <v>46</v>
      </c>
      <c r="H328" t="s">
        <v>535</v>
      </c>
      <c r="I328">
        <v>48</v>
      </c>
      <c r="J328">
        <v>18</v>
      </c>
      <c r="K328" t="s">
        <v>257</v>
      </c>
      <c r="L328" t="s">
        <v>257</v>
      </c>
      <c r="M328" t="s">
        <v>258</v>
      </c>
      <c r="N328" s="5">
        <v>0</v>
      </c>
    </row>
    <row r="329" spans="1:14" x14ac:dyDescent="0.25">
      <c r="A329" t="s">
        <v>870</v>
      </c>
      <c r="B329" t="s">
        <v>94</v>
      </c>
      <c r="C329" t="str">
        <f>_xlfn.XLOOKUP(Table6[[#This Row],[app_id]],Table5[app_id],Table5[app_name],"",0)</f>
        <v>LiftCloud</v>
      </c>
      <c r="D329" t="str">
        <f>_xlfn.XLOOKUP(Table6[[#This Row],[app_id]],Table5[app_id],Table5[category],"",0)</f>
        <v>Fitness</v>
      </c>
      <c r="E329" t="s">
        <v>537</v>
      </c>
      <c r="F329" t="s">
        <v>538</v>
      </c>
      <c r="G329" t="s">
        <v>61</v>
      </c>
      <c r="H329" t="s">
        <v>540</v>
      </c>
      <c r="I329">
        <v>10</v>
      </c>
      <c r="J329">
        <v>26.3</v>
      </c>
      <c r="K329" t="s">
        <v>258</v>
      </c>
      <c r="L329" t="s">
        <v>257</v>
      </c>
      <c r="M329" t="s">
        <v>258</v>
      </c>
      <c r="N329" s="5">
        <v>0</v>
      </c>
    </row>
    <row r="330" spans="1:14" x14ac:dyDescent="0.25">
      <c r="A330" t="s">
        <v>871</v>
      </c>
      <c r="B330" t="s">
        <v>96</v>
      </c>
      <c r="C330" t="str">
        <f>_xlfn.XLOOKUP(Table6[[#This Row],[app_id]],Table5[app_id],Table5[app_name],"",0)</f>
        <v>MoveNow</v>
      </c>
      <c r="D330" t="str">
        <f>_xlfn.XLOOKUP(Table6[[#This Row],[app_id]],Table5[app_id],Table5[category],"",0)</f>
        <v>Fitness</v>
      </c>
      <c r="E330" t="s">
        <v>537</v>
      </c>
      <c r="F330" t="s">
        <v>538</v>
      </c>
      <c r="G330" t="s">
        <v>61</v>
      </c>
      <c r="H330" t="s">
        <v>535</v>
      </c>
      <c r="I330">
        <v>5</v>
      </c>
      <c r="J330">
        <v>22.6</v>
      </c>
      <c r="K330" t="s">
        <v>258</v>
      </c>
      <c r="L330" t="s">
        <v>258</v>
      </c>
      <c r="M330" t="s">
        <v>258</v>
      </c>
      <c r="N330" s="5">
        <v>0</v>
      </c>
    </row>
    <row r="331" spans="1:14" x14ac:dyDescent="0.25">
      <c r="A331" t="s">
        <v>872</v>
      </c>
      <c r="B331" t="s">
        <v>98</v>
      </c>
      <c r="C331" t="str">
        <f>_xlfn.XLOOKUP(Table6[[#This Row],[app_id]],Table5[app_id],Table5[app_name],"",0)</f>
        <v>ActiveMate</v>
      </c>
      <c r="D331" t="str">
        <f>_xlfn.XLOOKUP(Table6[[#This Row],[app_id]],Table5[app_id],Table5[category],"",0)</f>
        <v>Fitness</v>
      </c>
      <c r="E331" t="s">
        <v>537</v>
      </c>
      <c r="F331" t="s">
        <v>534</v>
      </c>
      <c r="G331" t="s">
        <v>69</v>
      </c>
      <c r="H331" t="s">
        <v>535</v>
      </c>
      <c r="I331">
        <v>21</v>
      </c>
      <c r="J331">
        <v>36.1</v>
      </c>
      <c r="K331" t="s">
        <v>258</v>
      </c>
      <c r="L331" t="s">
        <v>258</v>
      </c>
      <c r="M331" t="s">
        <v>258</v>
      </c>
      <c r="N331" s="5">
        <v>15.31</v>
      </c>
    </row>
    <row r="332" spans="1:14" x14ac:dyDescent="0.25">
      <c r="A332" t="s">
        <v>873</v>
      </c>
      <c r="B332" t="s">
        <v>100</v>
      </c>
      <c r="C332" t="str">
        <f>_xlfn.XLOOKUP(Table6[[#This Row],[app_id]],Table5[app_id],Table5[app_name],"",0)</f>
        <v>RunGo</v>
      </c>
      <c r="D332" t="str">
        <f>_xlfn.XLOOKUP(Table6[[#This Row],[app_id]],Table5[app_id],Table5[category],"",0)</f>
        <v>Fitness</v>
      </c>
      <c r="E332" t="s">
        <v>537</v>
      </c>
      <c r="F332" t="s">
        <v>538</v>
      </c>
      <c r="G332" t="s">
        <v>23</v>
      </c>
      <c r="H332" t="s">
        <v>535</v>
      </c>
      <c r="I332">
        <v>83</v>
      </c>
      <c r="J332">
        <v>15.8</v>
      </c>
      <c r="K332" t="s">
        <v>257</v>
      </c>
      <c r="L332" t="s">
        <v>258</v>
      </c>
      <c r="M332" t="s">
        <v>258</v>
      </c>
      <c r="N332" s="5">
        <v>0</v>
      </c>
    </row>
    <row r="333" spans="1:14" x14ac:dyDescent="0.25">
      <c r="A333" t="s">
        <v>874</v>
      </c>
      <c r="B333" t="s">
        <v>102</v>
      </c>
      <c r="C333" t="str">
        <f>_xlfn.XLOOKUP(Table6[[#This Row],[app_id]],Table5[app_id],Table5[app_name],"",0)</f>
        <v>LiftPro</v>
      </c>
      <c r="D333" t="str">
        <f>_xlfn.XLOOKUP(Table6[[#This Row],[app_id]],Table5[app_id],Table5[category],"",0)</f>
        <v>Fitness</v>
      </c>
      <c r="E333" t="s">
        <v>546</v>
      </c>
      <c r="F333" t="s">
        <v>538</v>
      </c>
      <c r="G333" t="s">
        <v>61</v>
      </c>
      <c r="H333" t="s">
        <v>535</v>
      </c>
      <c r="I333">
        <v>51</v>
      </c>
      <c r="J333">
        <v>20.5</v>
      </c>
      <c r="K333" t="s">
        <v>257</v>
      </c>
      <c r="L333" t="s">
        <v>257</v>
      </c>
      <c r="M333" t="s">
        <v>257</v>
      </c>
      <c r="N333" s="5">
        <v>0</v>
      </c>
    </row>
    <row r="334" spans="1:14" x14ac:dyDescent="0.25">
      <c r="A334" t="s">
        <v>875</v>
      </c>
      <c r="B334" t="s">
        <v>104</v>
      </c>
      <c r="C334" t="str">
        <f>_xlfn.XLOOKUP(Table6[[#This Row],[app_id]],Table5[app_id],Table5[app_name],"",0)</f>
        <v>LiftPro</v>
      </c>
      <c r="D334" t="str">
        <f>_xlfn.XLOOKUP(Table6[[#This Row],[app_id]],Table5[app_id],Table5[category],"",0)</f>
        <v>Fitness</v>
      </c>
      <c r="E334" t="s">
        <v>546</v>
      </c>
      <c r="F334" t="s">
        <v>538</v>
      </c>
      <c r="G334" t="s">
        <v>23</v>
      </c>
      <c r="H334" t="s">
        <v>535</v>
      </c>
      <c r="I334">
        <v>52</v>
      </c>
      <c r="J334">
        <v>27.5</v>
      </c>
      <c r="K334" t="s">
        <v>257</v>
      </c>
      <c r="L334" t="s">
        <v>257</v>
      </c>
      <c r="M334" t="s">
        <v>258</v>
      </c>
      <c r="N334" s="5">
        <v>0</v>
      </c>
    </row>
    <row r="335" spans="1:14" x14ac:dyDescent="0.25">
      <c r="A335" t="s">
        <v>876</v>
      </c>
      <c r="B335" t="s">
        <v>105</v>
      </c>
      <c r="C335" t="str">
        <f>_xlfn.XLOOKUP(Table6[[#This Row],[app_id]],Table5[app_id],Table5[app_name],"",0)</f>
        <v>Liftly</v>
      </c>
      <c r="D335" t="str">
        <f>_xlfn.XLOOKUP(Table6[[#This Row],[app_id]],Table5[app_id],Table5[category],"",0)</f>
        <v>Fitness</v>
      </c>
      <c r="E335" t="s">
        <v>533</v>
      </c>
      <c r="F335" t="s">
        <v>628</v>
      </c>
      <c r="G335" t="s">
        <v>26</v>
      </c>
      <c r="H335" t="s">
        <v>535</v>
      </c>
      <c r="I335">
        <v>53</v>
      </c>
      <c r="J335">
        <v>9.1</v>
      </c>
      <c r="K335" t="s">
        <v>257</v>
      </c>
      <c r="L335" t="s">
        <v>258</v>
      </c>
      <c r="M335" t="s">
        <v>258</v>
      </c>
      <c r="N335" s="5">
        <v>0</v>
      </c>
    </row>
    <row r="336" spans="1:14" x14ac:dyDescent="0.25">
      <c r="A336" t="s">
        <v>877</v>
      </c>
      <c r="B336" t="s">
        <v>107</v>
      </c>
      <c r="C336" t="str">
        <f>_xlfn.XLOOKUP(Table6[[#This Row],[app_id]],Table5[app_id],Table5[app_name],"",0)</f>
        <v>YogaHub</v>
      </c>
      <c r="D336" t="str">
        <f>_xlfn.XLOOKUP(Table6[[#This Row],[app_id]],Table5[app_id],Table5[category],"",0)</f>
        <v>Fitness</v>
      </c>
      <c r="E336" t="s">
        <v>537</v>
      </c>
      <c r="F336" t="s">
        <v>534</v>
      </c>
      <c r="G336" t="s">
        <v>69</v>
      </c>
      <c r="H336" t="s">
        <v>535</v>
      </c>
      <c r="I336">
        <v>35</v>
      </c>
      <c r="J336">
        <v>31.8</v>
      </c>
      <c r="K336" t="s">
        <v>257</v>
      </c>
      <c r="L336" t="s">
        <v>257</v>
      </c>
      <c r="M336" t="s">
        <v>258</v>
      </c>
      <c r="N336" s="5">
        <v>0</v>
      </c>
    </row>
    <row r="337" spans="1:14" x14ac:dyDescent="0.25">
      <c r="A337" t="s">
        <v>878</v>
      </c>
      <c r="B337" t="s">
        <v>109</v>
      </c>
      <c r="C337" t="str">
        <f>_xlfn.XLOOKUP(Table6[[#This Row],[app_id]],Table5[app_id],Table5[app_name],"",0)</f>
        <v>MoveGo</v>
      </c>
      <c r="D337" t="str">
        <f>_xlfn.XLOOKUP(Table6[[#This Row],[app_id]],Table5[app_id],Table5[category],"",0)</f>
        <v>Fitness</v>
      </c>
      <c r="E337" t="s">
        <v>546</v>
      </c>
      <c r="F337" t="s">
        <v>534</v>
      </c>
      <c r="G337" t="s">
        <v>61</v>
      </c>
      <c r="H337" t="s">
        <v>535</v>
      </c>
      <c r="I337">
        <v>71</v>
      </c>
      <c r="J337">
        <v>41.2</v>
      </c>
      <c r="K337" t="s">
        <v>257</v>
      </c>
      <c r="L337" t="s">
        <v>258</v>
      </c>
      <c r="M337" t="s">
        <v>257</v>
      </c>
      <c r="N337" s="5">
        <v>0</v>
      </c>
    </row>
    <row r="338" spans="1:14" x14ac:dyDescent="0.25">
      <c r="A338" t="s">
        <v>879</v>
      </c>
      <c r="B338" t="s">
        <v>111</v>
      </c>
      <c r="C338" t="str">
        <f>_xlfn.XLOOKUP(Table6[[#This Row],[app_id]],Table5[app_id],Table5[app_name],"",0)</f>
        <v>BrightNow</v>
      </c>
      <c r="D338" t="str">
        <f>_xlfn.XLOOKUP(Table6[[#This Row],[app_id]],Table5[app_id],Table5[category],"",0)</f>
        <v>Education</v>
      </c>
      <c r="E338" t="s">
        <v>533</v>
      </c>
      <c r="F338" t="s">
        <v>548</v>
      </c>
      <c r="G338" t="s">
        <v>26</v>
      </c>
      <c r="H338" t="s">
        <v>535</v>
      </c>
      <c r="I338">
        <v>6</v>
      </c>
      <c r="J338">
        <v>40.200000000000003</v>
      </c>
      <c r="K338" t="s">
        <v>258</v>
      </c>
      <c r="L338" t="s">
        <v>258</v>
      </c>
      <c r="M338" t="s">
        <v>258</v>
      </c>
      <c r="N338" s="5">
        <v>0</v>
      </c>
    </row>
    <row r="339" spans="1:14" x14ac:dyDescent="0.25">
      <c r="A339" t="s">
        <v>880</v>
      </c>
      <c r="B339" t="s">
        <v>114</v>
      </c>
      <c r="C339" t="str">
        <f>_xlfn.XLOOKUP(Table6[[#This Row],[app_id]],Table5[app_id],Table5[app_name],"",0)</f>
        <v>StudyCloud</v>
      </c>
      <c r="D339" t="str">
        <f>_xlfn.XLOOKUP(Table6[[#This Row],[app_id]],Table5[app_id],Table5[category],"",0)</f>
        <v>Education</v>
      </c>
      <c r="E339" t="s">
        <v>537</v>
      </c>
      <c r="F339" t="s">
        <v>548</v>
      </c>
      <c r="G339" t="s">
        <v>30</v>
      </c>
      <c r="H339" t="s">
        <v>535</v>
      </c>
      <c r="I339">
        <v>6</v>
      </c>
      <c r="J339">
        <v>27</v>
      </c>
      <c r="K339" t="s">
        <v>258</v>
      </c>
      <c r="L339" t="s">
        <v>258</v>
      </c>
      <c r="M339" t="s">
        <v>258</v>
      </c>
      <c r="N339" s="5">
        <v>0</v>
      </c>
    </row>
    <row r="340" spans="1:14" x14ac:dyDescent="0.25">
      <c r="A340" t="s">
        <v>881</v>
      </c>
      <c r="B340" t="s">
        <v>116</v>
      </c>
      <c r="C340" t="str">
        <f>_xlfn.XLOOKUP(Table6[[#This Row],[app_id]],Table5[app_id],Table5[app_name],"",0)</f>
        <v>SkillNow</v>
      </c>
      <c r="D340" t="str">
        <f>_xlfn.XLOOKUP(Table6[[#This Row],[app_id]],Table5[app_id],Table5[category],"",0)</f>
        <v>Education</v>
      </c>
      <c r="E340" t="s">
        <v>537</v>
      </c>
      <c r="F340" t="s">
        <v>534</v>
      </c>
      <c r="G340" t="s">
        <v>18</v>
      </c>
      <c r="H340" t="s">
        <v>535</v>
      </c>
      <c r="I340">
        <v>12</v>
      </c>
      <c r="J340">
        <v>38.5</v>
      </c>
      <c r="K340" t="s">
        <v>258</v>
      </c>
      <c r="L340" t="s">
        <v>258</v>
      </c>
      <c r="M340" t="s">
        <v>258</v>
      </c>
      <c r="N340" s="5">
        <v>0</v>
      </c>
    </row>
    <row r="341" spans="1:14" x14ac:dyDescent="0.25">
      <c r="A341" t="s">
        <v>882</v>
      </c>
      <c r="B341" t="s">
        <v>118</v>
      </c>
      <c r="C341" t="str">
        <f>_xlfn.XLOOKUP(Table6[[#This Row],[app_id]],Table5[app_id],Table5[app_name],"",0)</f>
        <v>LearnMate</v>
      </c>
      <c r="D341" t="str">
        <f>_xlfn.XLOOKUP(Table6[[#This Row],[app_id]],Table5[app_id],Table5[category],"",0)</f>
        <v>Education</v>
      </c>
      <c r="E341" t="s">
        <v>537</v>
      </c>
      <c r="F341" t="s">
        <v>534</v>
      </c>
      <c r="G341" t="s">
        <v>61</v>
      </c>
      <c r="H341" t="s">
        <v>535</v>
      </c>
      <c r="I341">
        <v>26</v>
      </c>
      <c r="J341">
        <v>15.9</v>
      </c>
      <c r="K341" t="s">
        <v>258</v>
      </c>
      <c r="L341" t="s">
        <v>257</v>
      </c>
      <c r="M341" t="s">
        <v>257</v>
      </c>
      <c r="N341" s="5">
        <v>0</v>
      </c>
    </row>
    <row r="342" spans="1:14" x14ac:dyDescent="0.25">
      <c r="A342" t="s">
        <v>883</v>
      </c>
      <c r="B342" t="s">
        <v>120</v>
      </c>
      <c r="C342" t="str">
        <f>_xlfn.XLOOKUP(Table6[[#This Row],[app_id]],Table5[app_id],Table5[app_name],"",0)</f>
        <v>QuestNow</v>
      </c>
      <c r="D342" t="str">
        <f>_xlfn.XLOOKUP(Table6[[#This Row],[app_id]],Table5[app_id],Table5[category],"",0)</f>
        <v>Education</v>
      </c>
      <c r="E342" t="s">
        <v>557</v>
      </c>
      <c r="F342" t="s">
        <v>534</v>
      </c>
      <c r="G342" t="s">
        <v>23</v>
      </c>
      <c r="H342" t="s">
        <v>535</v>
      </c>
      <c r="I342">
        <v>8</v>
      </c>
      <c r="J342">
        <v>16.7</v>
      </c>
      <c r="K342" t="s">
        <v>258</v>
      </c>
      <c r="L342" t="s">
        <v>258</v>
      </c>
      <c r="M342" t="s">
        <v>257</v>
      </c>
      <c r="N342" s="5">
        <v>0</v>
      </c>
    </row>
    <row r="343" spans="1:14" x14ac:dyDescent="0.25">
      <c r="A343" t="s">
        <v>884</v>
      </c>
      <c r="B343" t="s">
        <v>122</v>
      </c>
      <c r="C343" t="str">
        <f>_xlfn.XLOOKUP(Table6[[#This Row],[app_id]],Table5[app_id],Table5[app_name],"",0)</f>
        <v>SkillHub</v>
      </c>
      <c r="D343" t="str">
        <f>_xlfn.XLOOKUP(Table6[[#This Row],[app_id]],Table5[app_id],Table5[category],"",0)</f>
        <v>Education</v>
      </c>
      <c r="E343" t="s">
        <v>533</v>
      </c>
      <c r="F343" t="s">
        <v>534</v>
      </c>
      <c r="G343" t="s">
        <v>61</v>
      </c>
      <c r="H343" t="s">
        <v>535</v>
      </c>
      <c r="I343">
        <v>76</v>
      </c>
      <c r="J343">
        <v>29.3</v>
      </c>
      <c r="K343" t="s">
        <v>257</v>
      </c>
      <c r="L343" t="s">
        <v>258</v>
      </c>
      <c r="M343" t="s">
        <v>258</v>
      </c>
      <c r="N343" s="5">
        <v>0</v>
      </c>
    </row>
    <row r="344" spans="1:14" x14ac:dyDescent="0.25">
      <c r="A344" t="s">
        <v>885</v>
      </c>
      <c r="B344" t="s">
        <v>124</v>
      </c>
      <c r="C344" t="str">
        <f>_xlfn.XLOOKUP(Table6[[#This Row],[app_id]],Table5[app_id],Table5[app_name],"",0)</f>
        <v>TutorCloud</v>
      </c>
      <c r="D344" t="str">
        <f>_xlfn.XLOOKUP(Table6[[#This Row],[app_id]],Table5[app_id],Table5[category],"",0)</f>
        <v>Education</v>
      </c>
      <c r="E344" t="s">
        <v>537</v>
      </c>
      <c r="F344" t="s">
        <v>538</v>
      </c>
      <c r="G344" t="s">
        <v>61</v>
      </c>
      <c r="H344" t="s">
        <v>535</v>
      </c>
      <c r="I344">
        <v>18</v>
      </c>
      <c r="J344">
        <v>39.200000000000003</v>
      </c>
      <c r="K344" t="s">
        <v>258</v>
      </c>
      <c r="L344" t="s">
        <v>258</v>
      </c>
      <c r="M344" t="s">
        <v>257</v>
      </c>
      <c r="N344" s="5">
        <v>0</v>
      </c>
    </row>
    <row r="345" spans="1:14" x14ac:dyDescent="0.25">
      <c r="A345" t="s">
        <v>886</v>
      </c>
      <c r="B345" t="s">
        <v>126</v>
      </c>
      <c r="C345" t="str">
        <f>_xlfn.XLOOKUP(Table6[[#This Row],[app_id]],Table5[app_id],Table5[app_name],"",0)</f>
        <v>SkillOne</v>
      </c>
      <c r="D345" t="str">
        <f>_xlfn.XLOOKUP(Table6[[#This Row],[app_id]],Table5[app_id],Table5[category],"",0)</f>
        <v>Education</v>
      </c>
      <c r="E345" t="s">
        <v>533</v>
      </c>
      <c r="F345" t="s">
        <v>534</v>
      </c>
      <c r="G345" t="s">
        <v>35</v>
      </c>
      <c r="H345" t="s">
        <v>535</v>
      </c>
      <c r="I345">
        <v>22</v>
      </c>
      <c r="J345">
        <v>13.1</v>
      </c>
      <c r="K345" t="s">
        <v>258</v>
      </c>
      <c r="L345" t="s">
        <v>258</v>
      </c>
      <c r="M345" t="s">
        <v>257</v>
      </c>
      <c r="N345" s="5">
        <v>0</v>
      </c>
    </row>
    <row r="346" spans="1:14" x14ac:dyDescent="0.25">
      <c r="A346" t="s">
        <v>887</v>
      </c>
      <c r="B346" t="s">
        <v>128</v>
      </c>
      <c r="C346" t="str">
        <f>_xlfn.XLOOKUP(Table6[[#This Row],[app_id]],Table5[app_id],Table5[app_name],"",0)</f>
        <v>LearnOne</v>
      </c>
      <c r="D346" t="str">
        <f>_xlfn.XLOOKUP(Table6[[#This Row],[app_id]],Table5[app_id],Table5[category],"",0)</f>
        <v>Education</v>
      </c>
      <c r="E346" t="s">
        <v>537</v>
      </c>
      <c r="F346" t="s">
        <v>534</v>
      </c>
      <c r="G346" t="s">
        <v>26</v>
      </c>
      <c r="H346" t="s">
        <v>535</v>
      </c>
      <c r="I346">
        <v>66</v>
      </c>
      <c r="J346">
        <v>36.4</v>
      </c>
      <c r="K346" t="s">
        <v>257</v>
      </c>
      <c r="L346" t="s">
        <v>257</v>
      </c>
      <c r="M346" t="s">
        <v>257</v>
      </c>
      <c r="N346" s="5">
        <v>35.83</v>
      </c>
    </row>
    <row r="347" spans="1:14" x14ac:dyDescent="0.25">
      <c r="A347" t="s">
        <v>888</v>
      </c>
      <c r="B347" t="s">
        <v>130</v>
      </c>
      <c r="C347" t="str">
        <f>_xlfn.XLOOKUP(Table6[[#This Row],[app_id]],Table5[app_id],Table5[app_name],"",0)</f>
        <v>LearnPlus</v>
      </c>
      <c r="D347" t="str">
        <f>_xlfn.XLOOKUP(Table6[[#This Row],[app_id]],Table5[app_id],Table5[category],"",0)</f>
        <v>Education</v>
      </c>
      <c r="E347" t="s">
        <v>533</v>
      </c>
      <c r="F347" t="s">
        <v>538</v>
      </c>
      <c r="G347" t="s">
        <v>35</v>
      </c>
      <c r="H347" t="s">
        <v>535</v>
      </c>
      <c r="I347">
        <v>61</v>
      </c>
      <c r="J347">
        <v>15.2</v>
      </c>
      <c r="K347" t="s">
        <v>257</v>
      </c>
      <c r="L347" t="s">
        <v>258</v>
      </c>
      <c r="M347" t="s">
        <v>258</v>
      </c>
      <c r="N347" s="5">
        <v>0</v>
      </c>
    </row>
    <row r="348" spans="1:14" x14ac:dyDescent="0.25">
      <c r="A348" t="s">
        <v>889</v>
      </c>
      <c r="B348" t="s">
        <v>132</v>
      </c>
      <c r="C348" t="str">
        <f>_xlfn.XLOOKUP(Table6[[#This Row],[app_id]],Table5[app_id],Table5[app_name],"",0)</f>
        <v>StudyPlus</v>
      </c>
      <c r="D348" t="str">
        <f>_xlfn.XLOOKUP(Table6[[#This Row],[app_id]],Table5[app_id],Table5[category],"",0)</f>
        <v>Education</v>
      </c>
      <c r="E348" t="s">
        <v>546</v>
      </c>
      <c r="F348" t="s">
        <v>538</v>
      </c>
      <c r="G348" t="s">
        <v>46</v>
      </c>
      <c r="H348" t="s">
        <v>535</v>
      </c>
      <c r="I348">
        <v>93</v>
      </c>
      <c r="J348">
        <v>36.200000000000003</v>
      </c>
      <c r="K348" t="s">
        <v>257</v>
      </c>
      <c r="L348" t="s">
        <v>257</v>
      </c>
      <c r="M348" t="s">
        <v>258</v>
      </c>
      <c r="N348" s="5">
        <v>0</v>
      </c>
    </row>
    <row r="349" spans="1:14" x14ac:dyDescent="0.25">
      <c r="A349" t="s">
        <v>890</v>
      </c>
      <c r="B349" t="s">
        <v>134</v>
      </c>
      <c r="C349" t="str">
        <f>_xlfn.XLOOKUP(Table6[[#This Row],[app_id]],Table5[app_id],Table5[app_name],"",0)</f>
        <v>StudyX</v>
      </c>
      <c r="D349" t="str">
        <f>_xlfn.XLOOKUP(Table6[[#This Row],[app_id]],Table5[app_id],Table5[category],"",0)</f>
        <v>Education</v>
      </c>
      <c r="E349" t="s">
        <v>537</v>
      </c>
      <c r="F349" t="s">
        <v>534</v>
      </c>
      <c r="G349" t="s">
        <v>35</v>
      </c>
      <c r="H349" t="s">
        <v>535</v>
      </c>
      <c r="I349">
        <v>12</v>
      </c>
      <c r="J349">
        <v>39.5</v>
      </c>
      <c r="K349" t="s">
        <v>258</v>
      </c>
      <c r="L349" t="s">
        <v>257</v>
      </c>
      <c r="M349" t="s">
        <v>258</v>
      </c>
      <c r="N349" s="5">
        <v>0</v>
      </c>
    </row>
    <row r="350" spans="1:14" x14ac:dyDescent="0.25">
      <c r="A350" t="s">
        <v>891</v>
      </c>
      <c r="B350" t="s">
        <v>136</v>
      </c>
      <c r="C350" t="str">
        <f>_xlfn.XLOOKUP(Table6[[#This Row],[app_id]],Table5[app_id],Table5[app_name],"",0)</f>
        <v>PlayPlus</v>
      </c>
      <c r="D350" t="str">
        <f>_xlfn.XLOOKUP(Table6[[#This Row],[app_id]],Table5[app_id],Table5[category],"",0)</f>
        <v>Entertainment</v>
      </c>
      <c r="E350" t="s">
        <v>537</v>
      </c>
      <c r="F350" t="s">
        <v>538</v>
      </c>
      <c r="G350" t="s">
        <v>46</v>
      </c>
      <c r="H350" t="s">
        <v>535</v>
      </c>
      <c r="I350">
        <v>28</v>
      </c>
      <c r="J350">
        <v>34.5</v>
      </c>
      <c r="K350" t="s">
        <v>257</v>
      </c>
      <c r="L350" t="s">
        <v>257</v>
      </c>
      <c r="M350" t="s">
        <v>258</v>
      </c>
      <c r="N350" s="5">
        <v>0</v>
      </c>
    </row>
    <row r="351" spans="1:14" x14ac:dyDescent="0.25">
      <c r="A351" t="s">
        <v>892</v>
      </c>
      <c r="B351" t="s">
        <v>139</v>
      </c>
      <c r="C351" t="str">
        <f>_xlfn.XLOOKUP(Table6[[#This Row],[app_id]],Table5[app_id],Table5[app_name],"",0)</f>
        <v>ShowMate</v>
      </c>
      <c r="D351" t="str">
        <f>_xlfn.XLOOKUP(Table6[[#This Row],[app_id]],Table5[app_id],Table5[category],"",0)</f>
        <v>Entertainment</v>
      </c>
      <c r="E351" t="s">
        <v>537</v>
      </c>
      <c r="F351" t="s">
        <v>534</v>
      </c>
      <c r="G351" t="s">
        <v>26</v>
      </c>
      <c r="H351" t="s">
        <v>535</v>
      </c>
      <c r="I351">
        <v>1</v>
      </c>
      <c r="J351">
        <v>12.6</v>
      </c>
      <c r="K351" t="s">
        <v>258</v>
      </c>
      <c r="L351" t="s">
        <v>257</v>
      </c>
      <c r="M351" t="s">
        <v>258</v>
      </c>
      <c r="N351" s="5">
        <v>0</v>
      </c>
    </row>
    <row r="352" spans="1:14" x14ac:dyDescent="0.25">
      <c r="A352" t="s">
        <v>893</v>
      </c>
      <c r="B352" t="s">
        <v>141</v>
      </c>
      <c r="C352" t="str">
        <f>_xlfn.XLOOKUP(Table6[[#This Row],[app_id]],Table5[app_id],Table5[app_name],"",0)</f>
        <v>VibeX</v>
      </c>
      <c r="D352" t="str">
        <f>_xlfn.XLOOKUP(Table6[[#This Row],[app_id]],Table5[app_id],Table5[category],"",0)</f>
        <v>Entertainment</v>
      </c>
      <c r="E352" t="s">
        <v>557</v>
      </c>
      <c r="F352" t="s">
        <v>534</v>
      </c>
      <c r="G352" t="s">
        <v>61</v>
      </c>
      <c r="H352" t="s">
        <v>540</v>
      </c>
      <c r="I352">
        <v>67</v>
      </c>
      <c r="J352">
        <v>40.299999999999997</v>
      </c>
      <c r="K352" t="s">
        <v>257</v>
      </c>
      <c r="L352" t="s">
        <v>257</v>
      </c>
      <c r="M352" t="s">
        <v>258</v>
      </c>
      <c r="N352" s="5">
        <v>0</v>
      </c>
    </row>
    <row r="353" spans="1:14" x14ac:dyDescent="0.25">
      <c r="A353" t="s">
        <v>894</v>
      </c>
      <c r="B353" t="s">
        <v>143</v>
      </c>
      <c r="C353" t="str">
        <f>_xlfn.XLOOKUP(Table6[[#This Row],[app_id]],Table5[app_id],Table5[app_name],"",0)</f>
        <v>BuzzNow</v>
      </c>
      <c r="D353" t="str">
        <f>_xlfn.XLOOKUP(Table6[[#This Row],[app_id]],Table5[app_id],Table5[category],"",0)</f>
        <v>Entertainment</v>
      </c>
      <c r="E353" t="s">
        <v>552</v>
      </c>
      <c r="F353" t="s">
        <v>534</v>
      </c>
      <c r="G353" t="s">
        <v>26</v>
      </c>
      <c r="H353" t="s">
        <v>540</v>
      </c>
      <c r="I353">
        <v>26</v>
      </c>
      <c r="J353">
        <v>36.1</v>
      </c>
      <c r="K353" t="s">
        <v>258</v>
      </c>
      <c r="L353" t="s">
        <v>257</v>
      </c>
      <c r="M353" t="s">
        <v>258</v>
      </c>
      <c r="N353" s="5">
        <v>0</v>
      </c>
    </row>
    <row r="354" spans="1:14" x14ac:dyDescent="0.25">
      <c r="A354" t="s">
        <v>895</v>
      </c>
      <c r="B354" t="s">
        <v>145</v>
      </c>
      <c r="C354" t="str">
        <f>_xlfn.XLOOKUP(Table6[[#This Row],[app_id]],Table5[app_id],Table5[app_name],"",0)</f>
        <v>StreamPlus</v>
      </c>
      <c r="D354" t="str">
        <f>_xlfn.XLOOKUP(Table6[[#This Row],[app_id]],Table5[app_id],Table5[category],"",0)</f>
        <v>Entertainment</v>
      </c>
      <c r="E354" t="s">
        <v>533</v>
      </c>
      <c r="F354" t="s">
        <v>534</v>
      </c>
      <c r="G354" t="s">
        <v>61</v>
      </c>
      <c r="H354" t="s">
        <v>535</v>
      </c>
      <c r="I354">
        <v>28</v>
      </c>
      <c r="J354">
        <v>9.9</v>
      </c>
      <c r="K354" t="s">
        <v>258</v>
      </c>
      <c r="L354" t="s">
        <v>258</v>
      </c>
      <c r="M354" t="s">
        <v>257</v>
      </c>
      <c r="N354" s="5">
        <v>39.229999999999997</v>
      </c>
    </row>
    <row r="355" spans="1:14" x14ac:dyDescent="0.25">
      <c r="A355" t="s">
        <v>896</v>
      </c>
      <c r="B355" t="s">
        <v>147</v>
      </c>
      <c r="C355" t="str">
        <f>_xlfn.XLOOKUP(Table6[[#This Row],[app_id]],Table5[app_id],Table5[app_name],"",0)</f>
        <v>Showly</v>
      </c>
      <c r="D355" t="str">
        <f>_xlfn.XLOOKUP(Table6[[#This Row],[app_id]],Table5[app_id],Table5[category],"",0)</f>
        <v>Entertainment</v>
      </c>
      <c r="E355" t="s">
        <v>533</v>
      </c>
      <c r="F355" t="s">
        <v>538</v>
      </c>
      <c r="G355" t="s">
        <v>18</v>
      </c>
      <c r="H355" t="s">
        <v>540</v>
      </c>
      <c r="I355">
        <v>35</v>
      </c>
      <c r="J355">
        <v>23.2</v>
      </c>
      <c r="K355" t="s">
        <v>257</v>
      </c>
      <c r="L355" t="s">
        <v>257</v>
      </c>
      <c r="M355" t="s">
        <v>257</v>
      </c>
      <c r="N355" s="5">
        <v>0</v>
      </c>
    </row>
    <row r="356" spans="1:14" x14ac:dyDescent="0.25">
      <c r="A356" t="s">
        <v>897</v>
      </c>
      <c r="B356" t="s">
        <v>149</v>
      </c>
      <c r="C356" t="str">
        <f>_xlfn.XLOOKUP(Table6[[#This Row],[app_id]],Table5[app_id],Table5[app_name],"",0)</f>
        <v>BuzzOne</v>
      </c>
      <c r="D356" t="str">
        <f>_xlfn.XLOOKUP(Table6[[#This Row],[app_id]],Table5[app_id],Table5[category],"",0)</f>
        <v>Entertainment</v>
      </c>
      <c r="E356" t="s">
        <v>533</v>
      </c>
      <c r="F356" t="s">
        <v>534</v>
      </c>
      <c r="G356" t="s">
        <v>69</v>
      </c>
      <c r="H356" t="s">
        <v>535</v>
      </c>
      <c r="I356">
        <v>26</v>
      </c>
      <c r="J356">
        <v>17</v>
      </c>
      <c r="K356" t="s">
        <v>257</v>
      </c>
      <c r="L356" t="s">
        <v>257</v>
      </c>
      <c r="M356" t="s">
        <v>258</v>
      </c>
      <c r="N356" s="5">
        <v>22.49</v>
      </c>
    </row>
    <row r="357" spans="1:14" x14ac:dyDescent="0.25">
      <c r="A357" t="s">
        <v>898</v>
      </c>
      <c r="B357" t="s">
        <v>151</v>
      </c>
      <c r="C357" t="str">
        <f>_xlfn.XLOOKUP(Table6[[#This Row],[app_id]],Table5[app_id],Table5[app_name],"",0)</f>
        <v>PlayHub</v>
      </c>
      <c r="D357" t="str">
        <f>_xlfn.XLOOKUP(Table6[[#This Row],[app_id]],Table5[app_id],Table5[category],"",0)</f>
        <v>Entertainment</v>
      </c>
      <c r="E357" t="s">
        <v>537</v>
      </c>
      <c r="F357" t="s">
        <v>538</v>
      </c>
      <c r="G357" t="s">
        <v>69</v>
      </c>
      <c r="H357" t="s">
        <v>540</v>
      </c>
      <c r="I357">
        <v>5</v>
      </c>
      <c r="J357">
        <v>17.8</v>
      </c>
      <c r="K357" t="s">
        <v>258</v>
      </c>
      <c r="L357" t="s">
        <v>258</v>
      </c>
      <c r="M357" t="s">
        <v>258</v>
      </c>
      <c r="N357" s="5">
        <v>0</v>
      </c>
    </row>
    <row r="358" spans="1:14" x14ac:dyDescent="0.25">
      <c r="A358" t="s">
        <v>899</v>
      </c>
      <c r="B358" t="s">
        <v>153</v>
      </c>
      <c r="C358" t="str">
        <f>_xlfn.XLOOKUP(Table6[[#This Row],[app_id]],Table5[app_id],Table5[app_name],"",0)</f>
        <v>CinemaGo</v>
      </c>
      <c r="D358" t="str">
        <f>_xlfn.XLOOKUP(Table6[[#This Row],[app_id]],Table5[app_id],Table5[category],"",0)</f>
        <v>Entertainment</v>
      </c>
      <c r="E358" t="s">
        <v>546</v>
      </c>
      <c r="F358" t="s">
        <v>534</v>
      </c>
      <c r="G358" t="s">
        <v>23</v>
      </c>
      <c r="H358" t="s">
        <v>535</v>
      </c>
      <c r="I358">
        <v>23</v>
      </c>
      <c r="J358">
        <v>27.9</v>
      </c>
      <c r="K358" t="s">
        <v>258</v>
      </c>
      <c r="L358" t="s">
        <v>258</v>
      </c>
      <c r="M358" t="s">
        <v>257</v>
      </c>
      <c r="N358" s="5">
        <v>52.79</v>
      </c>
    </row>
    <row r="359" spans="1:14" x14ac:dyDescent="0.25">
      <c r="A359" t="s">
        <v>900</v>
      </c>
      <c r="B359" t="s">
        <v>155</v>
      </c>
      <c r="C359" t="str">
        <f>_xlfn.XLOOKUP(Table6[[#This Row],[app_id]],Table5[app_id],Table5[app_name],"",0)</f>
        <v>LaughX</v>
      </c>
      <c r="D359" t="str">
        <f>_xlfn.XLOOKUP(Table6[[#This Row],[app_id]],Table5[app_id],Table5[category],"",0)</f>
        <v>Entertainment</v>
      </c>
      <c r="E359" t="s">
        <v>557</v>
      </c>
      <c r="F359" t="s">
        <v>538</v>
      </c>
      <c r="G359" t="s">
        <v>26</v>
      </c>
      <c r="H359" t="s">
        <v>535</v>
      </c>
      <c r="I359">
        <v>62</v>
      </c>
      <c r="J359">
        <v>26.7</v>
      </c>
      <c r="K359" t="s">
        <v>257</v>
      </c>
      <c r="L359" t="s">
        <v>257</v>
      </c>
      <c r="M359" t="s">
        <v>258</v>
      </c>
      <c r="N359" s="5">
        <v>0</v>
      </c>
    </row>
    <row r="360" spans="1:14" x14ac:dyDescent="0.25">
      <c r="A360" t="s">
        <v>901</v>
      </c>
      <c r="B360" t="s">
        <v>157</v>
      </c>
      <c r="C360" t="str">
        <f>_xlfn.XLOOKUP(Table6[[#This Row],[app_id]],Table5[app_id],Table5[app_name],"",0)</f>
        <v>CinemaHub</v>
      </c>
      <c r="D360" t="str">
        <f>_xlfn.XLOOKUP(Table6[[#This Row],[app_id]],Table5[app_id],Table5[category],"",0)</f>
        <v>Entertainment</v>
      </c>
      <c r="E360" t="s">
        <v>537</v>
      </c>
      <c r="F360" t="s">
        <v>538</v>
      </c>
      <c r="G360" t="s">
        <v>69</v>
      </c>
      <c r="H360" t="s">
        <v>535</v>
      </c>
      <c r="I360">
        <v>21</v>
      </c>
      <c r="J360">
        <v>11.4</v>
      </c>
      <c r="K360" t="s">
        <v>258</v>
      </c>
      <c r="L360" t="s">
        <v>257</v>
      </c>
      <c r="M360" t="s">
        <v>258</v>
      </c>
      <c r="N360" s="5">
        <v>0</v>
      </c>
    </row>
    <row r="361" spans="1:14" x14ac:dyDescent="0.25">
      <c r="A361" t="s">
        <v>902</v>
      </c>
      <c r="B361" t="s">
        <v>159</v>
      </c>
      <c r="C361" t="str">
        <f>_xlfn.XLOOKUP(Table6[[#This Row],[app_id]],Table5[app_id],Table5[app_name],"",0)</f>
        <v>ShowPro</v>
      </c>
      <c r="D361" t="str">
        <f>_xlfn.XLOOKUP(Table6[[#This Row],[app_id]],Table5[app_id],Table5[category],"",0)</f>
        <v>Entertainment</v>
      </c>
      <c r="E361" t="s">
        <v>537</v>
      </c>
      <c r="F361" t="s">
        <v>538</v>
      </c>
      <c r="G361" t="s">
        <v>61</v>
      </c>
      <c r="H361" t="s">
        <v>535</v>
      </c>
      <c r="I361">
        <v>35</v>
      </c>
      <c r="J361">
        <v>14.6</v>
      </c>
      <c r="K361" t="s">
        <v>257</v>
      </c>
      <c r="L361" t="s">
        <v>258</v>
      </c>
      <c r="M361" t="s">
        <v>257</v>
      </c>
      <c r="N361" s="5">
        <v>0</v>
      </c>
    </row>
    <row r="362" spans="1:14" x14ac:dyDescent="0.25">
      <c r="A362" t="s">
        <v>903</v>
      </c>
      <c r="B362" t="s">
        <v>161</v>
      </c>
      <c r="C362" t="str">
        <f>_xlfn.XLOOKUP(Table6[[#This Row],[app_id]],Table5[app_id],Table5[app_name],"",0)</f>
        <v>FoodPlus</v>
      </c>
      <c r="D362" t="str">
        <f>_xlfn.XLOOKUP(Table6[[#This Row],[app_id]],Table5[app_id],Table5[category],"",0)</f>
        <v>Food Delivery</v>
      </c>
      <c r="E362" t="s">
        <v>546</v>
      </c>
      <c r="F362" t="s">
        <v>538</v>
      </c>
      <c r="G362" t="s">
        <v>61</v>
      </c>
      <c r="H362" t="s">
        <v>535</v>
      </c>
      <c r="I362">
        <v>23</v>
      </c>
      <c r="J362">
        <v>7.1</v>
      </c>
      <c r="K362" t="s">
        <v>258</v>
      </c>
      <c r="L362" t="s">
        <v>258</v>
      </c>
      <c r="M362" t="s">
        <v>257</v>
      </c>
      <c r="N362" s="5">
        <v>0</v>
      </c>
    </row>
    <row r="363" spans="1:14" x14ac:dyDescent="0.25">
      <c r="A363" t="s">
        <v>904</v>
      </c>
      <c r="B363" t="s">
        <v>164</v>
      </c>
      <c r="C363" t="str">
        <f>_xlfn.XLOOKUP(Table6[[#This Row],[app_id]],Table5[app_id],Table5[app_name],"",0)</f>
        <v>BiteGo</v>
      </c>
      <c r="D363" t="str">
        <f>_xlfn.XLOOKUP(Table6[[#This Row],[app_id]],Table5[app_id],Table5[category],"",0)</f>
        <v>Food Delivery</v>
      </c>
      <c r="E363" t="s">
        <v>533</v>
      </c>
      <c r="F363" t="s">
        <v>534</v>
      </c>
      <c r="G363" t="s">
        <v>26</v>
      </c>
      <c r="H363" t="s">
        <v>535</v>
      </c>
      <c r="I363">
        <v>90</v>
      </c>
      <c r="J363">
        <v>12.4</v>
      </c>
      <c r="K363" t="s">
        <v>257</v>
      </c>
      <c r="L363" t="s">
        <v>258</v>
      </c>
      <c r="M363" t="s">
        <v>257</v>
      </c>
      <c r="N363" s="5">
        <v>40.42</v>
      </c>
    </row>
    <row r="364" spans="1:14" x14ac:dyDescent="0.25">
      <c r="A364" t="s">
        <v>905</v>
      </c>
      <c r="B364" t="s">
        <v>166</v>
      </c>
      <c r="C364" t="str">
        <f>_xlfn.XLOOKUP(Table6[[#This Row],[app_id]],Table5[app_id],Table5[app_name],"",0)</f>
        <v>OrderCloud</v>
      </c>
      <c r="D364" t="str">
        <f>_xlfn.XLOOKUP(Table6[[#This Row],[app_id]],Table5[app_id],Table5[category],"",0)</f>
        <v>Food Delivery</v>
      </c>
      <c r="E364" t="s">
        <v>557</v>
      </c>
      <c r="F364" t="s">
        <v>534</v>
      </c>
      <c r="G364" t="s">
        <v>69</v>
      </c>
      <c r="H364" t="s">
        <v>535</v>
      </c>
      <c r="I364">
        <v>41</v>
      </c>
      <c r="J364">
        <v>8</v>
      </c>
      <c r="K364" t="s">
        <v>257</v>
      </c>
      <c r="L364" t="s">
        <v>257</v>
      </c>
      <c r="M364" t="s">
        <v>258</v>
      </c>
      <c r="N364" s="5">
        <v>0</v>
      </c>
    </row>
    <row r="365" spans="1:14" x14ac:dyDescent="0.25">
      <c r="A365" t="s">
        <v>906</v>
      </c>
      <c r="B365" t="s">
        <v>168</v>
      </c>
      <c r="C365" t="str">
        <f>_xlfn.XLOOKUP(Table6[[#This Row],[app_id]],Table5[app_id],Table5[app_name],"",0)</f>
        <v>DinePlus</v>
      </c>
      <c r="D365" t="str">
        <f>_xlfn.XLOOKUP(Table6[[#This Row],[app_id]],Table5[app_id],Table5[category],"",0)</f>
        <v>Food Delivery</v>
      </c>
      <c r="E365" t="s">
        <v>533</v>
      </c>
      <c r="F365" t="s">
        <v>534</v>
      </c>
      <c r="G365" t="s">
        <v>23</v>
      </c>
      <c r="H365" t="s">
        <v>535</v>
      </c>
      <c r="I365">
        <v>14</v>
      </c>
      <c r="J365">
        <v>14.9</v>
      </c>
      <c r="K365" t="s">
        <v>258</v>
      </c>
      <c r="L365" t="s">
        <v>257</v>
      </c>
      <c r="M365" t="s">
        <v>258</v>
      </c>
      <c r="N365" s="5">
        <v>5.54</v>
      </c>
    </row>
    <row r="366" spans="1:14" x14ac:dyDescent="0.25">
      <c r="A366" t="s">
        <v>907</v>
      </c>
      <c r="B366" t="s">
        <v>170</v>
      </c>
      <c r="C366" t="str">
        <f>_xlfn.XLOOKUP(Table6[[#This Row],[app_id]],Table5[app_id],Table5[app_name],"",0)</f>
        <v>SnackX</v>
      </c>
      <c r="D366" t="str">
        <f>_xlfn.XLOOKUP(Table6[[#This Row],[app_id]],Table5[app_id],Table5[category],"",0)</f>
        <v>Food Delivery</v>
      </c>
      <c r="E366" t="s">
        <v>557</v>
      </c>
      <c r="F366" t="s">
        <v>538</v>
      </c>
      <c r="G366" t="s">
        <v>23</v>
      </c>
      <c r="H366" t="s">
        <v>535</v>
      </c>
      <c r="I366">
        <v>26</v>
      </c>
      <c r="J366">
        <v>7.8</v>
      </c>
      <c r="K366" t="s">
        <v>258</v>
      </c>
      <c r="L366" t="s">
        <v>257</v>
      </c>
      <c r="M366" t="s">
        <v>258</v>
      </c>
      <c r="N366" s="5">
        <v>83.92</v>
      </c>
    </row>
    <row r="367" spans="1:14" x14ac:dyDescent="0.25">
      <c r="A367" t="s">
        <v>908</v>
      </c>
      <c r="B367" t="s">
        <v>172</v>
      </c>
      <c r="C367" t="str">
        <f>_xlfn.XLOOKUP(Table6[[#This Row],[app_id]],Table5[app_id],Table5[app_name],"",0)</f>
        <v>FoodOne</v>
      </c>
      <c r="D367" t="str">
        <f>_xlfn.XLOOKUP(Table6[[#This Row],[app_id]],Table5[app_id],Table5[category],"",0)</f>
        <v>Food Delivery</v>
      </c>
      <c r="E367" t="s">
        <v>546</v>
      </c>
      <c r="F367" t="s">
        <v>534</v>
      </c>
      <c r="G367" t="s">
        <v>46</v>
      </c>
      <c r="H367" t="s">
        <v>535</v>
      </c>
      <c r="I367">
        <v>6</v>
      </c>
      <c r="J367">
        <v>9.1</v>
      </c>
      <c r="K367" t="s">
        <v>258</v>
      </c>
      <c r="L367" t="s">
        <v>258</v>
      </c>
      <c r="M367" t="s">
        <v>257</v>
      </c>
      <c r="N367" s="5">
        <v>0</v>
      </c>
    </row>
    <row r="368" spans="1:14" x14ac:dyDescent="0.25">
      <c r="A368" t="s">
        <v>909</v>
      </c>
      <c r="B368" t="s">
        <v>174</v>
      </c>
      <c r="C368" t="str">
        <f>_xlfn.XLOOKUP(Table6[[#This Row],[app_id]],Table5[app_id],Table5[app_name],"",0)</f>
        <v>MealMate</v>
      </c>
      <c r="D368" t="str">
        <f>_xlfn.XLOOKUP(Table6[[#This Row],[app_id]],Table5[app_id],Table5[category],"",0)</f>
        <v>Food Delivery</v>
      </c>
      <c r="E368" t="s">
        <v>533</v>
      </c>
      <c r="F368" t="s">
        <v>538</v>
      </c>
      <c r="G368" t="s">
        <v>30</v>
      </c>
      <c r="H368" t="s">
        <v>535</v>
      </c>
      <c r="I368">
        <v>3</v>
      </c>
      <c r="J368">
        <v>10.6</v>
      </c>
      <c r="K368" t="s">
        <v>258</v>
      </c>
      <c r="L368" t="s">
        <v>258</v>
      </c>
      <c r="M368" t="s">
        <v>258</v>
      </c>
      <c r="N368" s="5">
        <v>42.12</v>
      </c>
    </row>
    <row r="369" spans="1:14" x14ac:dyDescent="0.25">
      <c r="A369" t="s">
        <v>910</v>
      </c>
      <c r="B369" t="s">
        <v>176</v>
      </c>
      <c r="C369" t="str">
        <f>_xlfn.XLOOKUP(Table6[[#This Row],[app_id]],Table5[app_id],Table5[app_name],"",0)</f>
        <v>SnackHub</v>
      </c>
      <c r="D369" t="str">
        <f>_xlfn.XLOOKUP(Table6[[#This Row],[app_id]],Table5[app_id],Table5[category],"",0)</f>
        <v>Food Delivery</v>
      </c>
      <c r="E369" t="s">
        <v>557</v>
      </c>
      <c r="F369" t="s">
        <v>534</v>
      </c>
      <c r="G369" t="s">
        <v>35</v>
      </c>
      <c r="H369" t="s">
        <v>540</v>
      </c>
      <c r="I369">
        <v>80</v>
      </c>
      <c r="J369">
        <v>7</v>
      </c>
      <c r="K369" t="s">
        <v>257</v>
      </c>
      <c r="L369" t="s">
        <v>258</v>
      </c>
      <c r="M369" t="s">
        <v>258</v>
      </c>
      <c r="N369" s="5">
        <v>0</v>
      </c>
    </row>
    <row r="370" spans="1:14" x14ac:dyDescent="0.25">
      <c r="A370" t="s">
        <v>911</v>
      </c>
      <c r="B370" t="s">
        <v>178</v>
      </c>
      <c r="C370" t="str">
        <f>_xlfn.XLOOKUP(Table6[[#This Row],[app_id]],Table5[app_id],Table5[app_name],"",0)</f>
        <v>BiteCloud</v>
      </c>
      <c r="D370" t="str">
        <f>_xlfn.XLOOKUP(Table6[[#This Row],[app_id]],Table5[app_id],Table5[category],"",0)</f>
        <v>Food Delivery</v>
      </c>
      <c r="E370" t="s">
        <v>557</v>
      </c>
      <c r="F370" t="s">
        <v>534</v>
      </c>
      <c r="G370" t="s">
        <v>69</v>
      </c>
      <c r="H370" t="s">
        <v>540</v>
      </c>
      <c r="I370">
        <v>4</v>
      </c>
      <c r="J370">
        <v>9.4</v>
      </c>
      <c r="K370" t="s">
        <v>258</v>
      </c>
      <c r="L370" t="s">
        <v>258</v>
      </c>
      <c r="M370" t="s">
        <v>258</v>
      </c>
      <c r="N370" s="5">
        <v>0</v>
      </c>
    </row>
    <row r="371" spans="1:14" x14ac:dyDescent="0.25">
      <c r="A371" t="s">
        <v>912</v>
      </c>
      <c r="B371" t="s">
        <v>180</v>
      </c>
      <c r="C371" t="str">
        <f>_xlfn.XLOOKUP(Table6[[#This Row],[app_id]],Table5[app_id],Table5[app_name],"",0)</f>
        <v>PlatePlus</v>
      </c>
      <c r="D371" t="str">
        <f>_xlfn.XLOOKUP(Table6[[#This Row],[app_id]],Table5[app_id],Table5[category],"",0)</f>
        <v>Food Delivery</v>
      </c>
      <c r="E371" t="s">
        <v>533</v>
      </c>
      <c r="F371" t="s">
        <v>538</v>
      </c>
      <c r="G371" t="s">
        <v>23</v>
      </c>
      <c r="H371" t="s">
        <v>535</v>
      </c>
      <c r="I371">
        <v>25</v>
      </c>
      <c r="J371">
        <v>19</v>
      </c>
      <c r="K371" t="s">
        <v>258</v>
      </c>
      <c r="L371" t="s">
        <v>258</v>
      </c>
      <c r="M371" t="s">
        <v>257</v>
      </c>
      <c r="N371" s="5">
        <v>0</v>
      </c>
    </row>
    <row r="372" spans="1:14" x14ac:dyDescent="0.25">
      <c r="A372" t="s">
        <v>913</v>
      </c>
      <c r="B372" t="s">
        <v>182</v>
      </c>
      <c r="C372" t="str">
        <f>_xlfn.XLOOKUP(Table6[[#This Row],[app_id]],Table5[app_id],Table5[app_name],"",0)</f>
        <v>VoyageGo</v>
      </c>
      <c r="D372" t="str">
        <f>_xlfn.XLOOKUP(Table6[[#This Row],[app_id]],Table5[app_id],Table5[category],"",0)</f>
        <v>Travel</v>
      </c>
      <c r="E372" t="s">
        <v>537</v>
      </c>
      <c r="F372" t="s">
        <v>538</v>
      </c>
      <c r="G372" t="s">
        <v>26</v>
      </c>
      <c r="H372" t="s">
        <v>535</v>
      </c>
      <c r="I372">
        <v>84</v>
      </c>
      <c r="J372">
        <v>21</v>
      </c>
      <c r="K372" t="s">
        <v>257</v>
      </c>
      <c r="L372" t="s">
        <v>257</v>
      </c>
      <c r="M372" t="s">
        <v>258</v>
      </c>
      <c r="N372" s="5">
        <v>0</v>
      </c>
    </row>
    <row r="373" spans="1:14" x14ac:dyDescent="0.25">
      <c r="A373" t="s">
        <v>914</v>
      </c>
      <c r="B373" t="s">
        <v>185</v>
      </c>
      <c r="C373" t="str">
        <f>_xlfn.XLOOKUP(Table6[[#This Row],[app_id]],Table5[app_id],Table5[app_name],"",0)</f>
        <v>TripOne</v>
      </c>
      <c r="D373" t="str">
        <f>_xlfn.XLOOKUP(Table6[[#This Row],[app_id]],Table5[app_id],Table5[category],"",0)</f>
        <v>Travel</v>
      </c>
      <c r="E373" t="s">
        <v>537</v>
      </c>
      <c r="F373" t="s">
        <v>534</v>
      </c>
      <c r="G373" t="s">
        <v>46</v>
      </c>
      <c r="H373" t="s">
        <v>535</v>
      </c>
      <c r="I373">
        <v>17</v>
      </c>
      <c r="J373">
        <v>5.2</v>
      </c>
      <c r="K373" t="s">
        <v>258</v>
      </c>
      <c r="L373" t="s">
        <v>258</v>
      </c>
      <c r="M373" t="s">
        <v>258</v>
      </c>
      <c r="N373" s="5">
        <v>22.71</v>
      </c>
    </row>
    <row r="374" spans="1:14" x14ac:dyDescent="0.25">
      <c r="A374" t="s">
        <v>915</v>
      </c>
      <c r="B374" t="s">
        <v>187</v>
      </c>
      <c r="C374" t="str">
        <f>_xlfn.XLOOKUP(Table6[[#This Row],[app_id]],Table5[app_id],Table5[app_name],"",0)</f>
        <v>FlyGo</v>
      </c>
      <c r="D374" t="str">
        <f>_xlfn.XLOOKUP(Table6[[#This Row],[app_id]],Table5[app_id],Table5[category],"",0)</f>
        <v>Travel</v>
      </c>
      <c r="E374" t="s">
        <v>546</v>
      </c>
      <c r="F374" t="s">
        <v>534</v>
      </c>
      <c r="G374" t="s">
        <v>46</v>
      </c>
      <c r="H374" t="s">
        <v>535</v>
      </c>
      <c r="I374">
        <v>3</v>
      </c>
      <c r="J374">
        <v>6.9</v>
      </c>
      <c r="K374" t="s">
        <v>258</v>
      </c>
      <c r="L374" t="s">
        <v>258</v>
      </c>
      <c r="M374" t="s">
        <v>257</v>
      </c>
      <c r="N374" s="5">
        <v>0</v>
      </c>
    </row>
    <row r="375" spans="1:14" x14ac:dyDescent="0.25">
      <c r="A375" t="s">
        <v>916</v>
      </c>
      <c r="B375" t="s">
        <v>189</v>
      </c>
      <c r="C375" t="str">
        <f>_xlfn.XLOOKUP(Table6[[#This Row],[app_id]],Table5[app_id],Table5[app_name],"",0)</f>
        <v>MapX</v>
      </c>
      <c r="D375" t="str">
        <f>_xlfn.XLOOKUP(Table6[[#This Row],[app_id]],Table5[app_id],Table5[category],"",0)</f>
        <v>Travel</v>
      </c>
      <c r="E375" t="s">
        <v>537</v>
      </c>
      <c r="F375" t="s">
        <v>534</v>
      </c>
      <c r="G375" t="s">
        <v>35</v>
      </c>
      <c r="H375" t="s">
        <v>535</v>
      </c>
      <c r="I375">
        <v>66</v>
      </c>
      <c r="J375">
        <v>5.2</v>
      </c>
      <c r="K375" t="s">
        <v>257</v>
      </c>
      <c r="L375" t="s">
        <v>258</v>
      </c>
      <c r="M375" t="s">
        <v>258</v>
      </c>
      <c r="N375" s="5">
        <v>0</v>
      </c>
    </row>
    <row r="376" spans="1:14" x14ac:dyDescent="0.25">
      <c r="A376" t="s">
        <v>917</v>
      </c>
      <c r="B376" t="s">
        <v>191</v>
      </c>
      <c r="C376" t="str">
        <f>_xlfn.XLOOKUP(Table6[[#This Row],[app_id]],Table5[app_id],Table5[app_name],"",0)</f>
        <v>StayX</v>
      </c>
      <c r="D376" t="str">
        <f>_xlfn.XLOOKUP(Table6[[#This Row],[app_id]],Table5[app_id],Table5[category],"",0)</f>
        <v>Travel</v>
      </c>
      <c r="E376" t="s">
        <v>557</v>
      </c>
      <c r="F376" t="s">
        <v>538</v>
      </c>
      <c r="G376" t="s">
        <v>61</v>
      </c>
      <c r="H376" t="s">
        <v>535</v>
      </c>
      <c r="I376">
        <v>6</v>
      </c>
      <c r="J376">
        <v>16.600000000000001</v>
      </c>
      <c r="K376" t="s">
        <v>258</v>
      </c>
      <c r="L376" t="s">
        <v>257</v>
      </c>
      <c r="M376" t="s">
        <v>258</v>
      </c>
      <c r="N376" s="5">
        <v>0</v>
      </c>
    </row>
    <row r="377" spans="1:14" x14ac:dyDescent="0.25">
      <c r="A377" t="s">
        <v>918</v>
      </c>
      <c r="B377" t="s">
        <v>193</v>
      </c>
      <c r="C377" t="str">
        <f>_xlfn.XLOOKUP(Table6[[#This Row],[app_id]],Table5[app_id],Table5[app_name],"",0)</f>
        <v>GoNow</v>
      </c>
      <c r="D377" t="str">
        <f>_xlfn.XLOOKUP(Table6[[#This Row],[app_id]],Table5[app_id],Table5[category],"",0)</f>
        <v>Travel</v>
      </c>
      <c r="E377" t="s">
        <v>537</v>
      </c>
      <c r="F377" t="s">
        <v>534</v>
      </c>
      <c r="G377" t="s">
        <v>69</v>
      </c>
      <c r="H377" t="s">
        <v>535</v>
      </c>
      <c r="I377">
        <v>87</v>
      </c>
      <c r="J377">
        <v>17</v>
      </c>
      <c r="K377" t="s">
        <v>257</v>
      </c>
      <c r="L377" t="s">
        <v>257</v>
      </c>
      <c r="M377" t="s">
        <v>258</v>
      </c>
      <c r="N377" s="5">
        <v>0</v>
      </c>
    </row>
    <row r="378" spans="1:14" x14ac:dyDescent="0.25">
      <c r="A378" t="s">
        <v>919</v>
      </c>
      <c r="B378" t="s">
        <v>195</v>
      </c>
      <c r="C378" t="str">
        <f>_xlfn.XLOOKUP(Table6[[#This Row],[app_id]],Table5[app_id],Table5[app_name],"",0)</f>
        <v>RouteGo</v>
      </c>
      <c r="D378" t="str">
        <f>_xlfn.XLOOKUP(Table6[[#This Row],[app_id]],Table5[app_id],Table5[category],"",0)</f>
        <v>Travel</v>
      </c>
      <c r="E378" t="s">
        <v>546</v>
      </c>
      <c r="F378" t="s">
        <v>534</v>
      </c>
      <c r="G378" t="s">
        <v>46</v>
      </c>
      <c r="H378" t="s">
        <v>535</v>
      </c>
      <c r="I378">
        <v>76</v>
      </c>
      <c r="J378">
        <v>13.7</v>
      </c>
      <c r="K378" t="s">
        <v>257</v>
      </c>
      <c r="L378" t="s">
        <v>257</v>
      </c>
      <c r="M378" t="s">
        <v>258</v>
      </c>
      <c r="N378" s="5">
        <v>0</v>
      </c>
    </row>
    <row r="379" spans="1:14" x14ac:dyDescent="0.25">
      <c r="A379" t="s">
        <v>920</v>
      </c>
      <c r="B379" t="s">
        <v>197</v>
      </c>
      <c r="C379" t="str">
        <f>_xlfn.XLOOKUP(Table6[[#This Row],[app_id]],Table5[app_id],Table5[app_name],"",0)</f>
        <v>TripGo</v>
      </c>
      <c r="D379" t="str">
        <f>_xlfn.XLOOKUP(Table6[[#This Row],[app_id]],Table5[app_id],Table5[category],"",0)</f>
        <v>Travel</v>
      </c>
      <c r="E379" t="s">
        <v>546</v>
      </c>
      <c r="F379" t="s">
        <v>538</v>
      </c>
      <c r="G379" t="s">
        <v>46</v>
      </c>
      <c r="H379" t="s">
        <v>535</v>
      </c>
      <c r="I379">
        <v>64</v>
      </c>
      <c r="J379">
        <v>11.4</v>
      </c>
      <c r="K379" t="s">
        <v>257</v>
      </c>
      <c r="L379" t="s">
        <v>257</v>
      </c>
      <c r="M379" t="s">
        <v>258</v>
      </c>
      <c r="N379" s="5">
        <v>0</v>
      </c>
    </row>
    <row r="380" spans="1:14" x14ac:dyDescent="0.25">
      <c r="A380" t="s">
        <v>921</v>
      </c>
      <c r="B380" t="s">
        <v>199</v>
      </c>
      <c r="C380" t="str">
        <f>_xlfn.XLOOKUP(Table6[[#This Row],[app_id]],Table5[app_id],Table5[app_name],"",0)</f>
        <v>Flyly</v>
      </c>
      <c r="D380" t="str">
        <f>_xlfn.XLOOKUP(Table6[[#This Row],[app_id]],Table5[app_id],Table5[category],"",0)</f>
        <v>Travel</v>
      </c>
      <c r="E380" t="s">
        <v>557</v>
      </c>
      <c r="F380" t="s">
        <v>538</v>
      </c>
      <c r="G380" t="s">
        <v>69</v>
      </c>
      <c r="H380" t="s">
        <v>535</v>
      </c>
      <c r="I380">
        <v>60</v>
      </c>
      <c r="J380">
        <v>16.899999999999999</v>
      </c>
      <c r="K380" t="s">
        <v>257</v>
      </c>
      <c r="L380" t="s">
        <v>257</v>
      </c>
      <c r="M380" t="s">
        <v>258</v>
      </c>
      <c r="N380" s="5">
        <v>0</v>
      </c>
    </row>
    <row r="381" spans="1:14" x14ac:dyDescent="0.25">
      <c r="A381" t="s">
        <v>922</v>
      </c>
      <c r="B381" t="s">
        <v>201</v>
      </c>
      <c r="C381" t="str">
        <f>_xlfn.XLOOKUP(Table6[[#This Row],[app_id]],Table5[app_id],Table5[app_name],"",0)</f>
        <v>TripPro</v>
      </c>
      <c r="D381" t="str">
        <f>_xlfn.XLOOKUP(Table6[[#This Row],[app_id]],Table5[app_id],Table5[category],"",0)</f>
        <v>Travel</v>
      </c>
      <c r="E381" t="s">
        <v>533</v>
      </c>
      <c r="F381" t="s">
        <v>534</v>
      </c>
      <c r="G381" t="s">
        <v>35</v>
      </c>
      <c r="H381" t="s">
        <v>535</v>
      </c>
      <c r="I381">
        <v>38</v>
      </c>
      <c r="J381">
        <v>6.2</v>
      </c>
      <c r="K381" t="s">
        <v>257</v>
      </c>
      <c r="L381" t="s">
        <v>257</v>
      </c>
      <c r="M381" t="s">
        <v>258</v>
      </c>
      <c r="N381" s="5">
        <v>0</v>
      </c>
    </row>
    <row r="382" spans="1:14" x14ac:dyDescent="0.25">
      <c r="A382" t="s">
        <v>923</v>
      </c>
      <c r="B382" t="s">
        <v>203</v>
      </c>
      <c r="C382" t="str">
        <f>_xlfn.XLOOKUP(Table6[[#This Row],[app_id]],Table5[app_id],Table5[app_name],"",0)</f>
        <v>Focusly</v>
      </c>
      <c r="D382" t="str">
        <f>_xlfn.XLOOKUP(Table6[[#This Row],[app_id]],Table5[app_id],Table5[category],"",0)</f>
        <v>Productivity</v>
      </c>
      <c r="E382" t="s">
        <v>533</v>
      </c>
      <c r="F382" t="s">
        <v>534</v>
      </c>
      <c r="G382" t="s">
        <v>46</v>
      </c>
      <c r="H382" t="s">
        <v>540</v>
      </c>
      <c r="I382">
        <v>87</v>
      </c>
      <c r="J382">
        <v>20.399999999999999</v>
      </c>
      <c r="K382" t="s">
        <v>257</v>
      </c>
      <c r="L382" t="s">
        <v>257</v>
      </c>
      <c r="M382" t="s">
        <v>257</v>
      </c>
      <c r="N382" s="5">
        <v>46.88</v>
      </c>
    </row>
    <row r="383" spans="1:14" x14ac:dyDescent="0.25">
      <c r="A383" t="s">
        <v>924</v>
      </c>
      <c r="B383" t="s">
        <v>206</v>
      </c>
      <c r="C383" t="str">
        <f>_xlfn.XLOOKUP(Table6[[#This Row],[app_id]],Table5[app_id],Table5[app_name],"",0)</f>
        <v>DeskX</v>
      </c>
      <c r="D383" t="str">
        <f>_xlfn.XLOOKUP(Table6[[#This Row],[app_id]],Table5[app_id],Table5[category],"",0)</f>
        <v>Productivity</v>
      </c>
      <c r="E383" t="s">
        <v>557</v>
      </c>
      <c r="F383" t="s">
        <v>538</v>
      </c>
      <c r="G383" t="s">
        <v>46</v>
      </c>
      <c r="H383" t="s">
        <v>535</v>
      </c>
      <c r="I383">
        <v>81</v>
      </c>
      <c r="J383">
        <v>18.7</v>
      </c>
      <c r="K383" t="s">
        <v>257</v>
      </c>
      <c r="L383" t="s">
        <v>258</v>
      </c>
      <c r="M383" t="s">
        <v>257</v>
      </c>
      <c r="N383" s="5">
        <v>0</v>
      </c>
    </row>
    <row r="384" spans="1:14" x14ac:dyDescent="0.25">
      <c r="A384" t="s">
        <v>925</v>
      </c>
      <c r="B384" t="s">
        <v>208</v>
      </c>
      <c r="C384" t="str">
        <f>_xlfn.XLOOKUP(Table6[[#This Row],[app_id]],Table5[app_id],Table5[app_name],"",0)</f>
        <v>DonePro</v>
      </c>
      <c r="D384" t="str">
        <f>_xlfn.XLOOKUP(Table6[[#This Row],[app_id]],Table5[app_id],Table5[category],"",0)</f>
        <v>Productivity</v>
      </c>
      <c r="E384" t="s">
        <v>546</v>
      </c>
      <c r="F384" t="s">
        <v>538</v>
      </c>
      <c r="G384" t="s">
        <v>46</v>
      </c>
      <c r="H384" t="s">
        <v>535</v>
      </c>
      <c r="I384">
        <v>23</v>
      </c>
      <c r="J384">
        <v>5.8</v>
      </c>
      <c r="K384" t="s">
        <v>258</v>
      </c>
      <c r="L384" t="s">
        <v>257</v>
      </c>
      <c r="M384" t="s">
        <v>258</v>
      </c>
      <c r="N384" s="5">
        <v>0</v>
      </c>
    </row>
    <row r="385" spans="1:14" x14ac:dyDescent="0.25">
      <c r="A385" t="s">
        <v>926</v>
      </c>
      <c r="B385" t="s">
        <v>210</v>
      </c>
      <c r="C385" t="str">
        <f>_xlfn.XLOOKUP(Table6[[#This Row],[app_id]],Table5[app_id],Table5[app_name],"",0)</f>
        <v>NotePlus</v>
      </c>
      <c r="D385" t="str">
        <f>_xlfn.XLOOKUP(Table6[[#This Row],[app_id]],Table5[app_id],Table5[category],"",0)</f>
        <v>Productivity</v>
      </c>
      <c r="E385" t="s">
        <v>546</v>
      </c>
      <c r="F385" t="s">
        <v>538</v>
      </c>
      <c r="G385" t="s">
        <v>18</v>
      </c>
      <c r="H385" t="s">
        <v>535</v>
      </c>
      <c r="I385">
        <v>4</v>
      </c>
      <c r="J385">
        <v>16.100000000000001</v>
      </c>
      <c r="K385" t="s">
        <v>258</v>
      </c>
      <c r="L385" t="s">
        <v>258</v>
      </c>
      <c r="M385" t="s">
        <v>257</v>
      </c>
      <c r="N385" s="5">
        <v>0</v>
      </c>
    </row>
    <row r="386" spans="1:14" x14ac:dyDescent="0.25">
      <c r="A386" t="s">
        <v>927</v>
      </c>
      <c r="B386" t="s">
        <v>212</v>
      </c>
      <c r="C386" t="str">
        <f>_xlfn.XLOOKUP(Table6[[#This Row],[app_id]],Table5[app_id],Table5[app_name],"",0)</f>
        <v>SyncPlus</v>
      </c>
      <c r="D386" t="str">
        <f>_xlfn.XLOOKUP(Table6[[#This Row],[app_id]],Table5[app_id],Table5[category],"",0)</f>
        <v>Productivity</v>
      </c>
      <c r="E386" t="s">
        <v>546</v>
      </c>
      <c r="F386" t="s">
        <v>538</v>
      </c>
      <c r="G386" t="s">
        <v>30</v>
      </c>
      <c r="H386" t="s">
        <v>535</v>
      </c>
      <c r="I386">
        <v>81</v>
      </c>
      <c r="J386">
        <v>10.5</v>
      </c>
      <c r="K386" t="s">
        <v>257</v>
      </c>
      <c r="L386" t="s">
        <v>257</v>
      </c>
      <c r="M386" t="s">
        <v>258</v>
      </c>
      <c r="N386" s="5">
        <v>63.52</v>
      </c>
    </row>
    <row r="387" spans="1:14" x14ac:dyDescent="0.25">
      <c r="A387" t="s">
        <v>928</v>
      </c>
      <c r="B387" t="s">
        <v>214</v>
      </c>
      <c r="C387" t="str">
        <f>_xlfn.XLOOKUP(Table6[[#This Row],[app_id]],Table5[app_id],Table5[app_name],"",0)</f>
        <v>NoteOne</v>
      </c>
      <c r="D387" t="str">
        <f>_xlfn.XLOOKUP(Table6[[#This Row],[app_id]],Table5[app_id],Table5[category],"",0)</f>
        <v>Productivity</v>
      </c>
      <c r="E387" t="s">
        <v>537</v>
      </c>
      <c r="F387" t="s">
        <v>534</v>
      </c>
      <c r="G387" t="s">
        <v>30</v>
      </c>
      <c r="H387" t="s">
        <v>535</v>
      </c>
      <c r="I387">
        <v>76</v>
      </c>
      <c r="J387">
        <v>8.1</v>
      </c>
      <c r="K387" t="s">
        <v>257</v>
      </c>
      <c r="L387" t="s">
        <v>257</v>
      </c>
      <c r="M387" t="s">
        <v>258</v>
      </c>
      <c r="N387" s="5">
        <v>0</v>
      </c>
    </row>
    <row r="388" spans="1:14" x14ac:dyDescent="0.25">
      <c r="A388" t="s">
        <v>929</v>
      </c>
      <c r="B388" t="s">
        <v>216</v>
      </c>
      <c r="C388" t="str">
        <f>_xlfn.XLOOKUP(Table6[[#This Row],[app_id]],Table5[app_id],Table5[app_name],"",0)</f>
        <v>NoteMate</v>
      </c>
      <c r="D388" t="str">
        <f>_xlfn.XLOOKUP(Table6[[#This Row],[app_id]],Table5[app_id],Table5[category],"",0)</f>
        <v>Productivity</v>
      </c>
      <c r="E388" t="s">
        <v>533</v>
      </c>
      <c r="F388" t="s">
        <v>538</v>
      </c>
      <c r="G388" t="s">
        <v>61</v>
      </c>
      <c r="H388" t="s">
        <v>535</v>
      </c>
      <c r="I388">
        <v>52</v>
      </c>
      <c r="J388">
        <v>15.7</v>
      </c>
      <c r="K388" t="s">
        <v>257</v>
      </c>
      <c r="L388" t="s">
        <v>258</v>
      </c>
      <c r="M388" t="s">
        <v>257</v>
      </c>
      <c r="N388" s="5">
        <v>62.52</v>
      </c>
    </row>
    <row r="389" spans="1:14" x14ac:dyDescent="0.25">
      <c r="A389" t="s">
        <v>930</v>
      </c>
      <c r="B389" t="s">
        <v>218</v>
      </c>
      <c r="C389" t="str">
        <f>_xlfn.XLOOKUP(Table6[[#This Row],[app_id]],Table5[app_id],Table5[app_name],"",0)</f>
        <v>PlanPlus</v>
      </c>
      <c r="D389" t="str">
        <f>_xlfn.XLOOKUP(Table6[[#This Row],[app_id]],Table5[app_id],Table5[category],"",0)</f>
        <v>Productivity</v>
      </c>
      <c r="E389" t="s">
        <v>546</v>
      </c>
      <c r="F389" t="s">
        <v>534</v>
      </c>
      <c r="G389" t="s">
        <v>46</v>
      </c>
      <c r="H389" t="s">
        <v>535</v>
      </c>
      <c r="I389">
        <v>21</v>
      </c>
      <c r="J389">
        <v>17.7</v>
      </c>
      <c r="K389" t="s">
        <v>258</v>
      </c>
      <c r="L389" t="s">
        <v>258</v>
      </c>
      <c r="M389" t="s">
        <v>258</v>
      </c>
      <c r="N389" s="5">
        <v>0</v>
      </c>
    </row>
    <row r="390" spans="1:14" x14ac:dyDescent="0.25">
      <c r="A390" t="s">
        <v>931</v>
      </c>
      <c r="B390" t="s">
        <v>220</v>
      </c>
      <c r="C390" t="str">
        <f>_xlfn.XLOOKUP(Table6[[#This Row],[app_id]],Table5[app_id],Table5[app_name],"",0)</f>
        <v>PlanMate</v>
      </c>
      <c r="D390" t="str">
        <f>_xlfn.XLOOKUP(Table6[[#This Row],[app_id]],Table5[app_id],Table5[category],"",0)</f>
        <v>Productivity</v>
      </c>
      <c r="E390" t="s">
        <v>533</v>
      </c>
      <c r="F390" t="s">
        <v>538</v>
      </c>
      <c r="G390" t="s">
        <v>35</v>
      </c>
      <c r="H390" t="s">
        <v>535</v>
      </c>
      <c r="I390">
        <v>25</v>
      </c>
      <c r="J390">
        <v>9.1999999999999993</v>
      </c>
      <c r="K390" t="s">
        <v>258</v>
      </c>
      <c r="L390" t="s">
        <v>258</v>
      </c>
      <c r="M390" t="s">
        <v>257</v>
      </c>
      <c r="N390" s="5">
        <v>0</v>
      </c>
    </row>
    <row r="391" spans="1:14" x14ac:dyDescent="0.25">
      <c r="A391" t="s">
        <v>932</v>
      </c>
      <c r="B391" t="s">
        <v>222</v>
      </c>
      <c r="C391" t="str">
        <f>_xlfn.XLOOKUP(Table6[[#This Row],[app_id]],Table5[app_id],Table5[app_name],"",0)</f>
        <v>SyncPlus</v>
      </c>
      <c r="D391" t="str">
        <f>_xlfn.XLOOKUP(Table6[[#This Row],[app_id]],Table5[app_id],Table5[category],"",0)</f>
        <v>Productivity</v>
      </c>
      <c r="E391" t="s">
        <v>537</v>
      </c>
      <c r="F391" t="s">
        <v>534</v>
      </c>
      <c r="G391" t="s">
        <v>26</v>
      </c>
      <c r="H391" t="s">
        <v>535</v>
      </c>
      <c r="I391">
        <v>20</v>
      </c>
      <c r="J391">
        <v>20.5</v>
      </c>
      <c r="K391" t="s">
        <v>257</v>
      </c>
      <c r="L391" t="s">
        <v>258</v>
      </c>
      <c r="M391" t="s">
        <v>257</v>
      </c>
      <c r="N391" s="5">
        <v>0</v>
      </c>
    </row>
    <row r="392" spans="1:14" x14ac:dyDescent="0.25">
      <c r="A392" t="s">
        <v>933</v>
      </c>
      <c r="B392" t="s">
        <v>223</v>
      </c>
      <c r="C392" t="str">
        <f>_xlfn.XLOOKUP(Table6[[#This Row],[app_id]],Table5[app_id],Table5[app_name],"",0)</f>
        <v>ClinicPro</v>
      </c>
      <c r="D392" t="str">
        <f>_xlfn.XLOOKUP(Table6[[#This Row],[app_id]],Table5[app_id],Table5[category],"",0)</f>
        <v>Health</v>
      </c>
      <c r="E392" t="s">
        <v>533</v>
      </c>
      <c r="F392" t="s">
        <v>534</v>
      </c>
      <c r="G392" t="s">
        <v>30</v>
      </c>
      <c r="H392" t="s">
        <v>535</v>
      </c>
      <c r="I392">
        <v>13</v>
      </c>
      <c r="J392">
        <v>16.5</v>
      </c>
      <c r="K392" t="s">
        <v>258</v>
      </c>
      <c r="L392" t="s">
        <v>258</v>
      </c>
      <c r="M392" t="s">
        <v>257</v>
      </c>
      <c r="N392" s="5">
        <v>0</v>
      </c>
    </row>
    <row r="393" spans="1:14" x14ac:dyDescent="0.25">
      <c r="A393" t="s">
        <v>934</v>
      </c>
      <c r="B393" t="s">
        <v>226</v>
      </c>
      <c r="C393" t="str">
        <f>_xlfn.XLOOKUP(Table6[[#This Row],[app_id]],Table5[app_id],Table5[app_name],"",0)</f>
        <v>MindMate</v>
      </c>
      <c r="D393" t="str">
        <f>_xlfn.XLOOKUP(Table6[[#This Row],[app_id]],Table5[app_id],Table5[category],"",0)</f>
        <v>Health</v>
      </c>
      <c r="E393" t="s">
        <v>557</v>
      </c>
      <c r="F393" t="s">
        <v>538</v>
      </c>
      <c r="G393" t="s">
        <v>26</v>
      </c>
      <c r="H393" t="s">
        <v>535</v>
      </c>
      <c r="I393">
        <v>27</v>
      </c>
      <c r="J393">
        <v>3</v>
      </c>
      <c r="K393" t="s">
        <v>258</v>
      </c>
      <c r="L393" t="s">
        <v>257</v>
      </c>
      <c r="M393" t="s">
        <v>258</v>
      </c>
      <c r="N393" s="5">
        <v>6.88</v>
      </c>
    </row>
    <row r="394" spans="1:14" x14ac:dyDescent="0.25">
      <c r="A394" t="s">
        <v>935</v>
      </c>
      <c r="B394" t="s">
        <v>228</v>
      </c>
      <c r="C394" t="str">
        <f>_xlfn.XLOOKUP(Table6[[#This Row],[app_id]],Table5[app_id],Table5[app_name],"",0)</f>
        <v>ClinicOne</v>
      </c>
      <c r="D394" t="str">
        <f>_xlfn.XLOOKUP(Table6[[#This Row],[app_id]],Table5[app_id],Table5[category],"",0)</f>
        <v>Health</v>
      </c>
      <c r="E394" t="s">
        <v>557</v>
      </c>
      <c r="F394" t="s">
        <v>628</v>
      </c>
      <c r="G394" t="s">
        <v>35</v>
      </c>
      <c r="H394" t="s">
        <v>535</v>
      </c>
      <c r="I394">
        <v>9</v>
      </c>
      <c r="J394">
        <v>9.5</v>
      </c>
      <c r="K394" t="s">
        <v>258</v>
      </c>
      <c r="L394" t="s">
        <v>258</v>
      </c>
      <c r="M394" t="s">
        <v>258</v>
      </c>
      <c r="N394" s="5">
        <v>0</v>
      </c>
    </row>
    <row r="395" spans="1:14" x14ac:dyDescent="0.25">
      <c r="A395" t="s">
        <v>936</v>
      </c>
      <c r="B395" t="s">
        <v>230</v>
      </c>
      <c r="C395" t="str">
        <f>_xlfn.XLOOKUP(Table6[[#This Row],[app_id]],Table5[app_id],Table5[app_name],"",0)</f>
        <v>WellMate</v>
      </c>
      <c r="D395" t="str">
        <f>_xlfn.XLOOKUP(Table6[[#This Row],[app_id]],Table5[app_id],Table5[category],"",0)</f>
        <v>Health</v>
      </c>
      <c r="E395" t="s">
        <v>533</v>
      </c>
      <c r="F395" t="s">
        <v>538</v>
      </c>
      <c r="G395" t="s">
        <v>61</v>
      </c>
      <c r="H395" t="s">
        <v>535</v>
      </c>
      <c r="I395">
        <v>38</v>
      </c>
      <c r="J395">
        <v>7.3</v>
      </c>
      <c r="K395" t="s">
        <v>257</v>
      </c>
      <c r="L395" t="s">
        <v>257</v>
      </c>
      <c r="M395" t="s">
        <v>258</v>
      </c>
      <c r="N395" s="5">
        <v>0</v>
      </c>
    </row>
    <row r="396" spans="1:14" x14ac:dyDescent="0.25">
      <c r="A396" t="s">
        <v>937</v>
      </c>
      <c r="B396" t="s">
        <v>232</v>
      </c>
      <c r="C396" t="str">
        <f>_xlfn.XLOOKUP(Table6[[#This Row],[app_id]],Table5[app_id],Table5[app_name],"",0)</f>
        <v>MediMate</v>
      </c>
      <c r="D396" t="str">
        <f>_xlfn.XLOOKUP(Table6[[#This Row],[app_id]],Table5[app_id],Table5[category],"",0)</f>
        <v>Health</v>
      </c>
      <c r="E396" t="s">
        <v>546</v>
      </c>
      <c r="F396" t="s">
        <v>548</v>
      </c>
      <c r="G396" t="s">
        <v>23</v>
      </c>
      <c r="H396" t="s">
        <v>540</v>
      </c>
      <c r="I396">
        <v>84</v>
      </c>
      <c r="J396">
        <v>21.8</v>
      </c>
      <c r="K396" t="s">
        <v>257</v>
      </c>
      <c r="L396" t="s">
        <v>257</v>
      </c>
      <c r="M396" t="s">
        <v>258</v>
      </c>
      <c r="N396" s="5">
        <v>0</v>
      </c>
    </row>
    <row r="397" spans="1:14" x14ac:dyDescent="0.25">
      <c r="A397" t="s">
        <v>938</v>
      </c>
      <c r="B397" t="s">
        <v>234</v>
      </c>
      <c r="C397" t="str">
        <f>_xlfn.XLOOKUP(Table6[[#This Row],[app_id]],Table5[app_id],Table5[app_name],"",0)</f>
        <v>WellNow</v>
      </c>
      <c r="D397" t="str">
        <f>_xlfn.XLOOKUP(Table6[[#This Row],[app_id]],Table5[app_id],Table5[category],"",0)</f>
        <v>Health</v>
      </c>
      <c r="E397" t="s">
        <v>533</v>
      </c>
      <c r="F397" t="s">
        <v>628</v>
      </c>
      <c r="G397" t="s">
        <v>35</v>
      </c>
      <c r="H397" t="s">
        <v>535</v>
      </c>
      <c r="I397">
        <v>52</v>
      </c>
      <c r="J397">
        <v>9.6999999999999993</v>
      </c>
      <c r="K397" t="s">
        <v>257</v>
      </c>
      <c r="L397" t="s">
        <v>257</v>
      </c>
      <c r="M397" t="s">
        <v>258</v>
      </c>
      <c r="N397" s="5">
        <v>0</v>
      </c>
    </row>
    <row r="398" spans="1:14" x14ac:dyDescent="0.25">
      <c r="A398" t="s">
        <v>939</v>
      </c>
      <c r="B398" t="s">
        <v>236</v>
      </c>
      <c r="C398" t="str">
        <f>_xlfn.XLOOKUP(Table6[[#This Row],[app_id]],Table5[app_id],Table5[app_name],"",0)</f>
        <v>CareCloud</v>
      </c>
      <c r="D398" t="str">
        <f>_xlfn.XLOOKUP(Table6[[#This Row],[app_id]],Table5[app_id],Table5[category],"",0)</f>
        <v>Health</v>
      </c>
      <c r="E398" t="s">
        <v>546</v>
      </c>
      <c r="F398" t="s">
        <v>538</v>
      </c>
      <c r="G398" t="s">
        <v>61</v>
      </c>
      <c r="H398" t="s">
        <v>535</v>
      </c>
      <c r="I398">
        <v>80</v>
      </c>
      <c r="J398">
        <v>3.5</v>
      </c>
      <c r="K398" t="s">
        <v>257</v>
      </c>
      <c r="L398" t="s">
        <v>257</v>
      </c>
      <c r="M398" t="s">
        <v>258</v>
      </c>
      <c r="N398" s="5">
        <v>0</v>
      </c>
    </row>
    <row r="399" spans="1:14" x14ac:dyDescent="0.25">
      <c r="A399" t="s">
        <v>940</v>
      </c>
      <c r="B399" t="s">
        <v>238</v>
      </c>
      <c r="C399" t="str">
        <f>_xlfn.XLOOKUP(Table6[[#This Row],[app_id]],Table5[app_id],Table5[app_name],"",0)</f>
        <v>MediNow</v>
      </c>
      <c r="D399" t="str">
        <f>_xlfn.XLOOKUP(Table6[[#This Row],[app_id]],Table5[app_id],Table5[category],"",0)</f>
        <v>Health</v>
      </c>
      <c r="E399" t="s">
        <v>546</v>
      </c>
      <c r="F399" t="s">
        <v>538</v>
      </c>
      <c r="G399" t="s">
        <v>69</v>
      </c>
      <c r="H399" t="s">
        <v>535</v>
      </c>
      <c r="I399">
        <v>19</v>
      </c>
      <c r="J399">
        <v>16.8</v>
      </c>
      <c r="K399" t="s">
        <v>258</v>
      </c>
      <c r="L399" t="s">
        <v>258</v>
      </c>
      <c r="M399" t="s">
        <v>257</v>
      </c>
      <c r="N399" s="5">
        <v>0</v>
      </c>
    </row>
    <row r="400" spans="1:14" x14ac:dyDescent="0.25">
      <c r="A400" t="s">
        <v>941</v>
      </c>
      <c r="B400" t="s">
        <v>240</v>
      </c>
      <c r="C400" t="str">
        <f>_xlfn.XLOOKUP(Table6[[#This Row],[app_id]],Table5[app_id],Table5[app_name],"",0)</f>
        <v>MindPlus</v>
      </c>
      <c r="D400" t="str">
        <f>_xlfn.XLOOKUP(Table6[[#This Row],[app_id]],Table5[app_id],Table5[category],"",0)</f>
        <v>Health</v>
      </c>
      <c r="E400" t="s">
        <v>537</v>
      </c>
      <c r="F400" t="s">
        <v>538</v>
      </c>
      <c r="G400" t="s">
        <v>61</v>
      </c>
      <c r="H400" t="s">
        <v>535</v>
      </c>
      <c r="I400">
        <v>72</v>
      </c>
      <c r="J400">
        <v>3.4</v>
      </c>
      <c r="K400" t="s">
        <v>257</v>
      </c>
      <c r="L400" t="s">
        <v>257</v>
      </c>
      <c r="M400" t="s">
        <v>258</v>
      </c>
      <c r="N400" s="5">
        <v>0</v>
      </c>
    </row>
    <row r="401" spans="1:14" x14ac:dyDescent="0.25">
      <c r="A401" t="s">
        <v>942</v>
      </c>
      <c r="B401" t="s">
        <v>242</v>
      </c>
      <c r="C401" t="str">
        <f>_xlfn.XLOOKUP(Table6[[#This Row],[app_id]],Table5[app_id],Table5[app_name],"",0)</f>
        <v>MediCloud</v>
      </c>
      <c r="D401" t="str">
        <f>_xlfn.XLOOKUP(Table6[[#This Row],[app_id]],Table5[app_id],Table5[category],"",0)</f>
        <v>Health</v>
      </c>
      <c r="E401" t="s">
        <v>546</v>
      </c>
      <c r="F401" t="s">
        <v>538</v>
      </c>
      <c r="G401" t="s">
        <v>30</v>
      </c>
      <c r="H401" t="s">
        <v>535</v>
      </c>
      <c r="I401">
        <v>21</v>
      </c>
      <c r="J401">
        <v>9.5</v>
      </c>
      <c r="K401" t="s">
        <v>257</v>
      </c>
      <c r="L401" t="s">
        <v>258</v>
      </c>
      <c r="M401" t="s">
        <v>257</v>
      </c>
      <c r="N401" s="5">
        <v>0</v>
      </c>
    </row>
    <row r="402" spans="1:14" x14ac:dyDescent="0.25">
      <c r="A402" t="s">
        <v>943</v>
      </c>
      <c r="B402" t="s">
        <v>12</v>
      </c>
      <c r="C402" t="str">
        <f>_xlfn.XLOOKUP(Table6[[#This Row],[app_id]],Table5[app_id],Table5[app_name],"",0)</f>
        <v>InvestPro</v>
      </c>
      <c r="D402" t="str">
        <f>_xlfn.XLOOKUP(Table6[[#This Row],[app_id]],Table5[app_id],Table5[category],"",0)</f>
        <v>Finance</v>
      </c>
      <c r="E402" t="s">
        <v>537</v>
      </c>
      <c r="F402" t="s">
        <v>538</v>
      </c>
      <c r="G402" t="s">
        <v>46</v>
      </c>
      <c r="H402" t="s">
        <v>535</v>
      </c>
      <c r="I402">
        <v>65</v>
      </c>
      <c r="J402">
        <v>17.3</v>
      </c>
      <c r="K402" t="s">
        <v>257</v>
      </c>
      <c r="L402" t="s">
        <v>257</v>
      </c>
      <c r="M402" t="s">
        <v>258</v>
      </c>
      <c r="N402" s="5">
        <v>0</v>
      </c>
    </row>
    <row r="403" spans="1:14" x14ac:dyDescent="0.25">
      <c r="A403" t="s">
        <v>944</v>
      </c>
      <c r="B403" t="s">
        <v>19</v>
      </c>
      <c r="C403" t="str">
        <f>_xlfn.XLOOKUP(Table6[[#This Row],[app_id]],Table5[app_id],Table5[app_name],"",0)</f>
        <v>BankPro</v>
      </c>
      <c r="D403" t="str">
        <f>_xlfn.XLOOKUP(Table6[[#This Row],[app_id]],Table5[app_id],Table5[category],"",0)</f>
        <v>Finance</v>
      </c>
      <c r="E403" t="s">
        <v>557</v>
      </c>
      <c r="F403" t="s">
        <v>534</v>
      </c>
      <c r="G403" t="s">
        <v>23</v>
      </c>
      <c r="H403" t="s">
        <v>535</v>
      </c>
      <c r="I403">
        <v>8</v>
      </c>
      <c r="J403">
        <v>18.600000000000001</v>
      </c>
      <c r="K403" t="s">
        <v>258</v>
      </c>
      <c r="L403" t="s">
        <v>258</v>
      </c>
      <c r="M403" t="s">
        <v>257</v>
      </c>
      <c r="N403" s="5">
        <v>0</v>
      </c>
    </row>
    <row r="404" spans="1:14" x14ac:dyDescent="0.25">
      <c r="A404" t="s">
        <v>945</v>
      </c>
      <c r="B404" t="s">
        <v>24</v>
      </c>
      <c r="C404" t="str">
        <f>_xlfn.XLOOKUP(Table6[[#This Row],[app_id]],Table5[app_id],Table5[app_name],"",0)</f>
        <v>BankX</v>
      </c>
      <c r="D404" t="str">
        <f>_xlfn.XLOOKUP(Table6[[#This Row],[app_id]],Table5[app_id],Table5[category],"",0)</f>
        <v>Finance</v>
      </c>
      <c r="E404" t="s">
        <v>537</v>
      </c>
      <c r="F404" t="s">
        <v>534</v>
      </c>
      <c r="G404" t="s">
        <v>23</v>
      </c>
      <c r="H404" t="s">
        <v>535</v>
      </c>
      <c r="I404">
        <v>24</v>
      </c>
      <c r="J404">
        <v>7</v>
      </c>
      <c r="K404" t="s">
        <v>257</v>
      </c>
      <c r="L404" t="s">
        <v>257</v>
      </c>
      <c r="M404" t="s">
        <v>258</v>
      </c>
      <c r="N404" s="5">
        <v>0</v>
      </c>
    </row>
    <row r="405" spans="1:14" x14ac:dyDescent="0.25">
      <c r="A405" t="s">
        <v>946</v>
      </c>
      <c r="B405" t="s">
        <v>27</v>
      </c>
      <c r="C405" t="str">
        <f>_xlfn.XLOOKUP(Table6[[#This Row],[app_id]],Table5[app_id],Table5[app_name],"",0)</f>
        <v>BankNow</v>
      </c>
      <c r="D405" t="str">
        <f>_xlfn.XLOOKUP(Table6[[#This Row],[app_id]],Table5[app_id],Table5[category],"",0)</f>
        <v>Finance</v>
      </c>
      <c r="E405" t="s">
        <v>533</v>
      </c>
      <c r="F405" t="s">
        <v>538</v>
      </c>
      <c r="G405" t="s">
        <v>18</v>
      </c>
      <c r="H405" t="s">
        <v>535</v>
      </c>
      <c r="I405">
        <v>27</v>
      </c>
      <c r="J405">
        <v>8.3000000000000007</v>
      </c>
      <c r="K405" t="s">
        <v>258</v>
      </c>
      <c r="L405" t="s">
        <v>257</v>
      </c>
      <c r="M405" t="s">
        <v>258</v>
      </c>
      <c r="N405" s="5">
        <v>0</v>
      </c>
    </row>
    <row r="406" spans="1:14" x14ac:dyDescent="0.25">
      <c r="A406" t="s">
        <v>947</v>
      </c>
      <c r="B406" t="s">
        <v>31</v>
      </c>
      <c r="C406" t="str">
        <f>_xlfn.XLOOKUP(Table6[[#This Row],[app_id]],Table5[app_id],Table5[app_name],"",0)</f>
        <v>CreditHub</v>
      </c>
      <c r="D406" t="str">
        <f>_xlfn.XLOOKUP(Table6[[#This Row],[app_id]],Table5[app_id],Table5[category],"",0)</f>
        <v>Finance</v>
      </c>
      <c r="E406" t="s">
        <v>537</v>
      </c>
      <c r="F406" t="s">
        <v>534</v>
      </c>
      <c r="G406" t="s">
        <v>69</v>
      </c>
      <c r="H406" t="s">
        <v>535</v>
      </c>
      <c r="I406">
        <v>20</v>
      </c>
      <c r="J406">
        <v>9.6999999999999993</v>
      </c>
      <c r="K406" t="s">
        <v>258</v>
      </c>
      <c r="L406" t="s">
        <v>257</v>
      </c>
      <c r="M406" t="s">
        <v>258</v>
      </c>
      <c r="N406" s="5">
        <v>0</v>
      </c>
    </row>
    <row r="407" spans="1:14" x14ac:dyDescent="0.25">
      <c r="A407" t="s">
        <v>948</v>
      </c>
      <c r="B407" t="s">
        <v>36</v>
      </c>
      <c r="C407" t="str">
        <f>_xlfn.XLOOKUP(Table6[[#This Row],[app_id]],Table5[app_id],Table5[app_name],"",0)</f>
        <v>PayPlus</v>
      </c>
      <c r="D407" t="str">
        <f>_xlfn.XLOOKUP(Table6[[#This Row],[app_id]],Table5[app_id],Table5[category],"",0)</f>
        <v>Finance</v>
      </c>
      <c r="E407" t="s">
        <v>533</v>
      </c>
      <c r="F407" t="s">
        <v>538</v>
      </c>
      <c r="G407" t="s">
        <v>61</v>
      </c>
      <c r="H407" t="s">
        <v>535</v>
      </c>
      <c r="I407">
        <v>8</v>
      </c>
      <c r="J407">
        <v>8.4</v>
      </c>
      <c r="K407" t="s">
        <v>258</v>
      </c>
      <c r="L407" t="s">
        <v>258</v>
      </c>
      <c r="M407" t="s">
        <v>258</v>
      </c>
      <c r="N407" s="5">
        <v>0</v>
      </c>
    </row>
    <row r="408" spans="1:14" x14ac:dyDescent="0.25">
      <c r="A408" t="s">
        <v>949</v>
      </c>
      <c r="B408" t="s">
        <v>39</v>
      </c>
      <c r="C408" t="str">
        <f>_xlfn.XLOOKUP(Table6[[#This Row],[app_id]],Table5[app_id],Table5[app_name],"",0)</f>
        <v>BankPlus</v>
      </c>
      <c r="D408" t="str">
        <f>_xlfn.XLOOKUP(Table6[[#This Row],[app_id]],Table5[app_id],Table5[category],"",0)</f>
        <v>Finance</v>
      </c>
      <c r="E408" t="s">
        <v>537</v>
      </c>
      <c r="F408" t="s">
        <v>538</v>
      </c>
      <c r="G408" t="s">
        <v>69</v>
      </c>
      <c r="H408" t="s">
        <v>535</v>
      </c>
      <c r="I408">
        <v>16</v>
      </c>
      <c r="J408">
        <v>11</v>
      </c>
      <c r="K408" t="s">
        <v>258</v>
      </c>
      <c r="L408" t="s">
        <v>257</v>
      </c>
      <c r="M408" t="s">
        <v>258</v>
      </c>
      <c r="N408" s="5">
        <v>29.2</v>
      </c>
    </row>
    <row r="409" spans="1:14" x14ac:dyDescent="0.25">
      <c r="A409" t="s">
        <v>950</v>
      </c>
      <c r="B409" t="s">
        <v>42</v>
      </c>
      <c r="C409" t="str">
        <f>_xlfn.XLOOKUP(Table6[[#This Row],[app_id]],Table5[app_id],Table5[app_name],"",0)</f>
        <v>CoinPlus</v>
      </c>
      <c r="D409" t="str">
        <f>_xlfn.XLOOKUP(Table6[[#This Row],[app_id]],Table5[app_id],Table5[category],"",0)</f>
        <v>Finance</v>
      </c>
      <c r="E409" t="s">
        <v>537</v>
      </c>
      <c r="F409" t="s">
        <v>538</v>
      </c>
      <c r="G409" t="s">
        <v>23</v>
      </c>
      <c r="H409" t="s">
        <v>535</v>
      </c>
      <c r="I409">
        <v>18</v>
      </c>
      <c r="J409">
        <v>19.3</v>
      </c>
      <c r="K409" t="s">
        <v>257</v>
      </c>
      <c r="L409" t="s">
        <v>257</v>
      </c>
      <c r="M409" t="s">
        <v>258</v>
      </c>
      <c r="N409" s="5">
        <v>66.06</v>
      </c>
    </row>
    <row r="410" spans="1:14" x14ac:dyDescent="0.25">
      <c r="A410" t="s">
        <v>951</v>
      </c>
      <c r="B410" t="s">
        <v>47</v>
      </c>
      <c r="C410" t="str">
        <f>_xlfn.XLOOKUP(Table6[[#This Row],[app_id]],Table5[app_id],Table5[app_name],"",0)</f>
        <v>CreditOne</v>
      </c>
      <c r="D410" t="str">
        <f>_xlfn.XLOOKUP(Table6[[#This Row],[app_id]],Table5[app_id],Table5[category],"",0)</f>
        <v>Finance</v>
      </c>
      <c r="E410" t="s">
        <v>546</v>
      </c>
      <c r="F410" t="s">
        <v>538</v>
      </c>
      <c r="G410" t="s">
        <v>69</v>
      </c>
      <c r="H410" t="s">
        <v>540</v>
      </c>
      <c r="I410">
        <v>82</v>
      </c>
      <c r="J410">
        <v>13.9</v>
      </c>
      <c r="K410" t="s">
        <v>257</v>
      </c>
      <c r="L410" t="s">
        <v>257</v>
      </c>
      <c r="M410" t="s">
        <v>257</v>
      </c>
      <c r="N410" s="5">
        <v>0</v>
      </c>
    </row>
    <row r="411" spans="1:14" x14ac:dyDescent="0.25">
      <c r="A411" t="s">
        <v>952</v>
      </c>
      <c r="B411" t="s">
        <v>49</v>
      </c>
      <c r="C411" t="str">
        <f>_xlfn.XLOOKUP(Table6[[#This Row],[app_id]],Table5[app_id],Table5[app_name],"",0)</f>
        <v>PayPro</v>
      </c>
      <c r="D411" t="str">
        <f>_xlfn.XLOOKUP(Table6[[#This Row],[app_id]],Table5[app_id],Table5[category],"",0)</f>
        <v>Finance</v>
      </c>
      <c r="E411" t="s">
        <v>537</v>
      </c>
      <c r="F411" t="s">
        <v>538</v>
      </c>
      <c r="G411" t="s">
        <v>30</v>
      </c>
      <c r="H411" t="s">
        <v>535</v>
      </c>
      <c r="I411">
        <v>2</v>
      </c>
      <c r="J411">
        <v>5.5</v>
      </c>
      <c r="K411" t="s">
        <v>258</v>
      </c>
      <c r="L411" t="s">
        <v>258</v>
      </c>
      <c r="M411" t="s">
        <v>258</v>
      </c>
      <c r="N411" s="5">
        <v>0</v>
      </c>
    </row>
    <row r="412" spans="1:14" x14ac:dyDescent="0.25">
      <c r="A412" t="s">
        <v>953</v>
      </c>
      <c r="B412" t="s">
        <v>51</v>
      </c>
      <c r="C412" t="str">
        <f>_xlfn.XLOOKUP(Table6[[#This Row],[app_id]],Table5[app_id],Table5[app_name],"",0)</f>
        <v>Creditly</v>
      </c>
      <c r="D412" t="str">
        <f>_xlfn.XLOOKUP(Table6[[#This Row],[app_id]],Table5[app_id],Table5[category],"",0)</f>
        <v>Finance</v>
      </c>
      <c r="E412" t="s">
        <v>533</v>
      </c>
      <c r="F412" t="s">
        <v>538</v>
      </c>
      <c r="G412" t="s">
        <v>18</v>
      </c>
      <c r="H412" t="s">
        <v>535</v>
      </c>
      <c r="I412">
        <v>26</v>
      </c>
      <c r="J412">
        <v>7.7</v>
      </c>
      <c r="K412" t="s">
        <v>258</v>
      </c>
      <c r="L412" t="s">
        <v>257</v>
      </c>
      <c r="M412" t="s">
        <v>258</v>
      </c>
      <c r="N412" s="5">
        <v>0</v>
      </c>
    </row>
    <row r="413" spans="1:14" x14ac:dyDescent="0.25">
      <c r="A413" t="s">
        <v>954</v>
      </c>
      <c r="B413" t="s">
        <v>53</v>
      </c>
      <c r="C413" t="str">
        <f>_xlfn.XLOOKUP(Table6[[#This Row],[app_id]],Table5[app_id],Table5[app_name],"",0)</f>
        <v>PayX</v>
      </c>
      <c r="D413" t="str">
        <f>_xlfn.XLOOKUP(Table6[[#This Row],[app_id]],Table5[app_id],Table5[category],"",0)</f>
        <v>Finance</v>
      </c>
      <c r="E413" t="s">
        <v>546</v>
      </c>
      <c r="F413" t="s">
        <v>538</v>
      </c>
      <c r="G413" t="s">
        <v>69</v>
      </c>
      <c r="H413" t="s">
        <v>540</v>
      </c>
      <c r="I413">
        <v>14</v>
      </c>
      <c r="J413">
        <v>18.8</v>
      </c>
      <c r="K413" t="s">
        <v>258</v>
      </c>
      <c r="L413" t="s">
        <v>257</v>
      </c>
      <c r="M413" t="s">
        <v>258</v>
      </c>
      <c r="N413" s="5">
        <v>0</v>
      </c>
    </row>
    <row r="414" spans="1:14" x14ac:dyDescent="0.25">
      <c r="A414" t="s">
        <v>955</v>
      </c>
      <c r="B414" t="s">
        <v>56</v>
      </c>
      <c r="C414" t="str">
        <f>_xlfn.XLOOKUP(Table6[[#This Row],[app_id]],Table5[app_id],Table5[app_name],"",0)</f>
        <v>DealGo</v>
      </c>
      <c r="D414" t="str">
        <f>_xlfn.XLOOKUP(Table6[[#This Row],[app_id]],Table5[app_id],Table5[category],"",0)</f>
        <v>Shopping</v>
      </c>
      <c r="E414" t="s">
        <v>557</v>
      </c>
      <c r="F414" t="s">
        <v>538</v>
      </c>
      <c r="G414" t="s">
        <v>46</v>
      </c>
      <c r="H414" t="s">
        <v>535</v>
      </c>
      <c r="I414">
        <v>38</v>
      </c>
      <c r="J414">
        <v>21.9</v>
      </c>
      <c r="K414" t="s">
        <v>257</v>
      </c>
      <c r="L414" t="s">
        <v>257</v>
      </c>
      <c r="M414" t="s">
        <v>258</v>
      </c>
      <c r="N414" s="5">
        <v>0</v>
      </c>
    </row>
    <row r="415" spans="1:14" x14ac:dyDescent="0.25">
      <c r="A415" t="s">
        <v>956</v>
      </c>
      <c r="B415" t="s">
        <v>62</v>
      </c>
      <c r="C415" t="str">
        <f>_xlfn.XLOOKUP(Table6[[#This Row],[app_id]],Table5[app_id],Table5[app_name],"",0)</f>
        <v>MallNow</v>
      </c>
      <c r="D415" t="str">
        <f>_xlfn.XLOOKUP(Table6[[#This Row],[app_id]],Table5[app_id],Table5[category],"",0)</f>
        <v>Shopping</v>
      </c>
      <c r="E415" t="s">
        <v>533</v>
      </c>
      <c r="F415" t="s">
        <v>534</v>
      </c>
      <c r="G415" t="s">
        <v>35</v>
      </c>
      <c r="H415" t="s">
        <v>535</v>
      </c>
      <c r="I415">
        <v>23</v>
      </c>
      <c r="J415">
        <v>17.899999999999999</v>
      </c>
      <c r="K415" t="s">
        <v>258</v>
      </c>
      <c r="L415" t="s">
        <v>258</v>
      </c>
      <c r="M415" t="s">
        <v>258</v>
      </c>
      <c r="N415" s="5">
        <v>0</v>
      </c>
    </row>
    <row r="416" spans="1:14" x14ac:dyDescent="0.25">
      <c r="A416" t="s">
        <v>957</v>
      </c>
      <c r="B416" t="s">
        <v>65</v>
      </c>
      <c r="C416" t="str">
        <f>_xlfn.XLOOKUP(Table6[[#This Row],[app_id]],Table5[app_id],Table5[app_name],"",0)</f>
        <v>DealPro</v>
      </c>
      <c r="D416" t="str">
        <f>_xlfn.XLOOKUP(Table6[[#This Row],[app_id]],Table5[app_id],Table5[category],"",0)</f>
        <v>Shopping</v>
      </c>
      <c r="E416" t="s">
        <v>557</v>
      </c>
      <c r="F416" t="s">
        <v>538</v>
      </c>
      <c r="G416" t="s">
        <v>26</v>
      </c>
      <c r="H416" t="s">
        <v>540</v>
      </c>
      <c r="I416">
        <v>1</v>
      </c>
      <c r="J416">
        <v>9.3000000000000007</v>
      </c>
      <c r="K416" t="s">
        <v>258</v>
      </c>
      <c r="L416" t="s">
        <v>257</v>
      </c>
      <c r="M416" t="s">
        <v>258</v>
      </c>
      <c r="N416" s="5">
        <v>0</v>
      </c>
    </row>
    <row r="417" spans="1:14" x14ac:dyDescent="0.25">
      <c r="A417" t="s">
        <v>958</v>
      </c>
      <c r="B417" t="s">
        <v>67</v>
      </c>
      <c r="C417" t="str">
        <f>_xlfn.XLOOKUP(Table6[[#This Row],[app_id]],Table5[app_id],Table5[app_name],"",0)</f>
        <v>StyleNow</v>
      </c>
      <c r="D417" t="str">
        <f>_xlfn.XLOOKUP(Table6[[#This Row],[app_id]],Table5[app_id],Table5[category],"",0)</f>
        <v>Shopping</v>
      </c>
      <c r="E417" t="s">
        <v>546</v>
      </c>
      <c r="F417" t="s">
        <v>538</v>
      </c>
      <c r="G417" t="s">
        <v>69</v>
      </c>
      <c r="H417" t="s">
        <v>535</v>
      </c>
      <c r="I417">
        <v>32</v>
      </c>
      <c r="J417">
        <v>17.2</v>
      </c>
      <c r="K417" t="s">
        <v>257</v>
      </c>
      <c r="L417" t="s">
        <v>257</v>
      </c>
      <c r="M417" t="s">
        <v>258</v>
      </c>
      <c r="N417" s="5">
        <v>0</v>
      </c>
    </row>
    <row r="418" spans="1:14" x14ac:dyDescent="0.25">
      <c r="A418" t="s">
        <v>959</v>
      </c>
      <c r="B418" t="s">
        <v>70</v>
      </c>
      <c r="C418" t="str">
        <f>_xlfn.XLOOKUP(Table6[[#This Row],[app_id]],Table5[app_id],Table5[app_name],"",0)</f>
        <v>DealCloud</v>
      </c>
      <c r="D418" t="str">
        <f>_xlfn.XLOOKUP(Table6[[#This Row],[app_id]],Table5[app_id],Table5[category],"",0)</f>
        <v>Shopping</v>
      </c>
      <c r="E418" t="s">
        <v>533</v>
      </c>
      <c r="F418" t="s">
        <v>538</v>
      </c>
      <c r="G418" t="s">
        <v>46</v>
      </c>
      <c r="H418" t="s">
        <v>535</v>
      </c>
      <c r="I418">
        <v>9</v>
      </c>
      <c r="J418">
        <v>7.8</v>
      </c>
      <c r="K418" t="s">
        <v>258</v>
      </c>
      <c r="L418" t="s">
        <v>258</v>
      </c>
      <c r="M418" t="s">
        <v>258</v>
      </c>
      <c r="N418" s="5">
        <v>70.680000000000007</v>
      </c>
    </row>
    <row r="419" spans="1:14" x14ac:dyDescent="0.25">
      <c r="A419" t="s">
        <v>960</v>
      </c>
      <c r="B419" t="s">
        <v>72</v>
      </c>
      <c r="C419" t="str">
        <f>_xlfn.XLOOKUP(Table6[[#This Row],[app_id]],Table5[app_id],Table5[app_name],"",0)</f>
        <v>CartCloud</v>
      </c>
      <c r="D419" t="str">
        <f>_xlfn.XLOOKUP(Table6[[#This Row],[app_id]],Table5[app_id],Table5[category],"",0)</f>
        <v>Shopping</v>
      </c>
      <c r="E419" t="s">
        <v>533</v>
      </c>
      <c r="F419" t="s">
        <v>538</v>
      </c>
      <c r="G419" t="s">
        <v>30</v>
      </c>
      <c r="H419" t="s">
        <v>535</v>
      </c>
      <c r="I419">
        <v>16</v>
      </c>
      <c r="J419">
        <v>21.3</v>
      </c>
      <c r="K419" t="s">
        <v>258</v>
      </c>
      <c r="L419" t="s">
        <v>257</v>
      </c>
      <c r="M419" t="s">
        <v>258</v>
      </c>
      <c r="N419" s="5">
        <v>0</v>
      </c>
    </row>
    <row r="420" spans="1:14" x14ac:dyDescent="0.25">
      <c r="A420" t="s">
        <v>961</v>
      </c>
      <c r="B420" t="s">
        <v>74</v>
      </c>
      <c r="C420" t="str">
        <f>_xlfn.XLOOKUP(Table6[[#This Row],[app_id]],Table5[app_id],Table5[app_name],"",0)</f>
        <v>CartMate</v>
      </c>
      <c r="D420" t="str">
        <f>_xlfn.XLOOKUP(Table6[[#This Row],[app_id]],Table5[app_id],Table5[category],"",0)</f>
        <v>Shopping</v>
      </c>
      <c r="E420" t="s">
        <v>537</v>
      </c>
      <c r="F420" t="s">
        <v>538</v>
      </c>
      <c r="G420" t="s">
        <v>61</v>
      </c>
      <c r="H420" t="s">
        <v>535</v>
      </c>
      <c r="I420">
        <v>22</v>
      </c>
      <c r="J420">
        <v>12.9</v>
      </c>
      <c r="K420" t="s">
        <v>258</v>
      </c>
      <c r="L420" t="s">
        <v>258</v>
      </c>
      <c r="M420" t="s">
        <v>257</v>
      </c>
      <c r="N420" s="5">
        <v>0</v>
      </c>
    </row>
    <row r="421" spans="1:14" x14ac:dyDescent="0.25">
      <c r="A421" t="s">
        <v>962</v>
      </c>
      <c r="B421" t="s">
        <v>76</v>
      </c>
      <c r="C421" t="str">
        <f>_xlfn.XLOOKUP(Table6[[#This Row],[app_id]],Table5[app_id],Table5[app_name],"",0)</f>
        <v>BazaarOne</v>
      </c>
      <c r="D421" t="str">
        <f>_xlfn.XLOOKUP(Table6[[#This Row],[app_id]],Table5[app_id],Table5[category],"",0)</f>
        <v>Shopping</v>
      </c>
      <c r="E421" t="s">
        <v>533</v>
      </c>
      <c r="F421" t="s">
        <v>534</v>
      </c>
      <c r="G421" t="s">
        <v>69</v>
      </c>
      <c r="H421" t="s">
        <v>535</v>
      </c>
      <c r="I421">
        <v>23</v>
      </c>
      <c r="J421">
        <v>20.7</v>
      </c>
      <c r="K421" t="s">
        <v>258</v>
      </c>
      <c r="L421" t="s">
        <v>258</v>
      </c>
      <c r="M421" t="s">
        <v>257</v>
      </c>
      <c r="N421" s="5">
        <v>0</v>
      </c>
    </row>
    <row r="422" spans="1:14" x14ac:dyDescent="0.25">
      <c r="A422" t="s">
        <v>963</v>
      </c>
      <c r="B422" t="s">
        <v>78</v>
      </c>
      <c r="C422" t="str">
        <f>_xlfn.XLOOKUP(Table6[[#This Row],[app_id]],Table5[app_id],Table5[app_name],"",0)</f>
        <v>StyleOne</v>
      </c>
      <c r="D422" t="str">
        <f>_xlfn.XLOOKUP(Table6[[#This Row],[app_id]],Table5[app_id],Table5[category],"",0)</f>
        <v>Shopping</v>
      </c>
      <c r="E422" t="s">
        <v>557</v>
      </c>
      <c r="F422" t="s">
        <v>534</v>
      </c>
      <c r="G422" t="s">
        <v>30</v>
      </c>
      <c r="H422" t="s">
        <v>535</v>
      </c>
      <c r="I422">
        <v>49</v>
      </c>
      <c r="J422">
        <v>12.9</v>
      </c>
      <c r="K422" t="s">
        <v>257</v>
      </c>
      <c r="L422" t="s">
        <v>257</v>
      </c>
      <c r="M422" t="s">
        <v>258</v>
      </c>
      <c r="N422" s="5">
        <v>0</v>
      </c>
    </row>
    <row r="423" spans="1:14" x14ac:dyDescent="0.25">
      <c r="A423" t="s">
        <v>964</v>
      </c>
      <c r="B423" t="s">
        <v>80</v>
      </c>
      <c r="C423" t="str">
        <f>_xlfn.XLOOKUP(Table6[[#This Row],[app_id]],Table5[app_id],Table5[app_name],"",0)</f>
        <v>Cartly</v>
      </c>
      <c r="D423" t="str">
        <f>_xlfn.XLOOKUP(Table6[[#This Row],[app_id]],Table5[app_id],Table5[category],"",0)</f>
        <v>Shopping</v>
      </c>
      <c r="E423" t="s">
        <v>533</v>
      </c>
      <c r="F423" t="s">
        <v>538</v>
      </c>
      <c r="G423" t="s">
        <v>35</v>
      </c>
      <c r="H423" t="s">
        <v>535</v>
      </c>
      <c r="I423">
        <v>1</v>
      </c>
      <c r="J423">
        <v>16.3</v>
      </c>
      <c r="K423" t="s">
        <v>258</v>
      </c>
      <c r="L423" t="s">
        <v>257</v>
      </c>
      <c r="M423" t="s">
        <v>258</v>
      </c>
      <c r="N423" s="5">
        <v>34.18</v>
      </c>
    </row>
    <row r="424" spans="1:14" x14ac:dyDescent="0.25">
      <c r="A424" t="s">
        <v>965</v>
      </c>
      <c r="B424" t="s">
        <v>83</v>
      </c>
      <c r="C424" t="str">
        <f>_xlfn.XLOOKUP(Table6[[#This Row],[app_id]],Table5[app_id],Table5[app_name],"",0)</f>
        <v>BazaarCloud</v>
      </c>
      <c r="D424" t="str">
        <f>_xlfn.XLOOKUP(Table6[[#This Row],[app_id]],Table5[app_id],Table5[category],"",0)</f>
        <v>Shopping</v>
      </c>
      <c r="E424" t="s">
        <v>546</v>
      </c>
      <c r="F424" t="s">
        <v>534</v>
      </c>
      <c r="G424" t="s">
        <v>23</v>
      </c>
      <c r="H424" t="s">
        <v>535</v>
      </c>
      <c r="I424">
        <v>66</v>
      </c>
      <c r="J424">
        <v>5.7</v>
      </c>
      <c r="K424" t="s">
        <v>257</v>
      </c>
      <c r="L424" t="s">
        <v>258</v>
      </c>
      <c r="M424" t="s">
        <v>257</v>
      </c>
      <c r="N424" s="5">
        <v>7.52</v>
      </c>
    </row>
    <row r="425" spans="1:14" x14ac:dyDescent="0.25">
      <c r="A425" t="s">
        <v>966</v>
      </c>
      <c r="B425" t="s">
        <v>85</v>
      </c>
      <c r="C425" t="str">
        <f>_xlfn.XLOOKUP(Table6[[#This Row],[app_id]],Table5[app_id],Table5[app_name],"",0)</f>
        <v>CartPro</v>
      </c>
      <c r="D425" t="str">
        <f>_xlfn.XLOOKUP(Table6[[#This Row],[app_id]],Table5[app_id],Table5[category],"",0)</f>
        <v>Shopping</v>
      </c>
      <c r="E425" t="s">
        <v>546</v>
      </c>
      <c r="F425" t="s">
        <v>538</v>
      </c>
      <c r="G425" t="s">
        <v>18</v>
      </c>
      <c r="H425" t="s">
        <v>535</v>
      </c>
      <c r="I425">
        <v>95</v>
      </c>
      <c r="J425">
        <v>12.6</v>
      </c>
      <c r="K425" t="s">
        <v>257</v>
      </c>
      <c r="L425" t="s">
        <v>257</v>
      </c>
      <c r="M425" t="s">
        <v>258</v>
      </c>
      <c r="N425" s="5">
        <v>0</v>
      </c>
    </row>
    <row r="426" spans="1:14" x14ac:dyDescent="0.25">
      <c r="A426" t="s">
        <v>967</v>
      </c>
      <c r="B426" t="s">
        <v>87</v>
      </c>
      <c r="C426" t="str">
        <f>_xlfn.XLOOKUP(Table6[[#This Row],[app_id]],Table5[app_id],Table5[app_name],"",0)</f>
        <v>RunPlus</v>
      </c>
      <c r="D426" t="str">
        <f>_xlfn.XLOOKUP(Table6[[#This Row],[app_id]],Table5[app_id],Table5[category],"",0)</f>
        <v>Fitness</v>
      </c>
      <c r="E426" t="s">
        <v>546</v>
      </c>
      <c r="F426" t="s">
        <v>548</v>
      </c>
      <c r="G426" t="s">
        <v>18</v>
      </c>
      <c r="H426" t="s">
        <v>535</v>
      </c>
      <c r="I426">
        <v>14</v>
      </c>
      <c r="J426">
        <v>14.1</v>
      </c>
      <c r="K426" t="s">
        <v>258</v>
      </c>
      <c r="L426" t="s">
        <v>258</v>
      </c>
      <c r="M426" t="s">
        <v>258</v>
      </c>
      <c r="N426" s="5">
        <v>0</v>
      </c>
    </row>
    <row r="427" spans="1:14" x14ac:dyDescent="0.25">
      <c r="A427" t="s">
        <v>968</v>
      </c>
      <c r="B427" t="s">
        <v>90</v>
      </c>
      <c r="C427" t="str">
        <f>_xlfn.XLOOKUP(Table6[[#This Row],[app_id]],Table5[app_id],Table5[app_name],"",0)</f>
        <v>TrainCloud</v>
      </c>
      <c r="D427" t="str">
        <f>_xlfn.XLOOKUP(Table6[[#This Row],[app_id]],Table5[app_id],Table5[category],"",0)</f>
        <v>Fitness</v>
      </c>
      <c r="E427" t="s">
        <v>533</v>
      </c>
      <c r="F427" t="s">
        <v>538</v>
      </c>
      <c r="G427" t="s">
        <v>61</v>
      </c>
      <c r="H427" t="s">
        <v>535</v>
      </c>
      <c r="I427">
        <v>27</v>
      </c>
      <c r="J427">
        <v>39.799999999999997</v>
      </c>
      <c r="K427" t="s">
        <v>258</v>
      </c>
      <c r="L427" t="s">
        <v>257</v>
      </c>
      <c r="M427" t="s">
        <v>258</v>
      </c>
      <c r="N427" s="5">
        <v>30.94</v>
      </c>
    </row>
    <row r="428" spans="1:14" x14ac:dyDescent="0.25">
      <c r="A428" t="s">
        <v>969</v>
      </c>
      <c r="B428" t="s">
        <v>92</v>
      </c>
      <c r="C428" t="str">
        <f>_xlfn.XLOOKUP(Table6[[#This Row],[app_id]],Table5[app_id],Table5[app_name],"",0)</f>
        <v>Trainly</v>
      </c>
      <c r="D428" t="str">
        <f>_xlfn.XLOOKUP(Table6[[#This Row],[app_id]],Table5[app_id],Table5[category],"",0)</f>
        <v>Fitness</v>
      </c>
      <c r="E428" t="s">
        <v>537</v>
      </c>
      <c r="F428" t="s">
        <v>538</v>
      </c>
      <c r="G428" t="s">
        <v>18</v>
      </c>
      <c r="H428" t="s">
        <v>535</v>
      </c>
      <c r="I428">
        <v>84</v>
      </c>
      <c r="J428">
        <v>26.9</v>
      </c>
      <c r="K428" t="s">
        <v>257</v>
      </c>
      <c r="L428" t="s">
        <v>257</v>
      </c>
      <c r="M428" t="s">
        <v>258</v>
      </c>
      <c r="N428" s="5">
        <v>0</v>
      </c>
    </row>
    <row r="429" spans="1:14" x14ac:dyDescent="0.25">
      <c r="A429" t="s">
        <v>970</v>
      </c>
      <c r="B429" t="s">
        <v>94</v>
      </c>
      <c r="C429" t="str">
        <f>_xlfn.XLOOKUP(Table6[[#This Row],[app_id]],Table5[app_id],Table5[app_name],"",0)</f>
        <v>LiftCloud</v>
      </c>
      <c r="D429" t="str">
        <f>_xlfn.XLOOKUP(Table6[[#This Row],[app_id]],Table5[app_id],Table5[category],"",0)</f>
        <v>Fitness</v>
      </c>
      <c r="E429" t="s">
        <v>537</v>
      </c>
      <c r="F429" t="s">
        <v>538</v>
      </c>
      <c r="G429" t="s">
        <v>26</v>
      </c>
      <c r="H429" t="s">
        <v>535</v>
      </c>
      <c r="I429">
        <v>21</v>
      </c>
      <c r="J429">
        <v>15.3</v>
      </c>
      <c r="K429" t="s">
        <v>258</v>
      </c>
      <c r="L429" t="s">
        <v>257</v>
      </c>
      <c r="M429" t="s">
        <v>258</v>
      </c>
      <c r="N429" s="5">
        <v>3.39</v>
      </c>
    </row>
    <row r="430" spans="1:14" x14ac:dyDescent="0.25">
      <c r="A430" t="s">
        <v>971</v>
      </c>
      <c r="B430" t="s">
        <v>96</v>
      </c>
      <c r="C430" t="str">
        <f>_xlfn.XLOOKUP(Table6[[#This Row],[app_id]],Table5[app_id],Table5[app_name],"",0)</f>
        <v>MoveNow</v>
      </c>
      <c r="D430" t="str">
        <f>_xlfn.XLOOKUP(Table6[[#This Row],[app_id]],Table5[app_id],Table5[category],"",0)</f>
        <v>Fitness</v>
      </c>
      <c r="E430" t="s">
        <v>533</v>
      </c>
      <c r="F430" t="s">
        <v>538</v>
      </c>
      <c r="G430" t="s">
        <v>23</v>
      </c>
      <c r="H430" t="s">
        <v>535</v>
      </c>
      <c r="I430">
        <v>61</v>
      </c>
      <c r="J430">
        <v>16.8</v>
      </c>
      <c r="K430" t="s">
        <v>257</v>
      </c>
      <c r="L430" t="s">
        <v>257</v>
      </c>
      <c r="M430" t="s">
        <v>258</v>
      </c>
      <c r="N430" s="5">
        <v>0</v>
      </c>
    </row>
    <row r="431" spans="1:14" x14ac:dyDescent="0.25">
      <c r="A431" t="s">
        <v>972</v>
      </c>
      <c r="B431" t="s">
        <v>98</v>
      </c>
      <c r="C431" t="str">
        <f>_xlfn.XLOOKUP(Table6[[#This Row],[app_id]],Table5[app_id],Table5[app_name],"",0)</f>
        <v>ActiveMate</v>
      </c>
      <c r="D431" t="str">
        <f>_xlfn.XLOOKUP(Table6[[#This Row],[app_id]],Table5[app_id],Table5[category],"",0)</f>
        <v>Fitness</v>
      </c>
      <c r="E431" t="s">
        <v>533</v>
      </c>
      <c r="F431" t="s">
        <v>538</v>
      </c>
      <c r="G431" t="s">
        <v>61</v>
      </c>
      <c r="H431" t="s">
        <v>535</v>
      </c>
      <c r="I431">
        <v>83</v>
      </c>
      <c r="J431">
        <v>11.4</v>
      </c>
      <c r="K431" t="s">
        <v>257</v>
      </c>
      <c r="L431" t="s">
        <v>257</v>
      </c>
      <c r="M431" t="s">
        <v>258</v>
      </c>
      <c r="N431" s="5">
        <v>0</v>
      </c>
    </row>
    <row r="432" spans="1:14" x14ac:dyDescent="0.25">
      <c r="A432" t="s">
        <v>973</v>
      </c>
      <c r="B432" t="s">
        <v>100</v>
      </c>
      <c r="C432" t="str">
        <f>_xlfn.XLOOKUP(Table6[[#This Row],[app_id]],Table5[app_id],Table5[app_name],"",0)</f>
        <v>RunGo</v>
      </c>
      <c r="D432" t="str">
        <f>_xlfn.XLOOKUP(Table6[[#This Row],[app_id]],Table5[app_id],Table5[category],"",0)</f>
        <v>Fitness</v>
      </c>
      <c r="E432" t="s">
        <v>533</v>
      </c>
      <c r="F432" t="s">
        <v>538</v>
      </c>
      <c r="G432" t="s">
        <v>46</v>
      </c>
      <c r="H432" t="s">
        <v>535</v>
      </c>
      <c r="I432">
        <v>68</v>
      </c>
      <c r="J432">
        <v>12.6</v>
      </c>
      <c r="K432" t="s">
        <v>257</v>
      </c>
      <c r="L432" t="s">
        <v>257</v>
      </c>
      <c r="M432" t="s">
        <v>257</v>
      </c>
      <c r="N432" s="5">
        <v>0</v>
      </c>
    </row>
    <row r="433" spans="1:14" x14ac:dyDescent="0.25">
      <c r="A433" t="s">
        <v>974</v>
      </c>
      <c r="B433" t="s">
        <v>102</v>
      </c>
      <c r="C433" t="str">
        <f>_xlfn.XLOOKUP(Table6[[#This Row],[app_id]],Table5[app_id],Table5[app_name],"",0)</f>
        <v>LiftPro</v>
      </c>
      <c r="D433" t="str">
        <f>_xlfn.XLOOKUP(Table6[[#This Row],[app_id]],Table5[app_id],Table5[category],"",0)</f>
        <v>Fitness</v>
      </c>
      <c r="E433" t="s">
        <v>546</v>
      </c>
      <c r="F433" t="s">
        <v>538</v>
      </c>
      <c r="G433" t="s">
        <v>61</v>
      </c>
      <c r="H433" t="s">
        <v>535</v>
      </c>
      <c r="I433">
        <v>23</v>
      </c>
      <c r="J433">
        <v>41.5</v>
      </c>
      <c r="K433" t="s">
        <v>258</v>
      </c>
      <c r="L433" t="s">
        <v>257</v>
      </c>
      <c r="M433" t="s">
        <v>258</v>
      </c>
      <c r="N433" s="5">
        <v>0</v>
      </c>
    </row>
    <row r="434" spans="1:14" x14ac:dyDescent="0.25">
      <c r="A434" t="s">
        <v>975</v>
      </c>
      <c r="B434" t="s">
        <v>104</v>
      </c>
      <c r="C434" t="str">
        <f>_xlfn.XLOOKUP(Table6[[#This Row],[app_id]],Table5[app_id],Table5[app_name],"",0)</f>
        <v>LiftPro</v>
      </c>
      <c r="D434" t="str">
        <f>_xlfn.XLOOKUP(Table6[[#This Row],[app_id]],Table5[app_id],Table5[category],"",0)</f>
        <v>Fitness</v>
      </c>
      <c r="E434" t="s">
        <v>533</v>
      </c>
      <c r="F434" t="s">
        <v>534</v>
      </c>
      <c r="G434" t="s">
        <v>30</v>
      </c>
      <c r="H434" t="s">
        <v>535</v>
      </c>
      <c r="I434">
        <v>21</v>
      </c>
      <c r="J434">
        <v>19</v>
      </c>
      <c r="K434" t="s">
        <v>257</v>
      </c>
      <c r="L434" t="s">
        <v>258</v>
      </c>
      <c r="M434" t="s">
        <v>257</v>
      </c>
      <c r="N434" s="5">
        <v>0</v>
      </c>
    </row>
    <row r="435" spans="1:14" x14ac:dyDescent="0.25">
      <c r="A435" t="s">
        <v>976</v>
      </c>
      <c r="B435" t="s">
        <v>105</v>
      </c>
      <c r="C435" t="str">
        <f>_xlfn.XLOOKUP(Table6[[#This Row],[app_id]],Table5[app_id],Table5[app_name],"",0)</f>
        <v>Liftly</v>
      </c>
      <c r="D435" t="str">
        <f>_xlfn.XLOOKUP(Table6[[#This Row],[app_id]],Table5[app_id],Table5[category],"",0)</f>
        <v>Fitness</v>
      </c>
      <c r="E435" t="s">
        <v>533</v>
      </c>
      <c r="F435" t="s">
        <v>538</v>
      </c>
      <c r="G435" t="s">
        <v>18</v>
      </c>
      <c r="H435" t="s">
        <v>535</v>
      </c>
      <c r="I435">
        <v>32</v>
      </c>
      <c r="J435">
        <v>32.200000000000003</v>
      </c>
      <c r="K435" t="s">
        <v>257</v>
      </c>
      <c r="L435" t="s">
        <v>257</v>
      </c>
      <c r="M435" t="s">
        <v>258</v>
      </c>
      <c r="N435" s="5">
        <v>0</v>
      </c>
    </row>
    <row r="436" spans="1:14" x14ac:dyDescent="0.25">
      <c r="A436" t="s">
        <v>977</v>
      </c>
      <c r="B436" t="s">
        <v>107</v>
      </c>
      <c r="C436" t="str">
        <f>_xlfn.XLOOKUP(Table6[[#This Row],[app_id]],Table5[app_id],Table5[app_name],"",0)</f>
        <v>YogaHub</v>
      </c>
      <c r="D436" t="str">
        <f>_xlfn.XLOOKUP(Table6[[#This Row],[app_id]],Table5[app_id],Table5[category],"",0)</f>
        <v>Fitness</v>
      </c>
      <c r="E436" t="s">
        <v>537</v>
      </c>
      <c r="F436" t="s">
        <v>538</v>
      </c>
      <c r="G436" t="s">
        <v>46</v>
      </c>
      <c r="H436" t="s">
        <v>535</v>
      </c>
      <c r="I436">
        <v>5</v>
      </c>
      <c r="J436">
        <v>17.100000000000001</v>
      </c>
      <c r="K436" t="s">
        <v>258</v>
      </c>
      <c r="L436" t="s">
        <v>258</v>
      </c>
      <c r="M436" t="s">
        <v>257</v>
      </c>
      <c r="N436" s="5">
        <v>0</v>
      </c>
    </row>
    <row r="437" spans="1:14" x14ac:dyDescent="0.25">
      <c r="A437" t="s">
        <v>978</v>
      </c>
      <c r="B437" t="s">
        <v>109</v>
      </c>
      <c r="C437" t="str">
        <f>_xlfn.XLOOKUP(Table6[[#This Row],[app_id]],Table5[app_id],Table5[app_name],"",0)</f>
        <v>MoveGo</v>
      </c>
      <c r="D437" t="str">
        <f>_xlfn.XLOOKUP(Table6[[#This Row],[app_id]],Table5[app_id],Table5[category],"",0)</f>
        <v>Fitness</v>
      </c>
      <c r="E437" t="s">
        <v>533</v>
      </c>
      <c r="F437" t="s">
        <v>534</v>
      </c>
      <c r="G437" t="s">
        <v>69</v>
      </c>
      <c r="H437" t="s">
        <v>535</v>
      </c>
      <c r="I437">
        <v>20</v>
      </c>
      <c r="J437">
        <v>18.399999999999999</v>
      </c>
      <c r="K437" t="s">
        <v>257</v>
      </c>
      <c r="L437" t="s">
        <v>257</v>
      </c>
      <c r="M437" t="s">
        <v>258</v>
      </c>
      <c r="N437" s="5">
        <v>0</v>
      </c>
    </row>
    <row r="438" spans="1:14" x14ac:dyDescent="0.25">
      <c r="A438" t="s">
        <v>979</v>
      </c>
      <c r="B438" t="s">
        <v>111</v>
      </c>
      <c r="C438" t="str">
        <f>_xlfn.XLOOKUP(Table6[[#This Row],[app_id]],Table5[app_id],Table5[app_name],"",0)</f>
        <v>BrightNow</v>
      </c>
      <c r="D438" t="str">
        <f>_xlfn.XLOOKUP(Table6[[#This Row],[app_id]],Table5[app_id],Table5[category],"",0)</f>
        <v>Education</v>
      </c>
      <c r="E438" t="s">
        <v>557</v>
      </c>
      <c r="F438" t="s">
        <v>538</v>
      </c>
      <c r="G438" t="s">
        <v>23</v>
      </c>
      <c r="H438" t="s">
        <v>535</v>
      </c>
      <c r="I438">
        <v>50</v>
      </c>
      <c r="J438">
        <v>40</v>
      </c>
      <c r="K438" t="s">
        <v>257</v>
      </c>
      <c r="L438" t="s">
        <v>257</v>
      </c>
      <c r="M438" t="s">
        <v>258</v>
      </c>
      <c r="N438" s="5">
        <v>0</v>
      </c>
    </row>
    <row r="439" spans="1:14" x14ac:dyDescent="0.25">
      <c r="A439" t="s">
        <v>980</v>
      </c>
      <c r="B439" t="s">
        <v>114</v>
      </c>
      <c r="C439" t="str">
        <f>_xlfn.XLOOKUP(Table6[[#This Row],[app_id]],Table5[app_id],Table5[app_name],"",0)</f>
        <v>StudyCloud</v>
      </c>
      <c r="D439" t="str">
        <f>_xlfn.XLOOKUP(Table6[[#This Row],[app_id]],Table5[app_id],Table5[category],"",0)</f>
        <v>Education</v>
      </c>
      <c r="E439" t="s">
        <v>533</v>
      </c>
      <c r="F439" t="s">
        <v>538</v>
      </c>
      <c r="G439" t="s">
        <v>61</v>
      </c>
      <c r="H439" t="s">
        <v>535</v>
      </c>
      <c r="I439">
        <v>13</v>
      </c>
      <c r="J439">
        <v>22.5</v>
      </c>
      <c r="K439" t="s">
        <v>258</v>
      </c>
      <c r="L439" t="s">
        <v>257</v>
      </c>
      <c r="M439" t="s">
        <v>258</v>
      </c>
      <c r="N439" s="5">
        <v>0</v>
      </c>
    </row>
    <row r="440" spans="1:14" x14ac:dyDescent="0.25">
      <c r="A440" t="s">
        <v>981</v>
      </c>
      <c r="B440" t="s">
        <v>116</v>
      </c>
      <c r="C440" t="str">
        <f>_xlfn.XLOOKUP(Table6[[#This Row],[app_id]],Table5[app_id],Table5[app_name],"",0)</f>
        <v>SkillNow</v>
      </c>
      <c r="D440" t="str">
        <f>_xlfn.XLOOKUP(Table6[[#This Row],[app_id]],Table5[app_id],Table5[category],"",0)</f>
        <v>Education</v>
      </c>
      <c r="E440" t="s">
        <v>546</v>
      </c>
      <c r="F440" t="s">
        <v>538</v>
      </c>
      <c r="G440" t="s">
        <v>30</v>
      </c>
      <c r="H440" t="s">
        <v>535</v>
      </c>
      <c r="I440">
        <v>8</v>
      </c>
      <c r="J440">
        <v>15.3</v>
      </c>
      <c r="K440" t="s">
        <v>258</v>
      </c>
      <c r="L440" t="s">
        <v>257</v>
      </c>
      <c r="M440" t="s">
        <v>258</v>
      </c>
      <c r="N440" s="5">
        <v>17.34</v>
      </c>
    </row>
    <row r="441" spans="1:14" x14ac:dyDescent="0.25">
      <c r="A441" t="s">
        <v>982</v>
      </c>
      <c r="B441" t="s">
        <v>118</v>
      </c>
      <c r="C441" t="str">
        <f>_xlfn.XLOOKUP(Table6[[#This Row],[app_id]],Table5[app_id],Table5[app_name],"",0)</f>
        <v>LearnMate</v>
      </c>
      <c r="D441" t="str">
        <f>_xlfn.XLOOKUP(Table6[[#This Row],[app_id]],Table5[app_id],Table5[category],"",0)</f>
        <v>Education</v>
      </c>
      <c r="E441" t="s">
        <v>533</v>
      </c>
      <c r="F441" t="s">
        <v>538</v>
      </c>
      <c r="G441" t="s">
        <v>18</v>
      </c>
      <c r="H441" t="s">
        <v>535</v>
      </c>
      <c r="I441">
        <v>17</v>
      </c>
      <c r="J441">
        <v>10.7</v>
      </c>
      <c r="K441" t="s">
        <v>258</v>
      </c>
      <c r="L441" t="s">
        <v>257</v>
      </c>
      <c r="M441" t="s">
        <v>257</v>
      </c>
      <c r="N441" s="5">
        <v>0</v>
      </c>
    </row>
    <row r="442" spans="1:14" x14ac:dyDescent="0.25">
      <c r="A442" t="s">
        <v>983</v>
      </c>
      <c r="B442" t="s">
        <v>120</v>
      </c>
      <c r="C442" t="str">
        <f>_xlfn.XLOOKUP(Table6[[#This Row],[app_id]],Table5[app_id],Table5[app_name],"",0)</f>
        <v>QuestNow</v>
      </c>
      <c r="D442" t="str">
        <f>_xlfn.XLOOKUP(Table6[[#This Row],[app_id]],Table5[app_id],Table5[category],"",0)</f>
        <v>Education</v>
      </c>
      <c r="E442" t="s">
        <v>546</v>
      </c>
      <c r="F442" t="s">
        <v>534</v>
      </c>
      <c r="G442" t="s">
        <v>35</v>
      </c>
      <c r="H442" t="s">
        <v>535</v>
      </c>
      <c r="I442">
        <v>13</v>
      </c>
      <c r="J442">
        <v>28.1</v>
      </c>
      <c r="K442" t="s">
        <v>258</v>
      </c>
      <c r="L442" t="s">
        <v>257</v>
      </c>
      <c r="M442" t="s">
        <v>258</v>
      </c>
      <c r="N442" s="5">
        <v>0</v>
      </c>
    </row>
    <row r="443" spans="1:14" x14ac:dyDescent="0.25">
      <c r="A443" t="s">
        <v>984</v>
      </c>
      <c r="B443" t="s">
        <v>122</v>
      </c>
      <c r="C443" t="str">
        <f>_xlfn.XLOOKUP(Table6[[#This Row],[app_id]],Table5[app_id],Table5[app_name],"",0)</f>
        <v>SkillHub</v>
      </c>
      <c r="D443" t="str">
        <f>_xlfn.XLOOKUP(Table6[[#This Row],[app_id]],Table5[app_id],Table5[category],"",0)</f>
        <v>Education</v>
      </c>
      <c r="E443" t="s">
        <v>533</v>
      </c>
      <c r="F443" t="s">
        <v>534</v>
      </c>
      <c r="G443" t="s">
        <v>23</v>
      </c>
      <c r="H443" t="s">
        <v>535</v>
      </c>
      <c r="I443">
        <v>81</v>
      </c>
      <c r="J443">
        <v>26.1</v>
      </c>
      <c r="K443" t="s">
        <v>257</v>
      </c>
      <c r="L443" t="s">
        <v>257</v>
      </c>
      <c r="M443" t="s">
        <v>258</v>
      </c>
      <c r="N443" s="5">
        <v>0</v>
      </c>
    </row>
    <row r="444" spans="1:14" x14ac:dyDescent="0.25">
      <c r="A444" t="s">
        <v>985</v>
      </c>
      <c r="B444" t="s">
        <v>124</v>
      </c>
      <c r="C444" t="str">
        <f>_xlfn.XLOOKUP(Table6[[#This Row],[app_id]],Table5[app_id],Table5[app_name],"",0)</f>
        <v>TutorCloud</v>
      </c>
      <c r="D444" t="str">
        <f>_xlfn.XLOOKUP(Table6[[#This Row],[app_id]],Table5[app_id],Table5[category],"",0)</f>
        <v>Education</v>
      </c>
      <c r="E444" t="s">
        <v>537</v>
      </c>
      <c r="F444" t="s">
        <v>538</v>
      </c>
      <c r="G444" t="s">
        <v>46</v>
      </c>
      <c r="H444" t="s">
        <v>535</v>
      </c>
      <c r="I444">
        <v>39</v>
      </c>
      <c r="J444">
        <v>17.899999999999999</v>
      </c>
      <c r="K444" t="s">
        <v>257</v>
      </c>
      <c r="L444" t="s">
        <v>257</v>
      </c>
      <c r="M444" t="s">
        <v>258</v>
      </c>
      <c r="N444" s="5">
        <v>0</v>
      </c>
    </row>
    <row r="445" spans="1:14" x14ac:dyDescent="0.25">
      <c r="A445" t="s">
        <v>986</v>
      </c>
      <c r="B445" t="s">
        <v>126</v>
      </c>
      <c r="C445" t="str">
        <f>_xlfn.XLOOKUP(Table6[[#This Row],[app_id]],Table5[app_id],Table5[app_name],"",0)</f>
        <v>SkillOne</v>
      </c>
      <c r="D445" t="str">
        <f>_xlfn.XLOOKUP(Table6[[#This Row],[app_id]],Table5[app_id],Table5[category],"",0)</f>
        <v>Education</v>
      </c>
      <c r="E445" t="s">
        <v>537</v>
      </c>
      <c r="F445" t="s">
        <v>534</v>
      </c>
      <c r="G445" t="s">
        <v>30</v>
      </c>
      <c r="H445" t="s">
        <v>535</v>
      </c>
      <c r="I445">
        <v>1</v>
      </c>
      <c r="J445">
        <v>28.3</v>
      </c>
      <c r="K445" t="s">
        <v>258</v>
      </c>
      <c r="L445" t="s">
        <v>257</v>
      </c>
      <c r="M445" t="s">
        <v>257</v>
      </c>
      <c r="N445" s="5">
        <v>0</v>
      </c>
    </row>
    <row r="446" spans="1:14" x14ac:dyDescent="0.25">
      <c r="A446" t="s">
        <v>987</v>
      </c>
      <c r="B446" t="s">
        <v>128</v>
      </c>
      <c r="C446" t="str">
        <f>_xlfn.XLOOKUP(Table6[[#This Row],[app_id]],Table5[app_id],Table5[app_name],"",0)</f>
        <v>LearnOne</v>
      </c>
      <c r="D446" t="str">
        <f>_xlfn.XLOOKUP(Table6[[#This Row],[app_id]],Table5[app_id],Table5[category],"",0)</f>
        <v>Education</v>
      </c>
      <c r="E446" t="s">
        <v>546</v>
      </c>
      <c r="F446" t="s">
        <v>538</v>
      </c>
      <c r="G446" t="s">
        <v>46</v>
      </c>
      <c r="H446" t="s">
        <v>535</v>
      </c>
      <c r="I446">
        <v>54</v>
      </c>
      <c r="J446">
        <v>18.899999999999999</v>
      </c>
      <c r="K446" t="s">
        <v>257</v>
      </c>
      <c r="L446" t="s">
        <v>258</v>
      </c>
      <c r="M446" t="s">
        <v>258</v>
      </c>
      <c r="N446" s="5">
        <v>0</v>
      </c>
    </row>
    <row r="447" spans="1:14" x14ac:dyDescent="0.25">
      <c r="A447" t="s">
        <v>988</v>
      </c>
      <c r="B447" t="s">
        <v>130</v>
      </c>
      <c r="C447" t="str">
        <f>_xlfn.XLOOKUP(Table6[[#This Row],[app_id]],Table5[app_id],Table5[app_name],"",0)</f>
        <v>LearnPlus</v>
      </c>
      <c r="D447" t="str">
        <f>_xlfn.XLOOKUP(Table6[[#This Row],[app_id]],Table5[app_id],Table5[category],"",0)</f>
        <v>Education</v>
      </c>
      <c r="E447" t="s">
        <v>537</v>
      </c>
      <c r="F447" t="s">
        <v>534</v>
      </c>
      <c r="G447" t="s">
        <v>69</v>
      </c>
      <c r="H447" t="s">
        <v>535</v>
      </c>
      <c r="I447">
        <v>59</v>
      </c>
      <c r="J447">
        <v>32.200000000000003</v>
      </c>
      <c r="K447" t="s">
        <v>257</v>
      </c>
      <c r="L447" t="s">
        <v>258</v>
      </c>
      <c r="M447" t="s">
        <v>257</v>
      </c>
      <c r="N447" s="5">
        <v>49.42</v>
      </c>
    </row>
    <row r="448" spans="1:14" x14ac:dyDescent="0.25">
      <c r="A448" t="s">
        <v>989</v>
      </c>
      <c r="B448" t="s">
        <v>132</v>
      </c>
      <c r="C448" t="str">
        <f>_xlfn.XLOOKUP(Table6[[#This Row],[app_id]],Table5[app_id],Table5[app_name],"",0)</f>
        <v>StudyPlus</v>
      </c>
      <c r="D448" t="str">
        <f>_xlfn.XLOOKUP(Table6[[#This Row],[app_id]],Table5[app_id],Table5[category],"",0)</f>
        <v>Education</v>
      </c>
      <c r="E448" t="s">
        <v>557</v>
      </c>
      <c r="F448" t="s">
        <v>538</v>
      </c>
      <c r="G448" t="s">
        <v>35</v>
      </c>
      <c r="H448" t="s">
        <v>535</v>
      </c>
      <c r="I448">
        <v>6</v>
      </c>
      <c r="J448">
        <v>23.9</v>
      </c>
      <c r="K448" t="s">
        <v>258</v>
      </c>
      <c r="L448" t="s">
        <v>257</v>
      </c>
      <c r="M448" t="s">
        <v>258</v>
      </c>
      <c r="N448" s="5">
        <v>0</v>
      </c>
    </row>
    <row r="449" spans="1:14" x14ac:dyDescent="0.25">
      <c r="A449" t="s">
        <v>990</v>
      </c>
      <c r="B449" t="s">
        <v>134</v>
      </c>
      <c r="C449" t="str">
        <f>_xlfn.XLOOKUP(Table6[[#This Row],[app_id]],Table5[app_id],Table5[app_name],"",0)</f>
        <v>StudyX</v>
      </c>
      <c r="D449" t="str">
        <f>_xlfn.XLOOKUP(Table6[[#This Row],[app_id]],Table5[app_id],Table5[category],"",0)</f>
        <v>Education</v>
      </c>
      <c r="E449" t="s">
        <v>557</v>
      </c>
      <c r="F449" t="s">
        <v>538</v>
      </c>
      <c r="G449" t="s">
        <v>46</v>
      </c>
      <c r="H449" t="s">
        <v>540</v>
      </c>
      <c r="I449">
        <v>23</v>
      </c>
      <c r="J449">
        <v>8.4</v>
      </c>
      <c r="K449" t="s">
        <v>258</v>
      </c>
      <c r="L449" t="s">
        <v>258</v>
      </c>
      <c r="M449" t="s">
        <v>258</v>
      </c>
      <c r="N449" s="5">
        <v>0</v>
      </c>
    </row>
    <row r="450" spans="1:14" x14ac:dyDescent="0.25">
      <c r="A450" t="s">
        <v>991</v>
      </c>
      <c r="B450" t="s">
        <v>136</v>
      </c>
      <c r="C450" t="str">
        <f>_xlfn.XLOOKUP(Table6[[#This Row],[app_id]],Table5[app_id],Table5[app_name],"",0)</f>
        <v>PlayPlus</v>
      </c>
      <c r="D450" t="str">
        <f>_xlfn.XLOOKUP(Table6[[#This Row],[app_id]],Table5[app_id],Table5[category],"",0)</f>
        <v>Entertainment</v>
      </c>
      <c r="E450" t="s">
        <v>546</v>
      </c>
      <c r="F450" t="s">
        <v>534</v>
      </c>
      <c r="G450" t="s">
        <v>30</v>
      </c>
      <c r="H450" t="s">
        <v>535</v>
      </c>
      <c r="I450">
        <v>23</v>
      </c>
      <c r="J450">
        <v>10.7</v>
      </c>
      <c r="K450" t="s">
        <v>258</v>
      </c>
      <c r="L450" t="s">
        <v>257</v>
      </c>
      <c r="M450" t="s">
        <v>258</v>
      </c>
      <c r="N450" s="5">
        <v>0</v>
      </c>
    </row>
    <row r="451" spans="1:14" x14ac:dyDescent="0.25">
      <c r="A451" t="s">
        <v>992</v>
      </c>
      <c r="B451" t="s">
        <v>139</v>
      </c>
      <c r="C451" t="str">
        <f>_xlfn.XLOOKUP(Table6[[#This Row],[app_id]],Table5[app_id],Table5[app_name],"",0)</f>
        <v>ShowMate</v>
      </c>
      <c r="D451" t="str">
        <f>_xlfn.XLOOKUP(Table6[[#This Row],[app_id]],Table5[app_id],Table5[category],"",0)</f>
        <v>Entertainment</v>
      </c>
      <c r="E451" t="s">
        <v>533</v>
      </c>
      <c r="F451" t="s">
        <v>538</v>
      </c>
      <c r="G451" t="s">
        <v>18</v>
      </c>
      <c r="H451" t="s">
        <v>535</v>
      </c>
      <c r="I451">
        <v>3</v>
      </c>
      <c r="J451">
        <v>37.6</v>
      </c>
      <c r="K451" t="s">
        <v>258</v>
      </c>
      <c r="L451" t="s">
        <v>257</v>
      </c>
      <c r="M451" t="s">
        <v>258</v>
      </c>
      <c r="N451" s="5">
        <v>0</v>
      </c>
    </row>
    <row r="452" spans="1:14" x14ac:dyDescent="0.25">
      <c r="A452" t="s">
        <v>993</v>
      </c>
      <c r="B452" t="s">
        <v>141</v>
      </c>
      <c r="C452" t="str">
        <f>_xlfn.XLOOKUP(Table6[[#This Row],[app_id]],Table5[app_id],Table5[app_name],"",0)</f>
        <v>VibeX</v>
      </c>
      <c r="D452" t="str">
        <f>_xlfn.XLOOKUP(Table6[[#This Row],[app_id]],Table5[app_id],Table5[category],"",0)</f>
        <v>Entertainment</v>
      </c>
      <c r="E452" t="s">
        <v>552</v>
      </c>
      <c r="F452" t="s">
        <v>538</v>
      </c>
      <c r="G452" t="s">
        <v>18</v>
      </c>
      <c r="H452" t="s">
        <v>535</v>
      </c>
      <c r="I452">
        <v>15</v>
      </c>
      <c r="J452">
        <v>14</v>
      </c>
      <c r="K452" t="s">
        <v>257</v>
      </c>
      <c r="L452" t="s">
        <v>257</v>
      </c>
      <c r="M452" t="s">
        <v>258</v>
      </c>
      <c r="N452" s="5">
        <v>0</v>
      </c>
    </row>
    <row r="453" spans="1:14" x14ac:dyDescent="0.25">
      <c r="A453" t="s">
        <v>994</v>
      </c>
      <c r="B453" t="s">
        <v>143</v>
      </c>
      <c r="C453" t="str">
        <f>_xlfn.XLOOKUP(Table6[[#This Row],[app_id]],Table5[app_id],Table5[app_name],"",0)</f>
        <v>BuzzNow</v>
      </c>
      <c r="D453" t="str">
        <f>_xlfn.XLOOKUP(Table6[[#This Row],[app_id]],Table5[app_id],Table5[category],"",0)</f>
        <v>Entertainment</v>
      </c>
      <c r="E453" t="s">
        <v>546</v>
      </c>
      <c r="F453" t="s">
        <v>534</v>
      </c>
      <c r="G453" t="s">
        <v>46</v>
      </c>
      <c r="H453" t="s">
        <v>535</v>
      </c>
      <c r="I453">
        <v>78</v>
      </c>
      <c r="J453">
        <v>13.9</v>
      </c>
      <c r="K453" t="s">
        <v>257</v>
      </c>
      <c r="L453" t="s">
        <v>258</v>
      </c>
      <c r="M453" t="s">
        <v>257</v>
      </c>
      <c r="N453" s="5">
        <v>0</v>
      </c>
    </row>
    <row r="454" spans="1:14" x14ac:dyDescent="0.25">
      <c r="A454" t="s">
        <v>995</v>
      </c>
      <c r="B454" t="s">
        <v>145</v>
      </c>
      <c r="C454" t="str">
        <f>_xlfn.XLOOKUP(Table6[[#This Row],[app_id]],Table5[app_id],Table5[app_name],"",0)</f>
        <v>StreamPlus</v>
      </c>
      <c r="D454" t="str">
        <f>_xlfn.XLOOKUP(Table6[[#This Row],[app_id]],Table5[app_id],Table5[category],"",0)</f>
        <v>Entertainment</v>
      </c>
      <c r="E454" t="s">
        <v>546</v>
      </c>
      <c r="F454" t="s">
        <v>534</v>
      </c>
      <c r="G454" t="s">
        <v>26</v>
      </c>
      <c r="H454" t="s">
        <v>535</v>
      </c>
      <c r="I454">
        <v>26</v>
      </c>
      <c r="J454">
        <v>11.9</v>
      </c>
      <c r="K454" t="s">
        <v>258</v>
      </c>
      <c r="L454" t="s">
        <v>257</v>
      </c>
      <c r="M454" t="s">
        <v>258</v>
      </c>
      <c r="N454" s="5">
        <v>30.52</v>
      </c>
    </row>
    <row r="455" spans="1:14" x14ac:dyDescent="0.25">
      <c r="A455" t="s">
        <v>996</v>
      </c>
      <c r="B455" t="s">
        <v>147</v>
      </c>
      <c r="C455" t="str">
        <f>_xlfn.XLOOKUP(Table6[[#This Row],[app_id]],Table5[app_id],Table5[app_name],"",0)</f>
        <v>Showly</v>
      </c>
      <c r="D455" t="str">
        <f>_xlfn.XLOOKUP(Table6[[#This Row],[app_id]],Table5[app_id],Table5[category],"",0)</f>
        <v>Entertainment</v>
      </c>
      <c r="E455" t="s">
        <v>546</v>
      </c>
      <c r="F455" t="s">
        <v>538</v>
      </c>
      <c r="G455" t="s">
        <v>61</v>
      </c>
      <c r="H455" t="s">
        <v>535</v>
      </c>
      <c r="I455">
        <v>31</v>
      </c>
      <c r="J455">
        <v>37.9</v>
      </c>
      <c r="K455" t="s">
        <v>257</v>
      </c>
      <c r="L455" t="s">
        <v>258</v>
      </c>
      <c r="M455" t="s">
        <v>257</v>
      </c>
      <c r="N455" s="5">
        <v>35.83</v>
      </c>
    </row>
    <row r="456" spans="1:14" x14ac:dyDescent="0.25">
      <c r="A456" t="s">
        <v>997</v>
      </c>
      <c r="B456" t="s">
        <v>149</v>
      </c>
      <c r="C456" t="str">
        <f>_xlfn.XLOOKUP(Table6[[#This Row],[app_id]],Table5[app_id],Table5[app_name],"",0)</f>
        <v>BuzzOne</v>
      </c>
      <c r="D456" t="str">
        <f>_xlfn.XLOOKUP(Table6[[#This Row],[app_id]],Table5[app_id],Table5[category],"",0)</f>
        <v>Entertainment</v>
      </c>
      <c r="E456" t="s">
        <v>533</v>
      </c>
      <c r="F456" t="s">
        <v>534</v>
      </c>
      <c r="G456" t="s">
        <v>46</v>
      </c>
      <c r="H456" t="s">
        <v>535</v>
      </c>
      <c r="I456">
        <v>15</v>
      </c>
      <c r="J456">
        <v>25.9</v>
      </c>
      <c r="K456" t="s">
        <v>258</v>
      </c>
      <c r="L456" t="s">
        <v>257</v>
      </c>
      <c r="M456" t="s">
        <v>258</v>
      </c>
      <c r="N456" s="5">
        <v>0</v>
      </c>
    </row>
    <row r="457" spans="1:14" x14ac:dyDescent="0.25">
      <c r="A457" t="s">
        <v>998</v>
      </c>
      <c r="B457" t="s">
        <v>151</v>
      </c>
      <c r="C457" t="str">
        <f>_xlfn.XLOOKUP(Table6[[#This Row],[app_id]],Table5[app_id],Table5[app_name],"",0)</f>
        <v>PlayHub</v>
      </c>
      <c r="D457" t="str">
        <f>_xlfn.XLOOKUP(Table6[[#This Row],[app_id]],Table5[app_id],Table5[category],"",0)</f>
        <v>Entertainment</v>
      </c>
      <c r="E457" t="s">
        <v>546</v>
      </c>
      <c r="F457" t="s">
        <v>534</v>
      </c>
      <c r="G457" t="s">
        <v>30</v>
      </c>
      <c r="H457" t="s">
        <v>535</v>
      </c>
      <c r="I457">
        <v>2</v>
      </c>
      <c r="J457">
        <v>38</v>
      </c>
      <c r="K457" t="s">
        <v>258</v>
      </c>
      <c r="L457" t="s">
        <v>258</v>
      </c>
      <c r="M457" t="s">
        <v>258</v>
      </c>
      <c r="N457" s="5">
        <v>9.07</v>
      </c>
    </row>
    <row r="458" spans="1:14" x14ac:dyDescent="0.25">
      <c r="A458" t="s">
        <v>999</v>
      </c>
      <c r="B458" t="s">
        <v>153</v>
      </c>
      <c r="C458" t="str">
        <f>_xlfn.XLOOKUP(Table6[[#This Row],[app_id]],Table5[app_id],Table5[app_name],"",0)</f>
        <v>CinemaGo</v>
      </c>
      <c r="D458" t="str">
        <f>_xlfn.XLOOKUP(Table6[[#This Row],[app_id]],Table5[app_id],Table5[category],"",0)</f>
        <v>Entertainment</v>
      </c>
      <c r="E458" t="s">
        <v>533</v>
      </c>
      <c r="F458" t="s">
        <v>548</v>
      </c>
      <c r="G458" t="s">
        <v>69</v>
      </c>
      <c r="H458" t="s">
        <v>535</v>
      </c>
      <c r="I458">
        <v>92</v>
      </c>
      <c r="J458">
        <v>23.7</v>
      </c>
      <c r="K458" t="s">
        <v>257</v>
      </c>
      <c r="L458" t="s">
        <v>257</v>
      </c>
      <c r="M458" t="s">
        <v>258</v>
      </c>
      <c r="N458" s="5">
        <v>21.27</v>
      </c>
    </row>
    <row r="459" spans="1:14" x14ac:dyDescent="0.25">
      <c r="A459" t="s">
        <v>1000</v>
      </c>
      <c r="B459" t="s">
        <v>155</v>
      </c>
      <c r="C459" t="str">
        <f>_xlfn.XLOOKUP(Table6[[#This Row],[app_id]],Table5[app_id],Table5[app_name],"",0)</f>
        <v>LaughX</v>
      </c>
      <c r="D459" t="str">
        <f>_xlfn.XLOOKUP(Table6[[#This Row],[app_id]],Table5[app_id],Table5[category],"",0)</f>
        <v>Entertainment</v>
      </c>
      <c r="E459" t="s">
        <v>533</v>
      </c>
      <c r="F459" t="s">
        <v>538</v>
      </c>
      <c r="G459" t="s">
        <v>23</v>
      </c>
      <c r="H459" t="s">
        <v>535</v>
      </c>
      <c r="I459">
        <v>64</v>
      </c>
      <c r="J459">
        <v>8.3000000000000007</v>
      </c>
      <c r="K459" t="s">
        <v>257</v>
      </c>
      <c r="L459" t="s">
        <v>257</v>
      </c>
      <c r="M459" t="s">
        <v>258</v>
      </c>
      <c r="N459" s="5">
        <v>0</v>
      </c>
    </row>
    <row r="460" spans="1:14" x14ac:dyDescent="0.25">
      <c r="A460" t="s">
        <v>1001</v>
      </c>
      <c r="B460" t="s">
        <v>157</v>
      </c>
      <c r="C460" t="str">
        <f>_xlfn.XLOOKUP(Table6[[#This Row],[app_id]],Table5[app_id],Table5[app_name],"",0)</f>
        <v>CinemaHub</v>
      </c>
      <c r="D460" t="str">
        <f>_xlfn.XLOOKUP(Table6[[#This Row],[app_id]],Table5[app_id],Table5[category],"",0)</f>
        <v>Entertainment</v>
      </c>
      <c r="E460" t="s">
        <v>533</v>
      </c>
      <c r="F460" t="s">
        <v>534</v>
      </c>
      <c r="G460" t="s">
        <v>46</v>
      </c>
      <c r="H460" t="s">
        <v>535</v>
      </c>
      <c r="I460">
        <v>16</v>
      </c>
      <c r="J460">
        <v>9.5</v>
      </c>
      <c r="K460" t="s">
        <v>257</v>
      </c>
      <c r="L460" t="s">
        <v>257</v>
      </c>
      <c r="M460" t="s">
        <v>258</v>
      </c>
      <c r="N460" s="5">
        <v>0</v>
      </c>
    </row>
    <row r="461" spans="1:14" x14ac:dyDescent="0.25">
      <c r="A461" t="s">
        <v>1002</v>
      </c>
      <c r="B461" t="s">
        <v>159</v>
      </c>
      <c r="C461" t="str">
        <f>_xlfn.XLOOKUP(Table6[[#This Row],[app_id]],Table5[app_id],Table5[app_name],"",0)</f>
        <v>ShowPro</v>
      </c>
      <c r="D461" t="str">
        <f>_xlfn.XLOOKUP(Table6[[#This Row],[app_id]],Table5[app_id],Table5[category],"",0)</f>
        <v>Entertainment</v>
      </c>
      <c r="E461" t="s">
        <v>537</v>
      </c>
      <c r="F461" t="s">
        <v>534</v>
      </c>
      <c r="G461" t="s">
        <v>46</v>
      </c>
      <c r="H461" t="s">
        <v>535</v>
      </c>
      <c r="I461">
        <v>20</v>
      </c>
      <c r="J461">
        <v>12.4</v>
      </c>
      <c r="K461" t="s">
        <v>257</v>
      </c>
      <c r="L461" t="s">
        <v>257</v>
      </c>
      <c r="M461" t="s">
        <v>258</v>
      </c>
      <c r="N461" s="5">
        <v>0</v>
      </c>
    </row>
    <row r="462" spans="1:14" x14ac:dyDescent="0.25">
      <c r="A462" t="s">
        <v>1003</v>
      </c>
      <c r="B462" t="s">
        <v>161</v>
      </c>
      <c r="C462" t="str">
        <f>_xlfn.XLOOKUP(Table6[[#This Row],[app_id]],Table5[app_id],Table5[app_name],"",0)</f>
        <v>FoodPlus</v>
      </c>
      <c r="D462" t="str">
        <f>_xlfn.XLOOKUP(Table6[[#This Row],[app_id]],Table5[app_id],Table5[category],"",0)</f>
        <v>Food Delivery</v>
      </c>
      <c r="E462" t="s">
        <v>533</v>
      </c>
      <c r="F462" t="s">
        <v>534</v>
      </c>
      <c r="G462" t="s">
        <v>46</v>
      </c>
      <c r="H462" t="s">
        <v>535</v>
      </c>
      <c r="I462">
        <v>79</v>
      </c>
      <c r="J462">
        <v>14.7</v>
      </c>
      <c r="K462" t="s">
        <v>257</v>
      </c>
      <c r="L462" t="s">
        <v>257</v>
      </c>
      <c r="M462" t="s">
        <v>258</v>
      </c>
      <c r="N462" s="5">
        <v>0</v>
      </c>
    </row>
    <row r="463" spans="1:14" x14ac:dyDescent="0.25">
      <c r="A463" t="s">
        <v>1004</v>
      </c>
      <c r="B463" t="s">
        <v>164</v>
      </c>
      <c r="C463" t="str">
        <f>_xlfn.XLOOKUP(Table6[[#This Row],[app_id]],Table5[app_id],Table5[app_name],"",0)</f>
        <v>BiteGo</v>
      </c>
      <c r="D463" t="str">
        <f>_xlfn.XLOOKUP(Table6[[#This Row],[app_id]],Table5[app_id],Table5[category],"",0)</f>
        <v>Food Delivery</v>
      </c>
      <c r="E463" t="s">
        <v>533</v>
      </c>
      <c r="F463" t="s">
        <v>538</v>
      </c>
      <c r="G463" t="s">
        <v>26</v>
      </c>
      <c r="H463" t="s">
        <v>535</v>
      </c>
      <c r="I463">
        <v>36</v>
      </c>
      <c r="J463">
        <v>17.899999999999999</v>
      </c>
      <c r="K463" t="s">
        <v>257</v>
      </c>
      <c r="L463" t="s">
        <v>257</v>
      </c>
      <c r="M463" t="s">
        <v>258</v>
      </c>
      <c r="N463" s="5">
        <v>0</v>
      </c>
    </row>
    <row r="464" spans="1:14" x14ac:dyDescent="0.25">
      <c r="A464" t="s">
        <v>1005</v>
      </c>
      <c r="B464" t="s">
        <v>166</v>
      </c>
      <c r="C464" t="str">
        <f>_xlfn.XLOOKUP(Table6[[#This Row],[app_id]],Table5[app_id],Table5[app_name],"",0)</f>
        <v>OrderCloud</v>
      </c>
      <c r="D464" t="str">
        <f>_xlfn.XLOOKUP(Table6[[#This Row],[app_id]],Table5[app_id],Table5[category],"",0)</f>
        <v>Food Delivery</v>
      </c>
      <c r="E464" t="s">
        <v>533</v>
      </c>
      <c r="F464" t="s">
        <v>534</v>
      </c>
      <c r="G464" t="s">
        <v>18</v>
      </c>
      <c r="H464" t="s">
        <v>535</v>
      </c>
      <c r="I464">
        <v>49</v>
      </c>
      <c r="J464">
        <v>22.4</v>
      </c>
      <c r="K464" t="s">
        <v>257</v>
      </c>
      <c r="L464" t="s">
        <v>258</v>
      </c>
      <c r="M464" t="s">
        <v>257</v>
      </c>
      <c r="N464" s="5">
        <v>0</v>
      </c>
    </row>
    <row r="465" spans="1:14" x14ac:dyDescent="0.25">
      <c r="A465" t="s">
        <v>1006</v>
      </c>
      <c r="B465" t="s">
        <v>168</v>
      </c>
      <c r="C465" t="str">
        <f>_xlfn.XLOOKUP(Table6[[#This Row],[app_id]],Table5[app_id],Table5[app_name],"",0)</f>
        <v>DinePlus</v>
      </c>
      <c r="D465" t="str">
        <f>_xlfn.XLOOKUP(Table6[[#This Row],[app_id]],Table5[app_id],Table5[category],"",0)</f>
        <v>Food Delivery</v>
      </c>
      <c r="E465" t="s">
        <v>533</v>
      </c>
      <c r="F465" t="s">
        <v>538</v>
      </c>
      <c r="G465" t="s">
        <v>61</v>
      </c>
      <c r="H465" t="s">
        <v>540</v>
      </c>
      <c r="I465">
        <v>40</v>
      </c>
      <c r="J465">
        <v>11</v>
      </c>
      <c r="K465" t="s">
        <v>257</v>
      </c>
      <c r="L465" t="s">
        <v>258</v>
      </c>
      <c r="M465" t="s">
        <v>258</v>
      </c>
      <c r="N465" s="5">
        <v>0</v>
      </c>
    </row>
    <row r="466" spans="1:14" x14ac:dyDescent="0.25">
      <c r="A466" t="s">
        <v>1007</v>
      </c>
      <c r="B466" t="s">
        <v>170</v>
      </c>
      <c r="C466" t="str">
        <f>_xlfn.XLOOKUP(Table6[[#This Row],[app_id]],Table5[app_id],Table5[app_name],"",0)</f>
        <v>SnackX</v>
      </c>
      <c r="D466" t="str">
        <f>_xlfn.XLOOKUP(Table6[[#This Row],[app_id]],Table5[app_id],Table5[category],"",0)</f>
        <v>Food Delivery</v>
      </c>
      <c r="E466" t="s">
        <v>552</v>
      </c>
      <c r="F466" t="s">
        <v>538</v>
      </c>
      <c r="G466" t="s">
        <v>61</v>
      </c>
      <c r="H466" t="s">
        <v>535</v>
      </c>
      <c r="I466">
        <v>39</v>
      </c>
      <c r="J466">
        <v>10</v>
      </c>
      <c r="K466" t="s">
        <v>257</v>
      </c>
      <c r="L466" t="s">
        <v>257</v>
      </c>
      <c r="M466" t="s">
        <v>258</v>
      </c>
      <c r="N466" s="5">
        <v>0</v>
      </c>
    </row>
    <row r="467" spans="1:14" x14ac:dyDescent="0.25">
      <c r="A467" t="s">
        <v>1008</v>
      </c>
      <c r="B467" t="s">
        <v>172</v>
      </c>
      <c r="C467" t="str">
        <f>_xlfn.XLOOKUP(Table6[[#This Row],[app_id]],Table5[app_id],Table5[app_name],"",0)</f>
        <v>FoodOne</v>
      </c>
      <c r="D467" t="str">
        <f>_xlfn.XLOOKUP(Table6[[#This Row],[app_id]],Table5[app_id],Table5[category],"",0)</f>
        <v>Food Delivery</v>
      </c>
      <c r="E467" t="s">
        <v>546</v>
      </c>
      <c r="F467" t="s">
        <v>538</v>
      </c>
      <c r="G467" t="s">
        <v>23</v>
      </c>
      <c r="H467" t="s">
        <v>535</v>
      </c>
      <c r="I467">
        <v>17</v>
      </c>
      <c r="J467">
        <v>17.100000000000001</v>
      </c>
      <c r="K467" t="s">
        <v>258</v>
      </c>
      <c r="L467" t="s">
        <v>258</v>
      </c>
      <c r="M467" t="s">
        <v>258</v>
      </c>
      <c r="N467" s="5">
        <v>0</v>
      </c>
    </row>
    <row r="468" spans="1:14" x14ac:dyDescent="0.25">
      <c r="A468" t="s">
        <v>1009</v>
      </c>
      <c r="B468" t="s">
        <v>174</v>
      </c>
      <c r="C468" t="str">
        <f>_xlfn.XLOOKUP(Table6[[#This Row],[app_id]],Table5[app_id],Table5[app_name],"",0)</f>
        <v>MealMate</v>
      </c>
      <c r="D468" t="str">
        <f>_xlfn.XLOOKUP(Table6[[#This Row],[app_id]],Table5[app_id],Table5[category],"",0)</f>
        <v>Food Delivery</v>
      </c>
      <c r="E468" t="s">
        <v>533</v>
      </c>
      <c r="F468" t="s">
        <v>538</v>
      </c>
      <c r="G468" t="s">
        <v>30</v>
      </c>
      <c r="H468" t="s">
        <v>535</v>
      </c>
      <c r="I468">
        <v>21</v>
      </c>
      <c r="J468">
        <v>14</v>
      </c>
      <c r="K468" t="s">
        <v>258</v>
      </c>
      <c r="L468" t="s">
        <v>258</v>
      </c>
      <c r="M468" t="s">
        <v>258</v>
      </c>
      <c r="N468" s="5">
        <v>0</v>
      </c>
    </row>
    <row r="469" spans="1:14" x14ac:dyDescent="0.25">
      <c r="A469" t="s">
        <v>1010</v>
      </c>
      <c r="B469" t="s">
        <v>176</v>
      </c>
      <c r="C469" t="str">
        <f>_xlfn.XLOOKUP(Table6[[#This Row],[app_id]],Table5[app_id],Table5[app_name],"",0)</f>
        <v>SnackHub</v>
      </c>
      <c r="D469" t="str">
        <f>_xlfn.XLOOKUP(Table6[[#This Row],[app_id]],Table5[app_id],Table5[category],"",0)</f>
        <v>Food Delivery</v>
      </c>
      <c r="E469" t="s">
        <v>546</v>
      </c>
      <c r="F469" t="s">
        <v>534</v>
      </c>
      <c r="G469" t="s">
        <v>18</v>
      </c>
      <c r="H469" t="s">
        <v>535</v>
      </c>
      <c r="I469">
        <v>15</v>
      </c>
      <c r="J469">
        <v>9.9</v>
      </c>
      <c r="K469" t="s">
        <v>258</v>
      </c>
      <c r="L469" t="s">
        <v>258</v>
      </c>
      <c r="M469" t="s">
        <v>258</v>
      </c>
      <c r="N469" s="5">
        <v>0</v>
      </c>
    </row>
    <row r="470" spans="1:14" x14ac:dyDescent="0.25">
      <c r="A470" t="s">
        <v>1011</v>
      </c>
      <c r="B470" t="s">
        <v>178</v>
      </c>
      <c r="C470" t="str">
        <f>_xlfn.XLOOKUP(Table6[[#This Row],[app_id]],Table5[app_id],Table5[app_name],"",0)</f>
        <v>BiteCloud</v>
      </c>
      <c r="D470" t="str">
        <f>_xlfn.XLOOKUP(Table6[[#This Row],[app_id]],Table5[app_id],Table5[category],"",0)</f>
        <v>Food Delivery</v>
      </c>
      <c r="E470" t="s">
        <v>552</v>
      </c>
      <c r="F470" t="s">
        <v>538</v>
      </c>
      <c r="G470" t="s">
        <v>26</v>
      </c>
      <c r="H470" t="s">
        <v>535</v>
      </c>
      <c r="I470">
        <v>63</v>
      </c>
      <c r="J470">
        <v>17.8</v>
      </c>
      <c r="K470" t="s">
        <v>257</v>
      </c>
      <c r="L470" t="s">
        <v>257</v>
      </c>
      <c r="M470" t="s">
        <v>258</v>
      </c>
      <c r="N470" s="5">
        <v>20.32</v>
      </c>
    </row>
    <row r="471" spans="1:14" x14ac:dyDescent="0.25">
      <c r="A471" t="s">
        <v>1012</v>
      </c>
      <c r="B471" t="s">
        <v>180</v>
      </c>
      <c r="C471" t="str">
        <f>_xlfn.XLOOKUP(Table6[[#This Row],[app_id]],Table5[app_id],Table5[app_name],"",0)</f>
        <v>PlatePlus</v>
      </c>
      <c r="D471" t="str">
        <f>_xlfn.XLOOKUP(Table6[[#This Row],[app_id]],Table5[app_id],Table5[category],"",0)</f>
        <v>Food Delivery</v>
      </c>
      <c r="E471" t="s">
        <v>533</v>
      </c>
      <c r="F471" t="s">
        <v>534</v>
      </c>
      <c r="G471" t="s">
        <v>69</v>
      </c>
      <c r="H471" t="s">
        <v>535</v>
      </c>
      <c r="I471">
        <v>19</v>
      </c>
      <c r="J471">
        <v>7.7</v>
      </c>
      <c r="K471" t="s">
        <v>258</v>
      </c>
      <c r="L471" t="s">
        <v>258</v>
      </c>
      <c r="M471" t="s">
        <v>257</v>
      </c>
      <c r="N471" s="5">
        <v>0</v>
      </c>
    </row>
    <row r="472" spans="1:14" x14ac:dyDescent="0.25">
      <c r="A472" t="s">
        <v>1013</v>
      </c>
      <c r="B472" t="s">
        <v>182</v>
      </c>
      <c r="C472" t="str">
        <f>_xlfn.XLOOKUP(Table6[[#This Row],[app_id]],Table5[app_id],Table5[app_name],"",0)</f>
        <v>VoyageGo</v>
      </c>
      <c r="D472" t="str">
        <f>_xlfn.XLOOKUP(Table6[[#This Row],[app_id]],Table5[app_id],Table5[category],"",0)</f>
        <v>Travel</v>
      </c>
      <c r="E472" t="s">
        <v>533</v>
      </c>
      <c r="F472" t="s">
        <v>538</v>
      </c>
      <c r="G472" t="s">
        <v>46</v>
      </c>
      <c r="H472" t="s">
        <v>535</v>
      </c>
      <c r="I472">
        <v>19</v>
      </c>
      <c r="J472">
        <v>11.8</v>
      </c>
      <c r="K472" t="s">
        <v>258</v>
      </c>
      <c r="L472" t="s">
        <v>257</v>
      </c>
      <c r="M472" t="s">
        <v>258</v>
      </c>
      <c r="N472" s="5">
        <v>0</v>
      </c>
    </row>
    <row r="473" spans="1:14" x14ac:dyDescent="0.25">
      <c r="A473" t="s">
        <v>1014</v>
      </c>
      <c r="B473" t="s">
        <v>185</v>
      </c>
      <c r="C473" t="str">
        <f>_xlfn.XLOOKUP(Table6[[#This Row],[app_id]],Table5[app_id],Table5[app_name],"",0)</f>
        <v>TripOne</v>
      </c>
      <c r="D473" t="str">
        <f>_xlfn.XLOOKUP(Table6[[#This Row],[app_id]],Table5[app_id],Table5[category],"",0)</f>
        <v>Travel</v>
      </c>
      <c r="E473" t="s">
        <v>557</v>
      </c>
      <c r="F473" t="s">
        <v>534</v>
      </c>
      <c r="G473" t="s">
        <v>35</v>
      </c>
      <c r="H473" t="s">
        <v>535</v>
      </c>
      <c r="I473">
        <v>26</v>
      </c>
      <c r="J473">
        <v>12.5</v>
      </c>
      <c r="K473" t="s">
        <v>258</v>
      </c>
      <c r="L473" t="s">
        <v>257</v>
      </c>
      <c r="M473" t="s">
        <v>258</v>
      </c>
      <c r="N473" s="5">
        <v>12.59</v>
      </c>
    </row>
    <row r="474" spans="1:14" x14ac:dyDescent="0.25">
      <c r="A474" t="s">
        <v>1015</v>
      </c>
      <c r="B474" t="s">
        <v>187</v>
      </c>
      <c r="C474" t="str">
        <f>_xlfn.XLOOKUP(Table6[[#This Row],[app_id]],Table5[app_id],Table5[app_name],"",0)</f>
        <v>FlyGo</v>
      </c>
      <c r="D474" t="str">
        <f>_xlfn.XLOOKUP(Table6[[#This Row],[app_id]],Table5[app_id],Table5[category],"",0)</f>
        <v>Travel</v>
      </c>
      <c r="E474" t="s">
        <v>546</v>
      </c>
      <c r="F474" t="s">
        <v>538</v>
      </c>
      <c r="G474" t="s">
        <v>18</v>
      </c>
      <c r="H474" t="s">
        <v>535</v>
      </c>
      <c r="I474">
        <v>20</v>
      </c>
      <c r="J474">
        <v>14.3</v>
      </c>
      <c r="K474" t="s">
        <v>258</v>
      </c>
      <c r="L474" t="s">
        <v>258</v>
      </c>
      <c r="M474" t="s">
        <v>258</v>
      </c>
      <c r="N474" s="5">
        <v>0</v>
      </c>
    </row>
    <row r="475" spans="1:14" x14ac:dyDescent="0.25">
      <c r="A475" t="s">
        <v>1016</v>
      </c>
      <c r="B475" t="s">
        <v>189</v>
      </c>
      <c r="C475" t="str">
        <f>_xlfn.XLOOKUP(Table6[[#This Row],[app_id]],Table5[app_id],Table5[app_name],"",0)</f>
        <v>MapX</v>
      </c>
      <c r="D475" t="str">
        <f>_xlfn.XLOOKUP(Table6[[#This Row],[app_id]],Table5[app_id],Table5[category],"",0)</f>
        <v>Travel</v>
      </c>
      <c r="E475" t="s">
        <v>552</v>
      </c>
      <c r="F475" t="s">
        <v>534</v>
      </c>
      <c r="G475" t="s">
        <v>69</v>
      </c>
      <c r="H475" t="s">
        <v>535</v>
      </c>
      <c r="I475">
        <v>19</v>
      </c>
      <c r="J475">
        <v>15.6</v>
      </c>
      <c r="K475" t="s">
        <v>258</v>
      </c>
      <c r="L475" t="s">
        <v>257</v>
      </c>
      <c r="M475" t="s">
        <v>258</v>
      </c>
      <c r="N475" s="5">
        <v>0</v>
      </c>
    </row>
    <row r="476" spans="1:14" x14ac:dyDescent="0.25">
      <c r="A476" t="s">
        <v>1017</v>
      </c>
      <c r="B476" t="s">
        <v>191</v>
      </c>
      <c r="C476" t="str">
        <f>_xlfn.XLOOKUP(Table6[[#This Row],[app_id]],Table5[app_id],Table5[app_name],"",0)</f>
        <v>StayX</v>
      </c>
      <c r="D476" t="str">
        <f>_xlfn.XLOOKUP(Table6[[#This Row],[app_id]],Table5[app_id],Table5[category],"",0)</f>
        <v>Travel</v>
      </c>
      <c r="E476" t="s">
        <v>533</v>
      </c>
      <c r="F476" t="s">
        <v>538</v>
      </c>
      <c r="G476" t="s">
        <v>30</v>
      </c>
      <c r="H476" t="s">
        <v>540</v>
      </c>
      <c r="I476">
        <v>28</v>
      </c>
      <c r="J476">
        <v>7.2</v>
      </c>
      <c r="K476" t="s">
        <v>258</v>
      </c>
      <c r="L476" t="s">
        <v>257</v>
      </c>
      <c r="M476" t="s">
        <v>258</v>
      </c>
      <c r="N476" s="5">
        <v>0</v>
      </c>
    </row>
    <row r="477" spans="1:14" x14ac:dyDescent="0.25">
      <c r="A477" t="s">
        <v>1018</v>
      </c>
      <c r="B477" t="s">
        <v>193</v>
      </c>
      <c r="C477" t="str">
        <f>_xlfn.XLOOKUP(Table6[[#This Row],[app_id]],Table5[app_id],Table5[app_name],"",0)</f>
        <v>GoNow</v>
      </c>
      <c r="D477" t="str">
        <f>_xlfn.XLOOKUP(Table6[[#This Row],[app_id]],Table5[app_id],Table5[category],"",0)</f>
        <v>Travel</v>
      </c>
      <c r="E477" t="s">
        <v>557</v>
      </c>
      <c r="F477" t="s">
        <v>538</v>
      </c>
      <c r="G477" t="s">
        <v>18</v>
      </c>
      <c r="H477" t="s">
        <v>535</v>
      </c>
      <c r="I477">
        <v>70</v>
      </c>
      <c r="J477">
        <v>19.899999999999999</v>
      </c>
      <c r="K477" t="s">
        <v>257</v>
      </c>
      <c r="L477" t="s">
        <v>257</v>
      </c>
      <c r="M477" t="s">
        <v>258</v>
      </c>
      <c r="N477" s="5">
        <v>0</v>
      </c>
    </row>
    <row r="478" spans="1:14" x14ac:dyDescent="0.25">
      <c r="A478" t="s">
        <v>1019</v>
      </c>
      <c r="B478" t="s">
        <v>195</v>
      </c>
      <c r="C478" t="str">
        <f>_xlfn.XLOOKUP(Table6[[#This Row],[app_id]],Table5[app_id],Table5[app_name],"",0)</f>
        <v>RouteGo</v>
      </c>
      <c r="D478" t="str">
        <f>_xlfn.XLOOKUP(Table6[[#This Row],[app_id]],Table5[app_id],Table5[category],"",0)</f>
        <v>Travel</v>
      </c>
      <c r="E478" t="s">
        <v>557</v>
      </c>
      <c r="F478" t="s">
        <v>538</v>
      </c>
      <c r="G478" t="s">
        <v>18</v>
      </c>
      <c r="H478" t="s">
        <v>535</v>
      </c>
      <c r="I478">
        <v>39</v>
      </c>
      <c r="J478">
        <v>3</v>
      </c>
      <c r="K478" t="s">
        <v>257</v>
      </c>
      <c r="L478" t="s">
        <v>258</v>
      </c>
      <c r="M478" t="s">
        <v>257</v>
      </c>
      <c r="N478" s="5">
        <v>35.74</v>
      </c>
    </row>
    <row r="479" spans="1:14" x14ac:dyDescent="0.25">
      <c r="A479" t="s">
        <v>1020</v>
      </c>
      <c r="B479" t="s">
        <v>197</v>
      </c>
      <c r="C479" t="str">
        <f>_xlfn.XLOOKUP(Table6[[#This Row],[app_id]],Table5[app_id],Table5[app_name],"",0)</f>
        <v>TripGo</v>
      </c>
      <c r="D479" t="str">
        <f>_xlfn.XLOOKUP(Table6[[#This Row],[app_id]],Table5[app_id],Table5[category],"",0)</f>
        <v>Travel</v>
      </c>
      <c r="E479" t="s">
        <v>557</v>
      </c>
      <c r="F479" t="s">
        <v>534</v>
      </c>
      <c r="G479" t="s">
        <v>18</v>
      </c>
      <c r="H479" t="s">
        <v>535</v>
      </c>
      <c r="I479">
        <v>14</v>
      </c>
      <c r="J479">
        <v>5.4</v>
      </c>
      <c r="K479" t="s">
        <v>258</v>
      </c>
      <c r="L479" t="s">
        <v>257</v>
      </c>
      <c r="M479" t="s">
        <v>258</v>
      </c>
      <c r="N479" s="5">
        <v>0</v>
      </c>
    </row>
    <row r="480" spans="1:14" x14ac:dyDescent="0.25">
      <c r="A480" t="s">
        <v>1021</v>
      </c>
      <c r="B480" t="s">
        <v>199</v>
      </c>
      <c r="C480" t="str">
        <f>_xlfn.XLOOKUP(Table6[[#This Row],[app_id]],Table5[app_id],Table5[app_name],"",0)</f>
        <v>Flyly</v>
      </c>
      <c r="D480" t="str">
        <f>_xlfn.XLOOKUP(Table6[[#This Row],[app_id]],Table5[app_id],Table5[category],"",0)</f>
        <v>Travel</v>
      </c>
      <c r="E480" t="s">
        <v>552</v>
      </c>
      <c r="F480" t="s">
        <v>538</v>
      </c>
      <c r="G480" t="s">
        <v>61</v>
      </c>
      <c r="H480" t="s">
        <v>540</v>
      </c>
      <c r="I480">
        <v>3</v>
      </c>
      <c r="J480">
        <v>12.6</v>
      </c>
      <c r="K480" t="s">
        <v>258</v>
      </c>
      <c r="L480" t="s">
        <v>258</v>
      </c>
      <c r="M480" t="s">
        <v>257</v>
      </c>
      <c r="N480" s="5">
        <v>0</v>
      </c>
    </row>
    <row r="481" spans="1:14" x14ac:dyDescent="0.25">
      <c r="A481" t="s">
        <v>1022</v>
      </c>
      <c r="B481" t="s">
        <v>201</v>
      </c>
      <c r="C481" t="str">
        <f>_xlfn.XLOOKUP(Table6[[#This Row],[app_id]],Table5[app_id],Table5[app_name],"",0)</f>
        <v>TripPro</v>
      </c>
      <c r="D481" t="str">
        <f>_xlfn.XLOOKUP(Table6[[#This Row],[app_id]],Table5[app_id],Table5[category],"",0)</f>
        <v>Travel</v>
      </c>
      <c r="E481" t="s">
        <v>557</v>
      </c>
      <c r="F481" t="s">
        <v>534</v>
      </c>
      <c r="G481" t="s">
        <v>61</v>
      </c>
      <c r="H481" t="s">
        <v>540</v>
      </c>
      <c r="I481">
        <v>88</v>
      </c>
      <c r="J481">
        <v>19.600000000000001</v>
      </c>
      <c r="K481" t="s">
        <v>257</v>
      </c>
      <c r="L481" t="s">
        <v>258</v>
      </c>
      <c r="M481" t="s">
        <v>258</v>
      </c>
      <c r="N481" s="5">
        <v>0</v>
      </c>
    </row>
    <row r="482" spans="1:14" x14ac:dyDescent="0.25">
      <c r="A482" t="s">
        <v>1023</v>
      </c>
      <c r="B482" t="s">
        <v>203</v>
      </c>
      <c r="C482" t="str">
        <f>_xlfn.XLOOKUP(Table6[[#This Row],[app_id]],Table5[app_id],Table5[app_name],"",0)</f>
        <v>Focusly</v>
      </c>
      <c r="D482" t="str">
        <f>_xlfn.XLOOKUP(Table6[[#This Row],[app_id]],Table5[app_id],Table5[category],"",0)</f>
        <v>Productivity</v>
      </c>
      <c r="E482" t="s">
        <v>533</v>
      </c>
      <c r="F482" t="s">
        <v>628</v>
      </c>
      <c r="G482" t="s">
        <v>18</v>
      </c>
      <c r="H482" t="s">
        <v>535</v>
      </c>
      <c r="I482">
        <v>22</v>
      </c>
      <c r="J482">
        <v>9.1</v>
      </c>
      <c r="K482" t="s">
        <v>258</v>
      </c>
      <c r="L482" t="s">
        <v>258</v>
      </c>
      <c r="M482" t="s">
        <v>258</v>
      </c>
      <c r="N482" s="5">
        <v>48.17</v>
      </c>
    </row>
    <row r="483" spans="1:14" x14ac:dyDescent="0.25">
      <c r="A483" t="s">
        <v>1024</v>
      </c>
      <c r="B483" t="s">
        <v>206</v>
      </c>
      <c r="C483" t="str">
        <f>_xlfn.XLOOKUP(Table6[[#This Row],[app_id]],Table5[app_id],Table5[app_name],"",0)</f>
        <v>DeskX</v>
      </c>
      <c r="D483" t="str">
        <f>_xlfn.XLOOKUP(Table6[[#This Row],[app_id]],Table5[app_id],Table5[category],"",0)</f>
        <v>Productivity</v>
      </c>
      <c r="E483" t="s">
        <v>546</v>
      </c>
      <c r="F483" t="s">
        <v>538</v>
      </c>
      <c r="G483" t="s">
        <v>61</v>
      </c>
      <c r="H483" t="s">
        <v>535</v>
      </c>
      <c r="I483">
        <v>7</v>
      </c>
      <c r="J483">
        <v>9.4</v>
      </c>
      <c r="K483" t="s">
        <v>258</v>
      </c>
      <c r="L483" t="s">
        <v>258</v>
      </c>
      <c r="M483" t="s">
        <v>257</v>
      </c>
      <c r="N483" s="5">
        <v>0</v>
      </c>
    </row>
    <row r="484" spans="1:14" x14ac:dyDescent="0.25">
      <c r="A484" t="s">
        <v>1025</v>
      </c>
      <c r="B484" t="s">
        <v>208</v>
      </c>
      <c r="C484" t="str">
        <f>_xlfn.XLOOKUP(Table6[[#This Row],[app_id]],Table5[app_id],Table5[app_name],"",0)</f>
        <v>DonePro</v>
      </c>
      <c r="D484" t="str">
        <f>_xlfn.XLOOKUP(Table6[[#This Row],[app_id]],Table5[app_id],Table5[category],"",0)</f>
        <v>Productivity</v>
      </c>
      <c r="E484" t="s">
        <v>537</v>
      </c>
      <c r="F484" t="s">
        <v>534</v>
      </c>
      <c r="G484" t="s">
        <v>69</v>
      </c>
      <c r="H484" t="s">
        <v>535</v>
      </c>
      <c r="I484">
        <v>84</v>
      </c>
      <c r="J484">
        <v>13.9</v>
      </c>
      <c r="K484" t="s">
        <v>257</v>
      </c>
      <c r="L484" t="s">
        <v>258</v>
      </c>
      <c r="M484" t="s">
        <v>257</v>
      </c>
      <c r="N484" s="5">
        <v>0</v>
      </c>
    </row>
    <row r="485" spans="1:14" x14ac:dyDescent="0.25">
      <c r="A485" t="s">
        <v>1026</v>
      </c>
      <c r="B485" t="s">
        <v>210</v>
      </c>
      <c r="C485" t="str">
        <f>_xlfn.XLOOKUP(Table6[[#This Row],[app_id]],Table5[app_id],Table5[app_name],"",0)</f>
        <v>NotePlus</v>
      </c>
      <c r="D485" t="str">
        <f>_xlfn.XLOOKUP(Table6[[#This Row],[app_id]],Table5[app_id],Table5[category],"",0)</f>
        <v>Productivity</v>
      </c>
      <c r="E485" t="s">
        <v>533</v>
      </c>
      <c r="F485" t="s">
        <v>538</v>
      </c>
      <c r="G485" t="s">
        <v>61</v>
      </c>
      <c r="H485" t="s">
        <v>535</v>
      </c>
      <c r="I485">
        <v>81</v>
      </c>
      <c r="J485">
        <v>11.5</v>
      </c>
      <c r="K485" t="s">
        <v>257</v>
      </c>
      <c r="L485" t="s">
        <v>257</v>
      </c>
      <c r="M485" t="s">
        <v>258</v>
      </c>
      <c r="N485" s="5">
        <v>0</v>
      </c>
    </row>
    <row r="486" spans="1:14" x14ac:dyDescent="0.25">
      <c r="A486" t="s">
        <v>1027</v>
      </c>
      <c r="B486" t="s">
        <v>212</v>
      </c>
      <c r="C486" t="str">
        <f>_xlfn.XLOOKUP(Table6[[#This Row],[app_id]],Table5[app_id],Table5[app_name],"",0)</f>
        <v>SyncPlus</v>
      </c>
      <c r="D486" t="str">
        <f>_xlfn.XLOOKUP(Table6[[#This Row],[app_id]],Table5[app_id],Table5[category],"",0)</f>
        <v>Productivity</v>
      </c>
      <c r="E486" t="s">
        <v>557</v>
      </c>
      <c r="F486" t="s">
        <v>548</v>
      </c>
      <c r="G486" t="s">
        <v>69</v>
      </c>
      <c r="H486" t="s">
        <v>535</v>
      </c>
      <c r="I486">
        <v>70</v>
      </c>
      <c r="J486">
        <v>17.899999999999999</v>
      </c>
      <c r="K486" t="s">
        <v>257</v>
      </c>
      <c r="L486" t="s">
        <v>257</v>
      </c>
      <c r="M486" t="s">
        <v>258</v>
      </c>
      <c r="N486" s="5">
        <v>0</v>
      </c>
    </row>
    <row r="487" spans="1:14" x14ac:dyDescent="0.25">
      <c r="A487" t="s">
        <v>1028</v>
      </c>
      <c r="B487" t="s">
        <v>214</v>
      </c>
      <c r="C487" t="str">
        <f>_xlfn.XLOOKUP(Table6[[#This Row],[app_id]],Table5[app_id],Table5[app_name],"",0)</f>
        <v>NoteOne</v>
      </c>
      <c r="D487" t="str">
        <f>_xlfn.XLOOKUP(Table6[[#This Row],[app_id]],Table5[app_id],Table5[category],"",0)</f>
        <v>Productivity</v>
      </c>
      <c r="E487" t="s">
        <v>557</v>
      </c>
      <c r="F487" t="s">
        <v>538</v>
      </c>
      <c r="G487" t="s">
        <v>61</v>
      </c>
      <c r="H487" t="s">
        <v>540</v>
      </c>
      <c r="I487">
        <v>22</v>
      </c>
      <c r="J487">
        <v>17.100000000000001</v>
      </c>
      <c r="K487" t="s">
        <v>258</v>
      </c>
      <c r="L487" t="s">
        <v>258</v>
      </c>
      <c r="M487" t="s">
        <v>258</v>
      </c>
      <c r="N487" s="5">
        <v>0</v>
      </c>
    </row>
    <row r="488" spans="1:14" x14ac:dyDescent="0.25">
      <c r="A488" t="s">
        <v>1029</v>
      </c>
      <c r="B488" t="s">
        <v>216</v>
      </c>
      <c r="C488" t="str">
        <f>_xlfn.XLOOKUP(Table6[[#This Row],[app_id]],Table5[app_id],Table5[app_name],"",0)</f>
        <v>NoteMate</v>
      </c>
      <c r="D488" t="str">
        <f>_xlfn.XLOOKUP(Table6[[#This Row],[app_id]],Table5[app_id],Table5[category],"",0)</f>
        <v>Productivity</v>
      </c>
      <c r="E488" t="s">
        <v>533</v>
      </c>
      <c r="F488" t="s">
        <v>534</v>
      </c>
      <c r="G488" t="s">
        <v>18</v>
      </c>
      <c r="H488" t="s">
        <v>535</v>
      </c>
      <c r="I488">
        <v>24</v>
      </c>
      <c r="J488">
        <v>7.5</v>
      </c>
      <c r="K488" t="s">
        <v>257</v>
      </c>
      <c r="L488" t="s">
        <v>258</v>
      </c>
      <c r="M488" t="s">
        <v>257</v>
      </c>
      <c r="N488" s="5">
        <v>0</v>
      </c>
    </row>
    <row r="489" spans="1:14" x14ac:dyDescent="0.25">
      <c r="A489" t="s">
        <v>1030</v>
      </c>
      <c r="B489" t="s">
        <v>218</v>
      </c>
      <c r="C489" t="str">
        <f>_xlfn.XLOOKUP(Table6[[#This Row],[app_id]],Table5[app_id],Table5[app_name],"",0)</f>
        <v>PlanPlus</v>
      </c>
      <c r="D489" t="str">
        <f>_xlfn.XLOOKUP(Table6[[#This Row],[app_id]],Table5[app_id],Table5[category],"",0)</f>
        <v>Productivity</v>
      </c>
      <c r="E489" t="s">
        <v>557</v>
      </c>
      <c r="F489" t="s">
        <v>538</v>
      </c>
      <c r="G489" t="s">
        <v>35</v>
      </c>
      <c r="H489" t="s">
        <v>535</v>
      </c>
      <c r="I489">
        <v>19</v>
      </c>
      <c r="J489">
        <v>15.1</v>
      </c>
      <c r="K489" t="s">
        <v>257</v>
      </c>
      <c r="L489" t="s">
        <v>257</v>
      </c>
      <c r="M489" t="s">
        <v>258</v>
      </c>
      <c r="N489" s="5">
        <v>0</v>
      </c>
    </row>
    <row r="490" spans="1:14" x14ac:dyDescent="0.25">
      <c r="A490" t="s">
        <v>1031</v>
      </c>
      <c r="B490" t="s">
        <v>220</v>
      </c>
      <c r="C490" t="str">
        <f>_xlfn.XLOOKUP(Table6[[#This Row],[app_id]],Table5[app_id],Table5[app_name],"",0)</f>
        <v>PlanMate</v>
      </c>
      <c r="D490" t="str">
        <f>_xlfn.XLOOKUP(Table6[[#This Row],[app_id]],Table5[app_id],Table5[category],"",0)</f>
        <v>Productivity</v>
      </c>
      <c r="E490" t="s">
        <v>557</v>
      </c>
      <c r="F490" t="s">
        <v>538</v>
      </c>
      <c r="G490" t="s">
        <v>69</v>
      </c>
      <c r="H490" t="s">
        <v>535</v>
      </c>
      <c r="I490">
        <v>32</v>
      </c>
      <c r="J490">
        <v>14.7</v>
      </c>
      <c r="K490" t="s">
        <v>257</v>
      </c>
      <c r="L490" t="s">
        <v>258</v>
      </c>
      <c r="M490" t="s">
        <v>258</v>
      </c>
      <c r="N490" s="5">
        <v>0</v>
      </c>
    </row>
    <row r="491" spans="1:14" x14ac:dyDescent="0.25">
      <c r="A491" t="s">
        <v>1032</v>
      </c>
      <c r="B491" t="s">
        <v>222</v>
      </c>
      <c r="C491" t="str">
        <f>_xlfn.XLOOKUP(Table6[[#This Row],[app_id]],Table5[app_id],Table5[app_name],"",0)</f>
        <v>SyncPlus</v>
      </c>
      <c r="D491" t="str">
        <f>_xlfn.XLOOKUP(Table6[[#This Row],[app_id]],Table5[app_id],Table5[category],"",0)</f>
        <v>Productivity</v>
      </c>
      <c r="E491" t="s">
        <v>546</v>
      </c>
      <c r="F491" t="s">
        <v>534</v>
      </c>
      <c r="G491" t="s">
        <v>18</v>
      </c>
      <c r="H491" t="s">
        <v>535</v>
      </c>
      <c r="I491">
        <v>40</v>
      </c>
      <c r="J491">
        <v>3.9</v>
      </c>
      <c r="K491" t="s">
        <v>257</v>
      </c>
      <c r="L491" t="s">
        <v>257</v>
      </c>
      <c r="M491" t="s">
        <v>258</v>
      </c>
      <c r="N491" s="5">
        <v>0</v>
      </c>
    </row>
    <row r="492" spans="1:14" x14ac:dyDescent="0.25">
      <c r="A492" t="s">
        <v>1033</v>
      </c>
      <c r="B492" t="s">
        <v>223</v>
      </c>
      <c r="C492" t="str">
        <f>_xlfn.XLOOKUP(Table6[[#This Row],[app_id]],Table5[app_id],Table5[app_name],"",0)</f>
        <v>ClinicPro</v>
      </c>
      <c r="D492" t="str">
        <f>_xlfn.XLOOKUP(Table6[[#This Row],[app_id]],Table5[app_id],Table5[category],"",0)</f>
        <v>Health</v>
      </c>
      <c r="E492" t="s">
        <v>537</v>
      </c>
      <c r="F492" t="s">
        <v>534</v>
      </c>
      <c r="G492" t="s">
        <v>35</v>
      </c>
      <c r="H492" t="s">
        <v>535</v>
      </c>
      <c r="I492">
        <v>87</v>
      </c>
      <c r="J492">
        <v>9</v>
      </c>
      <c r="K492" t="s">
        <v>257</v>
      </c>
      <c r="L492" t="s">
        <v>258</v>
      </c>
      <c r="M492" t="s">
        <v>258</v>
      </c>
      <c r="N492" s="5">
        <v>0</v>
      </c>
    </row>
    <row r="493" spans="1:14" x14ac:dyDescent="0.25">
      <c r="A493" t="s">
        <v>1034</v>
      </c>
      <c r="B493" t="s">
        <v>226</v>
      </c>
      <c r="C493" t="str">
        <f>_xlfn.XLOOKUP(Table6[[#This Row],[app_id]],Table5[app_id],Table5[app_name],"",0)</f>
        <v>MindMate</v>
      </c>
      <c r="D493" t="str">
        <f>_xlfn.XLOOKUP(Table6[[#This Row],[app_id]],Table5[app_id],Table5[category],"",0)</f>
        <v>Health</v>
      </c>
      <c r="E493" t="s">
        <v>557</v>
      </c>
      <c r="F493" t="s">
        <v>538</v>
      </c>
      <c r="G493" t="s">
        <v>23</v>
      </c>
      <c r="H493" t="s">
        <v>535</v>
      </c>
      <c r="I493">
        <v>19</v>
      </c>
      <c r="J493">
        <v>6.9</v>
      </c>
      <c r="K493" t="s">
        <v>258</v>
      </c>
      <c r="L493" t="s">
        <v>258</v>
      </c>
      <c r="M493" t="s">
        <v>258</v>
      </c>
      <c r="N493" s="5">
        <v>0</v>
      </c>
    </row>
    <row r="494" spans="1:14" x14ac:dyDescent="0.25">
      <c r="A494" t="s">
        <v>1035</v>
      </c>
      <c r="B494" t="s">
        <v>228</v>
      </c>
      <c r="C494" t="str">
        <f>_xlfn.XLOOKUP(Table6[[#This Row],[app_id]],Table5[app_id],Table5[app_name],"",0)</f>
        <v>ClinicOne</v>
      </c>
      <c r="D494" t="str">
        <f>_xlfn.XLOOKUP(Table6[[#This Row],[app_id]],Table5[app_id],Table5[category],"",0)</f>
        <v>Health</v>
      </c>
      <c r="E494" t="s">
        <v>533</v>
      </c>
      <c r="F494" t="s">
        <v>534</v>
      </c>
      <c r="G494" t="s">
        <v>23</v>
      </c>
      <c r="H494" t="s">
        <v>535</v>
      </c>
      <c r="I494">
        <v>15</v>
      </c>
      <c r="J494">
        <v>22.9</v>
      </c>
      <c r="K494" t="s">
        <v>258</v>
      </c>
      <c r="L494" t="s">
        <v>257</v>
      </c>
      <c r="M494" t="s">
        <v>258</v>
      </c>
      <c r="N494" s="5">
        <v>0</v>
      </c>
    </row>
    <row r="495" spans="1:14" x14ac:dyDescent="0.25">
      <c r="A495" t="s">
        <v>1036</v>
      </c>
      <c r="B495" t="s">
        <v>230</v>
      </c>
      <c r="C495" t="str">
        <f>_xlfn.XLOOKUP(Table6[[#This Row],[app_id]],Table5[app_id],Table5[app_name],"",0)</f>
        <v>WellMate</v>
      </c>
      <c r="D495" t="str">
        <f>_xlfn.XLOOKUP(Table6[[#This Row],[app_id]],Table5[app_id],Table5[category],"",0)</f>
        <v>Health</v>
      </c>
      <c r="E495" t="s">
        <v>557</v>
      </c>
      <c r="F495" t="s">
        <v>538</v>
      </c>
      <c r="G495" t="s">
        <v>46</v>
      </c>
      <c r="H495" t="s">
        <v>535</v>
      </c>
      <c r="I495">
        <v>31</v>
      </c>
      <c r="J495">
        <v>21.2</v>
      </c>
      <c r="K495" t="s">
        <v>257</v>
      </c>
      <c r="L495" t="s">
        <v>258</v>
      </c>
      <c r="M495" t="s">
        <v>258</v>
      </c>
      <c r="N495" s="5">
        <v>0</v>
      </c>
    </row>
    <row r="496" spans="1:14" x14ac:dyDescent="0.25">
      <c r="A496" t="s">
        <v>1037</v>
      </c>
      <c r="B496" t="s">
        <v>232</v>
      </c>
      <c r="C496" t="str">
        <f>_xlfn.XLOOKUP(Table6[[#This Row],[app_id]],Table5[app_id],Table5[app_name],"",0)</f>
        <v>MediMate</v>
      </c>
      <c r="D496" t="str">
        <f>_xlfn.XLOOKUP(Table6[[#This Row],[app_id]],Table5[app_id],Table5[category],"",0)</f>
        <v>Health</v>
      </c>
      <c r="E496" t="s">
        <v>552</v>
      </c>
      <c r="F496" t="s">
        <v>538</v>
      </c>
      <c r="G496" t="s">
        <v>18</v>
      </c>
      <c r="H496" t="s">
        <v>535</v>
      </c>
      <c r="I496">
        <v>84</v>
      </c>
      <c r="J496">
        <v>19.100000000000001</v>
      </c>
      <c r="K496" t="s">
        <v>257</v>
      </c>
      <c r="L496" t="s">
        <v>257</v>
      </c>
      <c r="M496" t="s">
        <v>258</v>
      </c>
      <c r="N496" s="5">
        <v>0</v>
      </c>
    </row>
    <row r="497" spans="1:14" x14ac:dyDescent="0.25">
      <c r="A497" t="s">
        <v>1038</v>
      </c>
      <c r="B497" t="s">
        <v>234</v>
      </c>
      <c r="C497" t="str">
        <f>_xlfn.XLOOKUP(Table6[[#This Row],[app_id]],Table5[app_id],Table5[app_name],"",0)</f>
        <v>WellNow</v>
      </c>
      <c r="D497" t="str">
        <f>_xlfn.XLOOKUP(Table6[[#This Row],[app_id]],Table5[app_id],Table5[category],"",0)</f>
        <v>Health</v>
      </c>
      <c r="E497" t="s">
        <v>557</v>
      </c>
      <c r="F497" t="s">
        <v>534</v>
      </c>
      <c r="G497" t="s">
        <v>18</v>
      </c>
      <c r="H497" t="s">
        <v>540</v>
      </c>
      <c r="I497">
        <v>93</v>
      </c>
      <c r="J497">
        <v>16.3</v>
      </c>
      <c r="K497" t="s">
        <v>257</v>
      </c>
      <c r="L497" t="s">
        <v>257</v>
      </c>
      <c r="M497" t="s">
        <v>258</v>
      </c>
      <c r="N497" s="5">
        <v>0</v>
      </c>
    </row>
    <row r="498" spans="1:14" x14ac:dyDescent="0.25">
      <c r="A498" t="s">
        <v>1039</v>
      </c>
      <c r="B498" t="s">
        <v>236</v>
      </c>
      <c r="C498" t="str">
        <f>_xlfn.XLOOKUP(Table6[[#This Row],[app_id]],Table5[app_id],Table5[app_name],"",0)</f>
        <v>CareCloud</v>
      </c>
      <c r="D498" t="str">
        <f>_xlfn.XLOOKUP(Table6[[#This Row],[app_id]],Table5[app_id],Table5[category],"",0)</f>
        <v>Health</v>
      </c>
      <c r="E498" t="s">
        <v>546</v>
      </c>
      <c r="F498" t="s">
        <v>538</v>
      </c>
      <c r="G498" t="s">
        <v>18</v>
      </c>
      <c r="H498" t="s">
        <v>535</v>
      </c>
      <c r="I498">
        <v>38</v>
      </c>
      <c r="J498">
        <v>19.7</v>
      </c>
      <c r="K498" t="s">
        <v>257</v>
      </c>
      <c r="L498" t="s">
        <v>258</v>
      </c>
      <c r="M498" t="s">
        <v>258</v>
      </c>
      <c r="N498" s="5">
        <v>0</v>
      </c>
    </row>
    <row r="499" spans="1:14" x14ac:dyDescent="0.25">
      <c r="A499" t="s">
        <v>1040</v>
      </c>
      <c r="B499" t="s">
        <v>238</v>
      </c>
      <c r="C499" t="str">
        <f>_xlfn.XLOOKUP(Table6[[#This Row],[app_id]],Table5[app_id],Table5[app_name],"",0)</f>
        <v>MediNow</v>
      </c>
      <c r="D499" t="str">
        <f>_xlfn.XLOOKUP(Table6[[#This Row],[app_id]],Table5[app_id],Table5[category],"",0)</f>
        <v>Health</v>
      </c>
      <c r="E499" t="s">
        <v>533</v>
      </c>
      <c r="F499" t="s">
        <v>538</v>
      </c>
      <c r="G499" t="s">
        <v>69</v>
      </c>
      <c r="H499" t="s">
        <v>535</v>
      </c>
      <c r="I499">
        <v>95</v>
      </c>
      <c r="J499">
        <v>16.8</v>
      </c>
      <c r="K499" t="s">
        <v>257</v>
      </c>
      <c r="L499" t="s">
        <v>257</v>
      </c>
      <c r="M499" t="s">
        <v>258</v>
      </c>
      <c r="N499" s="5">
        <v>38.18</v>
      </c>
    </row>
    <row r="500" spans="1:14" x14ac:dyDescent="0.25">
      <c r="A500" t="s">
        <v>1041</v>
      </c>
      <c r="B500" t="s">
        <v>240</v>
      </c>
      <c r="C500" t="str">
        <f>_xlfn.XLOOKUP(Table6[[#This Row],[app_id]],Table5[app_id],Table5[app_name],"",0)</f>
        <v>MindPlus</v>
      </c>
      <c r="D500" t="str">
        <f>_xlfn.XLOOKUP(Table6[[#This Row],[app_id]],Table5[app_id],Table5[category],"",0)</f>
        <v>Health</v>
      </c>
      <c r="E500" t="s">
        <v>537</v>
      </c>
      <c r="F500" t="s">
        <v>534</v>
      </c>
      <c r="G500" t="s">
        <v>69</v>
      </c>
      <c r="H500" t="s">
        <v>535</v>
      </c>
      <c r="I500">
        <v>15</v>
      </c>
      <c r="J500">
        <v>23.3</v>
      </c>
      <c r="K500" t="s">
        <v>258</v>
      </c>
      <c r="L500" t="s">
        <v>258</v>
      </c>
      <c r="M500" t="s">
        <v>257</v>
      </c>
      <c r="N500" s="5">
        <v>0</v>
      </c>
    </row>
    <row r="501" spans="1:14" x14ac:dyDescent="0.25">
      <c r="A501" t="s">
        <v>1042</v>
      </c>
      <c r="B501" t="s">
        <v>242</v>
      </c>
      <c r="C501" t="str">
        <f>_xlfn.XLOOKUP(Table6[[#This Row],[app_id]],Table5[app_id],Table5[app_name],"",0)</f>
        <v>MediCloud</v>
      </c>
      <c r="D501" t="str">
        <f>_xlfn.XLOOKUP(Table6[[#This Row],[app_id]],Table5[app_id],Table5[category],"",0)</f>
        <v>Health</v>
      </c>
      <c r="E501" t="s">
        <v>537</v>
      </c>
      <c r="F501" t="s">
        <v>534</v>
      </c>
      <c r="G501" t="s">
        <v>30</v>
      </c>
      <c r="H501" t="s">
        <v>535</v>
      </c>
      <c r="I501">
        <v>24</v>
      </c>
      <c r="J501">
        <v>8.6999999999999993</v>
      </c>
      <c r="K501" t="s">
        <v>257</v>
      </c>
      <c r="L501" t="s">
        <v>257</v>
      </c>
      <c r="M501" t="s">
        <v>258</v>
      </c>
      <c r="N501" s="5">
        <v>0</v>
      </c>
    </row>
    <row r="502" spans="1:14" x14ac:dyDescent="0.25">
      <c r="A502" t="s">
        <v>1043</v>
      </c>
      <c r="B502" t="s">
        <v>12</v>
      </c>
      <c r="C502" t="str">
        <f>_xlfn.XLOOKUP(Table6[[#This Row],[app_id]],Table5[app_id],Table5[app_name],"",0)</f>
        <v>InvestPro</v>
      </c>
      <c r="D502" t="str">
        <f>_xlfn.XLOOKUP(Table6[[#This Row],[app_id]],Table5[app_id],Table5[category],"",0)</f>
        <v>Finance</v>
      </c>
      <c r="E502" t="s">
        <v>533</v>
      </c>
      <c r="F502" t="s">
        <v>538</v>
      </c>
      <c r="G502" t="s">
        <v>69</v>
      </c>
      <c r="H502" t="s">
        <v>535</v>
      </c>
      <c r="I502">
        <v>34</v>
      </c>
      <c r="J502">
        <v>22.9</v>
      </c>
      <c r="K502" t="s">
        <v>257</v>
      </c>
      <c r="L502" t="s">
        <v>257</v>
      </c>
      <c r="M502" t="s">
        <v>258</v>
      </c>
      <c r="N502" s="5">
        <v>0</v>
      </c>
    </row>
    <row r="503" spans="1:14" x14ac:dyDescent="0.25">
      <c r="A503" t="s">
        <v>1044</v>
      </c>
      <c r="B503" t="s">
        <v>19</v>
      </c>
      <c r="C503" t="str">
        <f>_xlfn.XLOOKUP(Table6[[#This Row],[app_id]],Table5[app_id],Table5[app_name],"",0)</f>
        <v>BankPro</v>
      </c>
      <c r="D503" t="str">
        <f>_xlfn.XLOOKUP(Table6[[#This Row],[app_id]],Table5[app_id],Table5[category],"",0)</f>
        <v>Finance</v>
      </c>
      <c r="E503" t="s">
        <v>533</v>
      </c>
      <c r="F503" t="s">
        <v>548</v>
      </c>
      <c r="G503" t="s">
        <v>69</v>
      </c>
      <c r="H503" t="s">
        <v>535</v>
      </c>
      <c r="I503">
        <v>14</v>
      </c>
      <c r="J503">
        <v>9.1999999999999993</v>
      </c>
      <c r="K503" t="s">
        <v>258</v>
      </c>
      <c r="L503" t="s">
        <v>257</v>
      </c>
      <c r="M503" t="s">
        <v>258</v>
      </c>
      <c r="N503" s="5">
        <v>0</v>
      </c>
    </row>
    <row r="504" spans="1:14" x14ac:dyDescent="0.25">
      <c r="A504" t="s">
        <v>1045</v>
      </c>
      <c r="B504" t="s">
        <v>24</v>
      </c>
      <c r="C504" t="str">
        <f>_xlfn.XLOOKUP(Table6[[#This Row],[app_id]],Table5[app_id],Table5[app_name],"",0)</f>
        <v>BankX</v>
      </c>
      <c r="D504" t="str">
        <f>_xlfn.XLOOKUP(Table6[[#This Row],[app_id]],Table5[app_id],Table5[category],"",0)</f>
        <v>Finance</v>
      </c>
      <c r="E504" t="s">
        <v>546</v>
      </c>
      <c r="F504" t="s">
        <v>538</v>
      </c>
      <c r="G504" t="s">
        <v>69</v>
      </c>
      <c r="H504" t="s">
        <v>535</v>
      </c>
      <c r="I504">
        <v>19</v>
      </c>
      <c r="J504">
        <v>10</v>
      </c>
      <c r="K504" t="s">
        <v>258</v>
      </c>
      <c r="L504" t="s">
        <v>257</v>
      </c>
      <c r="M504" t="s">
        <v>258</v>
      </c>
      <c r="N504" s="5">
        <v>0</v>
      </c>
    </row>
    <row r="505" spans="1:14" x14ac:dyDescent="0.25">
      <c r="A505" t="s">
        <v>1046</v>
      </c>
      <c r="B505" t="s">
        <v>27</v>
      </c>
      <c r="C505" t="str">
        <f>_xlfn.XLOOKUP(Table6[[#This Row],[app_id]],Table5[app_id],Table5[app_name],"",0)</f>
        <v>BankNow</v>
      </c>
      <c r="D505" t="str">
        <f>_xlfn.XLOOKUP(Table6[[#This Row],[app_id]],Table5[app_id],Table5[category],"",0)</f>
        <v>Finance</v>
      </c>
      <c r="E505" t="s">
        <v>546</v>
      </c>
      <c r="F505" t="s">
        <v>534</v>
      </c>
      <c r="G505" t="s">
        <v>69</v>
      </c>
      <c r="H505" t="s">
        <v>535</v>
      </c>
      <c r="I505">
        <v>73</v>
      </c>
      <c r="J505">
        <v>22.3</v>
      </c>
      <c r="K505" t="s">
        <v>257</v>
      </c>
      <c r="L505" t="s">
        <v>258</v>
      </c>
      <c r="M505" t="s">
        <v>258</v>
      </c>
      <c r="N505" s="5">
        <v>0</v>
      </c>
    </row>
    <row r="506" spans="1:14" x14ac:dyDescent="0.25">
      <c r="A506" t="s">
        <v>1047</v>
      </c>
      <c r="B506" t="s">
        <v>31</v>
      </c>
      <c r="C506" t="str">
        <f>_xlfn.XLOOKUP(Table6[[#This Row],[app_id]],Table5[app_id],Table5[app_name],"",0)</f>
        <v>CreditHub</v>
      </c>
      <c r="D506" t="str">
        <f>_xlfn.XLOOKUP(Table6[[#This Row],[app_id]],Table5[app_id],Table5[category],"",0)</f>
        <v>Finance</v>
      </c>
      <c r="E506" t="s">
        <v>557</v>
      </c>
      <c r="F506" t="s">
        <v>538</v>
      </c>
      <c r="G506" t="s">
        <v>69</v>
      </c>
      <c r="H506" t="s">
        <v>535</v>
      </c>
      <c r="I506">
        <v>13</v>
      </c>
      <c r="J506">
        <v>11.5</v>
      </c>
      <c r="K506" t="s">
        <v>258</v>
      </c>
      <c r="L506" t="s">
        <v>258</v>
      </c>
      <c r="M506" t="s">
        <v>257</v>
      </c>
      <c r="N506" s="5">
        <v>0</v>
      </c>
    </row>
    <row r="507" spans="1:14" x14ac:dyDescent="0.25">
      <c r="A507" t="s">
        <v>1048</v>
      </c>
      <c r="B507" t="s">
        <v>36</v>
      </c>
      <c r="C507" t="str">
        <f>_xlfn.XLOOKUP(Table6[[#This Row],[app_id]],Table5[app_id],Table5[app_name],"",0)</f>
        <v>PayPlus</v>
      </c>
      <c r="D507" t="str">
        <f>_xlfn.XLOOKUP(Table6[[#This Row],[app_id]],Table5[app_id],Table5[category],"",0)</f>
        <v>Finance</v>
      </c>
      <c r="E507" t="s">
        <v>537</v>
      </c>
      <c r="F507" t="s">
        <v>534</v>
      </c>
      <c r="G507" t="s">
        <v>26</v>
      </c>
      <c r="H507" t="s">
        <v>535</v>
      </c>
      <c r="I507">
        <v>35</v>
      </c>
      <c r="J507">
        <v>11.6</v>
      </c>
      <c r="K507" t="s">
        <v>257</v>
      </c>
      <c r="L507" t="s">
        <v>257</v>
      </c>
      <c r="M507" t="s">
        <v>258</v>
      </c>
      <c r="N507" s="5">
        <v>0</v>
      </c>
    </row>
    <row r="508" spans="1:14" x14ac:dyDescent="0.25">
      <c r="A508" t="s">
        <v>1049</v>
      </c>
      <c r="B508" t="s">
        <v>39</v>
      </c>
      <c r="C508" t="str">
        <f>_xlfn.XLOOKUP(Table6[[#This Row],[app_id]],Table5[app_id],Table5[app_name],"",0)</f>
        <v>BankPlus</v>
      </c>
      <c r="D508" t="str">
        <f>_xlfn.XLOOKUP(Table6[[#This Row],[app_id]],Table5[app_id],Table5[category],"",0)</f>
        <v>Finance</v>
      </c>
      <c r="E508" t="s">
        <v>533</v>
      </c>
      <c r="F508" t="s">
        <v>538</v>
      </c>
      <c r="G508" t="s">
        <v>23</v>
      </c>
      <c r="H508" t="s">
        <v>535</v>
      </c>
      <c r="I508">
        <v>16</v>
      </c>
      <c r="J508">
        <v>8</v>
      </c>
      <c r="K508" t="s">
        <v>257</v>
      </c>
      <c r="L508" t="s">
        <v>257</v>
      </c>
      <c r="M508" t="s">
        <v>258</v>
      </c>
      <c r="N508" s="5">
        <v>8.1199999999999992</v>
      </c>
    </row>
    <row r="509" spans="1:14" x14ac:dyDescent="0.25">
      <c r="A509" t="s">
        <v>1050</v>
      </c>
      <c r="B509" t="s">
        <v>42</v>
      </c>
      <c r="C509" t="str">
        <f>_xlfn.XLOOKUP(Table6[[#This Row],[app_id]],Table5[app_id],Table5[app_name],"",0)</f>
        <v>CoinPlus</v>
      </c>
      <c r="D509" t="str">
        <f>_xlfn.XLOOKUP(Table6[[#This Row],[app_id]],Table5[app_id],Table5[category],"",0)</f>
        <v>Finance</v>
      </c>
      <c r="E509" t="s">
        <v>537</v>
      </c>
      <c r="F509" t="s">
        <v>534</v>
      </c>
      <c r="G509" t="s">
        <v>46</v>
      </c>
      <c r="H509" t="s">
        <v>535</v>
      </c>
      <c r="I509">
        <v>24</v>
      </c>
      <c r="J509">
        <v>14</v>
      </c>
      <c r="K509" t="s">
        <v>257</v>
      </c>
      <c r="L509" t="s">
        <v>257</v>
      </c>
      <c r="M509" t="s">
        <v>258</v>
      </c>
      <c r="N509" s="5">
        <v>70.260000000000005</v>
      </c>
    </row>
    <row r="510" spans="1:14" x14ac:dyDescent="0.25">
      <c r="A510" t="s">
        <v>1051</v>
      </c>
      <c r="B510" t="s">
        <v>47</v>
      </c>
      <c r="C510" t="str">
        <f>_xlfn.XLOOKUP(Table6[[#This Row],[app_id]],Table5[app_id],Table5[app_name],"",0)</f>
        <v>CreditOne</v>
      </c>
      <c r="D510" t="str">
        <f>_xlfn.XLOOKUP(Table6[[#This Row],[app_id]],Table5[app_id],Table5[category],"",0)</f>
        <v>Finance</v>
      </c>
      <c r="E510" t="s">
        <v>557</v>
      </c>
      <c r="F510" t="s">
        <v>534</v>
      </c>
      <c r="G510" t="s">
        <v>30</v>
      </c>
      <c r="H510" t="s">
        <v>535</v>
      </c>
      <c r="I510">
        <v>6</v>
      </c>
      <c r="J510">
        <v>22</v>
      </c>
      <c r="K510" t="s">
        <v>258</v>
      </c>
      <c r="L510" t="s">
        <v>258</v>
      </c>
      <c r="M510" t="s">
        <v>258</v>
      </c>
      <c r="N510" s="5">
        <v>0</v>
      </c>
    </row>
    <row r="511" spans="1:14" x14ac:dyDescent="0.25">
      <c r="A511" t="s">
        <v>1052</v>
      </c>
      <c r="B511" t="s">
        <v>49</v>
      </c>
      <c r="C511" t="str">
        <f>_xlfn.XLOOKUP(Table6[[#This Row],[app_id]],Table5[app_id],Table5[app_name],"",0)</f>
        <v>PayPro</v>
      </c>
      <c r="D511" t="str">
        <f>_xlfn.XLOOKUP(Table6[[#This Row],[app_id]],Table5[app_id],Table5[category],"",0)</f>
        <v>Finance</v>
      </c>
      <c r="E511" t="s">
        <v>537</v>
      </c>
      <c r="F511" t="s">
        <v>628</v>
      </c>
      <c r="G511" t="s">
        <v>61</v>
      </c>
      <c r="H511" t="s">
        <v>535</v>
      </c>
      <c r="I511">
        <v>75</v>
      </c>
      <c r="J511">
        <v>20.100000000000001</v>
      </c>
      <c r="K511" t="s">
        <v>257</v>
      </c>
      <c r="L511" t="s">
        <v>257</v>
      </c>
      <c r="M511" t="s">
        <v>258</v>
      </c>
      <c r="N511" s="5">
        <v>41.03</v>
      </c>
    </row>
    <row r="512" spans="1:14" x14ac:dyDescent="0.25">
      <c r="A512" t="s">
        <v>1053</v>
      </c>
      <c r="B512" t="s">
        <v>51</v>
      </c>
      <c r="C512" t="str">
        <f>_xlfn.XLOOKUP(Table6[[#This Row],[app_id]],Table5[app_id],Table5[app_name],"",0)</f>
        <v>Creditly</v>
      </c>
      <c r="D512" t="str">
        <f>_xlfn.XLOOKUP(Table6[[#This Row],[app_id]],Table5[app_id],Table5[category],"",0)</f>
        <v>Finance</v>
      </c>
      <c r="E512" t="s">
        <v>546</v>
      </c>
      <c r="F512" t="s">
        <v>534</v>
      </c>
      <c r="G512" t="s">
        <v>61</v>
      </c>
      <c r="H512" t="s">
        <v>540</v>
      </c>
      <c r="I512">
        <v>9</v>
      </c>
      <c r="J512">
        <v>21.5</v>
      </c>
      <c r="K512" t="s">
        <v>258</v>
      </c>
      <c r="L512" t="s">
        <v>258</v>
      </c>
      <c r="M512" t="s">
        <v>258</v>
      </c>
      <c r="N512" s="5">
        <v>0</v>
      </c>
    </row>
    <row r="513" spans="1:14" x14ac:dyDescent="0.25">
      <c r="A513" t="s">
        <v>1054</v>
      </c>
      <c r="B513" t="s">
        <v>53</v>
      </c>
      <c r="C513" t="str">
        <f>_xlfn.XLOOKUP(Table6[[#This Row],[app_id]],Table5[app_id],Table5[app_name],"",0)</f>
        <v>PayX</v>
      </c>
      <c r="D513" t="str">
        <f>_xlfn.XLOOKUP(Table6[[#This Row],[app_id]],Table5[app_id],Table5[category],"",0)</f>
        <v>Finance</v>
      </c>
      <c r="E513" t="s">
        <v>557</v>
      </c>
      <c r="F513" t="s">
        <v>534</v>
      </c>
      <c r="G513" t="s">
        <v>69</v>
      </c>
      <c r="H513" t="s">
        <v>535</v>
      </c>
      <c r="I513">
        <v>81</v>
      </c>
      <c r="J513">
        <v>16.600000000000001</v>
      </c>
      <c r="K513" t="s">
        <v>257</v>
      </c>
      <c r="L513" t="s">
        <v>257</v>
      </c>
      <c r="M513" t="s">
        <v>258</v>
      </c>
      <c r="N513" s="5">
        <v>0</v>
      </c>
    </row>
    <row r="514" spans="1:14" x14ac:dyDescent="0.25">
      <c r="A514" t="s">
        <v>1055</v>
      </c>
      <c r="B514" t="s">
        <v>56</v>
      </c>
      <c r="C514" t="str">
        <f>_xlfn.XLOOKUP(Table6[[#This Row],[app_id]],Table5[app_id],Table5[app_name],"",0)</f>
        <v>DealGo</v>
      </c>
      <c r="D514" t="str">
        <f>_xlfn.XLOOKUP(Table6[[#This Row],[app_id]],Table5[app_id],Table5[category],"",0)</f>
        <v>Shopping</v>
      </c>
      <c r="E514" t="s">
        <v>533</v>
      </c>
      <c r="F514" t="s">
        <v>534</v>
      </c>
      <c r="G514" t="s">
        <v>26</v>
      </c>
      <c r="H514" t="s">
        <v>535</v>
      </c>
      <c r="I514">
        <v>34</v>
      </c>
      <c r="J514">
        <v>22.6</v>
      </c>
      <c r="K514" t="s">
        <v>257</v>
      </c>
      <c r="L514" t="s">
        <v>257</v>
      </c>
      <c r="M514" t="s">
        <v>258</v>
      </c>
      <c r="N514" s="5">
        <v>0</v>
      </c>
    </row>
    <row r="515" spans="1:14" x14ac:dyDescent="0.25">
      <c r="A515" t="s">
        <v>1056</v>
      </c>
      <c r="B515" t="s">
        <v>62</v>
      </c>
      <c r="C515" t="str">
        <f>_xlfn.XLOOKUP(Table6[[#This Row],[app_id]],Table5[app_id],Table5[app_name],"",0)</f>
        <v>MallNow</v>
      </c>
      <c r="D515" t="str">
        <f>_xlfn.XLOOKUP(Table6[[#This Row],[app_id]],Table5[app_id],Table5[category],"",0)</f>
        <v>Shopping</v>
      </c>
      <c r="E515" t="s">
        <v>552</v>
      </c>
      <c r="F515" t="s">
        <v>534</v>
      </c>
      <c r="G515" t="s">
        <v>18</v>
      </c>
      <c r="H515" t="s">
        <v>540</v>
      </c>
      <c r="I515">
        <v>90</v>
      </c>
      <c r="J515">
        <v>8.8000000000000007</v>
      </c>
      <c r="K515" t="s">
        <v>257</v>
      </c>
      <c r="L515" t="s">
        <v>257</v>
      </c>
      <c r="M515" t="s">
        <v>257</v>
      </c>
      <c r="N515" s="5">
        <v>0</v>
      </c>
    </row>
    <row r="516" spans="1:14" x14ac:dyDescent="0.25">
      <c r="A516" t="s">
        <v>1057</v>
      </c>
      <c r="B516" t="s">
        <v>65</v>
      </c>
      <c r="C516" t="str">
        <f>_xlfn.XLOOKUP(Table6[[#This Row],[app_id]],Table5[app_id],Table5[app_name],"",0)</f>
        <v>DealPro</v>
      </c>
      <c r="D516" t="str">
        <f>_xlfn.XLOOKUP(Table6[[#This Row],[app_id]],Table5[app_id],Table5[category],"",0)</f>
        <v>Shopping</v>
      </c>
      <c r="E516" t="s">
        <v>537</v>
      </c>
      <c r="F516" t="s">
        <v>538</v>
      </c>
      <c r="G516" t="s">
        <v>61</v>
      </c>
      <c r="H516" t="s">
        <v>535</v>
      </c>
      <c r="I516">
        <v>69</v>
      </c>
      <c r="J516">
        <v>6.1</v>
      </c>
      <c r="K516" t="s">
        <v>257</v>
      </c>
      <c r="L516" t="s">
        <v>258</v>
      </c>
      <c r="M516" t="s">
        <v>258</v>
      </c>
      <c r="N516" s="5">
        <v>0</v>
      </c>
    </row>
    <row r="517" spans="1:14" x14ac:dyDescent="0.25">
      <c r="A517" t="s">
        <v>1058</v>
      </c>
      <c r="B517" t="s">
        <v>67</v>
      </c>
      <c r="C517" t="str">
        <f>_xlfn.XLOOKUP(Table6[[#This Row],[app_id]],Table5[app_id],Table5[app_name],"",0)</f>
        <v>StyleNow</v>
      </c>
      <c r="D517" t="str">
        <f>_xlfn.XLOOKUP(Table6[[#This Row],[app_id]],Table5[app_id],Table5[category],"",0)</f>
        <v>Shopping</v>
      </c>
      <c r="E517" t="s">
        <v>537</v>
      </c>
      <c r="F517" t="s">
        <v>548</v>
      </c>
      <c r="G517" t="s">
        <v>35</v>
      </c>
      <c r="H517" t="s">
        <v>535</v>
      </c>
      <c r="I517">
        <v>28</v>
      </c>
      <c r="J517">
        <v>18.8</v>
      </c>
      <c r="K517" t="s">
        <v>257</v>
      </c>
      <c r="L517" t="s">
        <v>257</v>
      </c>
      <c r="M517" t="s">
        <v>258</v>
      </c>
      <c r="N517" s="5">
        <v>33.69</v>
      </c>
    </row>
    <row r="518" spans="1:14" x14ac:dyDescent="0.25">
      <c r="A518" t="s">
        <v>1059</v>
      </c>
      <c r="B518" t="s">
        <v>70</v>
      </c>
      <c r="C518" t="str">
        <f>_xlfn.XLOOKUP(Table6[[#This Row],[app_id]],Table5[app_id],Table5[app_name],"",0)</f>
        <v>DealCloud</v>
      </c>
      <c r="D518" t="str">
        <f>_xlfn.XLOOKUP(Table6[[#This Row],[app_id]],Table5[app_id],Table5[category],"",0)</f>
        <v>Shopping</v>
      </c>
      <c r="E518" t="s">
        <v>552</v>
      </c>
      <c r="F518" t="s">
        <v>628</v>
      </c>
      <c r="G518" t="s">
        <v>61</v>
      </c>
      <c r="H518" t="s">
        <v>540</v>
      </c>
      <c r="I518">
        <v>88</v>
      </c>
      <c r="J518">
        <v>15.4</v>
      </c>
      <c r="K518" t="s">
        <v>257</v>
      </c>
      <c r="L518" t="s">
        <v>257</v>
      </c>
      <c r="M518" t="s">
        <v>258</v>
      </c>
      <c r="N518" s="5">
        <v>82.16</v>
      </c>
    </row>
    <row r="519" spans="1:14" x14ac:dyDescent="0.25">
      <c r="A519" t="s">
        <v>1060</v>
      </c>
      <c r="B519" t="s">
        <v>72</v>
      </c>
      <c r="C519" t="str">
        <f>_xlfn.XLOOKUP(Table6[[#This Row],[app_id]],Table5[app_id],Table5[app_name],"",0)</f>
        <v>CartCloud</v>
      </c>
      <c r="D519" t="str">
        <f>_xlfn.XLOOKUP(Table6[[#This Row],[app_id]],Table5[app_id],Table5[category],"",0)</f>
        <v>Shopping</v>
      </c>
      <c r="E519" t="s">
        <v>533</v>
      </c>
      <c r="F519" t="s">
        <v>534</v>
      </c>
      <c r="G519" t="s">
        <v>30</v>
      </c>
      <c r="H519" t="s">
        <v>535</v>
      </c>
      <c r="I519">
        <v>57</v>
      </c>
      <c r="J519">
        <v>6.9</v>
      </c>
      <c r="K519" t="s">
        <v>257</v>
      </c>
      <c r="L519" t="s">
        <v>257</v>
      </c>
      <c r="M519" t="s">
        <v>258</v>
      </c>
      <c r="N519" s="5">
        <v>0</v>
      </c>
    </row>
    <row r="520" spans="1:14" x14ac:dyDescent="0.25">
      <c r="A520" t="s">
        <v>1061</v>
      </c>
      <c r="B520" t="s">
        <v>74</v>
      </c>
      <c r="C520" t="str">
        <f>_xlfn.XLOOKUP(Table6[[#This Row],[app_id]],Table5[app_id],Table5[app_name],"",0)</f>
        <v>CartMate</v>
      </c>
      <c r="D520" t="str">
        <f>_xlfn.XLOOKUP(Table6[[#This Row],[app_id]],Table5[app_id],Table5[category],"",0)</f>
        <v>Shopping</v>
      </c>
      <c r="E520" t="s">
        <v>533</v>
      </c>
      <c r="F520" t="s">
        <v>534</v>
      </c>
      <c r="G520" t="s">
        <v>69</v>
      </c>
      <c r="H520" t="s">
        <v>540</v>
      </c>
      <c r="I520">
        <v>69</v>
      </c>
      <c r="J520">
        <v>6.3</v>
      </c>
      <c r="K520" t="s">
        <v>257</v>
      </c>
      <c r="L520" t="s">
        <v>257</v>
      </c>
      <c r="M520" t="s">
        <v>258</v>
      </c>
      <c r="N520" s="5">
        <v>0</v>
      </c>
    </row>
    <row r="521" spans="1:14" x14ac:dyDescent="0.25">
      <c r="A521" t="s">
        <v>1062</v>
      </c>
      <c r="B521" t="s">
        <v>76</v>
      </c>
      <c r="C521" t="str">
        <f>_xlfn.XLOOKUP(Table6[[#This Row],[app_id]],Table5[app_id],Table5[app_name],"",0)</f>
        <v>BazaarOne</v>
      </c>
      <c r="D521" t="str">
        <f>_xlfn.XLOOKUP(Table6[[#This Row],[app_id]],Table5[app_id],Table5[category],"",0)</f>
        <v>Shopping</v>
      </c>
      <c r="E521" t="s">
        <v>537</v>
      </c>
      <c r="F521" t="s">
        <v>538</v>
      </c>
      <c r="G521" t="s">
        <v>35</v>
      </c>
      <c r="H521" t="s">
        <v>535</v>
      </c>
      <c r="I521">
        <v>16</v>
      </c>
      <c r="J521">
        <v>15.4</v>
      </c>
      <c r="K521" t="s">
        <v>258</v>
      </c>
      <c r="L521" t="s">
        <v>258</v>
      </c>
      <c r="M521" t="s">
        <v>257</v>
      </c>
      <c r="N521" s="5">
        <v>0</v>
      </c>
    </row>
    <row r="522" spans="1:14" x14ac:dyDescent="0.25">
      <c r="A522" t="s">
        <v>1063</v>
      </c>
      <c r="B522" t="s">
        <v>78</v>
      </c>
      <c r="C522" t="str">
        <f>_xlfn.XLOOKUP(Table6[[#This Row],[app_id]],Table5[app_id],Table5[app_name],"",0)</f>
        <v>StyleOne</v>
      </c>
      <c r="D522" t="str">
        <f>_xlfn.XLOOKUP(Table6[[#This Row],[app_id]],Table5[app_id],Table5[category],"",0)</f>
        <v>Shopping</v>
      </c>
      <c r="E522" t="s">
        <v>533</v>
      </c>
      <c r="F522" t="s">
        <v>538</v>
      </c>
      <c r="G522" t="s">
        <v>18</v>
      </c>
      <c r="H522" t="s">
        <v>535</v>
      </c>
      <c r="I522">
        <v>22</v>
      </c>
      <c r="J522">
        <v>23.5</v>
      </c>
      <c r="K522" t="s">
        <v>258</v>
      </c>
      <c r="L522" t="s">
        <v>258</v>
      </c>
      <c r="M522" t="s">
        <v>258</v>
      </c>
      <c r="N522" s="5">
        <v>0</v>
      </c>
    </row>
    <row r="523" spans="1:14" x14ac:dyDescent="0.25">
      <c r="A523" t="s">
        <v>1064</v>
      </c>
      <c r="B523" t="s">
        <v>80</v>
      </c>
      <c r="C523" t="str">
        <f>_xlfn.XLOOKUP(Table6[[#This Row],[app_id]],Table5[app_id],Table5[app_name],"",0)</f>
        <v>Cartly</v>
      </c>
      <c r="D523" t="str">
        <f>_xlfn.XLOOKUP(Table6[[#This Row],[app_id]],Table5[app_id],Table5[category],"",0)</f>
        <v>Shopping</v>
      </c>
      <c r="E523" t="s">
        <v>537</v>
      </c>
      <c r="F523" t="s">
        <v>534</v>
      </c>
      <c r="G523" t="s">
        <v>23</v>
      </c>
      <c r="H523" t="s">
        <v>535</v>
      </c>
      <c r="I523">
        <v>3</v>
      </c>
      <c r="J523">
        <v>20.2</v>
      </c>
      <c r="K523" t="s">
        <v>258</v>
      </c>
      <c r="L523" t="s">
        <v>258</v>
      </c>
      <c r="M523" t="s">
        <v>258</v>
      </c>
      <c r="N523" s="5">
        <v>0</v>
      </c>
    </row>
    <row r="524" spans="1:14" x14ac:dyDescent="0.25">
      <c r="A524" t="s">
        <v>1065</v>
      </c>
      <c r="B524" t="s">
        <v>83</v>
      </c>
      <c r="C524" t="str">
        <f>_xlfn.XLOOKUP(Table6[[#This Row],[app_id]],Table5[app_id],Table5[app_name],"",0)</f>
        <v>BazaarCloud</v>
      </c>
      <c r="D524" t="str">
        <f>_xlfn.XLOOKUP(Table6[[#This Row],[app_id]],Table5[app_id],Table5[category],"",0)</f>
        <v>Shopping</v>
      </c>
      <c r="E524" t="s">
        <v>537</v>
      </c>
      <c r="F524" t="s">
        <v>534</v>
      </c>
      <c r="G524" t="s">
        <v>30</v>
      </c>
      <c r="H524" t="s">
        <v>535</v>
      </c>
      <c r="I524">
        <v>59</v>
      </c>
      <c r="J524">
        <v>22.7</v>
      </c>
      <c r="K524" t="s">
        <v>257</v>
      </c>
      <c r="L524" t="s">
        <v>257</v>
      </c>
      <c r="M524" t="s">
        <v>257</v>
      </c>
      <c r="N524" s="5">
        <v>0</v>
      </c>
    </row>
    <row r="525" spans="1:14" x14ac:dyDescent="0.25">
      <c r="A525" t="s">
        <v>1066</v>
      </c>
      <c r="B525" t="s">
        <v>85</v>
      </c>
      <c r="C525" t="str">
        <f>_xlfn.XLOOKUP(Table6[[#This Row],[app_id]],Table5[app_id],Table5[app_name],"",0)</f>
        <v>CartPro</v>
      </c>
      <c r="D525" t="str">
        <f>_xlfn.XLOOKUP(Table6[[#This Row],[app_id]],Table5[app_id],Table5[category],"",0)</f>
        <v>Shopping</v>
      </c>
      <c r="E525" t="s">
        <v>533</v>
      </c>
      <c r="F525" t="s">
        <v>534</v>
      </c>
      <c r="G525" t="s">
        <v>46</v>
      </c>
      <c r="H525" t="s">
        <v>535</v>
      </c>
      <c r="I525">
        <v>79</v>
      </c>
      <c r="J525">
        <v>11.1</v>
      </c>
      <c r="K525" t="s">
        <v>257</v>
      </c>
      <c r="L525" t="s">
        <v>258</v>
      </c>
      <c r="M525" t="s">
        <v>258</v>
      </c>
      <c r="N525" s="5">
        <v>0</v>
      </c>
    </row>
    <row r="526" spans="1:14" x14ac:dyDescent="0.25">
      <c r="A526" t="s">
        <v>1067</v>
      </c>
      <c r="B526" t="s">
        <v>87</v>
      </c>
      <c r="C526" t="str">
        <f>_xlfn.XLOOKUP(Table6[[#This Row],[app_id]],Table5[app_id],Table5[app_name],"",0)</f>
        <v>RunPlus</v>
      </c>
      <c r="D526" t="str">
        <f>_xlfn.XLOOKUP(Table6[[#This Row],[app_id]],Table5[app_id],Table5[category],"",0)</f>
        <v>Fitness</v>
      </c>
      <c r="E526" t="s">
        <v>533</v>
      </c>
      <c r="F526" t="s">
        <v>534</v>
      </c>
      <c r="G526" t="s">
        <v>30</v>
      </c>
      <c r="H526" t="s">
        <v>535</v>
      </c>
      <c r="I526">
        <v>75</v>
      </c>
      <c r="J526">
        <v>9.5</v>
      </c>
      <c r="K526" t="s">
        <v>257</v>
      </c>
      <c r="L526" t="s">
        <v>257</v>
      </c>
      <c r="M526" t="s">
        <v>258</v>
      </c>
      <c r="N526" s="5">
        <v>0</v>
      </c>
    </row>
    <row r="527" spans="1:14" x14ac:dyDescent="0.25">
      <c r="A527" t="s">
        <v>1068</v>
      </c>
      <c r="B527" t="s">
        <v>90</v>
      </c>
      <c r="C527" t="str">
        <f>_xlfn.XLOOKUP(Table6[[#This Row],[app_id]],Table5[app_id],Table5[app_name],"",0)</f>
        <v>TrainCloud</v>
      </c>
      <c r="D527" t="str">
        <f>_xlfn.XLOOKUP(Table6[[#This Row],[app_id]],Table5[app_id],Table5[category],"",0)</f>
        <v>Fitness</v>
      </c>
      <c r="E527" t="s">
        <v>533</v>
      </c>
      <c r="F527" t="s">
        <v>538</v>
      </c>
      <c r="G527" t="s">
        <v>26</v>
      </c>
      <c r="H527" t="s">
        <v>535</v>
      </c>
      <c r="I527">
        <v>59</v>
      </c>
      <c r="J527">
        <v>23.6</v>
      </c>
      <c r="K527" t="s">
        <v>257</v>
      </c>
      <c r="L527" t="s">
        <v>257</v>
      </c>
      <c r="M527" t="s">
        <v>258</v>
      </c>
      <c r="N527" s="5">
        <v>0</v>
      </c>
    </row>
    <row r="528" spans="1:14" x14ac:dyDescent="0.25">
      <c r="A528" t="s">
        <v>1069</v>
      </c>
      <c r="B528" t="s">
        <v>92</v>
      </c>
      <c r="C528" t="str">
        <f>_xlfn.XLOOKUP(Table6[[#This Row],[app_id]],Table5[app_id],Table5[app_name],"",0)</f>
        <v>Trainly</v>
      </c>
      <c r="D528" t="str">
        <f>_xlfn.XLOOKUP(Table6[[#This Row],[app_id]],Table5[app_id],Table5[category],"",0)</f>
        <v>Fitness</v>
      </c>
      <c r="E528" t="s">
        <v>533</v>
      </c>
      <c r="F528" t="s">
        <v>534</v>
      </c>
      <c r="G528" t="s">
        <v>61</v>
      </c>
      <c r="H528" t="s">
        <v>535</v>
      </c>
      <c r="I528">
        <v>19</v>
      </c>
      <c r="J528">
        <v>9.5</v>
      </c>
      <c r="K528" t="s">
        <v>257</v>
      </c>
      <c r="L528" t="s">
        <v>257</v>
      </c>
      <c r="M528" t="s">
        <v>257</v>
      </c>
      <c r="N528" s="5">
        <v>5.63</v>
      </c>
    </row>
    <row r="529" spans="1:14" x14ac:dyDescent="0.25">
      <c r="A529" t="s">
        <v>1070</v>
      </c>
      <c r="B529" t="s">
        <v>94</v>
      </c>
      <c r="C529" t="str">
        <f>_xlfn.XLOOKUP(Table6[[#This Row],[app_id]],Table5[app_id],Table5[app_name],"",0)</f>
        <v>LiftCloud</v>
      </c>
      <c r="D529" t="str">
        <f>_xlfn.XLOOKUP(Table6[[#This Row],[app_id]],Table5[app_id],Table5[category],"",0)</f>
        <v>Fitness</v>
      </c>
      <c r="E529" t="s">
        <v>533</v>
      </c>
      <c r="F529" t="s">
        <v>548</v>
      </c>
      <c r="G529" t="s">
        <v>23</v>
      </c>
      <c r="H529" t="s">
        <v>535</v>
      </c>
      <c r="I529">
        <v>17</v>
      </c>
      <c r="J529">
        <v>20.100000000000001</v>
      </c>
      <c r="K529" t="s">
        <v>257</v>
      </c>
      <c r="L529" t="s">
        <v>257</v>
      </c>
      <c r="M529" t="s">
        <v>258</v>
      </c>
      <c r="N529" s="5">
        <v>0</v>
      </c>
    </row>
    <row r="530" spans="1:14" x14ac:dyDescent="0.25">
      <c r="A530" t="s">
        <v>1071</v>
      </c>
      <c r="B530" t="s">
        <v>96</v>
      </c>
      <c r="C530" t="str">
        <f>_xlfn.XLOOKUP(Table6[[#This Row],[app_id]],Table5[app_id],Table5[app_name],"",0)</f>
        <v>MoveNow</v>
      </c>
      <c r="D530" t="str">
        <f>_xlfn.XLOOKUP(Table6[[#This Row],[app_id]],Table5[app_id],Table5[category],"",0)</f>
        <v>Fitness</v>
      </c>
      <c r="E530" t="s">
        <v>537</v>
      </c>
      <c r="F530" t="s">
        <v>534</v>
      </c>
      <c r="G530" t="s">
        <v>35</v>
      </c>
      <c r="H530" t="s">
        <v>535</v>
      </c>
      <c r="I530">
        <v>64</v>
      </c>
      <c r="J530">
        <v>14.2</v>
      </c>
      <c r="K530" t="s">
        <v>257</v>
      </c>
      <c r="L530" t="s">
        <v>257</v>
      </c>
      <c r="M530" t="s">
        <v>257</v>
      </c>
      <c r="N530" s="5">
        <v>0</v>
      </c>
    </row>
    <row r="531" spans="1:14" x14ac:dyDescent="0.25">
      <c r="A531" t="s">
        <v>1072</v>
      </c>
      <c r="B531" t="s">
        <v>98</v>
      </c>
      <c r="C531" t="str">
        <f>_xlfn.XLOOKUP(Table6[[#This Row],[app_id]],Table5[app_id],Table5[app_name],"",0)</f>
        <v>ActiveMate</v>
      </c>
      <c r="D531" t="str">
        <f>_xlfn.XLOOKUP(Table6[[#This Row],[app_id]],Table5[app_id],Table5[category],"",0)</f>
        <v>Fitness</v>
      </c>
      <c r="E531" t="s">
        <v>533</v>
      </c>
      <c r="F531" t="s">
        <v>538</v>
      </c>
      <c r="G531" t="s">
        <v>46</v>
      </c>
      <c r="H531" t="s">
        <v>535</v>
      </c>
      <c r="I531">
        <v>29</v>
      </c>
      <c r="J531">
        <v>40.4</v>
      </c>
      <c r="K531" t="s">
        <v>257</v>
      </c>
      <c r="L531" t="s">
        <v>257</v>
      </c>
      <c r="M531" t="s">
        <v>258</v>
      </c>
      <c r="N531" s="5">
        <v>9.91</v>
      </c>
    </row>
    <row r="532" spans="1:14" x14ac:dyDescent="0.25">
      <c r="A532" t="s">
        <v>1073</v>
      </c>
      <c r="B532" t="s">
        <v>100</v>
      </c>
      <c r="C532" t="str">
        <f>_xlfn.XLOOKUP(Table6[[#This Row],[app_id]],Table5[app_id],Table5[app_name],"",0)</f>
        <v>RunGo</v>
      </c>
      <c r="D532" t="str">
        <f>_xlfn.XLOOKUP(Table6[[#This Row],[app_id]],Table5[app_id],Table5[category],"",0)</f>
        <v>Fitness</v>
      </c>
      <c r="E532" t="s">
        <v>533</v>
      </c>
      <c r="F532" t="s">
        <v>538</v>
      </c>
      <c r="G532" t="s">
        <v>69</v>
      </c>
      <c r="H532" t="s">
        <v>535</v>
      </c>
      <c r="I532">
        <v>23</v>
      </c>
      <c r="J532">
        <v>15.5</v>
      </c>
      <c r="K532" t="s">
        <v>258</v>
      </c>
      <c r="L532" t="s">
        <v>258</v>
      </c>
      <c r="M532" t="s">
        <v>258</v>
      </c>
      <c r="N532" s="5">
        <v>0</v>
      </c>
    </row>
    <row r="533" spans="1:14" x14ac:dyDescent="0.25">
      <c r="A533" t="s">
        <v>1074</v>
      </c>
      <c r="B533" t="s">
        <v>102</v>
      </c>
      <c r="C533" t="str">
        <f>_xlfn.XLOOKUP(Table6[[#This Row],[app_id]],Table5[app_id],Table5[app_name],"",0)</f>
        <v>LiftPro</v>
      </c>
      <c r="D533" t="str">
        <f>_xlfn.XLOOKUP(Table6[[#This Row],[app_id]],Table5[app_id],Table5[category],"",0)</f>
        <v>Fitness</v>
      </c>
      <c r="E533" t="s">
        <v>533</v>
      </c>
      <c r="F533" t="s">
        <v>534</v>
      </c>
      <c r="G533" t="s">
        <v>61</v>
      </c>
      <c r="H533" t="s">
        <v>535</v>
      </c>
      <c r="I533">
        <v>55</v>
      </c>
      <c r="J533">
        <v>40.4</v>
      </c>
      <c r="K533" t="s">
        <v>257</v>
      </c>
      <c r="L533" t="s">
        <v>258</v>
      </c>
      <c r="M533" t="s">
        <v>258</v>
      </c>
      <c r="N533" s="5">
        <v>20.81</v>
      </c>
    </row>
    <row r="534" spans="1:14" x14ac:dyDescent="0.25">
      <c r="A534" t="s">
        <v>1075</v>
      </c>
      <c r="B534" t="s">
        <v>104</v>
      </c>
      <c r="C534" t="str">
        <f>_xlfn.XLOOKUP(Table6[[#This Row],[app_id]],Table5[app_id],Table5[app_name],"",0)</f>
        <v>LiftPro</v>
      </c>
      <c r="D534" t="str">
        <f>_xlfn.XLOOKUP(Table6[[#This Row],[app_id]],Table5[app_id],Table5[category],"",0)</f>
        <v>Fitness</v>
      </c>
      <c r="E534" t="s">
        <v>533</v>
      </c>
      <c r="F534" t="s">
        <v>538</v>
      </c>
      <c r="G534" t="s">
        <v>69</v>
      </c>
      <c r="H534" t="s">
        <v>535</v>
      </c>
      <c r="I534">
        <v>64</v>
      </c>
      <c r="J534">
        <v>40.299999999999997</v>
      </c>
      <c r="K534" t="s">
        <v>257</v>
      </c>
      <c r="L534" t="s">
        <v>257</v>
      </c>
      <c r="M534" t="s">
        <v>258</v>
      </c>
      <c r="N534" s="5">
        <v>0</v>
      </c>
    </row>
    <row r="535" spans="1:14" x14ac:dyDescent="0.25">
      <c r="A535" t="s">
        <v>1076</v>
      </c>
      <c r="B535" t="s">
        <v>105</v>
      </c>
      <c r="C535" t="str">
        <f>_xlfn.XLOOKUP(Table6[[#This Row],[app_id]],Table5[app_id],Table5[app_name],"",0)</f>
        <v>Liftly</v>
      </c>
      <c r="D535" t="str">
        <f>_xlfn.XLOOKUP(Table6[[#This Row],[app_id]],Table5[app_id],Table5[category],"",0)</f>
        <v>Fitness</v>
      </c>
      <c r="E535" t="s">
        <v>537</v>
      </c>
      <c r="F535" t="s">
        <v>534</v>
      </c>
      <c r="G535" t="s">
        <v>26</v>
      </c>
      <c r="H535" t="s">
        <v>535</v>
      </c>
      <c r="I535">
        <v>2</v>
      </c>
      <c r="J535">
        <v>27</v>
      </c>
      <c r="K535" t="s">
        <v>258</v>
      </c>
      <c r="L535" t="s">
        <v>257</v>
      </c>
      <c r="M535" t="s">
        <v>258</v>
      </c>
      <c r="N535" s="5">
        <v>0</v>
      </c>
    </row>
    <row r="536" spans="1:14" x14ac:dyDescent="0.25">
      <c r="A536" t="s">
        <v>1077</v>
      </c>
      <c r="B536" t="s">
        <v>107</v>
      </c>
      <c r="C536" t="str">
        <f>_xlfn.XLOOKUP(Table6[[#This Row],[app_id]],Table5[app_id],Table5[app_name],"",0)</f>
        <v>YogaHub</v>
      </c>
      <c r="D536" t="str">
        <f>_xlfn.XLOOKUP(Table6[[#This Row],[app_id]],Table5[app_id],Table5[category],"",0)</f>
        <v>Fitness</v>
      </c>
      <c r="E536" t="s">
        <v>533</v>
      </c>
      <c r="F536" t="s">
        <v>534</v>
      </c>
      <c r="G536" t="s">
        <v>18</v>
      </c>
      <c r="H536" t="s">
        <v>535</v>
      </c>
      <c r="I536">
        <v>19</v>
      </c>
      <c r="J536">
        <v>28.3</v>
      </c>
      <c r="K536" t="s">
        <v>258</v>
      </c>
      <c r="L536" t="s">
        <v>257</v>
      </c>
      <c r="M536" t="s">
        <v>258</v>
      </c>
      <c r="N536" s="5">
        <v>0</v>
      </c>
    </row>
    <row r="537" spans="1:14" x14ac:dyDescent="0.25">
      <c r="A537" t="s">
        <v>1078</v>
      </c>
      <c r="B537" t="s">
        <v>109</v>
      </c>
      <c r="C537" t="str">
        <f>_xlfn.XLOOKUP(Table6[[#This Row],[app_id]],Table5[app_id],Table5[app_name],"",0)</f>
        <v>MoveGo</v>
      </c>
      <c r="D537" t="str">
        <f>_xlfn.XLOOKUP(Table6[[#This Row],[app_id]],Table5[app_id],Table5[category],"",0)</f>
        <v>Fitness</v>
      </c>
      <c r="E537" t="s">
        <v>537</v>
      </c>
      <c r="F537" t="s">
        <v>534</v>
      </c>
      <c r="G537" t="s">
        <v>23</v>
      </c>
      <c r="H537" t="s">
        <v>535</v>
      </c>
      <c r="I537">
        <v>26</v>
      </c>
      <c r="J537">
        <v>41.3</v>
      </c>
      <c r="K537" t="s">
        <v>258</v>
      </c>
      <c r="L537" t="s">
        <v>258</v>
      </c>
      <c r="M537" t="s">
        <v>258</v>
      </c>
      <c r="N537" s="5">
        <v>0</v>
      </c>
    </row>
    <row r="538" spans="1:14" x14ac:dyDescent="0.25">
      <c r="A538" t="s">
        <v>1079</v>
      </c>
      <c r="B538" t="s">
        <v>111</v>
      </c>
      <c r="C538" t="str">
        <f>_xlfn.XLOOKUP(Table6[[#This Row],[app_id]],Table5[app_id],Table5[app_name],"",0)</f>
        <v>BrightNow</v>
      </c>
      <c r="D538" t="str">
        <f>_xlfn.XLOOKUP(Table6[[#This Row],[app_id]],Table5[app_id],Table5[category],"",0)</f>
        <v>Education</v>
      </c>
      <c r="E538" t="s">
        <v>546</v>
      </c>
      <c r="F538" t="s">
        <v>534</v>
      </c>
      <c r="G538" t="s">
        <v>35</v>
      </c>
      <c r="H538" t="s">
        <v>540</v>
      </c>
      <c r="I538">
        <v>14</v>
      </c>
      <c r="J538">
        <v>32.299999999999997</v>
      </c>
      <c r="K538" t="s">
        <v>258</v>
      </c>
      <c r="L538" t="s">
        <v>258</v>
      </c>
      <c r="M538" t="s">
        <v>258</v>
      </c>
      <c r="N538" s="5">
        <v>0</v>
      </c>
    </row>
    <row r="539" spans="1:14" x14ac:dyDescent="0.25">
      <c r="A539" t="s">
        <v>1080</v>
      </c>
      <c r="B539" t="s">
        <v>114</v>
      </c>
      <c r="C539" t="str">
        <f>_xlfn.XLOOKUP(Table6[[#This Row],[app_id]],Table5[app_id],Table5[app_name],"",0)</f>
        <v>StudyCloud</v>
      </c>
      <c r="D539" t="str">
        <f>_xlfn.XLOOKUP(Table6[[#This Row],[app_id]],Table5[app_id],Table5[category],"",0)</f>
        <v>Education</v>
      </c>
      <c r="E539" t="s">
        <v>546</v>
      </c>
      <c r="F539" t="s">
        <v>548</v>
      </c>
      <c r="G539" t="s">
        <v>35</v>
      </c>
      <c r="H539" t="s">
        <v>535</v>
      </c>
      <c r="I539">
        <v>34</v>
      </c>
      <c r="J539">
        <v>19.100000000000001</v>
      </c>
      <c r="K539" t="s">
        <v>257</v>
      </c>
      <c r="L539" t="s">
        <v>258</v>
      </c>
      <c r="M539" t="s">
        <v>258</v>
      </c>
      <c r="N539" s="5">
        <v>9.51</v>
      </c>
    </row>
    <row r="540" spans="1:14" x14ac:dyDescent="0.25">
      <c r="A540" t="s">
        <v>1081</v>
      </c>
      <c r="B540" t="s">
        <v>116</v>
      </c>
      <c r="C540" t="str">
        <f>_xlfn.XLOOKUP(Table6[[#This Row],[app_id]],Table5[app_id],Table5[app_name],"",0)</f>
        <v>SkillNow</v>
      </c>
      <c r="D540" t="str">
        <f>_xlfn.XLOOKUP(Table6[[#This Row],[app_id]],Table5[app_id],Table5[category],"",0)</f>
        <v>Education</v>
      </c>
      <c r="E540" t="s">
        <v>546</v>
      </c>
      <c r="F540" t="s">
        <v>538</v>
      </c>
      <c r="G540" t="s">
        <v>26</v>
      </c>
      <c r="H540" t="s">
        <v>535</v>
      </c>
      <c r="I540">
        <v>3</v>
      </c>
      <c r="J540">
        <v>21.1</v>
      </c>
      <c r="K540" t="s">
        <v>258</v>
      </c>
      <c r="L540" t="s">
        <v>257</v>
      </c>
      <c r="M540" t="s">
        <v>258</v>
      </c>
      <c r="N540" s="5">
        <v>0</v>
      </c>
    </row>
    <row r="541" spans="1:14" x14ac:dyDescent="0.25">
      <c r="A541" t="s">
        <v>1082</v>
      </c>
      <c r="B541" t="s">
        <v>118</v>
      </c>
      <c r="C541" t="str">
        <f>_xlfn.XLOOKUP(Table6[[#This Row],[app_id]],Table5[app_id],Table5[app_name],"",0)</f>
        <v>LearnMate</v>
      </c>
      <c r="D541" t="str">
        <f>_xlfn.XLOOKUP(Table6[[#This Row],[app_id]],Table5[app_id],Table5[category],"",0)</f>
        <v>Education</v>
      </c>
      <c r="E541" t="s">
        <v>533</v>
      </c>
      <c r="F541" t="s">
        <v>534</v>
      </c>
      <c r="G541" t="s">
        <v>26</v>
      </c>
      <c r="H541" t="s">
        <v>535</v>
      </c>
      <c r="I541">
        <v>8</v>
      </c>
      <c r="J541">
        <v>38.9</v>
      </c>
      <c r="K541" t="s">
        <v>258</v>
      </c>
      <c r="L541" t="s">
        <v>258</v>
      </c>
      <c r="M541" t="s">
        <v>258</v>
      </c>
      <c r="N541" s="5">
        <v>0</v>
      </c>
    </row>
    <row r="542" spans="1:14" x14ac:dyDescent="0.25">
      <c r="A542" t="s">
        <v>1083</v>
      </c>
      <c r="B542" t="s">
        <v>120</v>
      </c>
      <c r="C542" t="str">
        <f>_xlfn.XLOOKUP(Table6[[#This Row],[app_id]],Table5[app_id],Table5[app_name],"",0)</f>
        <v>QuestNow</v>
      </c>
      <c r="D542" t="str">
        <f>_xlfn.XLOOKUP(Table6[[#This Row],[app_id]],Table5[app_id],Table5[category],"",0)</f>
        <v>Education</v>
      </c>
      <c r="E542" t="s">
        <v>533</v>
      </c>
      <c r="F542" t="s">
        <v>538</v>
      </c>
      <c r="G542" t="s">
        <v>46</v>
      </c>
      <c r="H542" t="s">
        <v>535</v>
      </c>
      <c r="I542">
        <v>5</v>
      </c>
      <c r="J542">
        <v>41.2</v>
      </c>
      <c r="K542" t="s">
        <v>258</v>
      </c>
      <c r="L542" t="s">
        <v>258</v>
      </c>
      <c r="M542" t="s">
        <v>258</v>
      </c>
      <c r="N542" s="5">
        <v>0</v>
      </c>
    </row>
    <row r="543" spans="1:14" x14ac:dyDescent="0.25">
      <c r="A543" t="s">
        <v>1084</v>
      </c>
      <c r="B543" t="s">
        <v>122</v>
      </c>
      <c r="C543" t="str">
        <f>_xlfn.XLOOKUP(Table6[[#This Row],[app_id]],Table5[app_id],Table5[app_name],"",0)</f>
        <v>SkillHub</v>
      </c>
      <c r="D543" t="str">
        <f>_xlfn.XLOOKUP(Table6[[#This Row],[app_id]],Table5[app_id],Table5[category],"",0)</f>
        <v>Education</v>
      </c>
      <c r="E543" t="s">
        <v>557</v>
      </c>
      <c r="F543" t="s">
        <v>534</v>
      </c>
      <c r="G543" t="s">
        <v>30</v>
      </c>
      <c r="H543" t="s">
        <v>535</v>
      </c>
      <c r="I543">
        <v>24</v>
      </c>
      <c r="J543">
        <v>20.6</v>
      </c>
      <c r="K543" t="s">
        <v>258</v>
      </c>
      <c r="L543" t="s">
        <v>258</v>
      </c>
      <c r="M543" t="s">
        <v>257</v>
      </c>
      <c r="N543" s="5">
        <v>0</v>
      </c>
    </row>
    <row r="544" spans="1:14" x14ac:dyDescent="0.25">
      <c r="A544" t="s">
        <v>1085</v>
      </c>
      <c r="B544" t="s">
        <v>124</v>
      </c>
      <c r="C544" t="str">
        <f>_xlfn.XLOOKUP(Table6[[#This Row],[app_id]],Table5[app_id],Table5[app_name],"",0)</f>
        <v>TutorCloud</v>
      </c>
      <c r="D544" t="str">
        <f>_xlfn.XLOOKUP(Table6[[#This Row],[app_id]],Table5[app_id],Table5[category],"",0)</f>
        <v>Education</v>
      </c>
      <c r="E544" t="s">
        <v>557</v>
      </c>
      <c r="F544" t="s">
        <v>534</v>
      </c>
      <c r="G544" t="s">
        <v>35</v>
      </c>
      <c r="H544" t="s">
        <v>535</v>
      </c>
      <c r="I544">
        <v>77</v>
      </c>
      <c r="J544">
        <v>28.2</v>
      </c>
      <c r="K544" t="s">
        <v>257</v>
      </c>
      <c r="L544" t="s">
        <v>257</v>
      </c>
      <c r="M544" t="s">
        <v>258</v>
      </c>
      <c r="N544" s="5">
        <v>0</v>
      </c>
    </row>
    <row r="545" spans="1:14" x14ac:dyDescent="0.25">
      <c r="A545" t="s">
        <v>1086</v>
      </c>
      <c r="B545" t="s">
        <v>126</v>
      </c>
      <c r="C545" t="str">
        <f>_xlfn.XLOOKUP(Table6[[#This Row],[app_id]],Table5[app_id],Table5[app_name],"",0)</f>
        <v>SkillOne</v>
      </c>
      <c r="D545" t="str">
        <f>_xlfn.XLOOKUP(Table6[[#This Row],[app_id]],Table5[app_id],Table5[category],"",0)</f>
        <v>Education</v>
      </c>
      <c r="E545" t="s">
        <v>557</v>
      </c>
      <c r="F545" t="s">
        <v>534</v>
      </c>
      <c r="G545" t="s">
        <v>69</v>
      </c>
      <c r="H545" t="s">
        <v>535</v>
      </c>
      <c r="I545">
        <v>19</v>
      </c>
      <c r="J545">
        <v>23.3</v>
      </c>
      <c r="K545" t="s">
        <v>258</v>
      </c>
      <c r="L545" t="s">
        <v>257</v>
      </c>
      <c r="M545" t="s">
        <v>257</v>
      </c>
      <c r="N545" s="5">
        <v>0</v>
      </c>
    </row>
    <row r="546" spans="1:14" x14ac:dyDescent="0.25">
      <c r="A546" t="s">
        <v>1087</v>
      </c>
      <c r="B546" t="s">
        <v>128</v>
      </c>
      <c r="C546" t="str">
        <f>_xlfn.XLOOKUP(Table6[[#This Row],[app_id]],Table5[app_id],Table5[app_name],"",0)</f>
        <v>LearnOne</v>
      </c>
      <c r="D546" t="str">
        <f>_xlfn.XLOOKUP(Table6[[#This Row],[app_id]],Table5[app_id],Table5[category],"",0)</f>
        <v>Education</v>
      </c>
      <c r="E546" t="s">
        <v>557</v>
      </c>
      <c r="F546" t="s">
        <v>538</v>
      </c>
      <c r="G546" t="s">
        <v>26</v>
      </c>
      <c r="H546" t="s">
        <v>535</v>
      </c>
      <c r="I546">
        <v>53</v>
      </c>
      <c r="J546">
        <v>13.1</v>
      </c>
      <c r="K546" t="s">
        <v>257</v>
      </c>
      <c r="L546" t="s">
        <v>257</v>
      </c>
      <c r="M546" t="s">
        <v>258</v>
      </c>
      <c r="N546" s="5">
        <v>0</v>
      </c>
    </row>
    <row r="547" spans="1:14" x14ac:dyDescent="0.25">
      <c r="A547" t="s">
        <v>1088</v>
      </c>
      <c r="B547" t="s">
        <v>130</v>
      </c>
      <c r="C547" t="str">
        <f>_xlfn.XLOOKUP(Table6[[#This Row],[app_id]],Table5[app_id],Table5[app_name],"",0)</f>
        <v>LearnPlus</v>
      </c>
      <c r="D547" t="str">
        <f>_xlfn.XLOOKUP(Table6[[#This Row],[app_id]],Table5[app_id],Table5[category],"",0)</f>
        <v>Education</v>
      </c>
      <c r="E547" t="s">
        <v>546</v>
      </c>
      <c r="F547" t="s">
        <v>538</v>
      </c>
      <c r="G547" t="s">
        <v>69</v>
      </c>
      <c r="H547" t="s">
        <v>535</v>
      </c>
      <c r="I547">
        <v>20</v>
      </c>
      <c r="J547">
        <v>18</v>
      </c>
      <c r="K547" t="s">
        <v>258</v>
      </c>
      <c r="L547" t="s">
        <v>257</v>
      </c>
      <c r="M547" t="s">
        <v>258</v>
      </c>
      <c r="N547" s="5">
        <v>0</v>
      </c>
    </row>
    <row r="548" spans="1:14" x14ac:dyDescent="0.25">
      <c r="A548" t="s">
        <v>1089</v>
      </c>
      <c r="B548" t="s">
        <v>132</v>
      </c>
      <c r="C548" t="str">
        <f>_xlfn.XLOOKUP(Table6[[#This Row],[app_id]],Table5[app_id],Table5[app_name],"",0)</f>
        <v>StudyPlus</v>
      </c>
      <c r="D548" t="str">
        <f>_xlfn.XLOOKUP(Table6[[#This Row],[app_id]],Table5[app_id],Table5[category],"",0)</f>
        <v>Education</v>
      </c>
      <c r="E548" t="s">
        <v>537</v>
      </c>
      <c r="F548" t="s">
        <v>534</v>
      </c>
      <c r="G548" t="s">
        <v>18</v>
      </c>
      <c r="H548" t="s">
        <v>535</v>
      </c>
      <c r="I548">
        <v>79</v>
      </c>
      <c r="J548">
        <v>29.4</v>
      </c>
      <c r="K548" t="s">
        <v>257</v>
      </c>
      <c r="L548" t="s">
        <v>257</v>
      </c>
      <c r="M548" t="s">
        <v>258</v>
      </c>
      <c r="N548" s="5">
        <v>0</v>
      </c>
    </row>
    <row r="549" spans="1:14" x14ac:dyDescent="0.25">
      <c r="A549" t="s">
        <v>1090</v>
      </c>
      <c r="B549" t="s">
        <v>134</v>
      </c>
      <c r="C549" t="str">
        <f>_xlfn.XLOOKUP(Table6[[#This Row],[app_id]],Table5[app_id],Table5[app_name],"",0)</f>
        <v>StudyX</v>
      </c>
      <c r="D549" t="str">
        <f>_xlfn.XLOOKUP(Table6[[#This Row],[app_id]],Table5[app_id],Table5[category],"",0)</f>
        <v>Education</v>
      </c>
      <c r="E549" t="s">
        <v>537</v>
      </c>
      <c r="F549" t="s">
        <v>534</v>
      </c>
      <c r="G549" t="s">
        <v>18</v>
      </c>
      <c r="H549" t="s">
        <v>535</v>
      </c>
      <c r="I549">
        <v>26</v>
      </c>
      <c r="J549">
        <v>16.5</v>
      </c>
      <c r="K549" t="s">
        <v>258</v>
      </c>
      <c r="L549" t="s">
        <v>258</v>
      </c>
      <c r="M549" t="s">
        <v>258</v>
      </c>
      <c r="N549" s="5">
        <v>0</v>
      </c>
    </row>
    <row r="550" spans="1:14" x14ac:dyDescent="0.25">
      <c r="A550" t="s">
        <v>1091</v>
      </c>
      <c r="B550" t="s">
        <v>136</v>
      </c>
      <c r="C550" t="str">
        <f>_xlfn.XLOOKUP(Table6[[#This Row],[app_id]],Table5[app_id],Table5[app_name],"",0)</f>
        <v>PlayPlus</v>
      </c>
      <c r="D550" t="str">
        <f>_xlfn.XLOOKUP(Table6[[#This Row],[app_id]],Table5[app_id],Table5[category],"",0)</f>
        <v>Entertainment</v>
      </c>
      <c r="E550" t="s">
        <v>533</v>
      </c>
      <c r="F550" t="s">
        <v>538</v>
      </c>
      <c r="G550" t="s">
        <v>23</v>
      </c>
      <c r="H550" t="s">
        <v>535</v>
      </c>
      <c r="I550">
        <v>18</v>
      </c>
      <c r="J550">
        <v>8.1</v>
      </c>
      <c r="K550" t="s">
        <v>258</v>
      </c>
      <c r="L550" t="s">
        <v>258</v>
      </c>
      <c r="M550" t="s">
        <v>258</v>
      </c>
      <c r="N550" s="5">
        <v>0</v>
      </c>
    </row>
    <row r="551" spans="1:14" x14ac:dyDescent="0.25">
      <c r="A551" t="s">
        <v>1092</v>
      </c>
      <c r="B551" t="s">
        <v>139</v>
      </c>
      <c r="C551" t="str">
        <f>_xlfn.XLOOKUP(Table6[[#This Row],[app_id]],Table5[app_id],Table5[app_name],"",0)</f>
        <v>ShowMate</v>
      </c>
      <c r="D551" t="str">
        <f>_xlfn.XLOOKUP(Table6[[#This Row],[app_id]],Table5[app_id],Table5[category],"",0)</f>
        <v>Entertainment</v>
      </c>
      <c r="E551" t="s">
        <v>546</v>
      </c>
      <c r="F551" t="s">
        <v>534</v>
      </c>
      <c r="G551" t="s">
        <v>30</v>
      </c>
      <c r="H551" t="s">
        <v>535</v>
      </c>
      <c r="I551">
        <v>3</v>
      </c>
      <c r="J551">
        <v>16.8</v>
      </c>
      <c r="K551" t="s">
        <v>258</v>
      </c>
      <c r="L551" t="s">
        <v>257</v>
      </c>
      <c r="M551" t="s">
        <v>258</v>
      </c>
      <c r="N551" s="5">
        <v>0</v>
      </c>
    </row>
    <row r="552" spans="1:14" x14ac:dyDescent="0.25">
      <c r="A552" t="s">
        <v>1093</v>
      </c>
      <c r="B552" t="s">
        <v>141</v>
      </c>
      <c r="C552" t="str">
        <f>_xlfn.XLOOKUP(Table6[[#This Row],[app_id]],Table5[app_id],Table5[app_name],"",0)</f>
        <v>VibeX</v>
      </c>
      <c r="D552" t="str">
        <f>_xlfn.XLOOKUP(Table6[[#This Row],[app_id]],Table5[app_id],Table5[category],"",0)</f>
        <v>Entertainment</v>
      </c>
      <c r="E552" t="s">
        <v>546</v>
      </c>
      <c r="F552" t="s">
        <v>538</v>
      </c>
      <c r="G552" t="s">
        <v>23</v>
      </c>
      <c r="H552" t="s">
        <v>540</v>
      </c>
      <c r="I552">
        <v>17</v>
      </c>
      <c r="J552">
        <v>8.6</v>
      </c>
      <c r="K552" t="s">
        <v>258</v>
      </c>
      <c r="L552" t="s">
        <v>258</v>
      </c>
      <c r="M552" t="s">
        <v>258</v>
      </c>
      <c r="N552" s="5">
        <v>0</v>
      </c>
    </row>
    <row r="553" spans="1:14" x14ac:dyDescent="0.25">
      <c r="A553" t="s">
        <v>1094</v>
      </c>
      <c r="B553" t="s">
        <v>143</v>
      </c>
      <c r="C553" t="str">
        <f>_xlfn.XLOOKUP(Table6[[#This Row],[app_id]],Table5[app_id],Table5[app_name],"",0)</f>
        <v>BuzzNow</v>
      </c>
      <c r="D553" t="str">
        <f>_xlfn.XLOOKUP(Table6[[#This Row],[app_id]],Table5[app_id],Table5[category],"",0)</f>
        <v>Entertainment</v>
      </c>
      <c r="E553" t="s">
        <v>557</v>
      </c>
      <c r="F553" t="s">
        <v>534</v>
      </c>
      <c r="G553" t="s">
        <v>26</v>
      </c>
      <c r="H553" t="s">
        <v>535</v>
      </c>
      <c r="I553">
        <v>70</v>
      </c>
      <c r="J553">
        <v>15.2</v>
      </c>
      <c r="K553" t="s">
        <v>257</v>
      </c>
      <c r="L553" t="s">
        <v>257</v>
      </c>
      <c r="M553" t="s">
        <v>258</v>
      </c>
      <c r="N553" s="5">
        <v>32.96</v>
      </c>
    </row>
    <row r="554" spans="1:14" x14ac:dyDescent="0.25">
      <c r="A554" t="s">
        <v>1095</v>
      </c>
      <c r="B554" t="s">
        <v>145</v>
      </c>
      <c r="C554" t="str">
        <f>_xlfn.XLOOKUP(Table6[[#This Row],[app_id]],Table5[app_id],Table5[app_name],"",0)</f>
        <v>StreamPlus</v>
      </c>
      <c r="D554" t="str">
        <f>_xlfn.XLOOKUP(Table6[[#This Row],[app_id]],Table5[app_id],Table5[category],"",0)</f>
        <v>Entertainment</v>
      </c>
      <c r="E554" t="s">
        <v>552</v>
      </c>
      <c r="F554" t="s">
        <v>548</v>
      </c>
      <c r="G554" t="s">
        <v>46</v>
      </c>
      <c r="H554" t="s">
        <v>535</v>
      </c>
      <c r="I554">
        <v>20</v>
      </c>
      <c r="J554">
        <v>10.7</v>
      </c>
      <c r="K554" t="s">
        <v>258</v>
      </c>
      <c r="L554" t="s">
        <v>257</v>
      </c>
      <c r="M554" t="s">
        <v>258</v>
      </c>
      <c r="N554" s="5">
        <v>0</v>
      </c>
    </row>
    <row r="555" spans="1:14" x14ac:dyDescent="0.25">
      <c r="A555" t="s">
        <v>1096</v>
      </c>
      <c r="B555" t="s">
        <v>147</v>
      </c>
      <c r="C555" t="str">
        <f>_xlfn.XLOOKUP(Table6[[#This Row],[app_id]],Table5[app_id],Table5[app_name],"",0)</f>
        <v>Showly</v>
      </c>
      <c r="D555" t="str">
        <f>_xlfn.XLOOKUP(Table6[[#This Row],[app_id]],Table5[app_id],Table5[category],"",0)</f>
        <v>Entertainment</v>
      </c>
      <c r="E555" t="s">
        <v>533</v>
      </c>
      <c r="F555" t="s">
        <v>534</v>
      </c>
      <c r="G555" t="s">
        <v>23</v>
      </c>
      <c r="H555" t="s">
        <v>535</v>
      </c>
      <c r="I555">
        <v>16</v>
      </c>
      <c r="J555">
        <v>39.9</v>
      </c>
      <c r="K555" t="s">
        <v>258</v>
      </c>
      <c r="L555" t="s">
        <v>257</v>
      </c>
      <c r="M555" t="s">
        <v>258</v>
      </c>
      <c r="N555" s="5">
        <v>0</v>
      </c>
    </row>
    <row r="556" spans="1:14" x14ac:dyDescent="0.25">
      <c r="A556" t="s">
        <v>1097</v>
      </c>
      <c r="B556" t="s">
        <v>149</v>
      </c>
      <c r="C556" t="str">
        <f>_xlfn.XLOOKUP(Table6[[#This Row],[app_id]],Table5[app_id],Table5[app_name],"",0)</f>
        <v>BuzzOne</v>
      </c>
      <c r="D556" t="str">
        <f>_xlfn.XLOOKUP(Table6[[#This Row],[app_id]],Table5[app_id],Table5[category],"",0)</f>
        <v>Entertainment</v>
      </c>
      <c r="E556" t="s">
        <v>537</v>
      </c>
      <c r="F556" t="s">
        <v>548</v>
      </c>
      <c r="G556" t="s">
        <v>30</v>
      </c>
      <c r="H556" t="s">
        <v>535</v>
      </c>
      <c r="I556">
        <v>90</v>
      </c>
      <c r="J556">
        <v>18.5</v>
      </c>
      <c r="K556" t="s">
        <v>257</v>
      </c>
      <c r="L556" t="s">
        <v>257</v>
      </c>
      <c r="M556" t="s">
        <v>258</v>
      </c>
      <c r="N556" s="5">
        <v>43.02</v>
      </c>
    </row>
    <row r="557" spans="1:14" x14ac:dyDescent="0.25">
      <c r="A557" t="s">
        <v>1098</v>
      </c>
      <c r="B557" t="s">
        <v>151</v>
      </c>
      <c r="C557" t="str">
        <f>_xlfn.XLOOKUP(Table6[[#This Row],[app_id]],Table5[app_id],Table5[app_name],"",0)</f>
        <v>PlayHub</v>
      </c>
      <c r="D557" t="str">
        <f>_xlfn.XLOOKUP(Table6[[#This Row],[app_id]],Table5[app_id],Table5[category],"",0)</f>
        <v>Entertainment</v>
      </c>
      <c r="E557" t="s">
        <v>546</v>
      </c>
      <c r="F557" t="s">
        <v>538</v>
      </c>
      <c r="G557" t="s">
        <v>18</v>
      </c>
      <c r="H557" t="s">
        <v>535</v>
      </c>
      <c r="I557">
        <v>33</v>
      </c>
      <c r="J557">
        <v>13.7</v>
      </c>
      <c r="K557" t="s">
        <v>257</v>
      </c>
      <c r="L557" t="s">
        <v>258</v>
      </c>
      <c r="M557" t="s">
        <v>258</v>
      </c>
      <c r="N557" s="5">
        <v>0</v>
      </c>
    </row>
    <row r="558" spans="1:14" x14ac:dyDescent="0.25">
      <c r="A558" t="s">
        <v>1099</v>
      </c>
      <c r="B558" t="s">
        <v>153</v>
      </c>
      <c r="C558" t="str">
        <f>_xlfn.XLOOKUP(Table6[[#This Row],[app_id]],Table5[app_id],Table5[app_name],"",0)</f>
        <v>CinemaGo</v>
      </c>
      <c r="D558" t="str">
        <f>_xlfn.XLOOKUP(Table6[[#This Row],[app_id]],Table5[app_id],Table5[category],"",0)</f>
        <v>Entertainment</v>
      </c>
      <c r="E558" t="s">
        <v>533</v>
      </c>
      <c r="F558" t="s">
        <v>538</v>
      </c>
      <c r="G558" t="s">
        <v>35</v>
      </c>
      <c r="H558" t="s">
        <v>535</v>
      </c>
      <c r="I558">
        <v>5</v>
      </c>
      <c r="J558">
        <v>17.100000000000001</v>
      </c>
      <c r="K558" t="s">
        <v>258</v>
      </c>
      <c r="L558" t="s">
        <v>257</v>
      </c>
      <c r="M558" t="s">
        <v>258</v>
      </c>
      <c r="N558" s="5">
        <v>0</v>
      </c>
    </row>
    <row r="559" spans="1:14" x14ac:dyDescent="0.25">
      <c r="A559" t="s">
        <v>1100</v>
      </c>
      <c r="B559" t="s">
        <v>155</v>
      </c>
      <c r="C559" t="str">
        <f>_xlfn.XLOOKUP(Table6[[#This Row],[app_id]],Table5[app_id],Table5[app_name],"",0)</f>
        <v>LaughX</v>
      </c>
      <c r="D559" t="str">
        <f>_xlfn.XLOOKUP(Table6[[#This Row],[app_id]],Table5[app_id],Table5[category],"",0)</f>
        <v>Entertainment</v>
      </c>
      <c r="E559" t="s">
        <v>537</v>
      </c>
      <c r="F559" t="s">
        <v>534</v>
      </c>
      <c r="G559" t="s">
        <v>69</v>
      </c>
      <c r="H559" t="s">
        <v>535</v>
      </c>
      <c r="I559">
        <v>3</v>
      </c>
      <c r="J559">
        <v>22</v>
      </c>
      <c r="K559" t="s">
        <v>258</v>
      </c>
      <c r="L559" t="s">
        <v>258</v>
      </c>
      <c r="M559" t="s">
        <v>258</v>
      </c>
      <c r="N559" s="5">
        <v>0</v>
      </c>
    </row>
    <row r="560" spans="1:14" x14ac:dyDescent="0.25">
      <c r="A560" t="s">
        <v>1101</v>
      </c>
      <c r="B560" t="s">
        <v>157</v>
      </c>
      <c r="C560" t="str">
        <f>_xlfn.XLOOKUP(Table6[[#This Row],[app_id]],Table5[app_id],Table5[app_name],"",0)</f>
        <v>CinemaHub</v>
      </c>
      <c r="D560" t="str">
        <f>_xlfn.XLOOKUP(Table6[[#This Row],[app_id]],Table5[app_id],Table5[category],"",0)</f>
        <v>Entertainment</v>
      </c>
      <c r="E560" t="s">
        <v>537</v>
      </c>
      <c r="F560" t="s">
        <v>628</v>
      </c>
      <c r="G560" t="s">
        <v>69</v>
      </c>
      <c r="H560" t="s">
        <v>535</v>
      </c>
      <c r="I560">
        <v>8</v>
      </c>
      <c r="J560">
        <v>11.6</v>
      </c>
      <c r="K560" t="s">
        <v>258</v>
      </c>
      <c r="L560" t="s">
        <v>257</v>
      </c>
      <c r="M560" t="s">
        <v>258</v>
      </c>
      <c r="N560" s="5">
        <v>0</v>
      </c>
    </row>
    <row r="561" spans="1:14" x14ac:dyDescent="0.25">
      <c r="A561" t="s">
        <v>1102</v>
      </c>
      <c r="B561" t="s">
        <v>159</v>
      </c>
      <c r="C561" t="str">
        <f>_xlfn.XLOOKUP(Table6[[#This Row],[app_id]],Table5[app_id],Table5[app_name],"",0)</f>
        <v>ShowPro</v>
      </c>
      <c r="D561" t="str">
        <f>_xlfn.XLOOKUP(Table6[[#This Row],[app_id]],Table5[app_id],Table5[category],"",0)</f>
        <v>Entertainment</v>
      </c>
      <c r="E561" t="s">
        <v>537</v>
      </c>
      <c r="F561" t="s">
        <v>538</v>
      </c>
      <c r="G561" t="s">
        <v>46</v>
      </c>
      <c r="H561" t="s">
        <v>540</v>
      </c>
      <c r="I561">
        <v>56</v>
      </c>
      <c r="J561">
        <v>11.5</v>
      </c>
      <c r="K561" t="s">
        <v>257</v>
      </c>
      <c r="L561" t="s">
        <v>257</v>
      </c>
      <c r="M561" t="s">
        <v>258</v>
      </c>
      <c r="N561" s="5">
        <v>0</v>
      </c>
    </row>
    <row r="562" spans="1:14" x14ac:dyDescent="0.25">
      <c r="A562" t="s">
        <v>1103</v>
      </c>
      <c r="B562" t="s">
        <v>161</v>
      </c>
      <c r="C562" t="str">
        <f>_xlfn.XLOOKUP(Table6[[#This Row],[app_id]],Table5[app_id],Table5[app_name],"",0)</f>
        <v>FoodPlus</v>
      </c>
      <c r="D562" t="str">
        <f>_xlfn.XLOOKUP(Table6[[#This Row],[app_id]],Table5[app_id],Table5[category],"",0)</f>
        <v>Food Delivery</v>
      </c>
      <c r="E562" t="s">
        <v>537</v>
      </c>
      <c r="F562" t="s">
        <v>534</v>
      </c>
      <c r="G562" t="s">
        <v>26</v>
      </c>
      <c r="H562" t="s">
        <v>535</v>
      </c>
      <c r="I562">
        <v>6</v>
      </c>
      <c r="J562">
        <v>21.6</v>
      </c>
      <c r="K562" t="s">
        <v>258</v>
      </c>
      <c r="L562" t="s">
        <v>258</v>
      </c>
      <c r="M562" t="s">
        <v>258</v>
      </c>
      <c r="N562" s="5">
        <v>0</v>
      </c>
    </row>
    <row r="563" spans="1:14" x14ac:dyDescent="0.25">
      <c r="A563" t="s">
        <v>1104</v>
      </c>
      <c r="B563" t="s">
        <v>164</v>
      </c>
      <c r="C563" t="str">
        <f>_xlfn.XLOOKUP(Table6[[#This Row],[app_id]],Table5[app_id],Table5[app_name],"",0)</f>
        <v>BiteGo</v>
      </c>
      <c r="D563" t="str">
        <f>_xlfn.XLOOKUP(Table6[[#This Row],[app_id]],Table5[app_id],Table5[category],"",0)</f>
        <v>Food Delivery</v>
      </c>
      <c r="E563" t="s">
        <v>533</v>
      </c>
      <c r="F563" t="s">
        <v>534</v>
      </c>
      <c r="G563" t="s">
        <v>35</v>
      </c>
      <c r="H563" t="s">
        <v>535</v>
      </c>
      <c r="I563">
        <v>68</v>
      </c>
      <c r="J563">
        <v>13.1</v>
      </c>
      <c r="K563" t="s">
        <v>257</v>
      </c>
      <c r="L563" t="s">
        <v>258</v>
      </c>
      <c r="M563" t="s">
        <v>258</v>
      </c>
      <c r="N563" s="5">
        <v>0</v>
      </c>
    </row>
    <row r="564" spans="1:14" x14ac:dyDescent="0.25">
      <c r="A564" t="s">
        <v>1105</v>
      </c>
      <c r="B564" t="s">
        <v>166</v>
      </c>
      <c r="C564" t="str">
        <f>_xlfn.XLOOKUP(Table6[[#This Row],[app_id]],Table5[app_id],Table5[app_name],"",0)</f>
        <v>OrderCloud</v>
      </c>
      <c r="D564" t="str">
        <f>_xlfn.XLOOKUP(Table6[[#This Row],[app_id]],Table5[app_id],Table5[category],"",0)</f>
        <v>Food Delivery</v>
      </c>
      <c r="E564" t="s">
        <v>533</v>
      </c>
      <c r="F564" t="s">
        <v>628</v>
      </c>
      <c r="G564" t="s">
        <v>61</v>
      </c>
      <c r="H564" t="s">
        <v>535</v>
      </c>
      <c r="I564">
        <v>93</v>
      </c>
      <c r="J564">
        <v>10.1</v>
      </c>
      <c r="K564" t="s">
        <v>257</v>
      </c>
      <c r="L564" t="s">
        <v>257</v>
      </c>
      <c r="M564" t="s">
        <v>257</v>
      </c>
      <c r="N564" s="5">
        <v>3.56</v>
      </c>
    </row>
    <row r="565" spans="1:14" x14ac:dyDescent="0.25">
      <c r="A565" t="s">
        <v>1106</v>
      </c>
      <c r="B565" t="s">
        <v>168</v>
      </c>
      <c r="C565" t="str">
        <f>_xlfn.XLOOKUP(Table6[[#This Row],[app_id]],Table5[app_id],Table5[app_name],"",0)</f>
        <v>DinePlus</v>
      </c>
      <c r="D565" t="str">
        <f>_xlfn.XLOOKUP(Table6[[#This Row],[app_id]],Table5[app_id],Table5[category],"",0)</f>
        <v>Food Delivery</v>
      </c>
      <c r="E565" t="s">
        <v>546</v>
      </c>
      <c r="F565" t="s">
        <v>538</v>
      </c>
      <c r="G565" t="s">
        <v>30</v>
      </c>
      <c r="H565" t="s">
        <v>535</v>
      </c>
      <c r="I565">
        <v>29</v>
      </c>
      <c r="J565">
        <v>22.2</v>
      </c>
      <c r="K565" t="s">
        <v>257</v>
      </c>
      <c r="L565" t="s">
        <v>257</v>
      </c>
      <c r="M565" t="s">
        <v>258</v>
      </c>
      <c r="N565" s="5">
        <v>0</v>
      </c>
    </row>
    <row r="566" spans="1:14" x14ac:dyDescent="0.25">
      <c r="A566" t="s">
        <v>1107</v>
      </c>
      <c r="B566" t="s">
        <v>170</v>
      </c>
      <c r="C566" t="str">
        <f>_xlfn.XLOOKUP(Table6[[#This Row],[app_id]],Table5[app_id],Table5[app_name],"",0)</f>
        <v>SnackX</v>
      </c>
      <c r="D566" t="str">
        <f>_xlfn.XLOOKUP(Table6[[#This Row],[app_id]],Table5[app_id],Table5[category],"",0)</f>
        <v>Food Delivery</v>
      </c>
      <c r="E566" t="s">
        <v>533</v>
      </c>
      <c r="F566" t="s">
        <v>534</v>
      </c>
      <c r="G566" t="s">
        <v>69</v>
      </c>
      <c r="H566" t="s">
        <v>535</v>
      </c>
      <c r="I566">
        <v>20</v>
      </c>
      <c r="J566">
        <v>8.6999999999999993</v>
      </c>
      <c r="K566" t="s">
        <v>258</v>
      </c>
      <c r="L566" t="s">
        <v>258</v>
      </c>
      <c r="M566" t="s">
        <v>258</v>
      </c>
      <c r="N566" s="5">
        <v>12.56</v>
      </c>
    </row>
    <row r="567" spans="1:14" x14ac:dyDescent="0.25">
      <c r="A567" t="s">
        <v>1108</v>
      </c>
      <c r="B567" t="s">
        <v>172</v>
      </c>
      <c r="C567" t="str">
        <f>_xlfn.XLOOKUP(Table6[[#This Row],[app_id]],Table5[app_id],Table5[app_name],"",0)</f>
        <v>FoodOne</v>
      </c>
      <c r="D567" t="str">
        <f>_xlfn.XLOOKUP(Table6[[#This Row],[app_id]],Table5[app_id],Table5[category],"",0)</f>
        <v>Food Delivery</v>
      </c>
      <c r="E567" t="s">
        <v>546</v>
      </c>
      <c r="F567" t="s">
        <v>628</v>
      </c>
      <c r="G567" t="s">
        <v>26</v>
      </c>
      <c r="H567" t="s">
        <v>535</v>
      </c>
      <c r="I567">
        <v>25</v>
      </c>
      <c r="J567">
        <v>16.2</v>
      </c>
      <c r="K567" t="s">
        <v>258</v>
      </c>
      <c r="L567" t="s">
        <v>258</v>
      </c>
      <c r="M567" t="s">
        <v>258</v>
      </c>
      <c r="N567" s="5">
        <v>0</v>
      </c>
    </row>
    <row r="568" spans="1:14" x14ac:dyDescent="0.25">
      <c r="A568" t="s">
        <v>1109</v>
      </c>
      <c r="B568" t="s">
        <v>174</v>
      </c>
      <c r="C568" t="str">
        <f>_xlfn.XLOOKUP(Table6[[#This Row],[app_id]],Table5[app_id],Table5[app_name],"",0)</f>
        <v>MealMate</v>
      </c>
      <c r="D568" t="str">
        <f>_xlfn.XLOOKUP(Table6[[#This Row],[app_id]],Table5[app_id],Table5[category],"",0)</f>
        <v>Food Delivery</v>
      </c>
      <c r="E568" t="s">
        <v>533</v>
      </c>
      <c r="F568" t="s">
        <v>548</v>
      </c>
      <c r="G568" t="s">
        <v>61</v>
      </c>
      <c r="H568" t="s">
        <v>535</v>
      </c>
      <c r="I568">
        <v>23</v>
      </c>
      <c r="J568">
        <v>21.1</v>
      </c>
      <c r="K568" t="s">
        <v>258</v>
      </c>
      <c r="L568" t="s">
        <v>258</v>
      </c>
      <c r="M568" t="s">
        <v>257</v>
      </c>
      <c r="N568" s="5">
        <v>0</v>
      </c>
    </row>
    <row r="569" spans="1:14" x14ac:dyDescent="0.25">
      <c r="A569" t="s">
        <v>1110</v>
      </c>
      <c r="B569" t="s">
        <v>176</v>
      </c>
      <c r="C569" t="str">
        <f>_xlfn.XLOOKUP(Table6[[#This Row],[app_id]],Table5[app_id],Table5[app_name],"",0)</f>
        <v>SnackHub</v>
      </c>
      <c r="D569" t="str">
        <f>_xlfn.XLOOKUP(Table6[[#This Row],[app_id]],Table5[app_id],Table5[category],"",0)</f>
        <v>Food Delivery</v>
      </c>
      <c r="E569" t="s">
        <v>546</v>
      </c>
      <c r="F569" t="s">
        <v>538</v>
      </c>
      <c r="G569" t="s">
        <v>18</v>
      </c>
      <c r="H569" t="s">
        <v>535</v>
      </c>
      <c r="I569">
        <v>18</v>
      </c>
      <c r="J569">
        <v>3.9</v>
      </c>
      <c r="K569" t="s">
        <v>258</v>
      </c>
      <c r="L569" t="s">
        <v>257</v>
      </c>
      <c r="M569" t="s">
        <v>258</v>
      </c>
      <c r="N569" s="5">
        <v>22.83</v>
      </c>
    </row>
    <row r="570" spans="1:14" x14ac:dyDescent="0.25">
      <c r="A570" t="s">
        <v>1111</v>
      </c>
      <c r="B570" t="s">
        <v>178</v>
      </c>
      <c r="C570" t="str">
        <f>_xlfn.XLOOKUP(Table6[[#This Row],[app_id]],Table5[app_id],Table5[app_name],"",0)</f>
        <v>BiteCloud</v>
      </c>
      <c r="D570" t="str">
        <f>_xlfn.XLOOKUP(Table6[[#This Row],[app_id]],Table5[app_id],Table5[category],"",0)</f>
        <v>Food Delivery</v>
      </c>
      <c r="E570" t="s">
        <v>546</v>
      </c>
      <c r="F570" t="s">
        <v>538</v>
      </c>
      <c r="G570" t="s">
        <v>23</v>
      </c>
      <c r="H570" t="s">
        <v>535</v>
      </c>
      <c r="I570">
        <v>23</v>
      </c>
      <c r="J570">
        <v>6.7</v>
      </c>
      <c r="K570" t="s">
        <v>257</v>
      </c>
      <c r="L570" t="s">
        <v>257</v>
      </c>
      <c r="M570" t="s">
        <v>258</v>
      </c>
      <c r="N570" s="5">
        <v>0</v>
      </c>
    </row>
    <row r="571" spans="1:14" x14ac:dyDescent="0.25">
      <c r="A571" t="s">
        <v>1112</v>
      </c>
      <c r="B571" t="s">
        <v>180</v>
      </c>
      <c r="C571" t="str">
        <f>_xlfn.XLOOKUP(Table6[[#This Row],[app_id]],Table5[app_id],Table5[app_name],"",0)</f>
        <v>PlatePlus</v>
      </c>
      <c r="D571" t="str">
        <f>_xlfn.XLOOKUP(Table6[[#This Row],[app_id]],Table5[app_id],Table5[category],"",0)</f>
        <v>Food Delivery</v>
      </c>
      <c r="E571" t="s">
        <v>537</v>
      </c>
      <c r="F571" t="s">
        <v>538</v>
      </c>
      <c r="G571" t="s">
        <v>46</v>
      </c>
      <c r="H571" t="s">
        <v>535</v>
      </c>
      <c r="I571">
        <v>45</v>
      </c>
      <c r="J571">
        <v>4.5</v>
      </c>
      <c r="K571" t="s">
        <v>257</v>
      </c>
      <c r="L571" t="s">
        <v>257</v>
      </c>
      <c r="M571" t="s">
        <v>258</v>
      </c>
      <c r="N571" s="5">
        <v>0</v>
      </c>
    </row>
    <row r="572" spans="1:14" x14ac:dyDescent="0.25">
      <c r="A572" t="s">
        <v>1113</v>
      </c>
      <c r="B572" t="s">
        <v>182</v>
      </c>
      <c r="C572" t="str">
        <f>_xlfn.XLOOKUP(Table6[[#This Row],[app_id]],Table5[app_id],Table5[app_name],"",0)</f>
        <v>VoyageGo</v>
      </c>
      <c r="D572" t="str">
        <f>_xlfn.XLOOKUP(Table6[[#This Row],[app_id]],Table5[app_id],Table5[category],"",0)</f>
        <v>Travel</v>
      </c>
      <c r="E572" t="s">
        <v>546</v>
      </c>
      <c r="F572" t="s">
        <v>538</v>
      </c>
      <c r="G572" t="s">
        <v>18</v>
      </c>
      <c r="H572" t="s">
        <v>535</v>
      </c>
      <c r="I572">
        <v>9</v>
      </c>
      <c r="J572">
        <v>7.2</v>
      </c>
      <c r="K572" t="s">
        <v>258</v>
      </c>
      <c r="L572" t="s">
        <v>258</v>
      </c>
      <c r="M572" t="s">
        <v>258</v>
      </c>
      <c r="N572" s="5">
        <v>0</v>
      </c>
    </row>
    <row r="573" spans="1:14" x14ac:dyDescent="0.25">
      <c r="A573" t="s">
        <v>1114</v>
      </c>
      <c r="B573" t="s">
        <v>185</v>
      </c>
      <c r="C573" t="str">
        <f>_xlfn.XLOOKUP(Table6[[#This Row],[app_id]],Table5[app_id],Table5[app_name],"",0)</f>
        <v>TripOne</v>
      </c>
      <c r="D573" t="str">
        <f>_xlfn.XLOOKUP(Table6[[#This Row],[app_id]],Table5[app_id],Table5[category],"",0)</f>
        <v>Travel</v>
      </c>
      <c r="E573" t="s">
        <v>537</v>
      </c>
      <c r="F573" t="s">
        <v>628</v>
      </c>
      <c r="G573" t="s">
        <v>18</v>
      </c>
      <c r="H573" t="s">
        <v>540</v>
      </c>
      <c r="I573">
        <v>12</v>
      </c>
      <c r="J573">
        <v>18.5</v>
      </c>
      <c r="K573" t="s">
        <v>258</v>
      </c>
      <c r="L573" t="s">
        <v>258</v>
      </c>
      <c r="M573" t="s">
        <v>257</v>
      </c>
      <c r="N573" s="5">
        <v>0</v>
      </c>
    </row>
    <row r="574" spans="1:14" x14ac:dyDescent="0.25">
      <c r="A574" t="s">
        <v>1115</v>
      </c>
      <c r="B574" t="s">
        <v>187</v>
      </c>
      <c r="C574" t="str">
        <f>_xlfn.XLOOKUP(Table6[[#This Row],[app_id]],Table5[app_id],Table5[app_name],"",0)</f>
        <v>FlyGo</v>
      </c>
      <c r="D574" t="str">
        <f>_xlfn.XLOOKUP(Table6[[#This Row],[app_id]],Table5[app_id],Table5[category],"",0)</f>
        <v>Travel</v>
      </c>
      <c r="E574" t="s">
        <v>537</v>
      </c>
      <c r="F574" t="s">
        <v>538</v>
      </c>
      <c r="G574" t="s">
        <v>35</v>
      </c>
      <c r="H574" t="s">
        <v>535</v>
      </c>
      <c r="I574">
        <v>6</v>
      </c>
      <c r="J574">
        <v>10.8</v>
      </c>
      <c r="K574" t="s">
        <v>258</v>
      </c>
      <c r="L574" t="s">
        <v>257</v>
      </c>
      <c r="M574" t="s">
        <v>257</v>
      </c>
      <c r="N574" s="5">
        <v>34.85</v>
      </c>
    </row>
    <row r="575" spans="1:14" x14ac:dyDescent="0.25">
      <c r="A575" t="s">
        <v>1116</v>
      </c>
      <c r="B575" t="s">
        <v>189</v>
      </c>
      <c r="C575" t="str">
        <f>_xlfn.XLOOKUP(Table6[[#This Row],[app_id]],Table5[app_id],Table5[app_name],"",0)</f>
        <v>MapX</v>
      </c>
      <c r="D575" t="str">
        <f>_xlfn.XLOOKUP(Table6[[#This Row],[app_id]],Table5[app_id],Table5[category],"",0)</f>
        <v>Travel</v>
      </c>
      <c r="E575" t="s">
        <v>537</v>
      </c>
      <c r="F575" t="s">
        <v>538</v>
      </c>
      <c r="G575" t="s">
        <v>69</v>
      </c>
      <c r="H575" t="s">
        <v>535</v>
      </c>
      <c r="I575">
        <v>90</v>
      </c>
      <c r="J575">
        <v>4.3</v>
      </c>
      <c r="K575" t="s">
        <v>257</v>
      </c>
      <c r="L575" t="s">
        <v>257</v>
      </c>
      <c r="M575" t="s">
        <v>258</v>
      </c>
      <c r="N575" s="5">
        <v>0</v>
      </c>
    </row>
    <row r="576" spans="1:14" x14ac:dyDescent="0.25">
      <c r="A576" t="s">
        <v>1117</v>
      </c>
      <c r="B576" t="s">
        <v>191</v>
      </c>
      <c r="C576" t="str">
        <f>_xlfn.XLOOKUP(Table6[[#This Row],[app_id]],Table5[app_id],Table5[app_name],"",0)</f>
        <v>StayX</v>
      </c>
      <c r="D576" t="str">
        <f>_xlfn.XLOOKUP(Table6[[#This Row],[app_id]],Table5[app_id],Table5[category],"",0)</f>
        <v>Travel</v>
      </c>
      <c r="E576" t="s">
        <v>533</v>
      </c>
      <c r="F576" t="s">
        <v>538</v>
      </c>
      <c r="G576" t="s">
        <v>26</v>
      </c>
      <c r="H576" t="s">
        <v>535</v>
      </c>
      <c r="I576">
        <v>38</v>
      </c>
      <c r="J576">
        <v>11.5</v>
      </c>
      <c r="K576" t="s">
        <v>257</v>
      </c>
      <c r="L576" t="s">
        <v>257</v>
      </c>
      <c r="M576" t="s">
        <v>258</v>
      </c>
      <c r="N576" s="5">
        <v>45.2</v>
      </c>
    </row>
    <row r="577" spans="1:14" x14ac:dyDescent="0.25">
      <c r="A577" t="s">
        <v>1118</v>
      </c>
      <c r="B577" t="s">
        <v>193</v>
      </c>
      <c r="C577" t="str">
        <f>_xlfn.XLOOKUP(Table6[[#This Row],[app_id]],Table5[app_id],Table5[app_name],"",0)</f>
        <v>GoNow</v>
      </c>
      <c r="D577" t="str">
        <f>_xlfn.XLOOKUP(Table6[[#This Row],[app_id]],Table5[app_id],Table5[category],"",0)</f>
        <v>Travel</v>
      </c>
      <c r="E577" t="s">
        <v>533</v>
      </c>
      <c r="F577" t="s">
        <v>534</v>
      </c>
      <c r="G577" t="s">
        <v>69</v>
      </c>
      <c r="H577" t="s">
        <v>535</v>
      </c>
      <c r="I577">
        <v>25</v>
      </c>
      <c r="J577">
        <v>14</v>
      </c>
      <c r="K577" t="s">
        <v>258</v>
      </c>
      <c r="L577" t="s">
        <v>257</v>
      </c>
      <c r="M577" t="s">
        <v>258</v>
      </c>
      <c r="N577" s="5">
        <v>0</v>
      </c>
    </row>
    <row r="578" spans="1:14" x14ac:dyDescent="0.25">
      <c r="A578" t="s">
        <v>1119</v>
      </c>
      <c r="B578" t="s">
        <v>195</v>
      </c>
      <c r="C578" t="str">
        <f>_xlfn.XLOOKUP(Table6[[#This Row],[app_id]],Table5[app_id],Table5[app_name],"",0)</f>
        <v>RouteGo</v>
      </c>
      <c r="D578" t="str">
        <f>_xlfn.XLOOKUP(Table6[[#This Row],[app_id]],Table5[app_id],Table5[category],"",0)</f>
        <v>Travel</v>
      </c>
      <c r="E578" t="s">
        <v>533</v>
      </c>
      <c r="F578" t="s">
        <v>534</v>
      </c>
      <c r="G578" t="s">
        <v>35</v>
      </c>
      <c r="H578" t="s">
        <v>535</v>
      </c>
      <c r="I578">
        <v>1</v>
      </c>
      <c r="J578">
        <v>21.2</v>
      </c>
      <c r="K578" t="s">
        <v>258</v>
      </c>
      <c r="L578" t="s">
        <v>257</v>
      </c>
      <c r="M578" t="s">
        <v>258</v>
      </c>
      <c r="N578" s="5">
        <v>0</v>
      </c>
    </row>
    <row r="579" spans="1:14" x14ac:dyDescent="0.25">
      <c r="A579" t="s">
        <v>1120</v>
      </c>
      <c r="B579" t="s">
        <v>197</v>
      </c>
      <c r="C579" t="str">
        <f>_xlfn.XLOOKUP(Table6[[#This Row],[app_id]],Table5[app_id],Table5[app_name],"",0)</f>
        <v>TripGo</v>
      </c>
      <c r="D579" t="str">
        <f>_xlfn.XLOOKUP(Table6[[#This Row],[app_id]],Table5[app_id],Table5[category],"",0)</f>
        <v>Travel</v>
      </c>
      <c r="E579" t="s">
        <v>546</v>
      </c>
      <c r="F579" t="s">
        <v>538</v>
      </c>
      <c r="G579" t="s">
        <v>30</v>
      </c>
      <c r="H579" t="s">
        <v>535</v>
      </c>
      <c r="I579">
        <v>3</v>
      </c>
      <c r="J579">
        <v>12.3</v>
      </c>
      <c r="K579" t="s">
        <v>258</v>
      </c>
      <c r="L579" t="s">
        <v>258</v>
      </c>
      <c r="M579" t="s">
        <v>258</v>
      </c>
      <c r="N579" s="5">
        <v>0</v>
      </c>
    </row>
    <row r="580" spans="1:14" x14ac:dyDescent="0.25">
      <c r="A580" t="s">
        <v>1121</v>
      </c>
      <c r="B580" t="s">
        <v>199</v>
      </c>
      <c r="C580" t="str">
        <f>_xlfn.XLOOKUP(Table6[[#This Row],[app_id]],Table5[app_id],Table5[app_name],"",0)</f>
        <v>Flyly</v>
      </c>
      <c r="D580" t="str">
        <f>_xlfn.XLOOKUP(Table6[[#This Row],[app_id]],Table5[app_id],Table5[category],"",0)</f>
        <v>Travel</v>
      </c>
      <c r="E580" t="s">
        <v>546</v>
      </c>
      <c r="F580" t="s">
        <v>534</v>
      </c>
      <c r="G580" t="s">
        <v>46</v>
      </c>
      <c r="H580" t="s">
        <v>535</v>
      </c>
      <c r="I580">
        <v>9</v>
      </c>
      <c r="J580">
        <v>4.4000000000000004</v>
      </c>
      <c r="K580" t="s">
        <v>258</v>
      </c>
      <c r="L580" t="s">
        <v>258</v>
      </c>
      <c r="M580" t="s">
        <v>257</v>
      </c>
      <c r="N580" s="5">
        <v>0</v>
      </c>
    </row>
    <row r="581" spans="1:14" x14ac:dyDescent="0.25">
      <c r="A581" t="s">
        <v>1122</v>
      </c>
      <c r="B581" t="s">
        <v>201</v>
      </c>
      <c r="C581" t="str">
        <f>_xlfn.XLOOKUP(Table6[[#This Row],[app_id]],Table5[app_id],Table5[app_name],"",0)</f>
        <v>TripPro</v>
      </c>
      <c r="D581" t="str">
        <f>_xlfn.XLOOKUP(Table6[[#This Row],[app_id]],Table5[app_id],Table5[category],"",0)</f>
        <v>Travel</v>
      </c>
      <c r="E581" t="s">
        <v>537</v>
      </c>
      <c r="F581" t="s">
        <v>538</v>
      </c>
      <c r="G581" t="s">
        <v>30</v>
      </c>
      <c r="H581" t="s">
        <v>535</v>
      </c>
      <c r="I581">
        <v>48</v>
      </c>
      <c r="J581">
        <v>20.7</v>
      </c>
      <c r="K581" t="s">
        <v>257</v>
      </c>
      <c r="L581" t="s">
        <v>257</v>
      </c>
      <c r="M581" t="s">
        <v>258</v>
      </c>
      <c r="N581" s="5">
        <v>0</v>
      </c>
    </row>
    <row r="582" spans="1:14" x14ac:dyDescent="0.25">
      <c r="A582" t="s">
        <v>1123</v>
      </c>
      <c r="B582" t="s">
        <v>203</v>
      </c>
      <c r="C582" t="str">
        <f>_xlfn.XLOOKUP(Table6[[#This Row],[app_id]],Table5[app_id],Table5[app_name],"",0)</f>
        <v>Focusly</v>
      </c>
      <c r="D582" t="str">
        <f>_xlfn.XLOOKUP(Table6[[#This Row],[app_id]],Table5[app_id],Table5[category],"",0)</f>
        <v>Productivity</v>
      </c>
      <c r="E582" t="s">
        <v>546</v>
      </c>
      <c r="F582" t="s">
        <v>538</v>
      </c>
      <c r="G582" t="s">
        <v>69</v>
      </c>
      <c r="H582" t="s">
        <v>535</v>
      </c>
      <c r="I582">
        <v>94</v>
      </c>
      <c r="J582">
        <v>6</v>
      </c>
      <c r="K582" t="s">
        <v>257</v>
      </c>
      <c r="L582" t="s">
        <v>257</v>
      </c>
      <c r="M582" t="s">
        <v>258</v>
      </c>
      <c r="N582" s="5">
        <v>8.14</v>
      </c>
    </row>
    <row r="583" spans="1:14" x14ac:dyDescent="0.25">
      <c r="A583" t="s">
        <v>1124</v>
      </c>
      <c r="B583" t="s">
        <v>206</v>
      </c>
      <c r="C583" t="str">
        <f>_xlfn.XLOOKUP(Table6[[#This Row],[app_id]],Table5[app_id],Table5[app_name],"",0)</f>
        <v>DeskX</v>
      </c>
      <c r="D583" t="str">
        <f>_xlfn.XLOOKUP(Table6[[#This Row],[app_id]],Table5[app_id],Table5[category],"",0)</f>
        <v>Productivity</v>
      </c>
      <c r="E583" t="s">
        <v>557</v>
      </c>
      <c r="F583" t="s">
        <v>534</v>
      </c>
      <c r="G583" t="s">
        <v>30</v>
      </c>
      <c r="H583" t="s">
        <v>535</v>
      </c>
      <c r="I583">
        <v>27</v>
      </c>
      <c r="J583">
        <v>11.7</v>
      </c>
      <c r="K583" t="s">
        <v>258</v>
      </c>
      <c r="L583" t="s">
        <v>257</v>
      </c>
      <c r="M583" t="s">
        <v>258</v>
      </c>
      <c r="N583" s="5">
        <v>0</v>
      </c>
    </row>
    <row r="584" spans="1:14" x14ac:dyDescent="0.25">
      <c r="A584" t="s">
        <v>1125</v>
      </c>
      <c r="B584" t="s">
        <v>208</v>
      </c>
      <c r="C584" t="str">
        <f>_xlfn.XLOOKUP(Table6[[#This Row],[app_id]],Table5[app_id],Table5[app_name],"",0)</f>
        <v>DonePro</v>
      </c>
      <c r="D584" t="str">
        <f>_xlfn.XLOOKUP(Table6[[#This Row],[app_id]],Table5[app_id],Table5[category],"",0)</f>
        <v>Productivity</v>
      </c>
      <c r="E584" t="s">
        <v>546</v>
      </c>
      <c r="F584" t="s">
        <v>538</v>
      </c>
      <c r="G584" t="s">
        <v>30</v>
      </c>
      <c r="H584" t="s">
        <v>535</v>
      </c>
      <c r="I584">
        <v>25</v>
      </c>
      <c r="J584">
        <v>10</v>
      </c>
      <c r="K584" t="s">
        <v>258</v>
      </c>
      <c r="L584" t="s">
        <v>257</v>
      </c>
      <c r="M584" t="s">
        <v>258</v>
      </c>
      <c r="N584" s="5">
        <v>0</v>
      </c>
    </row>
    <row r="585" spans="1:14" x14ac:dyDescent="0.25">
      <c r="A585" t="s">
        <v>1126</v>
      </c>
      <c r="B585" t="s">
        <v>210</v>
      </c>
      <c r="C585" t="str">
        <f>_xlfn.XLOOKUP(Table6[[#This Row],[app_id]],Table5[app_id],Table5[app_name],"",0)</f>
        <v>NotePlus</v>
      </c>
      <c r="D585" t="str">
        <f>_xlfn.XLOOKUP(Table6[[#This Row],[app_id]],Table5[app_id],Table5[category],"",0)</f>
        <v>Productivity</v>
      </c>
      <c r="E585" t="s">
        <v>533</v>
      </c>
      <c r="F585" t="s">
        <v>534</v>
      </c>
      <c r="G585" t="s">
        <v>69</v>
      </c>
      <c r="H585" t="s">
        <v>535</v>
      </c>
      <c r="I585">
        <v>10</v>
      </c>
      <c r="J585">
        <v>5.6</v>
      </c>
      <c r="K585" t="s">
        <v>258</v>
      </c>
      <c r="L585" t="s">
        <v>258</v>
      </c>
      <c r="M585" t="s">
        <v>257</v>
      </c>
      <c r="N585" s="5">
        <v>0</v>
      </c>
    </row>
    <row r="586" spans="1:14" x14ac:dyDescent="0.25">
      <c r="A586" t="s">
        <v>1127</v>
      </c>
      <c r="B586" t="s">
        <v>212</v>
      </c>
      <c r="C586" t="str">
        <f>_xlfn.XLOOKUP(Table6[[#This Row],[app_id]],Table5[app_id],Table5[app_name],"",0)</f>
        <v>SyncPlus</v>
      </c>
      <c r="D586" t="str">
        <f>_xlfn.XLOOKUP(Table6[[#This Row],[app_id]],Table5[app_id],Table5[category],"",0)</f>
        <v>Productivity</v>
      </c>
      <c r="E586" t="s">
        <v>533</v>
      </c>
      <c r="F586" t="s">
        <v>538</v>
      </c>
      <c r="G586" t="s">
        <v>35</v>
      </c>
      <c r="H586" t="s">
        <v>535</v>
      </c>
      <c r="I586">
        <v>72</v>
      </c>
      <c r="J586">
        <v>21.8</v>
      </c>
      <c r="K586" t="s">
        <v>257</v>
      </c>
      <c r="L586" t="s">
        <v>257</v>
      </c>
      <c r="M586" t="s">
        <v>258</v>
      </c>
      <c r="N586" s="5">
        <v>0</v>
      </c>
    </row>
    <row r="587" spans="1:14" x14ac:dyDescent="0.25">
      <c r="A587" t="s">
        <v>1128</v>
      </c>
      <c r="B587" t="s">
        <v>214</v>
      </c>
      <c r="C587" t="str">
        <f>_xlfn.XLOOKUP(Table6[[#This Row],[app_id]],Table5[app_id],Table5[app_name],"",0)</f>
        <v>NoteOne</v>
      </c>
      <c r="D587" t="str">
        <f>_xlfn.XLOOKUP(Table6[[#This Row],[app_id]],Table5[app_id],Table5[category],"",0)</f>
        <v>Productivity</v>
      </c>
      <c r="E587" t="s">
        <v>537</v>
      </c>
      <c r="F587" t="s">
        <v>538</v>
      </c>
      <c r="G587" t="s">
        <v>46</v>
      </c>
      <c r="H587" t="s">
        <v>535</v>
      </c>
      <c r="I587">
        <v>38</v>
      </c>
      <c r="J587">
        <v>3.5</v>
      </c>
      <c r="K587" t="s">
        <v>257</v>
      </c>
      <c r="L587" t="s">
        <v>257</v>
      </c>
      <c r="M587" t="s">
        <v>258</v>
      </c>
      <c r="N587" s="5">
        <v>0</v>
      </c>
    </row>
    <row r="588" spans="1:14" x14ac:dyDescent="0.25">
      <c r="A588" t="s">
        <v>1129</v>
      </c>
      <c r="B588" t="s">
        <v>216</v>
      </c>
      <c r="C588" t="str">
        <f>_xlfn.XLOOKUP(Table6[[#This Row],[app_id]],Table5[app_id],Table5[app_name],"",0)</f>
        <v>NoteMate</v>
      </c>
      <c r="D588" t="str">
        <f>_xlfn.XLOOKUP(Table6[[#This Row],[app_id]],Table5[app_id],Table5[category],"",0)</f>
        <v>Productivity</v>
      </c>
      <c r="E588" t="s">
        <v>546</v>
      </c>
      <c r="F588" t="s">
        <v>534</v>
      </c>
      <c r="G588" t="s">
        <v>46</v>
      </c>
      <c r="H588" t="s">
        <v>535</v>
      </c>
      <c r="I588">
        <v>13</v>
      </c>
      <c r="J588">
        <v>12.4</v>
      </c>
      <c r="K588" t="s">
        <v>258</v>
      </c>
      <c r="L588" t="s">
        <v>258</v>
      </c>
      <c r="M588" t="s">
        <v>257</v>
      </c>
      <c r="N588" s="5">
        <v>41.51</v>
      </c>
    </row>
    <row r="589" spans="1:14" x14ac:dyDescent="0.25">
      <c r="A589" t="s">
        <v>1130</v>
      </c>
      <c r="B589" t="s">
        <v>218</v>
      </c>
      <c r="C589" t="str">
        <f>_xlfn.XLOOKUP(Table6[[#This Row],[app_id]],Table5[app_id],Table5[app_name],"",0)</f>
        <v>PlanPlus</v>
      </c>
      <c r="D589" t="str">
        <f>_xlfn.XLOOKUP(Table6[[#This Row],[app_id]],Table5[app_id],Table5[category],"",0)</f>
        <v>Productivity</v>
      </c>
      <c r="E589" t="s">
        <v>533</v>
      </c>
      <c r="F589" t="s">
        <v>538</v>
      </c>
      <c r="G589" t="s">
        <v>26</v>
      </c>
      <c r="H589" t="s">
        <v>535</v>
      </c>
      <c r="I589">
        <v>74</v>
      </c>
      <c r="J589">
        <v>11.3</v>
      </c>
      <c r="K589" t="s">
        <v>257</v>
      </c>
      <c r="L589" t="s">
        <v>258</v>
      </c>
      <c r="M589" t="s">
        <v>257</v>
      </c>
      <c r="N589" s="5">
        <v>43.16</v>
      </c>
    </row>
    <row r="590" spans="1:14" x14ac:dyDescent="0.25">
      <c r="A590" t="s">
        <v>1131</v>
      </c>
      <c r="B590" t="s">
        <v>220</v>
      </c>
      <c r="C590" t="str">
        <f>_xlfn.XLOOKUP(Table6[[#This Row],[app_id]],Table5[app_id],Table5[app_name],"",0)</f>
        <v>PlanMate</v>
      </c>
      <c r="D590" t="str">
        <f>_xlfn.XLOOKUP(Table6[[#This Row],[app_id]],Table5[app_id],Table5[category],"",0)</f>
        <v>Productivity</v>
      </c>
      <c r="E590" t="s">
        <v>557</v>
      </c>
      <c r="F590" t="s">
        <v>534</v>
      </c>
      <c r="G590" t="s">
        <v>26</v>
      </c>
      <c r="H590" t="s">
        <v>535</v>
      </c>
      <c r="I590">
        <v>7</v>
      </c>
      <c r="J590">
        <v>5.2</v>
      </c>
      <c r="K590" t="s">
        <v>258</v>
      </c>
      <c r="L590" t="s">
        <v>257</v>
      </c>
      <c r="M590" t="s">
        <v>258</v>
      </c>
      <c r="N590" s="5">
        <v>0</v>
      </c>
    </row>
    <row r="591" spans="1:14" x14ac:dyDescent="0.25">
      <c r="A591" t="s">
        <v>1132</v>
      </c>
      <c r="B591" t="s">
        <v>222</v>
      </c>
      <c r="C591" t="str">
        <f>_xlfn.XLOOKUP(Table6[[#This Row],[app_id]],Table5[app_id],Table5[app_name],"",0)</f>
        <v>SyncPlus</v>
      </c>
      <c r="D591" t="str">
        <f>_xlfn.XLOOKUP(Table6[[#This Row],[app_id]],Table5[app_id],Table5[category],"",0)</f>
        <v>Productivity</v>
      </c>
      <c r="E591" t="s">
        <v>533</v>
      </c>
      <c r="F591" t="s">
        <v>534</v>
      </c>
      <c r="G591" t="s">
        <v>26</v>
      </c>
      <c r="H591" t="s">
        <v>535</v>
      </c>
      <c r="I591">
        <v>17</v>
      </c>
      <c r="J591">
        <v>17.899999999999999</v>
      </c>
      <c r="K591" t="s">
        <v>258</v>
      </c>
      <c r="L591" t="s">
        <v>257</v>
      </c>
      <c r="M591" t="s">
        <v>257</v>
      </c>
      <c r="N591" s="5">
        <v>0</v>
      </c>
    </row>
    <row r="592" spans="1:14" x14ac:dyDescent="0.25">
      <c r="A592" t="s">
        <v>1133</v>
      </c>
      <c r="B592" t="s">
        <v>223</v>
      </c>
      <c r="C592" t="str">
        <f>_xlfn.XLOOKUP(Table6[[#This Row],[app_id]],Table5[app_id],Table5[app_name],"",0)</f>
        <v>ClinicPro</v>
      </c>
      <c r="D592" t="str">
        <f>_xlfn.XLOOKUP(Table6[[#This Row],[app_id]],Table5[app_id],Table5[category],"",0)</f>
        <v>Health</v>
      </c>
      <c r="E592" t="s">
        <v>533</v>
      </c>
      <c r="F592" t="s">
        <v>534</v>
      </c>
      <c r="G592" t="s">
        <v>30</v>
      </c>
      <c r="H592" t="s">
        <v>535</v>
      </c>
      <c r="I592">
        <v>88</v>
      </c>
      <c r="J592">
        <v>14.6</v>
      </c>
      <c r="K592" t="s">
        <v>257</v>
      </c>
      <c r="L592" t="s">
        <v>257</v>
      </c>
      <c r="M592" t="s">
        <v>258</v>
      </c>
      <c r="N592" s="5">
        <v>0</v>
      </c>
    </row>
    <row r="593" spans="1:14" x14ac:dyDescent="0.25">
      <c r="A593" t="s">
        <v>1134</v>
      </c>
      <c r="B593" t="s">
        <v>226</v>
      </c>
      <c r="C593" t="str">
        <f>_xlfn.XLOOKUP(Table6[[#This Row],[app_id]],Table5[app_id],Table5[app_name],"",0)</f>
        <v>MindMate</v>
      </c>
      <c r="D593" t="str">
        <f>_xlfn.XLOOKUP(Table6[[#This Row],[app_id]],Table5[app_id],Table5[category],"",0)</f>
        <v>Health</v>
      </c>
      <c r="E593" t="s">
        <v>537</v>
      </c>
      <c r="F593" t="s">
        <v>534</v>
      </c>
      <c r="G593" t="s">
        <v>18</v>
      </c>
      <c r="H593" t="s">
        <v>535</v>
      </c>
      <c r="I593">
        <v>18</v>
      </c>
      <c r="J593">
        <v>19.600000000000001</v>
      </c>
      <c r="K593" t="s">
        <v>258</v>
      </c>
      <c r="L593" t="s">
        <v>258</v>
      </c>
      <c r="M593" t="s">
        <v>257</v>
      </c>
      <c r="N593" s="5">
        <v>0</v>
      </c>
    </row>
    <row r="594" spans="1:14" x14ac:dyDescent="0.25">
      <c r="A594" t="s">
        <v>1135</v>
      </c>
      <c r="B594" t="s">
        <v>228</v>
      </c>
      <c r="C594" t="str">
        <f>_xlfn.XLOOKUP(Table6[[#This Row],[app_id]],Table5[app_id],Table5[app_name],"",0)</f>
        <v>ClinicOne</v>
      </c>
      <c r="D594" t="str">
        <f>_xlfn.XLOOKUP(Table6[[#This Row],[app_id]],Table5[app_id],Table5[category],"",0)</f>
        <v>Health</v>
      </c>
      <c r="E594" t="s">
        <v>546</v>
      </c>
      <c r="F594" t="s">
        <v>538</v>
      </c>
      <c r="G594" t="s">
        <v>69</v>
      </c>
      <c r="H594" t="s">
        <v>535</v>
      </c>
      <c r="I594">
        <v>27</v>
      </c>
      <c r="J594">
        <v>4.5</v>
      </c>
      <c r="K594" t="s">
        <v>257</v>
      </c>
      <c r="L594" t="s">
        <v>257</v>
      </c>
      <c r="M594" t="s">
        <v>258</v>
      </c>
      <c r="N594" s="5">
        <v>0</v>
      </c>
    </row>
    <row r="595" spans="1:14" x14ac:dyDescent="0.25">
      <c r="A595" t="s">
        <v>1136</v>
      </c>
      <c r="B595" t="s">
        <v>230</v>
      </c>
      <c r="C595" t="str">
        <f>_xlfn.XLOOKUP(Table6[[#This Row],[app_id]],Table5[app_id],Table5[app_name],"",0)</f>
        <v>WellMate</v>
      </c>
      <c r="D595" t="str">
        <f>_xlfn.XLOOKUP(Table6[[#This Row],[app_id]],Table5[app_id],Table5[category],"",0)</f>
        <v>Health</v>
      </c>
      <c r="E595" t="s">
        <v>533</v>
      </c>
      <c r="F595" t="s">
        <v>538</v>
      </c>
      <c r="G595" t="s">
        <v>69</v>
      </c>
      <c r="H595" t="s">
        <v>535</v>
      </c>
      <c r="I595">
        <v>35</v>
      </c>
      <c r="J595">
        <v>11.1</v>
      </c>
      <c r="K595" t="s">
        <v>257</v>
      </c>
      <c r="L595" t="s">
        <v>257</v>
      </c>
      <c r="M595" t="s">
        <v>258</v>
      </c>
      <c r="N595" s="5">
        <v>0</v>
      </c>
    </row>
    <row r="596" spans="1:14" x14ac:dyDescent="0.25">
      <c r="A596" t="s">
        <v>1137</v>
      </c>
      <c r="B596" t="s">
        <v>232</v>
      </c>
      <c r="C596" t="str">
        <f>_xlfn.XLOOKUP(Table6[[#This Row],[app_id]],Table5[app_id],Table5[app_name],"",0)</f>
        <v>MediMate</v>
      </c>
      <c r="D596" t="str">
        <f>_xlfn.XLOOKUP(Table6[[#This Row],[app_id]],Table5[app_id],Table5[category],"",0)</f>
        <v>Health</v>
      </c>
      <c r="E596" t="s">
        <v>533</v>
      </c>
      <c r="F596" t="s">
        <v>538</v>
      </c>
      <c r="G596" t="s">
        <v>35</v>
      </c>
      <c r="H596" t="s">
        <v>535</v>
      </c>
      <c r="I596">
        <v>13</v>
      </c>
      <c r="J596">
        <v>14.7</v>
      </c>
      <c r="K596" t="s">
        <v>258</v>
      </c>
      <c r="L596" t="s">
        <v>257</v>
      </c>
      <c r="M596" t="s">
        <v>258</v>
      </c>
      <c r="N596" s="5">
        <v>0</v>
      </c>
    </row>
    <row r="597" spans="1:14" x14ac:dyDescent="0.25">
      <c r="A597" t="s">
        <v>1138</v>
      </c>
      <c r="B597" t="s">
        <v>234</v>
      </c>
      <c r="C597" t="str">
        <f>_xlfn.XLOOKUP(Table6[[#This Row],[app_id]],Table5[app_id],Table5[app_name],"",0)</f>
        <v>WellNow</v>
      </c>
      <c r="D597" t="str">
        <f>_xlfn.XLOOKUP(Table6[[#This Row],[app_id]],Table5[app_id],Table5[category],"",0)</f>
        <v>Health</v>
      </c>
      <c r="E597" t="s">
        <v>533</v>
      </c>
      <c r="F597" t="s">
        <v>538</v>
      </c>
      <c r="G597" t="s">
        <v>61</v>
      </c>
      <c r="H597" t="s">
        <v>535</v>
      </c>
      <c r="I597">
        <v>9</v>
      </c>
      <c r="J597">
        <v>6.4</v>
      </c>
      <c r="K597" t="s">
        <v>258</v>
      </c>
      <c r="L597" t="s">
        <v>257</v>
      </c>
      <c r="M597" t="s">
        <v>258</v>
      </c>
      <c r="N597" s="5">
        <v>31.41</v>
      </c>
    </row>
    <row r="598" spans="1:14" x14ac:dyDescent="0.25">
      <c r="A598" t="s">
        <v>1139</v>
      </c>
      <c r="B598" t="s">
        <v>236</v>
      </c>
      <c r="C598" t="str">
        <f>_xlfn.XLOOKUP(Table6[[#This Row],[app_id]],Table5[app_id],Table5[app_name],"",0)</f>
        <v>CareCloud</v>
      </c>
      <c r="D598" t="str">
        <f>_xlfn.XLOOKUP(Table6[[#This Row],[app_id]],Table5[app_id],Table5[category],"",0)</f>
        <v>Health</v>
      </c>
      <c r="E598" t="s">
        <v>533</v>
      </c>
      <c r="F598" t="s">
        <v>534</v>
      </c>
      <c r="G598" t="s">
        <v>69</v>
      </c>
      <c r="H598" t="s">
        <v>535</v>
      </c>
      <c r="I598">
        <v>58</v>
      </c>
      <c r="J598">
        <v>3.1</v>
      </c>
      <c r="K598" t="s">
        <v>257</v>
      </c>
      <c r="L598" t="s">
        <v>257</v>
      </c>
      <c r="M598" t="s">
        <v>258</v>
      </c>
      <c r="N598" s="5">
        <v>0</v>
      </c>
    </row>
    <row r="599" spans="1:14" x14ac:dyDescent="0.25">
      <c r="A599" t="s">
        <v>1140</v>
      </c>
      <c r="B599" t="s">
        <v>238</v>
      </c>
      <c r="C599" t="str">
        <f>_xlfn.XLOOKUP(Table6[[#This Row],[app_id]],Table5[app_id],Table5[app_name],"",0)</f>
        <v>MediNow</v>
      </c>
      <c r="D599" t="str">
        <f>_xlfn.XLOOKUP(Table6[[#This Row],[app_id]],Table5[app_id],Table5[category],"",0)</f>
        <v>Health</v>
      </c>
      <c r="E599" t="s">
        <v>546</v>
      </c>
      <c r="F599" t="s">
        <v>534</v>
      </c>
      <c r="G599" t="s">
        <v>18</v>
      </c>
      <c r="H599" t="s">
        <v>535</v>
      </c>
      <c r="I599">
        <v>27</v>
      </c>
      <c r="J599">
        <v>23.5</v>
      </c>
      <c r="K599" t="s">
        <v>258</v>
      </c>
      <c r="L599" t="s">
        <v>257</v>
      </c>
      <c r="M599" t="s">
        <v>258</v>
      </c>
      <c r="N599" s="5">
        <v>46.7</v>
      </c>
    </row>
    <row r="600" spans="1:14" x14ac:dyDescent="0.25">
      <c r="A600" t="s">
        <v>1141</v>
      </c>
      <c r="B600" t="s">
        <v>240</v>
      </c>
      <c r="C600" t="str">
        <f>_xlfn.XLOOKUP(Table6[[#This Row],[app_id]],Table5[app_id],Table5[app_name],"",0)</f>
        <v>MindPlus</v>
      </c>
      <c r="D600" t="str">
        <f>_xlfn.XLOOKUP(Table6[[#This Row],[app_id]],Table5[app_id],Table5[category],"",0)</f>
        <v>Health</v>
      </c>
      <c r="E600" t="s">
        <v>533</v>
      </c>
      <c r="F600" t="s">
        <v>538</v>
      </c>
      <c r="G600" t="s">
        <v>35</v>
      </c>
      <c r="H600" t="s">
        <v>535</v>
      </c>
      <c r="I600">
        <v>57</v>
      </c>
      <c r="J600">
        <v>10.6</v>
      </c>
      <c r="K600" t="s">
        <v>257</v>
      </c>
      <c r="L600" t="s">
        <v>257</v>
      </c>
      <c r="M600" t="s">
        <v>258</v>
      </c>
      <c r="N600" s="5">
        <v>0</v>
      </c>
    </row>
    <row r="601" spans="1:14" x14ac:dyDescent="0.25">
      <c r="A601" t="s">
        <v>1142</v>
      </c>
      <c r="B601" t="s">
        <v>242</v>
      </c>
      <c r="C601" t="str">
        <f>_xlfn.XLOOKUP(Table6[[#This Row],[app_id]],Table5[app_id],Table5[app_name],"",0)</f>
        <v>MediCloud</v>
      </c>
      <c r="D601" t="str">
        <f>_xlfn.XLOOKUP(Table6[[#This Row],[app_id]],Table5[app_id],Table5[category],"",0)</f>
        <v>Health</v>
      </c>
      <c r="E601" t="s">
        <v>546</v>
      </c>
      <c r="F601" t="s">
        <v>538</v>
      </c>
      <c r="G601" t="s">
        <v>61</v>
      </c>
      <c r="H601" t="s">
        <v>535</v>
      </c>
      <c r="I601">
        <v>86</v>
      </c>
      <c r="J601">
        <v>3.5</v>
      </c>
      <c r="K601" t="s">
        <v>257</v>
      </c>
      <c r="L601" t="s">
        <v>257</v>
      </c>
      <c r="M601" t="s">
        <v>258</v>
      </c>
      <c r="N601" s="5">
        <v>0</v>
      </c>
    </row>
    <row r="602" spans="1:14" x14ac:dyDescent="0.25">
      <c r="A602" t="s">
        <v>1143</v>
      </c>
      <c r="B602" t="s">
        <v>12</v>
      </c>
      <c r="C602" t="str">
        <f>_xlfn.XLOOKUP(Table6[[#This Row],[app_id]],Table5[app_id],Table5[app_name],"",0)</f>
        <v>InvestPro</v>
      </c>
      <c r="D602" t="str">
        <f>_xlfn.XLOOKUP(Table6[[#This Row],[app_id]],Table5[app_id],Table5[category],"",0)</f>
        <v>Finance</v>
      </c>
      <c r="E602" t="s">
        <v>533</v>
      </c>
      <c r="F602" t="s">
        <v>538</v>
      </c>
      <c r="G602" t="s">
        <v>30</v>
      </c>
      <c r="H602" t="s">
        <v>535</v>
      </c>
      <c r="I602">
        <v>37</v>
      </c>
      <c r="J602">
        <v>17.3</v>
      </c>
      <c r="K602" t="s">
        <v>257</v>
      </c>
      <c r="L602" t="s">
        <v>257</v>
      </c>
      <c r="M602" t="s">
        <v>258</v>
      </c>
      <c r="N602" s="5">
        <v>0</v>
      </c>
    </row>
    <row r="603" spans="1:14" x14ac:dyDescent="0.25">
      <c r="A603" t="s">
        <v>1144</v>
      </c>
      <c r="B603" t="s">
        <v>19</v>
      </c>
      <c r="C603" t="str">
        <f>_xlfn.XLOOKUP(Table6[[#This Row],[app_id]],Table5[app_id],Table5[app_name],"",0)</f>
        <v>BankPro</v>
      </c>
      <c r="D603" t="str">
        <f>_xlfn.XLOOKUP(Table6[[#This Row],[app_id]],Table5[app_id],Table5[category],"",0)</f>
        <v>Finance</v>
      </c>
      <c r="E603" t="s">
        <v>533</v>
      </c>
      <c r="F603" t="s">
        <v>538</v>
      </c>
      <c r="G603" t="s">
        <v>30</v>
      </c>
      <c r="H603" t="s">
        <v>535</v>
      </c>
      <c r="I603">
        <v>25</v>
      </c>
      <c r="J603">
        <v>19</v>
      </c>
      <c r="K603" t="s">
        <v>258</v>
      </c>
      <c r="L603" t="s">
        <v>257</v>
      </c>
      <c r="M603" t="s">
        <v>258</v>
      </c>
      <c r="N603" s="5">
        <v>0</v>
      </c>
    </row>
    <row r="604" spans="1:14" x14ac:dyDescent="0.25">
      <c r="A604" t="s">
        <v>1145</v>
      </c>
      <c r="B604" t="s">
        <v>24</v>
      </c>
      <c r="C604" t="str">
        <f>_xlfn.XLOOKUP(Table6[[#This Row],[app_id]],Table5[app_id],Table5[app_name],"",0)</f>
        <v>BankX</v>
      </c>
      <c r="D604" t="str">
        <f>_xlfn.XLOOKUP(Table6[[#This Row],[app_id]],Table5[app_id],Table5[category],"",0)</f>
        <v>Finance</v>
      </c>
      <c r="E604" t="s">
        <v>557</v>
      </c>
      <c r="F604" t="s">
        <v>538</v>
      </c>
      <c r="G604" t="s">
        <v>30</v>
      </c>
      <c r="H604" t="s">
        <v>535</v>
      </c>
      <c r="I604">
        <v>65</v>
      </c>
      <c r="J604">
        <v>9.1999999999999993</v>
      </c>
      <c r="K604" t="s">
        <v>257</v>
      </c>
      <c r="L604" t="s">
        <v>257</v>
      </c>
      <c r="M604" t="s">
        <v>258</v>
      </c>
      <c r="N604" s="5">
        <v>0</v>
      </c>
    </row>
    <row r="605" spans="1:14" x14ac:dyDescent="0.25">
      <c r="A605" t="s">
        <v>1146</v>
      </c>
      <c r="B605" t="s">
        <v>27</v>
      </c>
      <c r="C605" t="str">
        <f>_xlfn.XLOOKUP(Table6[[#This Row],[app_id]],Table5[app_id],Table5[app_name],"",0)</f>
        <v>BankNow</v>
      </c>
      <c r="D605" t="str">
        <f>_xlfn.XLOOKUP(Table6[[#This Row],[app_id]],Table5[app_id],Table5[category],"",0)</f>
        <v>Finance</v>
      </c>
      <c r="E605" t="s">
        <v>537</v>
      </c>
      <c r="F605" t="s">
        <v>534</v>
      </c>
      <c r="G605" t="s">
        <v>18</v>
      </c>
      <c r="H605" t="s">
        <v>535</v>
      </c>
      <c r="I605">
        <v>11</v>
      </c>
      <c r="J605">
        <v>4.7</v>
      </c>
      <c r="K605" t="s">
        <v>258</v>
      </c>
      <c r="L605" t="s">
        <v>258</v>
      </c>
      <c r="M605" t="s">
        <v>258</v>
      </c>
      <c r="N605" s="5">
        <v>0</v>
      </c>
    </row>
    <row r="606" spans="1:14" x14ac:dyDescent="0.25">
      <c r="A606" t="s">
        <v>1147</v>
      </c>
      <c r="B606" t="s">
        <v>31</v>
      </c>
      <c r="C606" t="str">
        <f>_xlfn.XLOOKUP(Table6[[#This Row],[app_id]],Table5[app_id],Table5[app_name],"",0)</f>
        <v>CreditHub</v>
      </c>
      <c r="D606" t="str">
        <f>_xlfn.XLOOKUP(Table6[[#This Row],[app_id]],Table5[app_id],Table5[category],"",0)</f>
        <v>Finance</v>
      </c>
      <c r="E606" t="s">
        <v>552</v>
      </c>
      <c r="F606" t="s">
        <v>534</v>
      </c>
      <c r="G606" t="s">
        <v>35</v>
      </c>
      <c r="H606" t="s">
        <v>535</v>
      </c>
      <c r="I606">
        <v>1</v>
      </c>
      <c r="J606">
        <v>7.3</v>
      </c>
      <c r="K606" t="s">
        <v>258</v>
      </c>
      <c r="L606" t="s">
        <v>258</v>
      </c>
      <c r="M606" t="s">
        <v>257</v>
      </c>
      <c r="N606" s="5">
        <v>0</v>
      </c>
    </row>
    <row r="607" spans="1:14" x14ac:dyDescent="0.25">
      <c r="A607" t="s">
        <v>1148</v>
      </c>
      <c r="B607" t="s">
        <v>36</v>
      </c>
      <c r="C607" t="str">
        <f>_xlfn.XLOOKUP(Table6[[#This Row],[app_id]],Table5[app_id],Table5[app_name],"",0)</f>
        <v>PayPlus</v>
      </c>
      <c r="D607" t="str">
        <f>_xlfn.XLOOKUP(Table6[[#This Row],[app_id]],Table5[app_id],Table5[category],"",0)</f>
        <v>Finance</v>
      </c>
      <c r="E607" t="s">
        <v>533</v>
      </c>
      <c r="F607" t="s">
        <v>538</v>
      </c>
      <c r="G607" t="s">
        <v>23</v>
      </c>
      <c r="H607" t="s">
        <v>535</v>
      </c>
      <c r="I607">
        <v>23</v>
      </c>
      <c r="J607">
        <v>16.2</v>
      </c>
      <c r="K607" t="s">
        <v>258</v>
      </c>
      <c r="L607" t="s">
        <v>258</v>
      </c>
      <c r="M607" t="s">
        <v>257</v>
      </c>
      <c r="N607" s="5">
        <v>0</v>
      </c>
    </row>
    <row r="608" spans="1:14" x14ac:dyDescent="0.25">
      <c r="A608" t="s">
        <v>1149</v>
      </c>
      <c r="B608" t="s">
        <v>39</v>
      </c>
      <c r="C608" t="str">
        <f>_xlfn.XLOOKUP(Table6[[#This Row],[app_id]],Table5[app_id],Table5[app_name],"",0)</f>
        <v>BankPlus</v>
      </c>
      <c r="D608" t="str">
        <f>_xlfn.XLOOKUP(Table6[[#This Row],[app_id]],Table5[app_id],Table5[category],"",0)</f>
        <v>Finance</v>
      </c>
      <c r="E608" t="s">
        <v>533</v>
      </c>
      <c r="F608" t="s">
        <v>534</v>
      </c>
      <c r="G608" t="s">
        <v>30</v>
      </c>
      <c r="H608" t="s">
        <v>540</v>
      </c>
      <c r="I608">
        <v>75</v>
      </c>
      <c r="J608">
        <v>10.5</v>
      </c>
      <c r="K608" t="s">
        <v>257</v>
      </c>
      <c r="L608" t="s">
        <v>258</v>
      </c>
      <c r="M608" t="s">
        <v>257</v>
      </c>
      <c r="N608" s="5">
        <v>0</v>
      </c>
    </row>
    <row r="609" spans="1:14" x14ac:dyDescent="0.25">
      <c r="A609" t="s">
        <v>1150</v>
      </c>
      <c r="B609" t="s">
        <v>42</v>
      </c>
      <c r="C609" t="str">
        <f>_xlfn.XLOOKUP(Table6[[#This Row],[app_id]],Table5[app_id],Table5[app_name],"",0)</f>
        <v>CoinPlus</v>
      </c>
      <c r="D609" t="str">
        <f>_xlfn.XLOOKUP(Table6[[#This Row],[app_id]],Table5[app_id],Table5[category],"",0)</f>
        <v>Finance</v>
      </c>
      <c r="E609" t="s">
        <v>546</v>
      </c>
      <c r="F609" t="s">
        <v>538</v>
      </c>
      <c r="G609" t="s">
        <v>30</v>
      </c>
      <c r="H609" t="s">
        <v>535</v>
      </c>
      <c r="I609">
        <v>53</v>
      </c>
      <c r="J609">
        <v>3.8</v>
      </c>
      <c r="K609" t="s">
        <v>257</v>
      </c>
      <c r="L609" t="s">
        <v>257</v>
      </c>
      <c r="M609" t="s">
        <v>258</v>
      </c>
      <c r="N609" s="5">
        <v>0</v>
      </c>
    </row>
    <row r="610" spans="1:14" x14ac:dyDescent="0.25">
      <c r="A610" t="s">
        <v>1151</v>
      </c>
      <c r="B610" t="s">
        <v>47</v>
      </c>
      <c r="C610" t="str">
        <f>_xlfn.XLOOKUP(Table6[[#This Row],[app_id]],Table5[app_id],Table5[app_name],"",0)</f>
        <v>CreditOne</v>
      </c>
      <c r="D610" t="str">
        <f>_xlfn.XLOOKUP(Table6[[#This Row],[app_id]],Table5[app_id],Table5[category],"",0)</f>
        <v>Finance</v>
      </c>
      <c r="E610" t="s">
        <v>537</v>
      </c>
      <c r="F610" t="s">
        <v>538</v>
      </c>
      <c r="G610" t="s">
        <v>26</v>
      </c>
      <c r="H610" t="s">
        <v>535</v>
      </c>
      <c r="I610">
        <v>94</v>
      </c>
      <c r="J610">
        <v>11.3</v>
      </c>
      <c r="K610" t="s">
        <v>257</v>
      </c>
      <c r="L610" t="s">
        <v>258</v>
      </c>
      <c r="M610" t="s">
        <v>257</v>
      </c>
      <c r="N610" s="5">
        <v>0</v>
      </c>
    </row>
    <row r="611" spans="1:14" x14ac:dyDescent="0.25">
      <c r="A611" t="s">
        <v>1152</v>
      </c>
      <c r="B611" t="s">
        <v>49</v>
      </c>
      <c r="C611" t="str">
        <f>_xlfn.XLOOKUP(Table6[[#This Row],[app_id]],Table5[app_id],Table5[app_name],"",0)</f>
        <v>PayPro</v>
      </c>
      <c r="D611" t="str">
        <f>_xlfn.XLOOKUP(Table6[[#This Row],[app_id]],Table5[app_id],Table5[category],"",0)</f>
        <v>Finance</v>
      </c>
      <c r="E611" t="s">
        <v>533</v>
      </c>
      <c r="F611" t="s">
        <v>534</v>
      </c>
      <c r="G611" t="s">
        <v>46</v>
      </c>
      <c r="H611" t="s">
        <v>540</v>
      </c>
      <c r="I611">
        <v>19</v>
      </c>
      <c r="J611">
        <v>4.8</v>
      </c>
      <c r="K611" t="s">
        <v>258</v>
      </c>
      <c r="L611" t="s">
        <v>257</v>
      </c>
      <c r="M611" t="s">
        <v>258</v>
      </c>
      <c r="N611" s="5">
        <v>0</v>
      </c>
    </row>
    <row r="612" spans="1:14" x14ac:dyDescent="0.25">
      <c r="A612" t="s">
        <v>1153</v>
      </c>
      <c r="B612" t="s">
        <v>51</v>
      </c>
      <c r="C612" t="str">
        <f>_xlfn.XLOOKUP(Table6[[#This Row],[app_id]],Table5[app_id],Table5[app_name],"",0)</f>
        <v>Creditly</v>
      </c>
      <c r="D612" t="str">
        <f>_xlfn.XLOOKUP(Table6[[#This Row],[app_id]],Table5[app_id],Table5[category],"",0)</f>
        <v>Finance</v>
      </c>
      <c r="E612" t="s">
        <v>546</v>
      </c>
      <c r="F612" t="s">
        <v>538</v>
      </c>
      <c r="G612" t="s">
        <v>18</v>
      </c>
      <c r="H612" t="s">
        <v>535</v>
      </c>
      <c r="I612">
        <v>83</v>
      </c>
      <c r="J612">
        <v>6.9</v>
      </c>
      <c r="K612" t="s">
        <v>257</v>
      </c>
      <c r="L612" t="s">
        <v>258</v>
      </c>
      <c r="M612" t="s">
        <v>257</v>
      </c>
      <c r="N612" s="5">
        <v>0</v>
      </c>
    </row>
    <row r="613" spans="1:14" x14ac:dyDescent="0.25">
      <c r="A613" t="s">
        <v>1154</v>
      </c>
      <c r="B613" t="s">
        <v>53</v>
      </c>
      <c r="C613" t="str">
        <f>_xlfn.XLOOKUP(Table6[[#This Row],[app_id]],Table5[app_id],Table5[app_name],"",0)</f>
        <v>PayX</v>
      </c>
      <c r="D613" t="str">
        <f>_xlfn.XLOOKUP(Table6[[#This Row],[app_id]],Table5[app_id],Table5[category],"",0)</f>
        <v>Finance</v>
      </c>
      <c r="E613" t="s">
        <v>533</v>
      </c>
      <c r="F613" t="s">
        <v>548</v>
      </c>
      <c r="G613" t="s">
        <v>35</v>
      </c>
      <c r="H613" t="s">
        <v>535</v>
      </c>
      <c r="I613">
        <v>26</v>
      </c>
      <c r="J613">
        <v>20.5</v>
      </c>
      <c r="K613" t="s">
        <v>258</v>
      </c>
      <c r="L613" t="s">
        <v>258</v>
      </c>
      <c r="M613" t="s">
        <v>258</v>
      </c>
      <c r="N613" s="5">
        <v>0</v>
      </c>
    </row>
    <row r="614" spans="1:14" x14ac:dyDescent="0.25">
      <c r="A614" t="s">
        <v>1155</v>
      </c>
      <c r="B614" t="s">
        <v>56</v>
      </c>
      <c r="C614" t="str">
        <f>_xlfn.XLOOKUP(Table6[[#This Row],[app_id]],Table5[app_id],Table5[app_name],"",0)</f>
        <v>DealGo</v>
      </c>
      <c r="D614" t="str">
        <f>_xlfn.XLOOKUP(Table6[[#This Row],[app_id]],Table5[app_id],Table5[category],"",0)</f>
        <v>Shopping</v>
      </c>
      <c r="E614" t="s">
        <v>557</v>
      </c>
      <c r="F614" t="s">
        <v>534</v>
      </c>
      <c r="G614" t="s">
        <v>69</v>
      </c>
      <c r="H614" t="s">
        <v>535</v>
      </c>
      <c r="I614">
        <v>19</v>
      </c>
      <c r="J614">
        <v>10.199999999999999</v>
      </c>
      <c r="K614" t="s">
        <v>257</v>
      </c>
      <c r="L614" t="s">
        <v>257</v>
      </c>
      <c r="M614" t="s">
        <v>258</v>
      </c>
      <c r="N614" s="5">
        <v>0</v>
      </c>
    </row>
    <row r="615" spans="1:14" x14ac:dyDescent="0.25">
      <c r="A615" t="s">
        <v>1156</v>
      </c>
      <c r="B615" t="s">
        <v>62</v>
      </c>
      <c r="C615" t="str">
        <f>_xlfn.XLOOKUP(Table6[[#This Row],[app_id]],Table5[app_id],Table5[app_name],"",0)</f>
        <v>MallNow</v>
      </c>
      <c r="D615" t="str">
        <f>_xlfn.XLOOKUP(Table6[[#This Row],[app_id]],Table5[app_id],Table5[category],"",0)</f>
        <v>Shopping</v>
      </c>
      <c r="E615" t="s">
        <v>537</v>
      </c>
      <c r="F615" t="s">
        <v>538</v>
      </c>
      <c r="G615" t="s">
        <v>18</v>
      </c>
      <c r="H615" t="s">
        <v>540</v>
      </c>
      <c r="I615">
        <v>9</v>
      </c>
      <c r="J615">
        <v>3.5</v>
      </c>
      <c r="K615" t="s">
        <v>258</v>
      </c>
      <c r="L615" t="s">
        <v>257</v>
      </c>
      <c r="M615" t="s">
        <v>258</v>
      </c>
      <c r="N615" s="5">
        <v>0</v>
      </c>
    </row>
    <row r="616" spans="1:14" x14ac:dyDescent="0.25">
      <c r="A616" t="s">
        <v>1157</v>
      </c>
      <c r="B616" t="s">
        <v>65</v>
      </c>
      <c r="C616" t="str">
        <f>_xlfn.XLOOKUP(Table6[[#This Row],[app_id]],Table5[app_id],Table5[app_name],"",0)</f>
        <v>DealPro</v>
      </c>
      <c r="D616" t="str">
        <f>_xlfn.XLOOKUP(Table6[[#This Row],[app_id]],Table5[app_id],Table5[category],"",0)</f>
        <v>Shopping</v>
      </c>
      <c r="E616" t="s">
        <v>546</v>
      </c>
      <c r="F616" t="s">
        <v>548</v>
      </c>
      <c r="G616" t="s">
        <v>26</v>
      </c>
      <c r="H616" t="s">
        <v>535</v>
      </c>
      <c r="I616">
        <v>16</v>
      </c>
      <c r="J616">
        <v>3.9</v>
      </c>
      <c r="K616" t="s">
        <v>258</v>
      </c>
      <c r="L616" t="s">
        <v>257</v>
      </c>
      <c r="M616" t="s">
        <v>258</v>
      </c>
      <c r="N616" s="5">
        <v>0</v>
      </c>
    </row>
    <row r="617" spans="1:14" x14ac:dyDescent="0.25">
      <c r="A617" t="s">
        <v>1158</v>
      </c>
      <c r="B617" t="s">
        <v>67</v>
      </c>
      <c r="C617" t="str">
        <f>_xlfn.XLOOKUP(Table6[[#This Row],[app_id]],Table5[app_id],Table5[app_name],"",0)</f>
        <v>StyleNow</v>
      </c>
      <c r="D617" t="str">
        <f>_xlfn.XLOOKUP(Table6[[#This Row],[app_id]],Table5[app_id],Table5[category],"",0)</f>
        <v>Shopping</v>
      </c>
      <c r="E617" t="s">
        <v>533</v>
      </c>
      <c r="F617" t="s">
        <v>534</v>
      </c>
      <c r="G617" t="s">
        <v>26</v>
      </c>
      <c r="H617" t="s">
        <v>535</v>
      </c>
      <c r="I617">
        <v>46</v>
      </c>
      <c r="J617">
        <v>7.9</v>
      </c>
      <c r="K617" t="s">
        <v>257</v>
      </c>
      <c r="L617" t="s">
        <v>257</v>
      </c>
      <c r="M617" t="s">
        <v>258</v>
      </c>
      <c r="N617" s="5">
        <v>0</v>
      </c>
    </row>
    <row r="618" spans="1:14" x14ac:dyDescent="0.25">
      <c r="A618" t="s">
        <v>1159</v>
      </c>
      <c r="B618" t="s">
        <v>70</v>
      </c>
      <c r="C618" t="str">
        <f>_xlfn.XLOOKUP(Table6[[#This Row],[app_id]],Table5[app_id],Table5[app_name],"",0)</f>
        <v>DealCloud</v>
      </c>
      <c r="D618" t="str">
        <f>_xlfn.XLOOKUP(Table6[[#This Row],[app_id]],Table5[app_id],Table5[category],"",0)</f>
        <v>Shopping</v>
      </c>
      <c r="E618" t="s">
        <v>537</v>
      </c>
      <c r="F618" t="s">
        <v>534</v>
      </c>
      <c r="G618" t="s">
        <v>23</v>
      </c>
      <c r="H618" t="s">
        <v>535</v>
      </c>
      <c r="I618">
        <v>84</v>
      </c>
      <c r="J618">
        <v>4.5999999999999996</v>
      </c>
      <c r="K618" t="s">
        <v>257</v>
      </c>
      <c r="L618" t="s">
        <v>257</v>
      </c>
      <c r="M618" t="s">
        <v>258</v>
      </c>
      <c r="N618" s="5">
        <v>41.27</v>
      </c>
    </row>
    <row r="619" spans="1:14" x14ac:dyDescent="0.25">
      <c r="A619" t="s">
        <v>1160</v>
      </c>
      <c r="B619" t="s">
        <v>72</v>
      </c>
      <c r="C619" t="str">
        <f>_xlfn.XLOOKUP(Table6[[#This Row],[app_id]],Table5[app_id],Table5[app_name],"",0)</f>
        <v>CartCloud</v>
      </c>
      <c r="D619" t="str">
        <f>_xlfn.XLOOKUP(Table6[[#This Row],[app_id]],Table5[app_id],Table5[category],"",0)</f>
        <v>Shopping</v>
      </c>
      <c r="E619" t="s">
        <v>546</v>
      </c>
      <c r="F619" t="s">
        <v>538</v>
      </c>
      <c r="G619" t="s">
        <v>46</v>
      </c>
      <c r="H619" t="s">
        <v>535</v>
      </c>
      <c r="I619">
        <v>14</v>
      </c>
      <c r="J619">
        <v>10.6</v>
      </c>
      <c r="K619" t="s">
        <v>258</v>
      </c>
      <c r="L619" t="s">
        <v>257</v>
      </c>
      <c r="M619" t="s">
        <v>258</v>
      </c>
      <c r="N619" s="5">
        <v>0</v>
      </c>
    </row>
    <row r="620" spans="1:14" x14ac:dyDescent="0.25">
      <c r="A620" t="s">
        <v>1161</v>
      </c>
      <c r="B620" t="s">
        <v>74</v>
      </c>
      <c r="C620" t="str">
        <f>_xlfn.XLOOKUP(Table6[[#This Row],[app_id]],Table5[app_id],Table5[app_name],"",0)</f>
        <v>CartMate</v>
      </c>
      <c r="D620" t="str">
        <f>_xlfn.XLOOKUP(Table6[[#This Row],[app_id]],Table5[app_id],Table5[category],"",0)</f>
        <v>Shopping</v>
      </c>
      <c r="E620" t="s">
        <v>546</v>
      </c>
      <c r="F620" t="s">
        <v>538</v>
      </c>
      <c r="G620" t="s">
        <v>69</v>
      </c>
      <c r="H620" t="s">
        <v>535</v>
      </c>
      <c r="I620">
        <v>13</v>
      </c>
      <c r="J620">
        <v>6.3</v>
      </c>
      <c r="K620" t="s">
        <v>258</v>
      </c>
      <c r="L620" t="s">
        <v>258</v>
      </c>
      <c r="M620" t="s">
        <v>257</v>
      </c>
      <c r="N620" s="5">
        <v>0</v>
      </c>
    </row>
    <row r="621" spans="1:14" x14ac:dyDescent="0.25">
      <c r="A621" t="s">
        <v>1162</v>
      </c>
      <c r="B621" t="s">
        <v>76</v>
      </c>
      <c r="C621" t="str">
        <f>_xlfn.XLOOKUP(Table6[[#This Row],[app_id]],Table5[app_id],Table5[app_name],"",0)</f>
        <v>BazaarOne</v>
      </c>
      <c r="D621" t="str">
        <f>_xlfn.XLOOKUP(Table6[[#This Row],[app_id]],Table5[app_id],Table5[category],"",0)</f>
        <v>Shopping</v>
      </c>
      <c r="E621" t="s">
        <v>546</v>
      </c>
      <c r="F621" t="s">
        <v>538</v>
      </c>
      <c r="G621" t="s">
        <v>46</v>
      </c>
      <c r="H621" t="s">
        <v>535</v>
      </c>
      <c r="I621">
        <v>16</v>
      </c>
      <c r="J621">
        <v>12.3</v>
      </c>
      <c r="K621" t="s">
        <v>258</v>
      </c>
      <c r="L621" t="s">
        <v>258</v>
      </c>
      <c r="M621" t="s">
        <v>257</v>
      </c>
      <c r="N621" s="5">
        <v>0</v>
      </c>
    </row>
    <row r="622" spans="1:14" x14ac:dyDescent="0.25">
      <c r="A622" t="s">
        <v>1163</v>
      </c>
      <c r="B622" t="s">
        <v>78</v>
      </c>
      <c r="C622" t="str">
        <f>_xlfn.XLOOKUP(Table6[[#This Row],[app_id]],Table5[app_id],Table5[app_name],"",0)</f>
        <v>StyleOne</v>
      </c>
      <c r="D622" t="str">
        <f>_xlfn.XLOOKUP(Table6[[#This Row],[app_id]],Table5[app_id],Table5[category],"",0)</f>
        <v>Shopping</v>
      </c>
      <c r="E622" t="s">
        <v>537</v>
      </c>
      <c r="F622" t="s">
        <v>538</v>
      </c>
      <c r="G622" t="s">
        <v>30</v>
      </c>
      <c r="H622" t="s">
        <v>535</v>
      </c>
      <c r="I622">
        <v>8</v>
      </c>
      <c r="J622">
        <v>10.5</v>
      </c>
      <c r="K622" t="s">
        <v>258</v>
      </c>
      <c r="L622" t="s">
        <v>258</v>
      </c>
      <c r="M622" t="s">
        <v>257</v>
      </c>
      <c r="N622" s="5">
        <v>0</v>
      </c>
    </row>
    <row r="623" spans="1:14" x14ac:dyDescent="0.25">
      <c r="A623" t="s">
        <v>1164</v>
      </c>
      <c r="B623" t="s">
        <v>80</v>
      </c>
      <c r="C623" t="str">
        <f>_xlfn.XLOOKUP(Table6[[#This Row],[app_id]],Table5[app_id],Table5[app_name],"",0)</f>
        <v>Cartly</v>
      </c>
      <c r="D623" t="str">
        <f>_xlfn.XLOOKUP(Table6[[#This Row],[app_id]],Table5[app_id],Table5[category],"",0)</f>
        <v>Shopping</v>
      </c>
      <c r="E623" t="s">
        <v>537</v>
      </c>
      <c r="F623" t="s">
        <v>538</v>
      </c>
      <c r="G623" t="s">
        <v>46</v>
      </c>
      <c r="H623" t="s">
        <v>535</v>
      </c>
      <c r="I623">
        <v>75</v>
      </c>
      <c r="J623">
        <v>16.2</v>
      </c>
      <c r="K623" t="s">
        <v>257</v>
      </c>
      <c r="L623" t="s">
        <v>257</v>
      </c>
      <c r="M623" t="s">
        <v>258</v>
      </c>
      <c r="N623" s="5">
        <v>0</v>
      </c>
    </row>
    <row r="624" spans="1:14" x14ac:dyDescent="0.25">
      <c r="A624" t="s">
        <v>1165</v>
      </c>
      <c r="B624" t="s">
        <v>83</v>
      </c>
      <c r="C624" t="str">
        <f>_xlfn.XLOOKUP(Table6[[#This Row],[app_id]],Table5[app_id],Table5[app_name],"",0)</f>
        <v>BazaarCloud</v>
      </c>
      <c r="D624" t="str">
        <f>_xlfn.XLOOKUP(Table6[[#This Row],[app_id]],Table5[app_id],Table5[category],"",0)</f>
        <v>Shopping</v>
      </c>
      <c r="E624" t="s">
        <v>546</v>
      </c>
      <c r="F624" t="s">
        <v>538</v>
      </c>
      <c r="G624" t="s">
        <v>61</v>
      </c>
      <c r="H624" t="s">
        <v>535</v>
      </c>
      <c r="I624">
        <v>9</v>
      </c>
      <c r="J624">
        <v>6</v>
      </c>
      <c r="K624" t="s">
        <v>258</v>
      </c>
      <c r="L624" t="s">
        <v>257</v>
      </c>
      <c r="M624" t="s">
        <v>257</v>
      </c>
      <c r="N624" s="5">
        <v>69.73</v>
      </c>
    </row>
    <row r="625" spans="1:14" x14ac:dyDescent="0.25">
      <c r="A625" t="s">
        <v>1166</v>
      </c>
      <c r="B625" t="s">
        <v>85</v>
      </c>
      <c r="C625" t="str">
        <f>_xlfn.XLOOKUP(Table6[[#This Row],[app_id]],Table5[app_id],Table5[app_name],"",0)</f>
        <v>CartPro</v>
      </c>
      <c r="D625" t="str">
        <f>_xlfn.XLOOKUP(Table6[[#This Row],[app_id]],Table5[app_id],Table5[category],"",0)</f>
        <v>Shopping</v>
      </c>
      <c r="E625" t="s">
        <v>533</v>
      </c>
      <c r="F625" t="s">
        <v>534</v>
      </c>
      <c r="G625" t="s">
        <v>69</v>
      </c>
      <c r="H625" t="s">
        <v>535</v>
      </c>
      <c r="I625">
        <v>18</v>
      </c>
      <c r="J625">
        <v>7.4</v>
      </c>
      <c r="K625" t="s">
        <v>258</v>
      </c>
      <c r="L625" t="s">
        <v>257</v>
      </c>
      <c r="M625" t="s">
        <v>258</v>
      </c>
      <c r="N625" s="5">
        <v>0</v>
      </c>
    </row>
    <row r="626" spans="1:14" x14ac:dyDescent="0.25">
      <c r="A626" t="s">
        <v>1167</v>
      </c>
      <c r="B626" t="s">
        <v>87</v>
      </c>
      <c r="C626" t="str">
        <f>_xlfn.XLOOKUP(Table6[[#This Row],[app_id]],Table5[app_id],Table5[app_name],"",0)</f>
        <v>RunPlus</v>
      </c>
      <c r="D626" t="str">
        <f>_xlfn.XLOOKUP(Table6[[#This Row],[app_id]],Table5[app_id],Table5[category],"",0)</f>
        <v>Fitness</v>
      </c>
      <c r="E626" t="s">
        <v>557</v>
      </c>
      <c r="F626" t="s">
        <v>538</v>
      </c>
      <c r="G626" t="s">
        <v>23</v>
      </c>
      <c r="H626" t="s">
        <v>535</v>
      </c>
      <c r="I626">
        <v>71</v>
      </c>
      <c r="J626">
        <v>27.9</v>
      </c>
      <c r="K626" t="s">
        <v>257</v>
      </c>
      <c r="L626" t="s">
        <v>257</v>
      </c>
      <c r="M626" t="s">
        <v>258</v>
      </c>
      <c r="N626" s="5">
        <v>0</v>
      </c>
    </row>
    <row r="627" spans="1:14" x14ac:dyDescent="0.25">
      <c r="A627" t="s">
        <v>1168</v>
      </c>
      <c r="B627" t="s">
        <v>90</v>
      </c>
      <c r="C627" t="str">
        <f>_xlfn.XLOOKUP(Table6[[#This Row],[app_id]],Table5[app_id],Table5[app_name],"",0)</f>
        <v>TrainCloud</v>
      </c>
      <c r="D627" t="str">
        <f>_xlfn.XLOOKUP(Table6[[#This Row],[app_id]],Table5[app_id],Table5[category],"",0)</f>
        <v>Fitness</v>
      </c>
      <c r="E627" t="s">
        <v>537</v>
      </c>
      <c r="F627" t="s">
        <v>534</v>
      </c>
      <c r="G627" t="s">
        <v>46</v>
      </c>
      <c r="H627" t="s">
        <v>535</v>
      </c>
      <c r="I627">
        <v>29</v>
      </c>
      <c r="J627">
        <v>34.299999999999997</v>
      </c>
      <c r="K627" t="s">
        <v>257</v>
      </c>
      <c r="L627" t="s">
        <v>258</v>
      </c>
      <c r="M627" t="s">
        <v>258</v>
      </c>
      <c r="N627" s="5">
        <v>0</v>
      </c>
    </row>
    <row r="628" spans="1:14" x14ac:dyDescent="0.25">
      <c r="A628" t="s">
        <v>1169</v>
      </c>
      <c r="B628" t="s">
        <v>92</v>
      </c>
      <c r="C628" t="str">
        <f>_xlfn.XLOOKUP(Table6[[#This Row],[app_id]],Table5[app_id],Table5[app_name],"",0)</f>
        <v>Trainly</v>
      </c>
      <c r="D628" t="str">
        <f>_xlfn.XLOOKUP(Table6[[#This Row],[app_id]],Table5[app_id],Table5[category],"",0)</f>
        <v>Fitness</v>
      </c>
      <c r="E628" t="s">
        <v>533</v>
      </c>
      <c r="F628" t="s">
        <v>534</v>
      </c>
      <c r="G628" t="s">
        <v>46</v>
      </c>
      <c r="H628" t="s">
        <v>535</v>
      </c>
      <c r="I628">
        <v>67</v>
      </c>
      <c r="J628">
        <v>19.899999999999999</v>
      </c>
      <c r="K628" t="s">
        <v>257</v>
      </c>
      <c r="L628" t="s">
        <v>257</v>
      </c>
      <c r="M628" t="s">
        <v>258</v>
      </c>
      <c r="N628" s="5">
        <v>0</v>
      </c>
    </row>
    <row r="629" spans="1:14" x14ac:dyDescent="0.25">
      <c r="A629" t="s">
        <v>1170</v>
      </c>
      <c r="B629" t="s">
        <v>94</v>
      </c>
      <c r="C629" t="str">
        <f>_xlfn.XLOOKUP(Table6[[#This Row],[app_id]],Table5[app_id],Table5[app_name],"",0)</f>
        <v>LiftCloud</v>
      </c>
      <c r="D629" t="str">
        <f>_xlfn.XLOOKUP(Table6[[#This Row],[app_id]],Table5[app_id],Table5[category],"",0)</f>
        <v>Fitness</v>
      </c>
      <c r="E629" t="s">
        <v>533</v>
      </c>
      <c r="F629" t="s">
        <v>534</v>
      </c>
      <c r="G629" t="s">
        <v>46</v>
      </c>
      <c r="H629" t="s">
        <v>535</v>
      </c>
      <c r="I629">
        <v>17</v>
      </c>
      <c r="J629">
        <v>37</v>
      </c>
      <c r="K629" t="s">
        <v>258</v>
      </c>
      <c r="L629" t="s">
        <v>257</v>
      </c>
      <c r="M629" t="s">
        <v>258</v>
      </c>
      <c r="N629" s="5">
        <v>0</v>
      </c>
    </row>
    <row r="630" spans="1:14" x14ac:dyDescent="0.25">
      <c r="A630" t="s">
        <v>1171</v>
      </c>
      <c r="B630" t="s">
        <v>96</v>
      </c>
      <c r="C630" t="str">
        <f>_xlfn.XLOOKUP(Table6[[#This Row],[app_id]],Table5[app_id],Table5[app_name],"",0)</f>
        <v>MoveNow</v>
      </c>
      <c r="D630" t="str">
        <f>_xlfn.XLOOKUP(Table6[[#This Row],[app_id]],Table5[app_id],Table5[category],"",0)</f>
        <v>Fitness</v>
      </c>
      <c r="E630" t="s">
        <v>546</v>
      </c>
      <c r="F630" t="s">
        <v>534</v>
      </c>
      <c r="G630" t="s">
        <v>46</v>
      </c>
      <c r="H630" t="s">
        <v>535</v>
      </c>
      <c r="I630">
        <v>81</v>
      </c>
      <c r="J630">
        <v>33.700000000000003</v>
      </c>
      <c r="K630" t="s">
        <v>257</v>
      </c>
      <c r="L630" t="s">
        <v>257</v>
      </c>
      <c r="M630" t="s">
        <v>258</v>
      </c>
      <c r="N630" s="5">
        <v>26.11</v>
      </c>
    </row>
    <row r="631" spans="1:14" x14ac:dyDescent="0.25">
      <c r="A631" t="s">
        <v>1172</v>
      </c>
      <c r="B631" t="s">
        <v>98</v>
      </c>
      <c r="C631" t="str">
        <f>_xlfn.XLOOKUP(Table6[[#This Row],[app_id]],Table5[app_id],Table5[app_name],"",0)</f>
        <v>ActiveMate</v>
      </c>
      <c r="D631" t="str">
        <f>_xlfn.XLOOKUP(Table6[[#This Row],[app_id]],Table5[app_id],Table5[category],"",0)</f>
        <v>Fitness</v>
      </c>
      <c r="E631" t="s">
        <v>557</v>
      </c>
      <c r="F631" t="s">
        <v>538</v>
      </c>
      <c r="G631" t="s">
        <v>18</v>
      </c>
      <c r="H631" t="s">
        <v>535</v>
      </c>
      <c r="I631">
        <v>53</v>
      </c>
      <c r="J631">
        <v>40.1</v>
      </c>
      <c r="K631" t="s">
        <v>257</v>
      </c>
      <c r="L631" t="s">
        <v>257</v>
      </c>
      <c r="M631" t="s">
        <v>258</v>
      </c>
      <c r="N631" s="5">
        <v>0</v>
      </c>
    </row>
    <row r="632" spans="1:14" x14ac:dyDescent="0.25">
      <c r="A632" t="s">
        <v>1173</v>
      </c>
      <c r="B632" t="s">
        <v>100</v>
      </c>
      <c r="C632" t="str">
        <f>_xlfn.XLOOKUP(Table6[[#This Row],[app_id]],Table5[app_id],Table5[app_name],"",0)</f>
        <v>RunGo</v>
      </c>
      <c r="D632" t="str">
        <f>_xlfn.XLOOKUP(Table6[[#This Row],[app_id]],Table5[app_id],Table5[category],"",0)</f>
        <v>Fitness</v>
      </c>
      <c r="E632" t="s">
        <v>546</v>
      </c>
      <c r="F632" t="s">
        <v>534</v>
      </c>
      <c r="G632" t="s">
        <v>46</v>
      </c>
      <c r="H632" t="s">
        <v>535</v>
      </c>
      <c r="I632">
        <v>16</v>
      </c>
      <c r="J632">
        <v>27.8</v>
      </c>
      <c r="K632" t="s">
        <v>257</v>
      </c>
      <c r="L632" t="s">
        <v>257</v>
      </c>
      <c r="M632" t="s">
        <v>258</v>
      </c>
      <c r="N632" s="5">
        <v>0</v>
      </c>
    </row>
    <row r="633" spans="1:14" x14ac:dyDescent="0.25">
      <c r="A633" t="s">
        <v>1174</v>
      </c>
      <c r="B633" t="s">
        <v>102</v>
      </c>
      <c r="C633" t="str">
        <f>_xlfn.XLOOKUP(Table6[[#This Row],[app_id]],Table5[app_id],Table5[app_name],"",0)</f>
        <v>LiftPro</v>
      </c>
      <c r="D633" t="str">
        <f>_xlfn.XLOOKUP(Table6[[#This Row],[app_id]],Table5[app_id],Table5[category],"",0)</f>
        <v>Fitness</v>
      </c>
      <c r="E633" t="s">
        <v>533</v>
      </c>
      <c r="F633" t="s">
        <v>548</v>
      </c>
      <c r="G633" t="s">
        <v>61</v>
      </c>
      <c r="H633" t="s">
        <v>535</v>
      </c>
      <c r="I633">
        <v>14</v>
      </c>
      <c r="J633">
        <v>32.200000000000003</v>
      </c>
      <c r="K633" t="s">
        <v>258</v>
      </c>
      <c r="L633" t="s">
        <v>257</v>
      </c>
      <c r="M633" t="s">
        <v>257</v>
      </c>
      <c r="N633" s="5">
        <v>32.659999999999997</v>
      </c>
    </row>
    <row r="634" spans="1:14" x14ac:dyDescent="0.25">
      <c r="A634" t="s">
        <v>1175</v>
      </c>
      <c r="B634" t="s">
        <v>104</v>
      </c>
      <c r="C634" t="str">
        <f>_xlfn.XLOOKUP(Table6[[#This Row],[app_id]],Table5[app_id],Table5[app_name],"",0)</f>
        <v>LiftPro</v>
      </c>
      <c r="D634" t="str">
        <f>_xlfn.XLOOKUP(Table6[[#This Row],[app_id]],Table5[app_id],Table5[category],"",0)</f>
        <v>Fitness</v>
      </c>
      <c r="E634" t="s">
        <v>533</v>
      </c>
      <c r="F634" t="s">
        <v>534</v>
      </c>
      <c r="G634" t="s">
        <v>30</v>
      </c>
      <c r="H634" t="s">
        <v>535</v>
      </c>
      <c r="I634">
        <v>19</v>
      </c>
      <c r="J634">
        <v>31.3</v>
      </c>
      <c r="K634" t="s">
        <v>258</v>
      </c>
      <c r="L634" t="s">
        <v>258</v>
      </c>
      <c r="M634" t="s">
        <v>258</v>
      </c>
      <c r="N634" s="5">
        <v>0</v>
      </c>
    </row>
    <row r="635" spans="1:14" x14ac:dyDescent="0.25">
      <c r="A635" t="s">
        <v>1176</v>
      </c>
      <c r="B635" t="s">
        <v>105</v>
      </c>
      <c r="C635" t="str">
        <f>_xlfn.XLOOKUP(Table6[[#This Row],[app_id]],Table5[app_id],Table5[app_name],"",0)</f>
        <v>Liftly</v>
      </c>
      <c r="D635" t="str">
        <f>_xlfn.XLOOKUP(Table6[[#This Row],[app_id]],Table5[app_id],Table5[category],"",0)</f>
        <v>Fitness</v>
      </c>
      <c r="E635" t="s">
        <v>537</v>
      </c>
      <c r="F635" t="s">
        <v>538</v>
      </c>
      <c r="G635" t="s">
        <v>35</v>
      </c>
      <c r="H635" t="s">
        <v>535</v>
      </c>
      <c r="I635">
        <v>28</v>
      </c>
      <c r="J635">
        <v>8.8000000000000007</v>
      </c>
      <c r="K635" t="s">
        <v>257</v>
      </c>
      <c r="L635" t="s">
        <v>258</v>
      </c>
      <c r="M635" t="s">
        <v>257</v>
      </c>
      <c r="N635" s="5">
        <v>0</v>
      </c>
    </row>
    <row r="636" spans="1:14" x14ac:dyDescent="0.25">
      <c r="A636" t="s">
        <v>1177</v>
      </c>
      <c r="B636" t="s">
        <v>107</v>
      </c>
      <c r="C636" t="str">
        <f>_xlfn.XLOOKUP(Table6[[#This Row],[app_id]],Table5[app_id],Table5[app_name],"",0)</f>
        <v>YogaHub</v>
      </c>
      <c r="D636" t="str">
        <f>_xlfn.XLOOKUP(Table6[[#This Row],[app_id]],Table5[app_id],Table5[category],"",0)</f>
        <v>Fitness</v>
      </c>
      <c r="E636" t="s">
        <v>537</v>
      </c>
      <c r="F636" t="s">
        <v>534</v>
      </c>
      <c r="G636" t="s">
        <v>30</v>
      </c>
      <c r="H636" t="s">
        <v>535</v>
      </c>
      <c r="I636">
        <v>5</v>
      </c>
      <c r="J636">
        <v>14.6</v>
      </c>
      <c r="K636" t="s">
        <v>258</v>
      </c>
      <c r="L636" t="s">
        <v>257</v>
      </c>
      <c r="M636" t="s">
        <v>258</v>
      </c>
      <c r="N636" s="5">
        <v>0</v>
      </c>
    </row>
    <row r="637" spans="1:14" x14ac:dyDescent="0.25">
      <c r="A637" t="s">
        <v>1178</v>
      </c>
      <c r="B637" t="s">
        <v>109</v>
      </c>
      <c r="C637" t="str">
        <f>_xlfn.XLOOKUP(Table6[[#This Row],[app_id]],Table5[app_id],Table5[app_name],"",0)</f>
        <v>MoveGo</v>
      </c>
      <c r="D637" t="str">
        <f>_xlfn.XLOOKUP(Table6[[#This Row],[app_id]],Table5[app_id],Table5[category],"",0)</f>
        <v>Fitness</v>
      </c>
      <c r="E637" t="s">
        <v>546</v>
      </c>
      <c r="F637" t="s">
        <v>538</v>
      </c>
      <c r="G637" t="s">
        <v>61</v>
      </c>
      <c r="H637" t="s">
        <v>535</v>
      </c>
      <c r="I637">
        <v>2</v>
      </c>
      <c r="J637">
        <v>11.4</v>
      </c>
      <c r="K637" t="s">
        <v>258</v>
      </c>
      <c r="L637" t="s">
        <v>258</v>
      </c>
      <c r="M637" t="s">
        <v>258</v>
      </c>
      <c r="N637" s="5">
        <v>22.67</v>
      </c>
    </row>
    <row r="638" spans="1:14" x14ac:dyDescent="0.25">
      <c r="A638" t="s">
        <v>1179</v>
      </c>
      <c r="B638" t="s">
        <v>111</v>
      </c>
      <c r="C638" t="str">
        <f>_xlfn.XLOOKUP(Table6[[#This Row],[app_id]],Table5[app_id],Table5[app_name],"",0)</f>
        <v>BrightNow</v>
      </c>
      <c r="D638" t="str">
        <f>_xlfn.XLOOKUP(Table6[[#This Row],[app_id]],Table5[app_id],Table5[category],"",0)</f>
        <v>Education</v>
      </c>
      <c r="E638" t="s">
        <v>557</v>
      </c>
      <c r="F638" t="s">
        <v>538</v>
      </c>
      <c r="G638" t="s">
        <v>35</v>
      </c>
      <c r="H638" t="s">
        <v>535</v>
      </c>
      <c r="I638">
        <v>15</v>
      </c>
      <c r="J638">
        <v>13.2</v>
      </c>
      <c r="K638" t="s">
        <v>258</v>
      </c>
      <c r="L638" t="s">
        <v>258</v>
      </c>
      <c r="M638" t="s">
        <v>257</v>
      </c>
      <c r="N638" s="5">
        <v>0</v>
      </c>
    </row>
    <row r="639" spans="1:14" x14ac:dyDescent="0.25">
      <c r="A639" t="s">
        <v>1180</v>
      </c>
      <c r="B639" t="s">
        <v>114</v>
      </c>
      <c r="C639" t="str">
        <f>_xlfn.XLOOKUP(Table6[[#This Row],[app_id]],Table5[app_id],Table5[app_name],"",0)</f>
        <v>StudyCloud</v>
      </c>
      <c r="D639" t="str">
        <f>_xlfn.XLOOKUP(Table6[[#This Row],[app_id]],Table5[app_id],Table5[category],"",0)</f>
        <v>Education</v>
      </c>
      <c r="E639" t="s">
        <v>546</v>
      </c>
      <c r="F639" t="s">
        <v>538</v>
      </c>
      <c r="G639" t="s">
        <v>46</v>
      </c>
      <c r="H639" t="s">
        <v>535</v>
      </c>
      <c r="I639">
        <v>24</v>
      </c>
      <c r="J639">
        <v>11</v>
      </c>
      <c r="K639" t="s">
        <v>258</v>
      </c>
      <c r="L639" t="s">
        <v>258</v>
      </c>
      <c r="M639" t="s">
        <v>258</v>
      </c>
      <c r="N639" s="5">
        <v>0</v>
      </c>
    </row>
    <row r="640" spans="1:14" x14ac:dyDescent="0.25">
      <c r="A640" t="s">
        <v>1181</v>
      </c>
      <c r="B640" t="s">
        <v>116</v>
      </c>
      <c r="C640" t="str">
        <f>_xlfn.XLOOKUP(Table6[[#This Row],[app_id]],Table5[app_id],Table5[app_name],"",0)</f>
        <v>SkillNow</v>
      </c>
      <c r="D640" t="str">
        <f>_xlfn.XLOOKUP(Table6[[#This Row],[app_id]],Table5[app_id],Table5[category],"",0)</f>
        <v>Education</v>
      </c>
      <c r="E640" t="s">
        <v>537</v>
      </c>
      <c r="F640" t="s">
        <v>534</v>
      </c>
      <c r="G640" t="s">
        <v>35</v>
      </c>
      <c r="H640" t="s">
        <v>540</v>
      </c>
      <c r="I640">
        <v>93</v>
      </c>
      <c r="J640">
        <v>37.700000000000003</v>
      </c>
      <c r="K640" t="s">
        <v>257</v>
      </c>
      <c r="L640" t="s">
        <v>258</v>
      </c>
      <c r="M640" t="s">
        <v>257</v>
      </c>
      <c r="N640" s="5">
        <v>0</v>
      </c>
    </row>
    <row r="641" spans="1:14" x14ac:dyDescent="0.25">
      <c r="A641" t="s">
        <v>1182</v>
      </c>
      <c r="B641" t="s">
        <v>118</v>
      </c>
      <c r="C641" t="str">
        <f>_xlfn.XLOOKUP(Table6[[#This Row],[app_id]],Table5[app_id],Table5[app_name],"",0)</f>
        <v>LearnMate</v>
      </c>
      <c r="D641" t="str">
        <f>_xlfn.XLOOKUP(Table6[[#This Row],[app_id]],Table5[app_id],Table5[category],"",0)</f>
        <v>Education</v>
      </c>
      <c r="E641" t="s">
        <v>537</v>
      </c>
      <c r="F641" t="s">
        <v>534</v>
      </c>
      <c r="G641" t="s">
        <v>30</v>
      </c>
      <c r="H641" t="s">
        <v>540</v>
      </c>
      <c r="I641">
        <v>57</v>
      </c>
      <c r="J641">
        <v>15.3</v>
      </c>
      <c r="K641" t="s">
        <v>257</v>
      </c>
      <c r="L641" t="s">
        <v>258</v>
      </c>
      <c r="M641" t="s">
        <v>258</v>
      </c>
      <c r="N641" s="5">
        <v>0</v>
      </c>
    </row>
    <row r="642" spans="1:14" x14ac:dyDescent="0.25">
      <c r="A642" t="s">
        <v>1183</v>
      </c>
      <c r="B642" t="s">
        <v>120</v>
      </c>
      <c r="C642" t="str">
        <f>_xlfn.XLOOKUP(Table6[[#This Row],[app_id]],Table5[app_id],Table5[app_name],"",0)</f>
        <v>QuestNow</v>
      </c>
      <c r="D642" t="str">
        <f>_xlfn.XLOOKUP(Table6[[#This Row],[app_id]],Table5[app_id],Table5[category],"",0)</f>
        <v>Education</v>
      </c>
      <c r="E642" t="s">
        <v>537</v>
      </c>
      <c r="F642" t="s">
        <v>534</v>
      </c>
      <c r="G642" t="s">
        <v>46</v>
      </c>
      <c r="H642" t="s">
        <v>535</v>
      </c>
      <c r="I642">
        <v>3</v>
      </c>
      <c r="J642">
        <v>9</v>
      </c>
      <c r="K642" t="s">
        <v>258</v>
      </c>
      <c r="L642" t="s">
        <v>258</v>
      </c>
      <c r="M642" t="s">
        <v>258</v>
      </c>
      <c r="N642" s="5">
        <v>12.17</v>
      </c>
    </row>
    <row r="643" spans="1:14" x14ac:dyDescent="0.25">
      <c r="A643" t="s">
        <v>1184</v>
      </c>
      <c r="B643" t="s">
        <v>122</v>
      </c>
      <c r="C643" t="str">
        <f>_xlfn.XLOOKUP(Table6[[#This Row],[app_id]],Table5[app_id],Table5[app_name],"",0)</f>
        <v>SkillHub</v>
      </c>
      <c r="D643" t="str">
        <f>_xlfn.XLOOKUP(Table6[[#This Row],[app_id]],Table5[app_id],Table5[category],"",0)</f>
        <v>Education</v>
      </c>
      <c r="E643" t="s">
        <v>546</v>
      </c>
      <c r="F643" t="s">
        <v>548</v>
      </c>
      <c r="G643" t="s">
        <v>18</v>
      </c>
      <c r="H643" t="s">
        <v>540</v>
      </c>
      <c r="I643">
        <v>75</v>
      </c>
      <c r="J643">
        <v>40.1</v>
      </c>
      <c r="K643" t="s">
        <v>257</v>
      </c>
      <c r="L643" t="s">
        <v>258</v>
      </c>
      <c r="M643" t="s">
        <v>258</v>
      </c>
      <c r="N643" s="5">
        <v>0</v>
      </c>
    </row>
    <row r="644" spans="1:14" x14ac:dyDescent="0.25">
      <c r="A644" t="s">
        <v>1185</v>
      </c>
      <c r="B644" t="s">
        <v>124</v>
      </c>
      <c r="C644" t="str">
        <f>_xlfn.XLOOKUP(Table6[[#This Row],[app_id]],Table5[app_id],Table5[app_name],"",0)</f>
        <v>TutorCloud</v>
      </c>
      <c r="D644" t="str">
        <f>_xlfn.XLOOKUP(Table6[[#This Row],[app_id]],Table5[app_id],Table5[category],"",0)</f>
        <v>Education</v>
      </c>
      <c r="E644" t="s">
        <v>537</v>
      </c>
      <c r="F644" t="s">
        <v>538</v>
      </c>
      <c r="G644" t="s">
        <v>61</v>
      </c>
      <c r="H644" t="s">
        <v>535</v>
      </c>
      <c r="I644">
        <v>86</v>
      </c>
      <c r="J644">
        <v>9.3000000000000007</v>
      </c>
      <c r="K644" t="s">
        <v>257</v>
      </c>
      <c r="L644" t="s">
        <v>257</v>
      </c>
      <c r="M644" t="s">
        <v>257</v>
      </c>
      <c r="N644" s="5">
        <v>0</v>
      </c>
    </row>
    <row r="645" spans="1:14" x14ac:dyDescent="0.25">
      <c r="A645" t="s">
        <v>1186</v>
      </c>
      <c r="B645" t="s">
        <v>126</v>
      </c>
      <c r="C645" t="str">
        <f>_xlfn.XLOOKUP(Table6[[#This Row],[app_id]],Table5[app_id],Table5[app_name],"",0)</f>
        <v>SkillOne</v>
      </c>
      <c r="D645" t="str">
        <f>_xlfn.XLOOKUP(Table6[[#This Row],[app_id]],Table5[app_id],Table5[category],"",0)</f>
        <v>Education</v>
      </c>
      <c r="E645" t="s">
        <v>533</v>
      </c>
      <c r="F645" t="s">
        <v>534</v>
      </c>
      <c r="G645" t="s">
        <v>30</v>
      </c>
      <c r="H645" t="s">
        <v>535</v>
      </c>
      <c r="I645">
        <v>26</v>
      </c>
      <c r="J645">
        <v>10</v>
      </c>
      <c r="K645" t="s">
        <v>258</v>
      </c>
      <c r="L645" t="s">
        <v>258</v>
      </c>
      <c r="M645" t="s">
        <v>257</v>
      </c>
      <c r="N645" s="5">
        <v>0</v>
      </c>
    </row>
    <row r="646" spans="1:14" x14ac:dyDescent="0.25">
      <c r="A646" t="s">
        <v>1187</v>
      </c>
      <c r="B646" t="s">
        <v>128</v>
      </c>
      <c r="C646" t="str">
        <f>_xlfn.XLOOKUP(Table6[[#This Row],[app_id]],Table5[app_id],Table5[app_name],"",0)</f>
        <v>LearnOne</v>
      </c>
      <c r="D646" t="str">
        <f>_xlfn.XLOOKUP(Table6[[#This Row],[app_id]],Table5[app_id],Table5[category],"",0)</f>
        <v>Education</v>
      </c>
      <c r="E646" t="s">
        <v>546</v>
      </c>
      <c r="F646" t="s">
        <v>538</v>
      </c>
      <c r="G646" t="s">
        <v>18</v>
      </c>
      <c r="H646" t="s">
        <v>535</v>
      </c>
      <c r="I646">
        <v>26</v>
      </c>
      <c r="J646">
        <v>26.2</v>
      </c>
      <c r="K646" t="s">
        <v>258</v>
      </c>
      <c r="L646" t="s">
        <v>258</v>
      </c>
      <c r="M646" t="s">
        <v>258</v>
      </c>
      <c r="N646" s="5">
        <v>0</v>
      </c>
    </row>
    <row r="647" spans="1:14" x14ac:dyDescent="0.25">
      <c r="A647" t="s">
        <v>1188</v>
      </c>
      <c r="B647" t="s">
        <v>130</v>
      </c>
      <c r="C647" t="str">
        <f>_xlfn.XLOOKUP(Table6[[#This Row],[app_id]],Table5[app_id],Table5[app_name],"",0)</f>
        <v>LearnPlus</v>
      </c>
      <c r="D647" t="str">
        <f>_xlfn.XLOOKUP(Table6[[#This Row],[app_id]],Table5[app_id],Table5[category],"",0)</f>
        <v>Education</v>
      </c>
      <c r="E647" t="s">
        <v>546</v>
      </c>
      <c r="F647" t="s">
        <v>538</v>
      </c>
      <c r="G647" t="s">
        <v>61</v>
      </c>
      <c r="H647" t="s">
        <v>535</v>
      </c>
      <c r="I647">
        <v>26</v>
      </c>
      <c r="J647">
        <v>33.6</v>
      </c>
      <c r="K647" t="s">
        <v>258</v>
      </c>
      <c r="L647" t="s">
        <v>257</v>
      </c>
      <c r="M647" t="s">
        <v>258</v>
      </c>
      <c r="N647" s="5">
        <v>23.95</v>
      </c>
    </row>
    <row r="648" spans="1:14" x14ac:dyDescent="0.25">
      <c r="A648" t="s">
        <v>1189</v>
      </c>
      <c r="B648" t="s">
        <v>132</v>
      </c>
      <c r="C648" t="str">
        <f>_xlfn.XLOOKUP(Table6[[#This Row],[app_id]],Table5[app_id],Table5[app_name],"",0)</f>
        <v>StudyPlus</v>
      </c>
      <c r="D648" t="str">
        <f>_xlfn.XLOOKUP(Table6[[#This Row],[app_id]],Table5[app_id],Table5[category],"",0)</f>
        <v>Education</v>
      </c>
      <c r="E648" t="s">
        <v>533</v>
      </c>
      <c r="F648" t="s">
        <v>538</v>
      </c>
      <c r="G648" t="s">
        <v>46</v>
      </c>
      <c r="H648" t="s">
        <v>535</v>
      </c>
      <c r="I648">
        <v>14</v>
      </c>
      <c r="J648">
        <v>22.2</v>
      </c>
      <c r="K648" t="s">
        <v>257</v>
      </c>
      <c r="L648" t="s">
        <v>257</v>
      </c>
      <c r="M648" t="s">
        <v>258</v>
      </c>
      <c r="N648" s="5">
        <v>0</v>
      </c>
    </row>
    <row r="649" spans="1:14" x14ac:dyDescent="0.25">
      <c r="A649" t="s">
        <v>1190</v>
      </c>
      <c r="B649" t="s">
        <v>134</v>
      </c>
      <c r="C649" t="str">
        <f>_xlfn.XLOOKUP(Table6[[#This Row],[app_id]],Table5[app_id],Table5[app_name],"",0)</f>
        <v>StudyX</v>
      </c>
      <c r="D649" t="str">
        <f>_xlfn.XLOOKUP(Table6[[#This Row],[app_id]],Table5[app_id],Table5[category],"",0)</f>
        <v>Education</v>
      </c>
      <c r="E649" t="s">
        <v>537</v>
      </c>
      <c r="F649" t="s">
        <v>548</v>
      </c>
      <c r="G649" t="s">
        <v>30</v>
      </c>
      <c r="H649" t="s">
        <v>535</v>
      </c>
      <c r="I649">
        <v>2</v>
      </c>
      <c r="J649">
        <v>29.9</v>
      </c>
      <c r="K649" t="s">
        <v>258</v>
      </c>
      <c r="L649" t="s">
        <v>257</v>
      </c>
      <c r="M649" t="s">
        <v>258</v>
      </c>
      <c r="N649" s="5">
        <v>0</v>
      </c>
    </row>
    <row r="650" spans="1:14" x14ac:dyDescent="0.25">
      <c r="A650" t="s">
        <v>1191</v>
      </c>
      <c r="B650" t="s">
        <v>136</v>
      </c>
      <c r="C650" t="str">
        <f>_xlfn.XLOOKUP(Table6[[#This Row],[app_id]],Table5[app_id],Table5[app_name],"",0)</f>
        <v>PlayPlus</v>
      </c>
      <c r="D650" t="str">
        <f>_xlfn.XLOOKUP(Table6[[#This Row],[app_id]],Table5[app_id],Table5[category],"",0)</f>
        <v>Entertainment</v>
      </c>
      <c r="E650" t="s">
        <v>533</v>
      </c>
      <c r="F650" t="s">
        <v>538</v>
      </c>
      <c r="G650" t="s">
        <v>46</v>
      </c>
      <c r="H650" t="s">
        <v>535</v>
      </c>
      <c r="I650">
        <v>17</v>
      </c>
      <c r="J650">
        <v>28.6</v>
      </c>
      <c r="K650" t="s">
        <v>258</v>
      </c>
      <c r="L650" t="s">
        <v>258</v>
      </c>
      <c r="M650" t="s">
        <v>258</v>
      </c>
      <c r="N650" s="5">
        <v>0</v>
      </c>
    </row>
    <row r="651" spans="1:14" x14ac:dyDescent="0.25">
      <c r="A651" t="s">
        <v>1192</v>
      </c>
      <c r="B651" t="s">
        <v>139</v>
      </c>
      <c r="C651" t="str">
        <f>_xlfn.XLOOKUP(Table6[[#This Row],[app_id]],Table5[app_id],Table5[app_name],"",0)</f>
        <v>ShowMate</v>
      </c>
      <c r="D651" t="str">
        <f>_xlfn.XLOOKUP(Table6[[#This Row],[app_id]],Table5[app_id],Table5[category],"",0)</f>
        <v>Entertainment</v>
      </c>
      <c r="E651" t="s">
        <v>537</v>
      </c>
      <c r="F651" t="s">
        <v>534</v>
      </c>
      <c r="G651" t="s">
        <v>35</v>
      </c>
      <c r="H651" t="s">
        <v>535</v>
      </c>
      <c r="I651">
        <v>24</v>
      </c>
      <c r="J651">
        <v>11.5</v>
      </c>
      <c r="K651" t="s">
        <v>258</v>
      </c>
      <c r="L651" t="s">
        <v>257</v>
      </c>
      <c r="M651" t="s">
        <v>258</v>
      </c>
      <c r="N651" s="5">
        <v>0</v>
      </c>
    </row>
    <row r="652" spans="1:14" x14ac:dyDescent="0.25">
      <c r="A652" t="s">
        <v>1193</v>
      </c>
      <c r="B652" t="s">
        <v>141</v>
      </c>
      <c r="C652" t="str">
        <f>_xlfn.XLOOKUP(Table6[[#This Row],[app_id]],Table5[app_id],Table5[app_name],"",0)</f>
        <v>VibeX</v>
      </c>
      <c r="D652" t="str">
        <f>_xlfn.XLOOKUP(Table6[[#This Row],[app_id]],Table5[app_id],Table5[category],"",0)</f>
        <v>Entertainment</v>
      </c>
      <c r="E652" t="s">
        <v>533</v>
      </c>
      <c r="F652" t="s">
        <v>534</v>
      </c>
      <c r="G652" t="s">
        <v>26</v>
      </c>
      <c r="H652" t="s">
        <v>535</v>
      </c>
      <c r="I652">
        <v>4</v>
      </c>
      <c r="J652">
        <v>40.5</v>
      </c>
      <c r="K652" t="s">
        <v>258</v>
      </c>
      <c r="L652" t="s">
        <v>258</v>
      </c>
      <c r="M652" t="s">
        <v>258</v>
      </c>
      <c r="N652" s="5">
        <v>0</v>
      </c>
    </row>
    <row r="653" spans="1:14" x14ac:dyDescent="0.25">
      <c r="A653" t="s">
        <v>1194</v>
      </c>
      <c r="B653" t="s">
        <v>143</v>
      </c>
      <c r="C653" t="str">
        <f>_xlfn.XLOOKUP(Table6[[#This Row],[app_id]],Table5[app_id],Table5[app_name],"",0)</f>
        <v>BuzzNow</v>
      </c>
      <c r="D653" t="str">
        <f>_xlfn.XLOOKUP(Table6[[#This Row],[app_id]],Table5[app_id],Table5[category],"",0)</f>
        <v>Entertainment</v>
      </c>
      <c r="E653" t="s">
        <v>537</v>
      </c>
      <c r="F653" t="s">
        <v>534</v>
      </c>
      <c r="G653" t="s">
        <v>18</v>
      </c>
      <c r="H653" t="s">
        <v>535</v>
      </c>
      <c r="I653">
        <v>74</v>
      </c>
      <c r="J653">
        <v>15.6</v>
      </c>
      <c r="K653" t="s">
        <v>257</v>
      </c>
      <c r="L653" t="s">
        <v>257</v>
      </c>
      <c r="M653" t="s">
        <v>258</v>
      </c>
      <c r="N653" s="5">
        <v>0</v>
      </c>
    </row>
    <row r="654" spans="1:14" x14ac:dyDescent="0.25">
      <c r="A654" t="s">
        <v>1195</v>
      </c>
      <c r="B654" t="s">
        <v>145</v>
      </c>
      <c r="C654" t="str">
        <f>_xlfn.XLOOKUP(Table6[[#This Row],[app_id]],Table5[app_id],Table5[app_name],"",0)</f>
        <v>StreamPlus</v>
      </c>
      <c r="D654" t="str">
        <f>_xlfn.XLOOKUP(Table6[[#This Row],[app_id]],Table5[app_id],Table5[category],"",0)</f>
        <v>Entertainment</v>
      </c>
      <c r="E654" t="s">
        <v>533</v>
      </c>
      <c r="F654" t="s">
        <v>628</v>
      </c>
      <c r="G654" t="s">
        <v>46</v>
      </c>
      <c r="H654" t="s">
        <v>535</v>
      </c>
      <c r="I654">
        <v>15</v>
      </c>
      <c r="J654">
        <v>35.5</v>
      </c>
      <c r="K654" t="s">
        <v>258</v>
      </c>
      <c r="L654" t="s">
        <v>258</v>
      </c>
      <c r="M654" t="s">
        <v>258</v>
      </c>
      <c r="N654" s="5">
        <v>49.16</v>
      </c>
    </row>
    <row r="655" spans="1:14" x14ac:dyDescent="0.25">
      <c r="A655" t="s">
        <v>1196</v>
      </c>
      <c r="B655" t="s">
        <v>147</v>
      </c>
      <c r="C655" t="str">
        <f>_xlfn.XLOOKUP(Table6[[#This Row],[app_id]],Table5[app_id],Table5[app_name],"",0)</f>
        <v>Showly</v>
      </c>
      <c r="D655" t="str">
        <f>_xlfn.XLOOKUP(Table6[[#This Row],[app_id]],Table5[app_id],Table5[category],"",0)</f>
        <v>Entertainment</v>
      </c>
      <c r="E655" t="s">
        <v>557</v>
      </c>
      <c r="F655" t="s">
        <v>534</v>
      </c>
      <c r="G655" t="s">
        <v>30</v>
      </c>
      <c r="H655" t="s">
        <v>535</v>
      </c>
      <c r="I655">
        <v>62</v>
      </c>
      <c r="J655">
        <v>28.4</v>
      </c>
      <c r="K655" t="s">
        <v>257</v>
      </c>
      <c r="L655" t="s">
        <v>257</v>
      </c>
      <c r="M655" t="s">
        <v>258</v>
      </c>
      <c r="N655" s="5">
        <v>0</v>
      </c>
    </row>
    <row r="656" spans="1:14" x14ac:dyDescent="0.25">
      <c r="A656" t="s">
        <v>1197</v>
      </c>
      <c r="B656" t="s">
        <v>149</v>
      </c>
      <c r="C656" t="str">
        <f>_xlfn.XLOOKUP(Table6[[#This Row],[app_id]],Table5[app_id],Table5[app_name],"",0)</f>
        <v>BuzzOne</v>
      </c>
      <c r="D656" t="str">
        <f>_xlfn.XLOOKUP(Table6[[#This Row],[app_id]],Table5[app_id],Table5[category],"",0)</f>
        <v>Entertainment</v>
      </c>
      <c r="E656" t="s">
        <v>537</v>
      </c>
      <c r="F656" t="s">
        <v>538</v>
      </c>
      <c r="G656" t="s">
        <v>69</v>
      </c>
      <c r="H656" t="s">
        <v>535</v>
      </c>
      <c r="I656">
        <v>20</v>
      </c>
      <c r="J656">
        <v>24</v>
      </c>
      <c r="K656" t="s">
        <v>257</v>
      </c>
      <c r="L656" t="s">
        <v>258</v>
      </c>
      <c r="M656" t="s">
        <v>258</v>
      </c>
      <c r="N656" s="5">
        <v>0</v>
      </c>
    </row>
    <row r="657" spans="1:14" x14ac:dyDescent="0.25">
      <c r="A657" t="s">
        <v>1198</v>
      </c>
      <c r="B657" t="s">
        <v>151</v>
      </c>
      <c r="C657" t="str">
        <f>_xlfn.XLOOKUP(Table6[[#This Row],[app_id]],Table5[app_id],Table5[app_name],"",0)</f>
        <v>PlayHub</v>
      </c>
      <c r="D657" t="str">
        <f>_xlfn.XLOOKUP(Table6[[#This Row],[app_id]],Table5[app_id],Table5[category],"",0)</f>
        <v>Entertainment</v>
      </c>
      <c r="E657" t="s">
        <v>533</v>
      </c>
      <c r="F657" t="s">
        <v>538</v>
      </c>
      <c r="G657" t="s">
        <v>30</v>
      </c>
      <c r="H657" t="s">
        <v>535</v>
      </c>
      <c r="I657">
        <v>40</v>
      </c>
      <c r="J657">
        <v>20</v>
      </c>
      <c r="K657" t="s">
        <v>257</v>
      </c>
      <c r="L657" t="s">
        <v>257</v>
      </c>
      <c r="M657" t="s">
        <v>257</v>
      </c>
      <c r="N657" s="5">
        <v>0</v>
      </c>
    </row>
    <row r="658" spans="1:14" x14ac:dyDescent="0.25">
      <c r="A658" t="s">
        <v>1199</v>
      </c>
      <c r="B658" t="s">
        <v>153</v>
      </c>
      <c r="C658" t="str">
        <f>_xlfn.XLOOKUP(Table6[[#This Row],[app_id]],Table5[app_id],Table5[app_name],"",0)</f>
        <v>CinemaGo</v>
      </c>
      <c r="D658" t="str">
        <f>_xlfn.XLOOKUP(Table6[[#This Row],[app_id]],Table5[app_id],Table5[category],"",0)</f>
        <v>Entertainment</v>
      </c>
      <c r="E658" t="s">
        <v>537</v>
      </c>
      <c r="F658" t="s">
        <v>538</v>
      </c>
      <c r="G658" t="s">
        <v>61</v>
      </c>
      <c r="H658" t="s">
        <v>535</v>
      </c>
      <c r="I658">
        <v>84</v>
      </c>
      <c r="J658">
        <v>13.3</v>
      </c>
      <c r="K658" t="s">
        <v>257</v>
      </c>
      <c r="L658" t="s">
        <v>258</v>
      </c>
      <c r="M658" t="s">
        <v>257</v>
      </c>
      <c r="N658" s="5">
        <v>0</v>
      </c>
    </row>
    <row r="659" spans="1:14" x14ac:dyDescent="0.25">
      <c r="A659" t="s">
        <v>1200</v>
      </c>
      <c r="B659" t="s">
        <v>155</v>
      </c>
      <c r="C659" t="str">
        <f>_xlfn.XLOOKUP(Table6[[#This Row],[app_id]],Table5[app_id],Table5[app_name],"",0)</f>
        <v>LaughX</v>
      </c>
      <c r="D659" t="str">
        <f>_xlfn.XLOOKUP(Table6[[#This Row],[app_id]],Table5[app_id],Table5[category],"",0)</f>
        <v>Entertainment</v>
      </c>
      <c r="E659" t="s">
        <v>557</v>
      </c>
      <c r="F659" t="s">
        <v>534</v>
      </c>
      <c r="G659" t="s">
        <v>26</v>
      </c>
      <c r="H659" t="s">
        <v>535</v>
      </c>
      <c r="I659">
        <v>2</v>
      </c>
      <c r="J659">
        <v>25.2</v>
      </c>
      <c r="K659" t="s">
        <v>258</v>
      </c>
      <c r="L659" t="s">
        <v>258</v>
      </c>
      <c r="M659" t="s">
        <v>258</v>
      </c>
      <c r="N659" s="5">
        <v>0</v>
      </c>
    </row>
    <row r="660" spans="1:14" x14ac:dyDescent="0.25">
      <c r="A660" t="s">
        <v>1201</v>
      </c>
      <c r="B660" t="s">
        <v>157</v>
      </c>
      <c r="C660" t="str">
        <f>_xlfn.XLOOKUP(Table6[[#This Row],[app_id]],Table5[app_id],Table5[app_name],"",0)</f>
        <v>CinemaHub</v>
      </c>
      <c r="D660" t="str">
        <f>_xlfn.XLOOKUP(Table6[[#This Row],[app_id]],Table5[app_id],Table5[category],"",0)</f>
        <v>Entertainment</v>
      </c>
      <c r="E660" t="s">
        <v>533</v>
      </c>
      <c r="F660" t="s">
        <v>538</v>
      </c>
      <c r="G660" t="s">
        <v>61</v>
      </c>
      <c r="H660" t="s">
        <v>535</v>
      </c>
      <c r="I660">
        <v>9</v>
      </c>
      <c r="J660">
        <v>19.5</v>
      </c>
      <c r="K660" t="s">
        <v>258</v>
      </c>
      <c r="L660" t="s">
        <v>258</v>
      </c>
      <c r="M660" t="s">
        <v>257</v>
      </c>
      <c r="N660" s="5">
        <v>0</v>
      </c>
    </row>
    <row r="661" spans="1:14" x14ac:dyDescent="0.25">
      <c r="A661" t="s">
        <v>1202</v>
      </c>
      <c r="B661" t="s">
        <v>159</v>
      </c>
      <c r="C661" t="str">
        <f>_xlfn.XLOOKUP(Table6[[#This Row],[app_id]],Table5[app_id],Table5[app_name],"",0)</f>
        <v>ShowPro</v>
      </c>
      <c r="D661" t="str">
        <f>_xlfn.XLOOKUP(Table6[[#This Row],[app_id]],Table5[app_id],Table5[category],"",0)</f>
        <v>Entertainment</v>
      </c>
      <c r="E661" t="s">
        <v>533</v>
      </c>
      <c r="F661" t="s">
        <v>548</v>
      </c>
      <c r="G661" t="s">
        <v>18</v>
      </c>
      <c r="H661" t="s">
        <v>535</v>
      </c>
      <c r="I661">
        <v>10</v>
      </c>
      <c r="J661">
        <v>14.1</v>
      </c>
      <c r="K661" t="s">
        <v>258</v>
      </c>
      <c r="L661" t="s">
        <v>258</v>
      </c>
      <c r="M661" t="s">
        <v>258</v>
      </c>
      <c r="N661" s="5">
        <v>0</v>
      </c>
    </row>
    <row r="662" spans="1:14" x14ac:dyDescent="0.25">
      <c r="A662" t="s">
        <v>1203</v>
      </c>
      <c r="B662" t="s">
        <v>161</v>
      </c>
      <c r="C662" t="str">
        <f>_xlfn.XLOOKUP(Table6[[#This Row],[app_id]],Table5[app_id],Table5[app_name],"",0)</f>
        <v>FoodPlus</v>
      </c>
      <c r="D662" t="str">
        <f>_xlfn.XLOOKUP(Table6[[#This Row],[app_id]],Table5[app_id],Table5[category],"",0)</f>
        <v>Food Delivery</v>
      </c>
      <c r="E662" t="s">
        <v>533</v>
      </c>
      <c r="F662" t="s">
        <v>534</v>
      </c>
      <c r="G662" t="s">
        <v>30</v>
      </c>
      <c r="H662" t="s">
        <v>535</v>
      </c>
      <c r="I662">
        <v>23</v>
      </c>
      <c r="J662">
        <v>14.1</v>
      </c>
      <c r="K662" t="s">
        <v>258</v>
      </c>
      <c r="L662" t="s">
        <v>257</v>
      </c>
      <c r="M662" t="s">
        <v>258</v>
      </c>
      <c r="N662" s="5">
        <v>0</v>
      </c>
    </row>
    <row r="663" spans="1:14" x14ac:dyDescent="0.25">
      <c r="A663" t="s">
        <v>1204</v>
      </c>
      <c r="B663" t="s">
        <v>164</v>
      </c>
      <c r="C663" t="str">
        <f>_xlfn.XLOOKUP(Table6[[#This Row],[app_id]],Table5[app_id],Table5[app_name],"",0)</f>
        <v>BiteGo</v>
      </c>
      <c r="D663" t="str">
        <f>_xlfn.XLOOKUP(Table6[[#This Row],[app_id]],Table5[app_id],Table5[category],"",0)</f>
        <v>Food Delivery</v>
      </c>
      <c r="E663" t="s">
        <v>537</v>
      </c>
      <c r="F663" t="s">
        <v>534</v>
      </c>
      <c r="G663" t="s">
        <v>35</v>
      </c>
      <c r="H663" t="s">
        <v>535</v>
      </c>
      <c r="I663">
        <v>3</v>
      </c>
      <c r="J663">
        <v>4.5</v>
      </c>
      <c r="K663" t="s">
        <v>258</v>
      </c>
      <c r="L663" t="s">
        <v>257</v>
      </c>
      <c r="M663" t="s">
        <v>258</v>
      </c>
      <c r="N663" s="5">
        <v>17.7</v>
      </c>
    </row>
    <row r="664" spans="1:14" x14ac:dyDescent="0.25">
      <c r="A664" t="s">
        <v>1205</v>
      </c>
      <c r="B664" t="s">
        <v>166</v>
      </c>
      <c r="C664" t="str">
        <f>_xlfn.XLOOKUP(Table6[[#This Row],[app_id]],Table5[app_id],Table5[app_name],"",0)</f>
        <v>OrderCloud</v>
      </c>
      <c r="D664" t="str">
        <f>_xlfn.XLOOKUP(Table6[[#This Row],[app_id]],Table5[app_id],Table5[category],"",0)</f>
        <v>Food Delivery</v>
      </c>
      <c r="E664" t="s">
        <v>533</v>
      </c>
      <c r="F664" t="s">
        <v>538</v>
      </c>
      <c r="G664" t="s">
        <v>18</v>
      </c>
      <c r="H664" t="s">
        <v>535</v>
      </c>
      <c r="I664">
        <v>65</v>
      </c>
      <c r="J664">
        <v>22.6</v>
      </c>
      <c r="K664" t="s">
        <v>257</v>
      </c>
      <c r="L664" t="s">
        <v>258</v>
      </c>
      <c r="M664" t="s">
        <v>258</v>
      </c>
      <c r="N664" s="5">
        <v>5.86</v>
      </c>
    </row>
    <row r="665" spans="1:14" x14ac:dyDescent="0.25">
      <c r="A665" t="s">
        <v>1206</v>
      </c>
      <c r="B665" t="s">
        <v>168</v>
      </c>
      <c r="C665" t="str">
        <f>_xlfn.XLOOKUP(Table6[[#This Row],[app_id]],Table5[app_id],Table5[app_name],"",0)</f>
        <v>DinePlus</v>
      </c>
      <c r="D665" t="str">
        <f>_xlfn.XLOOKUP(Table6[[#This Row],[app_id]],Table5[app_id],Table5[category],"",0)</f>
        <v>Food Delivery</v>
      </c>
      <c r="E665" t="s">
        <v>533</v>
      </c>
      <c r="F665" t="s">
        <v>538</v>
      </c>
      <c r="G665" t="s">
        <v>35</v>
      </c>
      <c r="H665" t="s">
        <v>535</v>
      </c>
      <c r="I665">
        <v>73</v>
      </c>
      <c r="J665">
        <v>8.1999999999999993</v>
      </c>
      <c r="K665" t="s">
        <v>257</v>
      </c>
      <c r="L665" t="s">
        <v>257</v>
      </c>
      <c r="M665" t="s">
        <v>258</v>
      </c>
      <c r="N665" s="5">
        <v>0</v>
      </c>
    </row>
    <row r="666" spans="1:14" x14ac:dyDescent="0.25">
      <c r="A666" t="s">
        <v>1207</v>
      </c>
      <c r="B666" t="s">
        <v>170</v>
      </c>
      <c r="C666" t="str">
        <f>_xlfn.XLOOKUP(Table6[[#This Row],[app_id]],Table5[app_id],Table5[app_name],"",0)</f>
        <v>SnackX</v>
      </c>
      <c r="D666" t="str">
        <f>_xlfn.XLOOKUP(Table6[[#This Row],[app_id]],Table5[app_id],Table5[category],"",0)</f>
        <v>Food Delivery</v>
      </c>
      <c r="E666" t="s">
        <v>533</v>
      </c>
      <c r="F666" t="s">
        <v>538</v>
      </c>
      <c r="G666" t="s">
        <v>23</v>
      </c>
      <c r="H666" t="s">
        <v>540</v>
      </c>
      <c r="I666">
        <v>12</v>
      </c>
      <c r="J666">
        <v>23.4</v>
      </c>
      <c r="K666" t="s">
        <v>258</v>
      </c>
      <c r="L666" t="s">
        <v>258</v>
      </c>
      <c r="M666" t="s">
        <v>258</v>
      </c>
      <c r="N666" s="5">
        <v>0</v>
      </c>
    </row>
    <row r="667" spans="1:14" x14ac:dyDescent="0.25">
      <c r="A667" t="s">
        <v>1208</v>
      </c>
      <c r="B667" t="s">
        <v>172</v>
      </c>
      <c r="C667" t="str">
        <f>_xlfn.XLOOKUP(Table6[[#This Row],[app_id]],Table5[app_id],Table5[app_name],"",0)</f>
        <v>FoodOne</v>
      </c>
      <c r="D667" t="str">
        <f>_xlfn.XLOOKUP(Table6[[#This Row],[app_id]],Table5[app_id],Table5[category],"",0)</f>
        <v>Food Delivery</v>
      </c>
      <c r="E667" t="s">
        <v>533</v>
      </c>
      <c r="F667" t="s">
        <v>538</v>
      </c>
      <c r="G667" t="s">
        <v>26</v>
      </c>
      <c r="H667" t="s">
        <v>535</v>
      </c>
      <c r="I667">
        <v>21</v>
      </c>
      <c r="J667">
        <v>4.0999999999999996</v>
      </c>
      <c r="K667" t="s">
        <v>258</v>
      </c>
      <c r="L667" t="s">
        <v>258</v>
      </c>
      <c r="M667" t="s">
        <v>258</v>
      </c>
      <c r="N667" s="5">
        <v>0</v>
      </c>
    </row>
    <row r="668" spans="1:14" x14ac:dyDescent="0.25">
      <c r="A668" t="s">
        <v>1209</v>
      </c>
      <c r="B668" t="s">
        <v>174</v>
      </c>
      <c r="C668" t="str">
        <f>_xlfn.XLOOKUP(Table6[[#This Row],[app_id]],Table5[app_id],Table5[app_name],"",0)</f>
        <v>MealMate</v>
      </c>
      <c r="D668" t="str">
        <f>_xlfn.XLOOKUP(Table6[[#This Row],[app_id]],Table5[app_id],Table5[category],"",0)</f>
        <v>Food Delivery</v>
      </c>
      <c r="E668" t="s">
        <v>533</v>
      </c>
      <c r="F668" t="s">
        <v>538</v>
      </c>
      <c r="G668" t="s">
        <v>30</v>
      </c>
      <c r="H668" t="s">
        <v>535</v>
      </c>
      <c r="I668">
        <v>4</v>
      </c>
      <c r="J668">
        <v>12.3</v>
      </c>
      <c r="K668" t="s">
        <v>258</v>
      </c>
      <c r="L668" t="s">
        <v>258</v>
      </c>
      <c r="M668" t="s">
        <v>258</v>
      </c>
      <c r="N668" s="5">
        <v>0</v>
      </c>
    </row>
    <row r="669" spans="1:14" x14ac:dyDescent="0.25">
      <c r="A669" t="s">
        <v>1210</v>
      </c>
      <c r="B669" t="s">
        <v>176</v>
      </c>
      <c r="C669" t="str">
        <f>_xlfn.XLOOKUP(Table6[[#This Row],[app_id]],Table5[app_id],Table5[app_name],"",0)</f>
        <v>SnackHub</v>
      </c>
      <c r="D669" t="str">
        <f>_xlfn.XLOOKUP(Table6[[#This Row],[app_id]],Table5[app_id],Table5[category],"",0)</f>
        <v>Food Delivery</v>
      </c>
      <c r="E669" t="s">
        <v>537</v>
      </c>
      <c r="F669" t="s">
        <v>538</v>
      </c>
      <c r="G669" t="s">
        <v>61</v>
      </c>
      <c r="H669" t="s">
        <v>540</v>
      </c>
      <c r="I669">
        <v>1</v>
      </c>
      <c r="J669">
        <v>10.6</v>
      </c>
      <c r="K669" t="s">
        <v>258</v>
      </c>
      <c r="L669" t="s">
        <v>258</v>
      </c>
      <c r="M669" t="s">
        <v>258</v>
      </c>
      <c r="N669" s="5">
        <v>18.71</v>
      </c>
    </row>
    <row r="670" spans="1:14" x14ac:dyDescent="0.25">
      <c r="A670" t="s">
        <v>1211</v>
      </c>
      <c r="B670" t="s">
        <v>178</v>
      </c>
      <c r="C670" t="str">
        <f>_xlfn.XLOOKUP(Table6[[#This Row],[app_id]],Table5[app_id],Table5[app_name],"",0)</f>
        <v>BiteCloud</v>
      </c>
      <c r="D670" t="str">
        <f>_xlfn.XLOOKUP(Table6[[#This Row],[app_id]],Table5[app_id],Table5[category],"",0)</f>
        <v>Food Delivery</v>
      </c>
      <c r="E670" t="s">
        <v>546</v>
      </c>
      <c r="F670" t="s">
        <v>534</v>
      </c>
      <c r="G670" t="s">
        <v>46</v>
      </c>
      <c r="H670" t="s">
        <v>535</v>
      </c>
      <c r="I670">
        <v>8</v>
      </c>
      <c r="J670">
        <v>17.899999999999999</v>
      </c>
      <c r="K670" t="s">
        <v>258</v>
      </c>
      <c r="L670" t="s">
        <v>257</v>
      </c>
      <c r="M670" t="s">
        <v>258</v>
      </c>
      <c r="N670" s="5">
        <v>80.63</v>
      </c>
    </row>
    <row r="671" spans="1:14" x14ac:dyDescent="0.25">
      <c r="A671" t="s">
        <v>1212</v>
      </c>
      <c r="B671" t="s">
        <v>180</v>
      </c>
      <c r="C671" t="str">
        <f>_xlfn.XLOOKUP(Table6[[#This Row],[app_id]],Table5[app_id],Table5[app_name],"",0)</f>
        <v>PlatePlus</v>
      </c>
      <c r="D671" t="str">
        <f>_xlfn.XLOOKUP(Table6[[#This Row],[app_id]],Table5[app_id],Table5[category],"",0)</f>
        <v>Food Delivery</v>
      </c>
      <c r="E671" t="s">
        <v>537</v>
      </c>
      <c r="F671" t="s">
        <v>538</v>
      </c>
      <c r="G671" t="s">
        <v>46</v>
      </c>
      <c r="H671" t="s">
        <v>540</v>
      </c>
      <c r="I671">
        <v>78</v>
      </c>
      <c r="J671">
        <v>20.7</v>
      </c>
      <c r="K671" t="s">
        <v>257</v>
      </c>
      <c r="L671" t="s">
        <v>257</v>
      </c>
      <c r="M671" t="s">
        <v>258</v>
      </c>
      <c r="N671" s="5">
        <v>0</v>
      </c>
    </row>
    <row r="672" spans="1:14" x14ac:dyDescent="0.25">
      <c r="A672" t="s">
        <v>1213</v>
      </c>
      <c r="B672" t="s">
        <v>182</v>
      </c>
      <c r="C672" t="str">
        <f>_xlfn.XLOOKUP(Table6[[#This Row],[app_id]],Table5[app_id],Table5[app_name],"",0)</f>
        <v>VoyageGo</v>
      </c>
      <c r="D672" t="str">
        <f>_xlfn.XLOOKUP(Table6[[#This Row],[app_id]],Table5[app_id],Table5[category],"",0)</f>
        <v>Travel</v>
      </c>
      <c r="E672" t="s">
        <v>546</v>
      </c>
      <c r="F672" t="s">
        <v>534</v>
      </c>
      <c r="G672" t="s">
        <v>18</v>
      </c>
      <c r="H672" t="s">
        <v>540</v>
      </c>
      <c r="I672">
        <v>12</v>
      </c>
      <c r="J672">
        <v>15.3</v>
      </c>
      <c r="K672" t="s">
        <v>258</v>
      </c>
      <c r="L672" t="s">
        <v>258</v>
      </c>
      <c r="M672" t="s">
        <v>257</v>
      </c>
      <c r="N672" s="5">
        <v>0</v>
      </c>
    </row>
    <row r="673" spans="1:14" x14ac:dyDescent="0.25">
      <c r="A673" t="s">
        <v>1214</v>
      </c>
      <c r="B673" t="s">
        <v>185</v>
      </c>
      <c r="C673" t="str">
        <f>_xlfn.XLOOKUP(Table6[[#This Row],[app_id]],Table5[app_id],Table5[app_name],"",0)</f>
        <v>TripOne</v>
      </c>
      <c r="D673" t="str">
        <f>_xlfn.XLOOKUP(Table6[[#This Row],[app_id]],Table5[app_id],Table5[category],"",0)</f>
        <v>Travel</v>
      </c>
      <c r="E673" t="s">
        <v>533</v>
      </c>
      <c r="F673" t="s">
        <v>534</v>
      </c>
      <c r="G673" t="s">
        <v>18</v>
      </c>
      <c r="H673" t="s">
        <v>535</v>
      </c>
      <c r="I673">
        <v>18</v>
      </c>
      <c r="J673">
        <v>21.5</v>
      </c>
      <c r="K673" t="s">
        <v>258</v>
      </c>
      <c r="L673" t="s">
        <v>257</v>
      </c>
      <c r="M673" t="s">
        <v>258</v>
      </c>
      <c r="N673" s="5">
        <v>0</v>
      </c>
    </row>
    <row r="674" spans="1:14" x14ac:dyDescent="0.25">
      <c r="A674" t="s">
        <v>1215</v>
      </c>
      <c r="B674" t="s">
        <v>187</v>
      </c>
      <c r="C674" t="str">
        <f>_xlfn.XLOOKUP(Table6[[#This Row],[app_id]],Table5[app_id],Table5[app_name],"",0)</f>
        <v>FlyGo</v>
      </c>
      <c r="D674" t="str">
        <f>_xlfn.XLOOKUP(Table6[[#This Row],[app_id]],Table5[app_id],Table5[category],"",0)</f>
        <v>Travel</v>
      </c>
      <c r="E674" t="s">
        <v>533</v>
      </c>
      <c r="F674" t="s">
        <v>534</v>
      </c>
      <c r="G674" t="s">
        <v>69</v>
      </c>
      <c r="H674" t="s">
        <v>535</v>
      </c>
      <c r="I674">
        <v>51</v>
      </c>
      <c r="J674">
        <v>5.4</v>
      </c>
      <c r="K674" t="s">
        <v>257</v>
      </c>
      <c r="L674" t="s">
        <v>257</v>
      </c>
      <c r="M674" t="s">
        <v>258</v>
      </c>
      <c r="N674" s="5">
        <v>0</v>
      </c>
    </row>
    <row r="675" spans="1:14" x14ac:dyDescent="0.25">
      <c r="A675" t="s">
        <v>1216</v>
      </c>
      <c r="B675" t="s">
        <v>189</v>
      </c>
      <c r="C675" t="str">
        <f>_xlfn.XLOOKUP(Table6[[#This Row],[app_id]],Table5[app_id],Table5[app_name],"",0)</f>
        <v>MapX</v>
      </c>
      <c r="D675" t="str">
        <f>_xlfn.XLOOKUP(Table6[[#This Row],[app_id]],Table5[app_id],Table5[category],"",0)</f>
        <v>Travel</v>
      </c>
      <c r="E675" t="s">
        <v>533</v>
      </c>
      <c r="F675" t="s">
        <v>538</v>
      </c>
      <c r="G675" t="s">
        <v>23</v>
      </c>
      <c r="H675" t="s">
        <v>535</v>
      </c>
      <c r="I675">
        <v>24</v>
      </c>
      <c r="J675">
        <v>22.7</v>
      </c>
      <c r="K675" t="s">
        <v>258</v>
      </c>
      <c r="L675" t="s">
        <v>258</v>
      </c>
      <c r="M675" t="s">
        <v>257</v>
      </c>
      <c r="N675" s="5">
        <v>0</v>
      </c>
    </row>
    <row r="676" spans="1:14" x14ac:dyDescent="0.25">
      <c r="A676" t="s">
        <v>1217</v>
      </c>
      <c r="B676" t="s">
        <v>191</v>
      </c>
      <c r="C676" t="str">
        <f>_xlfn.XLOOKUP(Table6[[#This Row],[app_id]],Table5[app_id],Table5[app_name],"",0)</f>
        <v>StayX</v>
      </c>
      <c r="D676" t="str">
        <f>_xlfn.XLOOKUP(Table6[[#This Row],[app_id]],Table5[app_id],Table5[category],"",0)</f>
        <v>Travel</v>
      </c>
      <c r="E676" t="s">
        <v>537</v>
      </c>
      <c r="F676" t="s">
        <v>534</v>
      </c>
      <c r="G676" t="s">
        <v>26</v>
      </c>
      <c r="H676" t="s">
        <v>535</v>
      </c>
      <c r="I676">
        <v>8</v>
      </c>
      <c r="J676">
        <v>23</v>
      </c>
      <c r="K676" t="s">
        <v>258</v>
      </c>
      <c r="L676" t="s">
        <v>258</v>
      </c>
      <c r="M676" t="s">
        <v>257</v>
      </c>
      <c r="N676" s="5">
        <v>0</v>
      </c>
    </row>
    <row r="677" spans="1:14" x14ac:dyDescent="0.25">
      <c r="A677" t="s">
        <v>1218</v>
      </c>
      <c r="B677" t="s">
        <v>193</v>
      </c>
      <c r="C677" t="str">
        <f>_xlfn.XLOOKUP(Table6[[#This Row],[app_id]],Table5[app_id],Table5[app_name],"",0)</f>
        <v>GoNow</v>
      </c>
      <c r="D677" t="str">
        <f>_xlfn.XLOOKUP(Table6[[#This Row],[app_id]],Table5[app_id],Table5[category],"",0)</f>
        <v>Travel</v>
      </c>
      <c r="E677" t="s">
        <v>552</v>
      </c>
      <c r="F677" t="s">
        <v>534</v>
      </c>
      <c r="G677" t="s">
        <v>61</v>
      </c>
      <c r="H677" t="s">
        <v>540</v>
      </c>
      <c r="I677">
        <v>35</v>
      </c>
      <c r="J677">
        <v>4.2</v>
      </c>
      <c r="K677" t="s">
        <v>257</v>
      </c>
      <c r="L677" t="s">
        <v>257</v>
      </c>
      <c r="M677" t="s">
        <v>258</v>
      </c>
      <c r="N677" s="5">
        <v>0</v>
      </c>
    </row>
    <row r="678" spans="1:14" x14ac:dyDescent="0.25">
      <c r="A678" t="s">
        <v>1219</v>
      </c>
      <c r="B678" t="s">
        <v>195</v>
      </c>
      <c r="C678" t="str">
        <f>_xlfn.XLOOKUP(Table6[[#This Row],[app_id]],Table5[app_id],Table5[app_name],"",0)</f>
        <v>RouteGo</v>
      </c>
      <c r="D678" t="str">
        <f>_xlfn.XLOOKUP(Table6[[#This Row],[app_id]],Table5[app_id],Table5[category],"",0)</f>
        <v>Travel</v>
      </c>
      <c r="E678" t="s">
        <v>533</v>
      </c>
      <c r="F678" t="s">
        <v>538</v>
      </c>
      <c r="G678" t="s">
        <v>46</v>
      </c>
      <c r="H678" t="s">
        <v>540</v>
      </c>
      <c r="I678">
        <v>21</v>
      </c>
      <c r="J678">
        <v>17.3</v>
      </c>
      <c r="K678" t="s">
        <v>257</v>
      </c>
      <c r="L678" t="s">
        <v>258</v>
      </c>
      <c r="M678" t="s">
        <v>258</v>
      </c>
      <c r="N678" s="5">
        <v>0</v>
      </c>
    </row>
    <row r="679" spans="1:14" x14ac:dyDescent="0.25">
      <c r="A679" t="s">
        <v>1220</v>
      </c>
      <c r="B679" t="s">
        <v>197</v>
      </c>
      <c r="C679" t="str">
        <f>_xlfn.XLOOKUP(Table6[[#This Row],[app_id]],Table5[app_id],Table5[app_name],"",0)</f>
        <v>TripGo</v>
      </c>
      <c r="D679" t="str">
        <f>_xlfn.XLOOKUP(Table6[[#This Row],[app_id]],Table5[app_id],Table5[category],"",0)</f>
        <v>Travel</v>
      </c>
      <c r="E679" t="s">
        <v>533</v>
      </c>
      <c r="F679" t="s">
        <v>534</v>
      </c>
      <c r="G679" t="s">
        <v>23</v>
      </c>
      <c r="H679" t="s">
        <v>540</v>
      </c>
      <c r="I679">
        <v>22</v>
      </c>
      <c r="J679">
        <v>18.5</v>
      </c>
      <c r="K679" t="s">
        <v>258</v>
      </c>
      <c r="L679" t="s">
        <v>258</v>
      </c>
      <c r="M679" t="s">
        <v>258</v>
      </c>
      <c r="N679" s="5">
        <v>41.7</v>
      </c>
    </row>
    <row r="680" spans="1:14" x14ac:dyDescent="0.25">
      <c r="A680" t="s">
        <v>1221</v>
      </c>
      <c r="B680" t="s">
        <v>199</v>
      </c>
      <c r="C680" t="str">
        <f>_xlfn.XLOOKUP(Table6[[#This Row],[app_id]],Table5[app_id],Table5[app_name],"",0)</f>
        <v>Flyly</v>
      </c>
      <c r="D680" t="str">
        <f>_xlfn.XLOOKUP(Table6[[#This Row],[app_id]],Table5[app_id],Table5[category],"",0)</f>
        <v>Travel</v>
      </c>
      <c r="E680" t="s">
        <v>557</v>
      </c>
      <c r="F680" t="s">
        <v>538</v>
      </c>
      <c r="G680" t="s">
        <v>46</v>
      </c>
      <c r="H680" t="s">
        <v>535</v>
      </c>
      <c r="I680">
        <v>22</v>
      </c>
      <c r="J680">
        <v>23.4</v>
      </c>
      <c r="K680" t="s">
        <v>257</v>
      </c>
      <c r="L680" t="s">
        <v>258</v>
      </c>
      <c r="M680" t="s">
        <v>258</v>
      </c>
      <c r="N680" s="5">
        <v>0</v>
      </c>
    </row>
    <row r="681" spans="1:14" x14ac:dyDescent="0.25">
      <c r="A681" t="s">
        <v>1222</v>
      </c>
      <c r="B681" t="s">
        <v>201</v>
      </c>
      <c r="C681" t="str">
        <f>_xlfn.XLOOKUP(Table6[[#This Row],[app_id]],Table5[app_id],Table5[app_name],"",0)</f>
        <v>TripPro</v>
      </c>
      <c r="D681" t="str">
        <f>_xlfn.XLOOKUP(Table6[[#This Row],[app_id]],Table5[app_id],Table5[category],"",0)</f>
        <v>Travel</v>
      </c>
      <c r="E681" t="s">
        <v>546</v>
      </c>
      <c r="F681" t="s">
        <v>538</v>
      </c>
      <c r="G681" t="s">
        <v>46</v>
      </c>
      <c r="H681" t="s">
        <v>535</v>
      </c>
      <c r="I681">
        <v>1</v>
      </c>
      <c r="J681">
        <v>12.9</v>
      </c>
      <c r="K681" t="s">
        <v>258</v>
      </c>
      <c r="L681" t="s">
        <v>257</v>
      </c>
      <c r="M681" t="s">
        <v>258</v>
      </c>
      <c r="N681" s="5">
        <v>0</v>
      </c>
    </row>
    <row r="682" spans="1:14" x14ac:dyDescent="0.25">
      <c r="A682" t="s">
        <v>1223</v>
      </c>
      <c r="B682" t="s">
        <v>203</v>
      </c>
      <c r="C682" t="str">
        <f>_xlfn.XLOOKUP(Table6[[#This Row],[app_id]],Table5[app_id],Table5[app_name],"",0)</f>
        <v>Focusly</v>
      </c>
      <c r="D682" t="str">
        <f>_xlfn.XLOOKUP(Table6[[#This Row],[app_id]],Table5[app_id],Table5[category],"",0)</f>
        <v>Productivity</v>
      </c>
      <c r="E682" t="s">
        <v>533</v>
      </c>
      <c r="F682" t="s">
        <v>538</v>
      </c>
      <c r="G682" t="s">
        <v>46</v>
      </c>
      <c r="H682" t="s">
        <v>535</v>
      </c>
      <c r="I682">
        <v>28</v>
      </c>
      <c r="J682">
        <v>9.8000000000000007</v>
      </c>
      <c r="K682" t="s">
        <v>258</v>
      </c>
      <c r="L682" t="s">
        <v>257</v>
      </c>
      <c r="M682" t="s">
        <v>258</v>
      </c>
      <c r="N682" s="5">
        <v>0</v>
      </c>
    </row>
    <row r="683" spans="1:14" x14ac:dyDescent="0.25">
      <c r="A683" t="s">
        <v>1224</v>
      </c>
      <c r="B683" t="s">
        <v>206</v>
      </c>
      <c r="C683" t="str">
        <f>_xlfn.XLOOKUP(Table6[[#This Row],[app_id]],Table5[app_id],Table5[app_name],"",0)</f>
        <v>DeskX</v>
      </c>
      <c r="D683" t="str">
        <f>_xlfn.XLOOKUP(Table6[[#This Row],[app_id]],Table5[app_id],Table5[category],"",0)</f>
        <v>Productivity</v>
      </c>
      <c r="E683" t="s">
        <v>537</v>
      </c>
      <c r="F683" t="s">
        <v>628</v>
      </c>
      <c r="G683" t="s">
        <v>46</v>
      </c>
      <c r="H683" t="s">
        <v>535</v>
      </c>
      <c r="I683">
        <v>6</v>
      </c>
      <c r="J683">
        <v>8.6</v>
      </c>
      <c r="K683" t="s">
        <v>258</v>
      </c>
      <c r="L683" t="s">
        <v>257</v>
      </c>
      <c r="M683" t="s">
        <v>258</v>
      </c>
      <c r="N683" s="5">
        <v>0</v>
      </c>
    </row>
    <row r="684" spans="1:14" x14ac:dyDescent="0.25">
      <c r="A684" t="s">
        <v>1225</v>
      </c>
      <c r="B684" t="s">
        <v>208</v>
      </c>
      <c r="C684" t="str">
        <f>_xlfn.XLOOKUP(Table6[[#This Row],[app_id]],Table5[app_id],Table5[app_name],"",0)</f>
        <v>DonePro</v>
      </c>
      <c r="D684" t="str">
        <f>_xlfn.XLOOKUP(Table6[[#This Row],[app_id]],Table5[app_id],Table5[category],"",0)</f>
        <v>Productivity</v>
      </c>
      <c r="E684" t="s">
        <v>537</v>
      </c>
      <c r="F684" t="s">
        <v>538</v>
      </c>
      <c r="G684" t="s">
        <v>69</v>
      </c>
      <c r="H684" t="s">
        <v>535</v>
      </c>
      <c r="I684">
        <v>89</v>
      </c>
      <c r="J684">
        <v>7</v>
      </c>
      <c r="K684" t="s">
        <v>257</v>
      </c>
      <c r="L684" t="s">
        <v>257</v>
      </c>
      <c r="M684" t="s">
        <v>258</v>
      </c>
      <c r="N684" s="5">
        <v>0</v>
      </c>
    </row>
    <row r="685" spans="1:14" x14ac:dyDescent="0.25">
      <c r="A685" t="s">
        <v>1226</v>
      </c>
      <c r="B685" t="s">
        <v>210</v>
      </c>
      <c r="C685" t="str">
        <f>_xlfn.XLOOKUP(Table6[[#This Row],[app_id]],Table5[app_id],Table5[app_name],"",0)</f>
        <v>NotePlus</v>
      </c>
      <c r="D685" t="str">
        <f>_xlfn.XLOOKUP(Table6[[#This Row],[app_id]],Table5[app_id],Table5[category],"",0)</f>
        <v>Productivity</v>
      </c>
      <c r="E685" t="s">
        <v>546</v>
      </c>
      <c r="F685" t="s">
        <v>628</v>
      </c>
      <c r="G685" t="s">
        <v>46</v>
      </c>
      <c r="H685" t="s">
        <v>535</v>
      </c>
      <c r="I685">
        <v>15</v>
      </c>
      <c r="J685">
        <v>18.600000000000001</v>
      </c>
      <c r="K685" t="s">
        <v>258</v>
      </c>
      <c r="L685" t="s">
        <v>258</v>
      </c>
      <c r="M685" t="s">
        <v>258</v>
      </c>
      <c r="N685" s="5">
        <v>0</v>
      </c>
    </row>
    <row r="686" spans="1:14" x14ac:dyDescent="0.25">
      <c r="A686" t="s">
        <v>1227</v>
      </c>
      <c r="B686" t="s">
        <v>212</v>
      </c>
      <c r="C686" t="str">
        <f>_xlfn.XLOOKUP(Table6[[#This Row],[app_id]],Table5[app_id],Table5[app_name],"",0)</f>
        <v>SyncPlus</v>
      </c>
      <c r="D686" t="str">
        <f>_xlfn.XLOOKUP(Table6[[#This Row],[app_id]],Table5[app_id],Table5[category],"",0)</f>
        <v>Productivity</v>
      </c>
      <c r="E686" t="s">
        <v>546</v>
      </c>
      <c r="F686" t="s">
        <v>538</v>
      </c>
      <c r="G686" t="s">
        <v>61</v>
      </c>
      <c r="H686" t="s">
        <v>535</v>
      </c>
      <c r="I686">
        <v>30</v>
      </c>
      <c r="J686">
        <v>3.7</v>
      </c>
      <c r="K686" t="s">
        <v>257</v>
      </c>
      <c r="L686" t="s">
        <v>257</v>
      </c>
      <c r="M686" t="s">
        <v>258</v>
      </c>
      <c r="N686" s="5">
        <v>0</v>
      </c>
    </row>
    <row r="687" spans="1:14" x14ac:dyDescent="0.25">
      <c r="A687" t="s">
        <v>1228</v>
      </c>
      <c r="B687" t="s">
        <v>214</v>
      </c>
      <c r="C687" t="str">
        <f>_xlfn.XLOOKUP(Table6[[#This Row],[app_id]],Table5[app_id],Table5[app_name],"",0)</f>
        <v>NoteOne</v>
      </c>
      <c r="D687" t="str">
        <f>_xlfn.XLOOKUP(Table6[[#This Row],[app_id]],Table5[app_id],Table5[category],"",0)</f>
        <v>Productivity</v>
      </c>
      <c r="E687" t="s">
        <v>546</v>
      </c>
      <c r="F687" t="s">
        <v>534</v>
      </c>
      <c r="G687" t="s">
        <v>18</v>
      </c>
      <c r="H687" t="s">
        <v>535</v>
      </c>
      <c r="I687">
        <v>26</v>
      </c>
      <c r="J687">
        <v>6.6</v>
      </c>
      <c r="K687" t="s">
        <v>257</v>
      </c>
      <c r="L687" t="s">
        <v>257</v>
      </c>
      <c r="M687" t="s">
        <v>258</v>
      </c>
      <c r="N687" s="5">
        <v>0</v>
      </c>
    </row>
    <row r="688" spans="1:14" x14ac:dyDescent="0.25">
      <c r="A688" t="s">
        <v>1229</v>
      </c>
      <c r="B688" t="s">
        <v>216</v>
      </c>
      <c r="C688" t="str">
        <f>_xlfn.XLOOKUP(Table6[[#This Row],[app_id]],Table5[app_id],Table5[app_name],"",0)</f>
        <v>NoteMate</v>
      </c>
      <c r="D688" t="str">
        <f>_xlfn.XLOOKUP(Table6[[#This Row],[app_id]],Table5[app_id],Table5[category],"",0)</f>
        <v>Productivity</v>
      </c>
      <c r="E688" t="s">
        <v>537</v>
      </c>
      <c r="F688" t="s">
        <v>534</v>
      </c>
      <c r="G688" t="s">
        <v>46</v>
      </c>
      <c r="H688" t="s">
        <v>540</v>
      </c>
      <c r="I688">
        <v>76</v>
      </c>
      <c r="J688">
        <v>16.399999999999999</v>
      </c>
      <c r="K688" t="s">
        <v>257</v>
      </c>
      <c r="L688" t="s">
        <v>257</v>
      </c>
      <c r="M688" t="s">
        <v>258</v>
      </c>
      <c r="N688" s="5">
        <v>0</v>
      </c>
    </row>
    <row r="689" spans="1:14" x14ac:dyDescent="0.25">
      <c r="A689" t="s">
        <v>1230</v>
      </c>
      <c r="B689" t="s">
        <v>218</v>
      </c>
      <c r="C689" t="str">
        <f>_xlfn.XLOOKUP(Table6[[#This Row],[app_id]],Table5[app_id],Table5[app_name],"",0)</f>
        <v>PlanPlus</v>
      </c>
      <c r="D689" t="str">
        <f>_xlfn.XLOOKUP(Table6[[#This Row],[app_id]],Table5[app_id],Table5[category],"",0)</f>
        <v>Productivity</v>
      </c>
      <c r="E689" t="s">
        <v>546</v>
      </c>
      <c r="F689" t="s">
        <v>534</v>
      </c>
      <c r="G689" t="s">
        <v>23</v>
      </c>
      <c r="H689" t="s">
        <v>540</v>
      </c>
      <c r="I689">
        <v>53</v>
      </c>
      <c r="J689">
        <v>4.5</v>
      </c>
      <c r="K689" t="s">
        <v>257</v>
      </c>
      <c r="L689" t="s">
        <v>258</v>
      </c>
      <c r="M689" t="s">
        <v>257</v>
      </c>
      <c r="N689" s="5">
        <v>0</v>
      </c>
    </row>
    <row r="690" spans="1:14" x14ac:dyDescent="0.25">
      <c r="A690" t="s">
        <v>1231</v>
      </c>
      <c r="B690" t="s">
        <v>220</v>
      </c>
      <c r="C690" t="str">
        <f>_xlfn.XLOOKUP(Table6[[#This Row],[app_id]],Table5[app_id],Table5[app_name],"",0)</f>
        <v>PlanMate</v>
      </c>
      <c r="D690" t="str">
        <f>_xlfn.XLOOKUP(Table6[[#This Row],[app_id]],Table5[app_id],Table5[category],"",0)</f>
        <v>Productivity</v>
      </c>
      <c r="E690" t="s">
        <v>533</v>
      </c>
      <c r="F690" t="s">
        <v>538</v>
      </c>
      <c r="G690" t="s">
        <v>26</v>
      </c>
      <c r="H690" t="s">
        <v>535</v>
      </c>
      <c r="I690">
        <v>95</v>
      </c>
      <c r="J690">
        <v>21.9</v>
      </c>
      <c r="K690" t="s">
        <v>257</v>
      </c>
      <c r="L690" t="s">
        <v>257</v>
      </c>
      <c r="M690" t="s">
        <v>258</v>
      </c>
      <c r="N690" s="5">
        <v>39.659999999999997</v>
      </c>
    </row>
    <row r="691" spans="1:14" x14ac:dyDescent="0.25">
      <c r="A691" t="s">
        <v>1232</v>
      </c>
      <c r="B691" t="s">
        <v>222</v>
      </c>
      <c r="C691" t="str">
        <f>_xlfn.XLOOKUP(Table6[[#This Row],[app_id]],Table5[app_id],Table5[app_name],"",0)</f>
        <v>SyncPlus</v>
      </c>
      <c r="D691" t="str">
        <f>_xlfn.XLOOKUP(Table6[[#This Row],[app_id]],Table5[app_id],Table5[category],"",0)</f>
        <v>Productivity</v>
      </c>
      <c r="E691" t="s">
        <v>533</v>
      </c>
      <c r="F691" t="s">
        <v>538</v>
      </c>
      <c r="G691" t="s">
        <v>18</v>
      </c>
      <c r="H691" t="s">
        <v>540</v>
      </c>
      <c r="I691">
        <v>27</v>
      </c>
      <c r="J691">
        <v>19.100000000000001</v>
      </c>
      <c r="K691" t="s">
        <v>257</v>
      </c>
      <c r="L691" t="s">
        <v>257</v>
      </c>
      <c r="M691" t="s">
        <v>258</v>
      </c>
      <c r="N691" s="5">
        <v>0</v>
      </c>
    </row>
    <row r="692" spans="1:14" x14ac:dyDescent="0.25">
      <c r="A692" t="s">
        <v>1233</v>
      </c>
      <c r="B692" t="s">
        <v>223</v>
      </c>
      <c r="C692" t="str">
        <f>_xlfn.XLOOKUP(Table6[[#This Row],[app_id]],Table5[app_id],Table5[app_name],"",0)</f>
        <v>ClinicPro</v>
      </c>
      <c r="D692" t="str">
        <f>_xlfn.XLOOKUP(Table6[[#This Row],[app_id]],Table5[app_id],Table5[category],"",0)</f>
        <v>Health</v>
      </c>
      <c r="E692" t="s">
        <v>557</v>
      </c>
      <c r="F692" t="s">
        <v>534</v>
      </c>
      <c r="G692" t="s">
        <v>46</v>
      </c>
      <c r="H692" t="s">
        <v>535</v>
      </c>
      <c r="I692">
        <v>85</v>
      </c>
      <c r="J692">
        <v>20.8</v>
      </c>
      <c r="K692" t="s">
        <v>257</v>
      </c>
      <c r="L692" t="s">
        <v>257</v>
      </c>
      <c r="M692" t="s">
        <v>258</v>
      </c>
      <c r="N692" s="5">
        <v>0</v>
      </c>
    </row>
    <row r="693" spans="1:14" x14ac:dyDescent="0.25">
      <c r="A693" t="s">
        <v>1234</v>
      </c>
      <c r="B693" t="s">
        <v>226</v>
      </c>
      <c r="C693" t="str">
        <f>_xlfn.XLOOKUP(Table6[[#This Row],[app_id]],Table5[app_id],Table5[app_name],"",0)</f>
        <v>MindMate</v>
      </c>
      <c r="D693" t="str">
        <f>_xlfn.XLOOKUP(Table6[[#This Row],[app_id]],Table5[app_id],Table5[category],"",0)</f>
        <v>Health</v>
      </c>
      <c r="E693" t="s">
        <v>537</v>
      </c>
      <c r="F693" t="s">
        <v>538</v>
      </c>
      <c r="G693" t="s">
        <v>69</v>
      </c>
      <c r="H693" t="s">
        <v>540</v>
      </c>
      <c r="I693">
        <v>48</v>
      </c>
      <c r="J693">
        <v>18.7</v>
      </c>
      <c r="K693" t="s">
        <v>257</v>
      </c>
      <c r="L693" t="s">
        <v>257</v>
      </c>
      <c r="M693" t="s">
        <v>258</v>
      </c>
      <c r="N693" s="5">
        <v>0</v>
      </c>
    </row>
    <row r="694" spans="1:14" x14ac:dyDescent="0.25">
      <c r="A694" t="s">
        <v>1235</v>
      </c>
      <c r="B694" t="s">
        <v>228</v>
      </c>
      <c r="C694" t="str">
        <f>_xlfn.XLOOKUP(Table6[[#This Row],[app_id]],Table5[app_id],Table5[app_name],"",0)</f>
        <v>ClinicOne</v>
      </c>
      <c r="D694" t="str">
        <f>_xlfn.XLOOKUP(Table6[[#This Row],[app_id]],Table5[app_id],Table5[category],"",0)</f>
        <v>Health</v>
      </c>
      <c r="E694" t="s">
        <v>552</v>
      </c>
      <c r="F694" t="s">
        <v>534</v>
      </c>
      <c r="G694" t="s">
        <v>30</v>
      </c>
      <c r="H694" t="s">
        <v>535</v>
      </c>
      <c r="I694">
        <v>23</v>
      </c>
      <c r="J694">
        <v>20.5</v>
      </c>
      <c r="K694" t="s">
        <v>257</v>
      </c>
      <c r="L694" t="s">
        <v>257</v>
      </c>
      <c r="M694" t="s">
        <v>258</v>
      </c>
      <c r="N694" s="5">
        <v>34.97</v>
      </c>
    </row>
    <row r="695" spans="1:14" x14ac:dyDescent="0.25">
      <c r="A695" t="s">
        <v>1236</v>
      </c>
      <c r="B695" t="s">
        <v>230</v>
      </c>
      <c r="C695" t="str">
        <f>_xlfn.XLOOKUP(Table6[[#This Row],[app_id]],Table5[app_id],Table5[app_name],"",0)</f>
        <v>WellMate</v>
      </c>
      <c r="D695" t="str">
        <f>_xlfn.XLOOKUP(Table6[[#This Row],[app_id]],Table5[app_id],Table5[category],"",0)</f>
        <v>Health</v>
      </c>
      <c r="E695" t="s">
        <v>546</v>
      </c>
      <c r="F695" t="s">
        <v>534</v>
      </c>
      <c r="G695" t="s">
        <v>46</v>
      </c>
      <c r="H695" t="s">
        <v>535</v>
      </c>
      <c r="I695">
        <v>17</v>
      </c>
      <c r="J695">
        <v>5.7</v>
      </c>
      <c r="K695" t="s">
        <v>258</v>
      </c>
      <c r="L695" t="s">
        <v>258</v>
      </c>
      <c r="M695" t="s">
        <v>258</v>
      </c>
      <c r="N695" s="5">
        <v>0</v>
      </c>
    </row>
    <row r="696" spans="1:14" x14ac:dyDescent="0.25">
      <c r="A696" t="s">
        <v>1237</v>
      </c>
      <c r="B696" t="s">
        <v>232</v>
      </c>
      <c r="C696" t="str">
        <f>_xlfn.XLOOKUP(Table6[[#This Row],[app_id]],Table5[app_id],Table5[app_name],"",0)</f>
        <v>MediMate</v>
      </c>
      <c r="D696" t="str">
        <f>_xlfn.XLOOKUP(Table6[[#This Row],[app_id]],Table5[app_id],Table5[category],"",0)</f>
        <v>Health</v>
      </c>
      <c r="E696" t="s">
        <v>533</v>
      </c>
      <c r="F696" t="s">
        <v>628</v>
      </c>
      <c r="G696" t="s">
        <v>61</v>
      </c>
      <c r="H696" t="s">
        <v>535</v>
      </c>
      <c r="I696">
        <v>41</v>
      </c>
      <c r="J696">
        <v>8.4</v>
      </c>
      <c r="K696" t="s">
        <v>257</v>
      </c>
      <c r="L696" t="s">
        <v>257</v>
      </c>
      <c r="M696" t="s">
        <v>258</v>
      </c>
      <c r="N696" s="5">
        <v>0</v>
      </c>
    </row>
    <row r="697" spans="1:14" x14ac:dyDescent="0.25">
      <c r="A697" t="s">
        <v>1238</v>
      </c>
      <c r="B697" t="s">
        <v>234</v>
      </c>
      <c r="C697" t="str">
        <f>_xlfn.XLOOKUP(Table6[[#This Row],[app_id]],Table5[app_id],Table5[app_name],"",0)</f>
        <v>WellNow</v>
      </c>
      <c r="D697" t="str">
        <f>_xlfn.XLOOKUP(Table6[[#This Row],[app_id]],Table5[app_id],Table5[category],"",0)</f>
        <v>Health</v>
      </c>
      <c r="E697" t="s">
        <v>537</v>
      </c>
      <c r="F697" t="s">
        <v>534</v>
      </c>
      <c r="G697" t="s">
        <v>18</v>
      </c>
      <c r="H697" t="s">
        <v>535</v>
      </c>
      <c r="I697">
        <v>12</v>
      </c>
      <c r="J697">
        <v>11</v>
      </c>
      <c r="K697" t="s">
        <v>258</v>
      </c>
      <c r="L697" t="s">
        <v>257</v>
      </c>
      <c r="M697" t="s">
        <v>258</v>
      </c>
      <c r="N697" s="5">
        <v>0</v>
      </c>
    </row>
    <row r="698" spans="1:14" x14ac:dyDescent="0.25">
      <c r="A698" t="s">
        <v>1239</v>
      </c>
      <c r="B698" t="s">
        <v>236</v>
      </c>
      <c r="C698" t="str">
        <f>_xlfn.XLOOKUP(Table6[[#This Row],[app_id]],Table5[app_id],Table5[app_name],"",0)</f>
        <v>CareCloud</v>
      </c>
      <c r="D698" t="str">
        <f>_xlfn.XLOOKUP(Table6[[#This Row],[app_id]],Table5[app_id],Table5[category],"",0)</f>
        <v>Health</v>
      </c>
      <c r="E698" t="s">
        <v>546</v>
      </c>
      <c r="F698" t="s">
        <v>534</v>
      </c>
      <c r="G698" t="s">
        <v>30</v>
      </c>
      <c r="H698" t="s">
        <v>535</v>
      </c>
      <c r="I698">
        <v>44</v>
      </c>
      <c r="J698">
        <v>11.8</v>
      </c>
      <c r="K698" t="s">
        <v>257</v>
      </c>
      <c r="L698" t="s">
        <v>257</v>
      </c>
      <c r="M698" t="s">
        <v>258</v>
      </c>
      <c r="N698" s="5">
        <v>0</v>
      </c>
    </row>
    <row r="699" spans="1:14" x14ac:dyDescent="0.25">
      <c r="A699" t="s">
        <v>1240</v>
      </c>
      <c r="B699" t="s">
        <v>238</v>
      </c>
      <c r="C699" t="str">
        <f>_xlfn.XLOOKUP(Table6[[#This Row],[app_id]],Table5[app_id],Table5[app_name],"",0)</f>
        <v>MediNow</v>
      </c>
      <c r="D699" t="str">
        <f>_xlfn.XLOOKUP(Table6[[#This Row],[app_id]],Table5[app_id],Table5[category],"",0)</f>
        <v>Health</v>
      </c>
      <c r="E699" t="s">
        <v>557</v>
      </c>
      <c r="F699" t="s">
        <v>538</v>
      </c>
      <c r="G699" t="s">
        <v>30</v>
      </c>
      <c r="H699" t="s">
        <v>535</v>
      </c>
      <c r="I699">
        <v>36</v>
      </c>
      <c r="J699">
        <v>4.5</v>
      </c>
      <c r="K699" t="s">
        <v>257</v>
      </c>
      <c r="L699" t="s">
        <v>258</v>
      </c>
      <c r="M699" t="s">
        <v>257</v>
      </c>
      <c r="N699" s="5">
        <v>0</v>
      </c>
    </row>
    <row r="700" spans="1:14" x14ac:dyDescent="0.25">
      <c r="A700" t="s">
        <v>1241</v>
      </c>
      <c r="B700" t="s">
        <v>240</v>
      </c>
      <c r="C700" t="str">
        <f>_xlfn.XLOOKUP(Table6[[#This Row],[app_id]],Table5[app_id],Table5[app_name],"",0)</f>
        <v>MindPlus</v>
      </c>
      <c r="D700" t="str">
        <f>_xlfn.XLOOKUP(Table6[[#This Row],[app_id]],Table5[app_id],Table5[category],"",0)</f>
        <v>Health</v>
      </c>
      <c r="E700" t="s">
        <v>533</v>
      </c>
      <c r="F700" t="s">
        <v>538</v>
      </c>
      <c r="G700" t="s">
        <v>61</v>
      </c>
      <c r="H700" t="s">
        <v>535</v>
      </c>
      <c r="I700">
        <v>49</v>
      </c>
      <c r="J700">
        <v>5.9</v>
      </c>
      <c r="K700" t="s">
        <v>257</v>
      </c>
      <c r="L700" t="s">
        <v>257</v>
      </c>
      <c r="M700" t="s">
        <v>258</v>
      </c>
      <c r="N700" s="5">
        <v>0</v>
      </c>
    </row>
    <row r="701" spans="1:14" x14ac:dyDescent="0.25">
      <c r="A701" t="s">
        <v>1242</v>
      </c>
      <c r="B701" t="s">
        <v>242</v>
      </c>
      <c r="C701" t="str">
        <f>_xlfn.XLOOKUP(Table6[[#This Row],[app_id]],Table5[app_id],Table5[app_name],"",0)</f>
        <v>MediCloud</v>
      </c>
      <c r="D701" t="str">
        <f>_xlfn.XLOOKUP(Table6[[#This Row],[app_id]],Table5[app_id],Table5[category],"",0)</f>
        <v>Health</v>
      </c>
      <c r="E701" t="s">
        <v>557</v>
      </c>
      <c r="F701" t="s">
        <v>538</v>
      </c>
      <c r="G701" t="s">
        <v>46</v>
      </c>
      <c r="H701" t="s">
        <v>535</v>
      </c>
      <c r="I701">
        <v>31</v>
      </c>
      <c r="J701">
        <v>23.6</v>
      </c>
      <c r="K701" t="s">
        <v>257</v>
      </c>
      <c r="L701" t="s">
        <v>257</v>
      </c>
      <c r="M701" t="s">
        <v>258</v>
      </c>
      <c r="N701" s="5">
        <v>0</v>
      </c>
    </row>
    <row r="702" spans="1:14" x14ac:dyDescent="0.25">
      <c r="A702" t="s">
        <v>1243</v>
      </c>
      <c r="B702" t="s">
        <v>12</v>
      </c>
      <c r="C702" t="str">
        <f>_xlfn.XLOOKUP(Table6[[#This Row],[app_id]],Table5[app_id],Table5[app_name],"",0)</f>
        <v>InvestPro</v>
      </c>
      <c r="D702" t="str">
        <f>_xlfn.XLOOKUP(Table6[[#This Row],[app_id]],Table5[app_id],Table5[category],"",0)</f>
        <v>Finance</v>
      </c>
      <c r="E702" t="s">
        <v>546</v>
      </c>
      <c r="F702" t="s">
        <v>538</v>
      </c>
      <c r="G702" t="s">
        <v>61</v>
      </c>
      <c r="H702" t="s">
        <v>535</v>
      </c>
      <c r="I702">
        <v>26</v>
      </c>
      <c r="J702">
        <v>21.9</v>
      </c>
      <c r="K702" t="s">
        <v>258</v>
      </c>
      <c r="L702" t="s">
        <v>257</v>
      </c>
      <c r="M702" t="s">
        <v>258</v>
      </c>
      <c r="N702" s="5">
        <v>0</v>
      </c>
    </row>
    <row r="703" spans="1:14" x14ac:dyDescent="0.25">
      <c r="A703" t="s">
        <v>1244</v>
      </c>
      <c r="B703" t="s">
        <v>19</v>
      </c>
      <c r="C703" t="str">
        <f>_xlfn.XLOOKUP(Table6[[#This Row],[app_id]],Table5[app_id],Table5[app_name],"",0)</f>
        <v>BankPro</v>
      </c>
      <c r="D703" t="str">
        <f>_xlfn.XLOOKUP(Table6[[#This Row],[app_id]],Table5[app_id],Table5[category],"",0)</f>
        <v>Finance</v>
      </c>
      <c r="E703" t="s">
        <v>546</v>
      </c>
      <c r="F703" t="s">
        <v>538</v>
      </c>
      <c r="G703" t="s">
        <v>30</v>
      </c>
      <c r="H703" t="s">
        <v>535</v>
      </c>
      <c r="I703">
        <v>62</v>
      </c>
      <c r="J703">
        <v>16.3</v>
      </c>
      <c r="K703" t="s">
        <v>257</v>
      </c>
      <c r="L703" t="s">
        <v>258</v>
      </c>
      <c r="M703" t="s">
        <v>258</v>
      </c>
      <c r="N703" s="5">
        <v>0</v>
      </c>
    </row>
    <row r="704" spans="1:14" x14ac:dyDescent="0.25">
      <c r="A704" t="s">
        <v>1245</v>
      </c>
      <c r="B704" t="s">
        <v>24</v>
      </c>
      <c r="C704" t="str">
        <f>_xlfn.XLOOKUP(Table6[[#This Row],[app_id]],Table5[app_id],Table5[app_name],"",0)</f>
        <v>BankX</v>
      </c>
      <c r="D704" t="str">
        <f>_xlfn.XLOOKUP(Table6[[#This Row],[app_id]],Table5[app_id],Table5[category],"",0)</f>
        <v>Finance</v>
      </c>
      <c r="E704" t="s">
        <v>533</v>
      </c>
      <c r="F704" t="s">
        <v>538</v>
      </c>
      <c r="G704" t="s">
        <v>26</v>
      </c>
      <c r="H704" t="s">
        <v>535</v>
      </c>
      <c r="I704">
        <v>60</v>
      </c>
      <c r="J704">
        <v>15.8</v>
      </c>
      <c r="K704" t="s">
        <v>257</v>
      </c>
      <c r="L704" t="s">
        <v>257</v>
      </c>
      <c r="M704" t="s">
        <v>258</v>
      </c>
      <c r="N704" s="5">
        <v>0</v>
      </c>
    </row>
    <row r="705" spans="1:14" x14ac:dyDescent="0.25">
      <c r="A705" t="s">
        <v>1246</v>
      </c>
      <c r="B705" t="s">
        <v>27</v>
      </c>
      <c r="C705" t="str">
        <f>_xlfn.XLOOKUP(Table6[[#This Row],[app_id]],Table5[app_id],Table5[app_name],"",0)</f>
        <v>BankNow</v>
      </c>
      <c r="D705" t="str">
        <f>_xlfn.XLOOKUP(Table6[[#This Row],[app_id]],Table5[app_id],Table5[category],"",0)</f>
        <v>Finance</v>
      </c>
      <c r="E705" t="s">
        <v>546</v>
      </c>
      <c r="F705" t="s">
        <v>534</v>
      </c>
      <c r="G705" t="s">
        <v>18</v>
      </c>
      <c r="H705" t="s">
        <v>535</v>
      </c>
      <c r="I705">
        <v>26</v>
      </c>
      <c r="J705">
        <v>6</v>
      </c>
      <c r="K705" t="s">
        <v>258</v>
      </c>
      <c r="L705" t="s">
        <v>258</v>
      </c>
      <c r="M705" t="s">
        <v>258</v>
      </c>
      <c r="N705" s="5">
        <v>0</v>
      </c>
    </row>
    <row r="706" spans="1:14" x14ac:dyDescent="0.25">
      <c r="A706" t="s">
        <v>1247</v>
      </c>
      <c r="B706" t="s">
        <v>31</v>
      </c>
      <c r="C706" t="str">
        <f>_xlfn.XLOOKUP(Table6[[#This Row],[app_id]],Table5[app_id],Table5[app_name],"",0)</f>
        <v>CreditHub</v>
      </c>
      <c r="D706" t="str">
        <f>_xlfn.XLOOKUP(Table6[[#This Row],[app_id]],Table5[app_id],Table5[category],"",0)</f>
        <v>Finance</v>
      </c>
      <c r="E706" t="s">
        <v>533</v>
      </c>
      <c r="F706" t="s">
        <v>534</v>
      </c>
      <c r="G706" t="s">
        <v>46</v>
      </c>
      <c r="H706" t="s">
        <v>535</v>
      </c>
      <c r="I706">
        <v>2</v>
      </c>
      <c r="J706">
        <v>6.7</v>
      </c>
      <c r="K706" t="s">
        <v>258</v>
      </c>
      <c r="L706" t="s">
        <v>257</v>
      </c>
      <c r="M706" t="s">
        <v>258</v>
      </c>
      <c r="N706" s="5">
        <v>0</v>
      </c>
    </row>
    <row r="707" spans="1:14" x14ac:dyDescent="0.25">
      <c r="A707" t="s">
        <v>1248</v>
      </c>
      <c r="B707" t="s">
        <v>36</v>
      </c>
      <c r="C707" t="str">
        <f>_xlfn.XLOOKUP(Table6[[#This Row],[app_id]],Table5[app_id],Table5[app_name],"",0)</f>
        <v>PayPlus</v>
      </c>
      <c r="D707" t="str">
        <f>_xlfn.XLOOKUP(Table6[[#This Row],[app_id]],Table5[app_id],Table5[category],"",0)</f>
        <v>Finance</v>
      </c>
      <c r="E707" t="s">
        <v>557</v>
      </c>
      <c r="F707" t="s">
        <v>534</v>
      </c>
      <c r="G707" t="s">
        <v>69</v>
      </c>
      <c r="H707" t="s">
        <v>540</v>
      </c>
      <c r="I707">
        <v>2</v>
      </c>
      <c r="J707">
        <v>16.7</v>
      </c>
      <c r="K707" t="s">
        <v>258</v>
      </c>
      <c r="L707" t="s">
        <v>258</v>
      </c>
      <c r="M707" t="s">
        <v>258</v>
      </c>
      <c r="N707" s="5">
        <v>70.400000000000006</v>
      </c>
    </row>
    <row r="708" spans="1:14" x14ac:dyDescent="0.25">
      <c r="A708" t="s">
        <v>1249</v>
      </c>
      <c r="B708" t="s">
        <v>39</v>
      </c>
      <c r="C708" t="str">
        <f>_xlfn.XLOOKUP(Table6[[#This Row],[app_id]],Table5[app_id],Table5[app_name],"",0)</f>
        <v>BankPlus</v>
      </c>
      <c r="D708" t="str">
        <f>_xlfn.XLOOKUP(Table6[[#This Row],[app_id]],Table5[app_id],Table5[category],"",0)</f>
        <v>Finance</v>
      </c>
      <c r="E708" t="s">
        <v>537</v>
      </c>
      <c r="F708" t="s">
        <v>538</v>
      </c>
      <c r="G708" t="s">
        <v>46</v>
      </c>
      <c r="H708" t="s">
        <v>535</v>
      </c>
      <c r="I708">
        <v>77</v>
      </c>
      <c r="J708">
        <v>15.8</v>
      </c>
      <c r="K708" t="s">
        <v>257</v>
      </c>
      <c r="L708" t="s">
        <v>257</v>
      </c>
      <c r="M708" t="s">
        <v>258</v>
      </c>
      <c r="N708" s="5">
        <v>40.31</v>
      </c>
    </row>
    <row r="709" spans="1:14" x14ac:dyDescent="0.25">
      <c r="A709" t="s">
        <v>1250</v>
      </c>
      <c r="B709" t="s">
        <v>42</v>
      </c>
      <c r="C709" t="str">
        <f>_xlfn.XLOOKUP(Table6[[#This Row],[app_id]],Table5[app_id],Table5[app_name],"",0)</f>
        <v>CoinPlus</v>
      </c>
      <c r="D709" t="str">
        <f>_xlfn.XLOOKUP(Table6[[#This Row],[app_id]],Table5[app_id],Table5[category],"",0)</f>
        <v>Finance</v>
      </c>
      <c r="E709" t="s">
        <v>546</v>
      </c>
      <c r="F709" t="s">
        <v>538</v>
      </c>
      <c r="G709" t="s">
        <v>26</v>
      </c>
      <c r="H709" t="s">
        <v>535</v>
      </c>
      <c r="I709">
        <v>3</v>
      </c>
      <c r="J709">
        <v>23.7</v>
      </c>
      <c r="K709" t="s">
        <v>258</v>
      </c>
      <c r="L709" t="s">
        <v>258</v>
      </c>
      <c r="M709" t="s">
        <v>258</v>
      </c>
      <c r="N709" s="5">
        <v>0</v>
      </c>
    </row>
    <row r="710" spans="1:14" x14ac:dyDescent="0.25">
      <c r="A710" t="s">
        <v>1251</v>
      </c>
      <c r="B710" t="s">
        <v>47</v>
      </c>
      <c r="C710" t="str">
        <f>_xlfn.XLOOKUP(Table6[[#This Row],[app_id]],Table5[app_id],Table5[app_name],"",0)</f>
        <v>CreditOne</v>
      </c>
      <c r="D710" t="str">
        <f>_xlfn.XLOOKUP(Table6[[#This Row],[app_id]],Table5[app_id],Table5[category],"",0)</f>
        <v>Finance</v>
      </c>
      <c r="E710" t="s">
        <v>546</v>
      </c>
      <c r="F710" t="s">
        <v>534</v>
      </c>
      <c r="G710" t="s">
        <v>18</v>
      </c>
      <c r="H710" t="s">
        <v>535</v>
      </c>
      <c r="I710">
        <v>27</v>
      </c>
      <c r="J710">
        <v>14</v>
      </c>
      <c r="K710" t="s">
        <v>258</v>
      </c>
      <c r="L710" t="s">
        <v>258</v>
      </c>
      <c r="M710" t="s">
        <v>258</v>
      </c>
      <c r="N710" s="5">
        <v>0</v>
      </c>
    </row>
    <row r="711" spans="1:14" x14ac:dyDescent="0.25">
      <c r="A711" t="s">
        <v>1252</v>
      </c>
      <c r="B711" t="s">
        <v>49</v>
      </c>
      <c r="C711" t="str">
        <f>_xlfn.XLOOKUP(Table6[[#This Row],[app_id]],Table5[app_id],Table5[app_name],"",0)</f>
        <v>PayPro</v>
      </c>
      <c r="D711" t="str">
        <f>_xlfn.XLOOKUP(Table6[[#This Row],[app_id]],Table5[app_id],Table5[category],"",0)</f>
        <v>Finance</v>
      </c>
      <c r="E711" t="s">
        <v>537</v>
      </c>
      <c r="F711" t="s">
        <v>534</v>
      </c>
      <c r="G711" t="s">
        <v>61</v>
      </c>
      <c r="H711" t="s">
        <v>535</v>
      </c>
      <c r="I711">
        <v>38</v>
      </c>
      <c r="J711">
        <v>23.7</v>
      </c>
      <c r="K711" t="s">
        <v>257</v>
      </c>
      <c r="L711" t="s">
        <v>257</v>
      </c>
      <c r="M711" t="s">
        <v>258</v>
      </c>
      <c r="N711" s="5">
        <v>26.24</v>
      </c>
    </row>
    <row r="712" spans="1:14" x14ac:dyDescent="0.25">
      <c r="A712" t="s">
        <v>1253</v>
      </c>
      <c r="B712" t="s">
        <v>51</v>
      </c>
      <c r="C712" t="str">
        <f>_xlfn.XLOOKUP(Table6[[#This Row],[app_id]],Table5[app_id],Table5[app_name],"",0)</f>
        <v>Creditly</v>
      </c>
      <c r="D712" t="str">
        <f>_xlfn.XLOOKUP(Table6[[#This Row],[app_id]],Table5[app_id],Table5[category],"",0)</f>
        <v>Finance</v>
      </c>
      <c r="E712" t="s">
        <v>546</v>
      </c>
      <c r="F712" t="s">
        <v>534</v>
      </c>
      <c r="G712" t="s">
        <v>46</v>
      </c>
      <c r="H712" t="s">
        <v>535</v>
      </c>
      <c r="I712">
        <v>3</v>
      </c>
      <c r="J712">
        <v>16.5</v>
      </c>
      <c r="K712" t="s">
        <v>258</v>
      </c>
      <c r="L712" t="s">
        <v>257</v>
      </c>
      <c r="M712" t="s">
        <v>258</v>
      </c>
      <c r="N712" s="5">
        <v>0</v>
      </c>
    </row>
    <row r="713" spans="1:14" x14ac:dyDescent="0.25">
      <c r="A713" t="s">
        <v>1254</v>
      </c>
      <c r="B713" t="s">
        <v>53</v>
      </c>
      <c r="C713" t="str">
        <f>_xlfn.XLOOKUP(Table6[[#This Row],[app_id]],Table5[app_id],Table5[app_name],"",0)</f>
        <v>PayX</v>
      </c>
      <c r="D713" t="str">
        <f>_xlfn.XLOOKUP(Table6[[#This Row],[app_id]],Table5[app_id],Table5[category],"",0)</f>
        <v>Finance</v>
      </c>
      <c r="E713" t="s">
        <v>533</v>
      </c>
      <c r="F713" t="s">
        <v>534</v>
      </c>
      <c r="G713" t="s">
        <v>30</v>
      </c>
      <c r="H713" t="s">
        <v>535</v>
      </c>
      <c r="I713">
        <v>48</v>
      </c>
      <c r="J713">
        <v>20</v>
      </c>
      <c r="K713" t="s">
        <v>257</v>
      </c>
      <c r="L713" t="s">
        <v>257</v>
      </c>
      <c r="M713" t="s">
        <v>258</v>
      </c>
      <c r="N713" s="5">
        <v>0</v>
      </c>
    </row>
    <row r="714" spans="1:14" x14ac:dyDescent="0.25">
      <c r="A714" t="s">
        <v>1255</v>
      </c>
      <c r="B714" t="s">
        <v>56</v>
      </c>
      <c r="C714" t="str">
        <f>_xlfn.XLOOKUP(Table6[[#This Row],[app_id]],Table5[app_id],Table5[app_name],"",0)</f>
        <v>DealGo</v>
      </c>
      <c r="D714" t="str">
        <f>_xlfn.XLOOKUP(Table6[[#This Row],[app_id]],Table5[app_id],Table5[category],"",0)</f>
        <v>Shopping</v>
      </c>
      <c r="E714" t="s">
        <v>546</v>
      </c>
      <c r="F714" t="s">
        <v>534</v>
      </c>
      <c r="G714" t="s">
        <v>69</v>
      </c>
      <c r="H714" t="s">
        <v>540</v>
      </c>
      <c r="I714">
        <v>26</v>
      </c>
      <c r="J714">
        <v>23.5</v>
      </c>
      <c r="K714" t="s">
        <v>258</v>
      </c>
      <c r="L714" t="s">
        <v>258</v>
      </c>
      <c r="M714" t="s">
        <v>257</v>
      </c>
      <c r="N714" s="5">
        <v>0</v>
      </c>
    </row>
    <row r="715" spans="1:14" x14ac:dyDescent="0.25">
      <c r="A715" t="s">
        <v>1256</v>
      </c>
      <c r="B715" t="s">
        <v>62</v>
      </c>
      <c r="C715" t="str">
        <f>_xlfn.XLOOKUP(Table6[[#This Row],[app_id]],Table5[app_id],Table5[app_name],"",0)</f>
        <v>MallNow</v>
      </c>
      <c r="D715" t="str">
        <f>_xlfn.XLOOKUP(Table6[[#This Row],[app_id]],Table5[app_id],Table5[category],"",0)</f>
        <v>Shopping</v>
      </c>
      <c r="E715" t="s">
        <v>546</v>
      </c>
      <c r="F715" t="s">
        <v>538</v>
      </c>
      <c r="G715" t="s">
        <v>61</v>
      </c>
      <c r="H715" t="s">
        <v>535</v>
      </c>
      <c r="I715">
        <v>11</v>
      </c>
      <c r="J715">
        <v>18.399999999999999</v>
      </c>
      <c r="K715" t="s">
        <v>258</v>
      </c>
      <c r="L715" t="s">
        <v>257</v>
      </c>
      <c r="M715" t="s">
        <v>258</v>
      </c>
      <c r="N715" s="5">
        <v>0</v>
      </c>
    </row>
    <row r="716" spans="1:14" x14ac:dyDescent="0.25">
      <c r="A716" t="s">
        <v>1257</v>
      </c>
      <c r="B716" t="s">
        <v>65</v>
      </c>
      <c r="C716" t="str">
        <f>_xlfn.XLOOKUP(Table6[[#This Row],[app_id]],Table5[app_id],Table5[app_name],"",0)</f>
        <v>DealPro</v>
      </c>
      <c r="D716" t="str">
        <f>_xlfn.XLOOKUP(Table6[[#This Row],[app_id]],Table5[app_id],Table5[category],"",0)</f>
        <v>Shopping</v>
      </c>
      <c r="E716" t="s">
        <v>537</v>
      </c>
      <c r="F716" t="s">
        <v>534</v>
      </c>
      <c r="G716" t="s">
        <v>35</v>
      </c>
      <c r="H716" t="s">
        <v>535</v>
      </c>
      <c r="I716">
        <v>24</v>
      </c>
      <c r="J716">
        <v>7.2</v>
      </c>
      <c r="K716" t="s">
        <v>257</v>
      </c>
      <c r="L716" t="s">
        <v>257</v>
      </c>
      <c r="M716" t="s">
        <v>258</v>
      </c>
      <c r="N716" s="5">
        <v>0</v>
      </c>
    </row>
    <row r="717" spans="1:14" x14ac:dyDescent="0.25">
      <c r="A717" t="s">
        <v>1258</v>
      </c>
      <c r="B717" t="s">
        <v>67</v>
      </c>
      <c r="C717" t="str">
        <f>_xlfn.XLOOKUP(Table6[[#This Row],[app_id]],Table5[app_id],Table5[app_name],"",0)</f>
        <v>StyleNow</v>
      </c>
      <c r="D717" t="str">
        <f>_xlfn.XLOOKUP(Table6[[#This Row],[app_id]],Table5[app_id],Table5[category],"",0)</f>
        <v>Shopping</v>
      </c>
      <c r="E717" t="s">
        <v>533</v>
      </c>
      <c r="F717" t="s">
        <v>534</v>
      </c>
      <c r="G717" t="s">
        <v>61</v>
      </c>
      <c r="H717" t="s">
        <v>535</v>
      </c>
      <c r="I717">
        <v>60</v>
      </c>
      <c r="J717">
        <v>7.8</v>
      </c>
      <c r="K717" t="s">
        <v>257</v>
      </c>
      <c r="L717" t="s">
        <v>257</v>
      </c>
      <c r="M717" t="s">
        <v>258</v>
      </c>
      <c r="N717" s="5">
        <v>0</v>
      </c>
    </row>
    <row r="718" spans="1:14" x14ac:dyDescent="0.25">
      <c r="A718" t="s">
        <v>1259</v>
      </c>
      <c r="B718" t="s">
        <v>70</v>
      </c>
      <c r="C718" t="str">
        <f>_xlfn.XLOOKUP(Table6[[#This Row],[app_id]],Table5[app_id],Table5[app_name],"",0)</f>
        <v>DealCloud</v>
      </c>
      <c r="D718" t="str">
        <f>_xlfn.XLOOKUP(Table6[[#This Row],[app_id]],Table5[app_id],Table5[category],"",0)</f>
        <v>Shopping</v>
      </c>
      <c r="E718" t="s">
        <v>546</v>
      </c>
      <c r="F718" t="s">
        <v>534</v>
      </c>
      <c r="G718" t="s">
        <v>61</v>
      </c>
      <c r="H718" t="s">
        <v>535</v>
      </c>
      <c r="I718">
        <v>14</v>
      </c>
      <c r="J718">
        <v>11.9</v>
      </c>
      <c r="K718" t="s">
        <v>258</v>
      </c>
      <c r="L718" t="s">
        <v>258</v>
      </c>
      <c r="M718" t="s">
        <v>257</v>
      </c>
      <c r="N718" s="5">
        <v>0</v>
      </c>
    </row>
    <row r="719" spans="1:14" x14ac:dyDescent="0.25">
      <c r="A719" t="s">
        <v>1260</v>
      </c>
      <c r="B719" t="s">
        <v>72</v>
      </c>
      <c r="C719" t="str">
        <f>_xlfn.XLOOKUP(Table6[[#This Row],[app_id]],Table5[app_id],Table5[app_name],"",0)</f>
        <v>CartCloud</v>
      </c>
      <c r="D719" t="str">
        <f>_xlfn.XLOOKUP(Table6[[#This Row],[app_id]],Table5[app_id],Table5[category],"",0)</f>
        <v>Shopping</v>
      </c>
      <c r="E719" t="s">
        <v>533</v>
      </c>
      <c r="F719" t="s">
        <v>534</v>
      </c>
      <c r="G719" t="s">
        <v>23</v>
      </c>
      <c r="H719" t="s">
        <v>535</v>
      </c>
      <c r="I719">
        <v>10</v>
      </c>
      <c r="J719">
        <v>19.5</v>
      </c>
      <c r="K719" t="s">
        <v>258</v>
      </c>
      <c r="L719" t="s">
        <v>258</v>
      </c>
      <c r="M719" t="s">
        <v>257</v>
      </c>
      <c r="N719" s="5">
        <v>0</v>
      </c>
    </row>
    <row r="720" spans="1:14" x14ac:dyDescent="0.25">
      <c r="A720" t="s">
        <v>1261</v>
      </c>
      <c r="B720" t="s">
        <v>74</v>
      </c>
      <c r="C720" t="str">
        <f>_xlfn.XLOOKUP(Table6[[#This Row],[app_id]],Table5[app_id],Table5[app_name],"",0)</f>
        <v>CartMate</v>
      </c>
      <c r="D720" t="str">
        <f>_xlfn.XLOOKUP(Table6[[#This Row],[app_id]],Table5[app_id],Table5[category],"",0)</f>
        <v>Shopping</v>
      </c>
      <c r="E720" t="s">
        <v>546</v>
      </c>
      <c r="F720" t="s">
        <v>538</v>
      </c>
      <c r="G720" t="s">
        <v>46</v>
      </c>
      <c r="H720" t="s">
        <v>535</v>
      </c>
      <c r="I720">
        <v>13</v>
      </c>
      <c r="J720">
        <v>17.7</v>
      </c>
      <c r="K720" t="s">
        <v>258</v>
      </c>
      <c r="L720" t="s">
        <v>257</v>
      </c>
      <c r="M720" t="s">
        <v>258</v>
      </c>
      <c r="N720" s="5">
        <v>22.39</v>
      </c>
    </row>
    <row r="721" spans="1:14" x14ac:dyDescent="0.25">
      <c r="A721" t="s">
        <v>1262</v>
      </c>
      <c r="B721" t="s">
        <v>76</v>
      </c>
      <c r="C721" t="str">
        <f>_xlfn.XLOOKUP(Table6[[#This Row],[app_id]],Table5[app_id],Table5[app_name],"",0)</f>
        <v>BazaarOne</v>
      </c>
      <c r="D721" t="str">
        <f>_xlfn.XLOOKUP(Table6[[#This Row],[app_id]],Table5[app_id],Table5[category],"",0)</f>
        <v>Shopping</v>
      </c>
      <c r="E721" t="s">
        <v>546</v>
      </c>
      <c r="F721" t="s">
        <v>538</v>
      </c>
      <c r="G721" t="s">
        <v>18</v>
      </c>
      <c r="H721" t="s">
        <v>535</v>
      </c>
      <c r="I721">
        <v>92</v>
      </c>
      <c r="J721">
        <v>21.1</v>
      </c>
      <c r="K721" t="s">
        <v>257</v>
      </c>
      <c r="L721" t="s">
        <v>257</v>
      </c>
      <c r="M721" t="s">
        <v>258</v>
      </c>
      <c r="N721" s="5">
        <v>0</v>
      </c>
    </row>
    <row r="722" spans="1:14" x14ac:dyDescent="0.25">
      <c r="A722" t="s">
        <v>1263</v>
      </c>
      <c r="B722" t="s">
        <v>78</v>
      </c>
      <c r="C722" t="str">
        <f>_xlfn.XLOOKUP(Table6[[#This Row],[app_id]],Table5[app_id],Table5[app_name],"",0)</f>
        <v>StyleOne</v>
      </c>
      <c r="D722" t="str">
        <f>_xlfn.XLOOKUP(Table6[[#This Row],[app_id]],Table5[app_id],Table5[category],"",0)</f>
        <v>Shopping</v>
      </c>
      <c r="E722" t="s">
        <v>533</v>
      </c>
      <c r="F722" t="s">
        <v>538</v>
      </c>
      <c r="G722" t="s">
        <v>23</v>
      </c>
      <c r="H722" t="s">
        <v>535</v>
      </c>
      <c r="I722">
        <v>22</v>
      </c>
      <c r="J722">
        <v>3.3</v>
      </c>
      <c r="K722" t="s">
        <v>258</v>
      </c>
      <c r="L722" t="s">
        <v>257</v>
      </c>
      <c r="M722" t="s">
        <v>258</v>
      </c>
      <c r="N722" s="5">
        <v>0</v>
      </c>
    </row>
    <row r="723" spans="1:14" x14ac:dyDescent="0.25">
      <c r="A723" t="s">
        <v>1264</v>
      </c>
      <c r="B723" t="s">
        <v>80</v>
      </c>
      <c r="C723" t="str">
        <f>_xlfn.XLOOKUP(Table6[[#This Row],[app_id]],Table5[app_id],Table5[app_name],"",0)</f>
        <v>Cartly</v>
      </c>
      <c r="D723" t="str">
        <f>_xlfn.XLOOKUP(Table6[[#This Row],[app_id]],Table5[app_id],Table5[category],"",0)</f>
        <v>Shopping</v>
      </c>
      <c r="E723" t="s">
        <v>533</v>
      </c>
      <c r="F723" t="s">
        <v>534</v>
      </c>
      <c r="G723" t="s">
        <v>61</v>
      </c>
      <c r="H723" t="s">
        <v>535</v>
      </c>
      <c r="I723">
        <v>24</v>
      </c>
      <c r="J723">
        <v>3.1</v>
      </c>
      <c r="K723" t="s">
        <v>257</v>
      </c>
      <c r="L723" t="s">
        <v>257</v>
      </c>
      <c r="M723" t="s">
        <v>258</v>
      </c>
      <c r="N723" s="5">
        <v>93.94</v>
      </c>
    </row>
    <row r="724" spans="1:14" x14ac:dyDescent="0.25">
      <c r="A724" t="s">
        <v>1265</v>
      </c>
      <c r="B724" t="s">
        <v>83</v>
      </c>
      <c r="C724" t="str">
        <f>_xlfn.XLOOKUP(Table6[[#This Row],[app_id]],Table5[app_id],Table5[app_name],"",0)</f>
        <v>BazaarCloud</v>
      </c>
      <c r="D724" t="str">
        <f>_xlfn.XLOOKUP(Table6[[#This Row],[app_id]],Table5[app_id],Table5[category],"",0)</f>
        <v>Shopping</v>
      </c>
      <c r="E724" t="s">
        <v>533</v>
      </c>
      <c r="F724" t="s">
        <v>534</v>
      </c>
      <c r="G724" t="s">
        <v>26</v>
      </c>
      <c r="H724" t="s">
        <v>535</v>
      </c>
      <c r="I724">
        <v>23</v>
      </c>
      <c r="J724">
        <v>4.5999999999999996</v>
      </c>
      <c r="K724" t="s">
        <v>258</v>
      </c>
      <c r="L724" t="s">
        <v>258</v>
      </c>
      <c r="M724" t="s">
        <v>258</v>
      </c>
      <c r="N724" s="5">
        <v>0</v>
      </c>
    </row>
    <row r="725" spans="1:14" x14ac:dyDescent="0.25">
      <c r="A725" t="s">
        <v>1266</v>
      </c>
      <c r="B725" t="s">
        <v>85</v>
      </c>
      <c r="C725" t="str">
        <f>_xlfn.XLOOKUP(Table6[[#This Row],[app_id]],Table5[app_id],Table5[app_name],"",0)</f>
        <v>CartPro</v>
      </c>
      <c r="D725" t="str">
        <f>_xlfn.XLOOKUP(Table6[[#This Row],[app_id]],Table5[app_id],Table5[category],"",0)</f>
        <v>Shopping</v>
      </c>
      <c r="E725" t="s">
        <v>533</v>
      </c>
      <c r="F725" t="s">
        <v>534</v>
      </c>
      <c r="G725" t="s">
        <v>61</v>
      </c>
      <c r="H725" t="s">
        <v>535</v>
      </c>
      <c r="I725">
        <v>11</v>
      </c>
      <c r="J725">
        <v>16.2</v>
      </c>
      <c r="K725" t="s">
        <v>258</v>
      </c>
      <c r="L725" t="s">
        <v>258</v>
      </c>
      <c r="M725" t="s">
        <v>258</v>
      </c>
      <c r="N725" s="5">
        <v>0</v>
      </c>
    </row>
    <row r="726" spans="1:14" x14ac:dyDescent="0.25">
      <c r="A726" t="s">
        <v>1267</v>
      </c>
      <c r="B726" t="s">
        <v>87</v>
      </c>
      <c r="C726" t="str">
        <f>_xlfn.XLOOKUP(Table6[[#This Row],[app_id]],Table5[app_id],Table5[app_name],"",0)</f>
        <v>RunPlus</v>
      </c>
      <c r="D726" t="str">
        <f>_xlfn.XLOOKUP(Table6[[#This Row],[app_id]],Table5[app_id],Table5[category],"",0)</f>
        <v>Fitness</v>
      </c>
      <c r="E726" t="s">
        <v>552</v>
      </c>
      <c r="F726" t="s">
        <v>534</v>
      </c>
      <c r="G726" t="s">
        <v>69</v>
      </c>
      <c r="H726" t="s">
        <v>535</v>
      </c>
      <c r="I726">
        <v>2</v>
      </c>
      <c r="J726">
        <v>21.7</v>
      </c>
      <c r="K726" t="s">
        <v>258</v>
      </c>
      <c r="L726" t="s">
        <v>257</v>
      </c>
      <c r="M726" t="s">
        <v>258</v>
      </c>
      <c r="N726" s="5">
        <v>0</v>
      </c>
    </row>
    <row r="727" spans="1:14" x14ac:dyDescent="0.25">
      <c r="A727" t="s">
        <v>1268</v>
      </c>
      <c r="B727" t="s">
        <v>90</v>
      </c>
      <c r="C727" t="str">
        <f>_xlfn.XLOOKUP(Table6[[#This Row],[app_id]],Table5[app_id],Table5[app_name],"",0)</f>
        <v>TrainCloud</v>
      </c>
      <c r="D727" t="str">
        <f>_xlfn.XLOOKUP(Table6[[#This Row],[app_id]],Table5[app_id],Table5[category],"",0)</f>
        <v>Fitness</v>
      </c>
      <c r="E727" t="s">
        <v>537</v>
      </c>
      <c r="F727" t="s">
        <v>534</v>
      </c>
      <c r="G727" t="s">
        <v>61</v>
      </c>
      <c r="H727" t="s">
        <v>535</v>
      </c>
      <c r="I727">
        <v>11</v>
      </c>
      <c r="J727">
        <v>15.3</v>
      </c>
      <c r="K727" t="s">
        <v>258</v>
      </c>
      <c r="L727" t="s">
        <v>258</v>
      </c>
      <c r="M727" t="s">
        <v>257</v>
      </c>
      <c r="N727" s="5">
        <v>0</v>
      </c>
    </row>
    <row r="728" spans="1:14" x14ac:dyDescent="0.25">
      <c r="A728" t="s">
        <v>1269</v>
      </c>
      <c r="B728" t="s">
        <v>92</v>
      </c>
      <c r="C728" t="str">
        <f>_xlfn.XLOOKUP(Table6[[#This Row],[app_id]],Table5[app_id],Table5[app_name],"",0)</f>
        <v>Trainly</v>
      </c>
      <c r="D728" t="str">
        <f>_xlfn.XLOOKUP(Table6[[#This Row],[app_id]],Table5[app_id],Table5[category],"",0)</f>
        <v>Fitness</v>
      </c>
      <c r="E728" t="s">
        <v>533</v>
      </c>
      <c r="F728" t="s">
        <v>538</v>
      </c>
      <c r="G728" t="s">
        <v>18</v>
      </c>
      <c r="H728" t="s">
        <v>535</v>
      </c>
      <c r="I728">
        <v>19</v>
      </c>
      <c r="J728">
        <v>35.4</v>
      </c>
      <c r="K728" t="s">
        <v>258</v>
      </c>
      <c r="L728" t="s">
        <v>258</v>
      </c>
      <c r="M728" t="s">
        <v>258</v>
      </c>
      <c r="N728" s="5">
        <v>0</v>
      </c>
    </row>
    <row r="729" spans="1:14" x14ac:dyDescent="0.25">
      <c r="A729" t="s">
        <v>1270</v>
      </c>
      <c r="B729" t="s">
        <v>94</v>
      </c>
      <c r="C729" t="str">
        <f>_xlfn.XLOOKUP(Table6[[#This Row],[app_id]],Table5[app_id],Table5[app_name],"",0)</f>
        <v>LiftCloud</v>
      </c>
      <c r="D729" t="str">
        <f>_xlfn.XLOOKUP(Table6[[#This Row],[app_id]],Table5[app_id],Table5[category],"",0)</f>
        <v>Fitness</v>
      </c>
      <c r="E729" t="s">
        <v>546</v>
      </c>
      <c r="F729" t="s">
        <v>534</v>
      </c>
      <c r="G729" t="s">
        <v>23</v>
      </c>
      <c r="H729" t="s">
        <v>535</v>
      </c>
      <c r="I729">
        <v>79</v>
      </c>
      <c r="J729">
        <v>34.200000000000003</v>
      </c>
      <c r="K729" t="s">
        <v>257</v>
      </c>
      <c r="L729" t="s">
        <v>258</v>
      </c>
      <c r="M729" t="s">
        <v>258</v>
      </c>
      <c r="N729" s="5">
        <v>0</v>
      </c>
    </row>
    <row r="730" spans="1:14" x14ac:dyDescent="0.25">
      <c r="A730" t="s">
        <v>1271</v>
      </c>
      <c r="B730" t="s">
        <v>96</v>
      </c>
      <c r="C730" t="str">
        <f>_xlfn.XLOOKUP(Table6[[#This Row],[app_id]],Table5[app_id],Table5[app_name],"",0)</f>
        <v>MoveNow</v>
      </c>
      <c r="D730" t="str">
        <f>_xlfn.XLOOKUP(Table6[[#This Row],[app_id]],Table5[app_id],Table5[category],"",0)</f>
        <v>Fitness</v>
      </c>
      <c r="E730" t="s">
        <v>537</v>
      </c>
      <c r="F730" t="s">
        <v>538</v>
      </c>
      <c r="G730" t="s">
        <v>26</v>
      </c>
      <c r="H730" t="s">
        <v>535</v>
      </c>
      <c r="I730">
        <v>92</v>
      </c>
      <c r="J730">
        <v>11.1</v>
      </c>
      <c r="K730" t="s">
        <v>257</v>
      </c>
      <c r="L730" t="s">
        <v>258</v>
      </c>
      <c r="M730" t="s">
        <v>258</v>
      </c>
      <c r="N730" s="5">
        <v>0</v>
      </c>
    </row>
    <row r="731" spans="1:14" x14ac:dyDescent="0.25">
      <c r="A731" t="s">
        <v>1272</v>
      </c>
      <c r="B731" t="s">
        <v>98</v>
      </c>
      <c r="C731" t="str">
        <f>_xlfn.XLOOKUP(Table6[[#This Row],[app_id]],Table5[app_id],Table5[app_name],"",0)</f>
        <v>ActiveMate</v>
      </c>
      <c r="D731" t="str">
        <f>_xlfn.XLOOKUP(Table6[[#This Row],[app_id]],Table5[app_id],Table5[category],"",0)</f>
        <v>Fitness</v>
      </c>
      <c r="E731" t="s">
        <v>546</v>
      </c>
      <c r="F731" t="s">
        <v>538</v>
      </c>
      <c r="G731" t="s">
        <v>61</v>
      </c>
      <c r="H731" t="s">
        <v>535</v>
      </c>
      <c r="I731">
        <v>76</v>
      </c>
      <c r="J731">
        <v>17.7</v>
      </c>
      <c r="K731" t="s">
        <v>257</v>
      </c>
      <c r="L731" t="s">
        <v>257</v>
      </c>
      <c r="M731" t="s">
        <v>258</v>
      </c>
      <c r="N731" s="5">
        <v>0</v>
      </c>
    </row>
    <row r="732" spans="1:14" x14ac:dyDescent="0.25">
      <c r="A732" t="s">
        <v>1273</v>
      </c>
      <c r="B732" t="s">
        <v>100</v>
      </c>
      <c r="C732" t="str">
        <f>_xlfn.XLOOKUP(Table6[[#This Row],[app_id]],Table5[app_id],Table5[app_name],"",0)</f>
        <v>RunGo</v>
      </c>
      <c r="D732" t="str">
        <f>_xlfn.XLOOKUP(Table6[[#This Row],[app_id]],Table5[app_id],Table5[category],"",0)</f>
        <v>Fitness</v>
      </c>
      <c r="E732" t="s">
        <v>533</v>
      </c>
      <c r="F732" t="s">
        <v>538</v>
      </c>
      <c r="G732" t="s">
        <v>46</v>
      </c>
      <c r="H732" t="s">
        <v>535</v>
      </c>
      <c r="I732">
        <v>45</v>
      </c>
      <c r="J732">
        <v>15.7</v>
      </c>
      <c r="K732" t="s">
        <v>257</v>
      </c>
      <c r="L732" t="s">
        <v>257</v>
      </c>
      <c r="M732" t="s">
        <v>258</v>
      </c>
      <c r="N732" s="5">
        <v>0</v>
      </c>
    </row>
    <row r="733" spans="1:14" x14ac:dyDescent="0.25">
      <c r="A733" t="s">
        <v>1274</v>
      </c>
      <c r="B733" t="s">
        <v>102</v>
      </c>
      <c r="C733" t="str">
        <f>_xlfn.XLOOKUP(Table6[[#This Row],[app_id]],Table5[app_id],Table5[app_name],"",0)</f>
        <v>LiftPro</v>
      </c>
      <c r="D733" t="str">
        <f>_xlfn.XLOOKUP(Table6[[#This Row],[app_id]],Table5[app_id],Table5[category],"",0)</f>
        <v>Fitness</v>
      </c>
      <c r="E733" t="s">
        <v>546</v>
      </c>
      <c r="F733" t="s">
        <v>534</v>
      </c>
      <c r="G733" t="s">
        <v>69</v>
      </c>
      <c r="H733" t="s">
        <v>535</v>
      </c>
      <c r="I733">
        <v>62</v>
      </c>
      <c r="J733">
        <v>13.1</v>
      </c>
      <c r="K733" t="s">
        <v>257</v>
      </c>
      <c r="L733" t="s">
        <v>258</v>
      </c>
      <c r="M733" t="s">
        <v>258</v>
      </c>
      <c r="N733" s="5">
        <v>31.3</v>
      </c>
    </row>
    <row r="734" spans="1:14" x14ac:dyDescent="0.25">
      <c r="A734" t="s">
        <v>1275</v>
      </c>
      <c r="B734" t="s">
        <v>104</v>
      </c>
      <c r="C734" t="str">
        <f>_xlfn.XLOOKUP(Table6[[#This Row],[app_id]],Table5[app_id],Table5[app_name],"",0)</f>
        <v>LiftPro</v>
      </c>
      <c r="D734" t="str">
        <f>_xlfn.XLOOKUP(Table6[[#This Row],[app_id]],Table5[app_id],Table5[category],"",0)</f>
        <v>Fitness</v>
      </c>
      <c r="E734" t="s">
        <v>546</v>
      </c>
      <c r="F734" t="s">
        <v>548</v>
      </c>
      <c r="G734" t="s">
        <v>30</v>
      </c>
      <c r="H734" t="s">
        <v>535</v>
      </c>
      <c r="I734">
        <v>53</v>
      </c>
      <c r="J734">
        <v>24.1</v>
      </c>
      <c r="K734" t="s">
        <v>257</v>
      </c>
      <c r="L734" t="s">
        <v>258</v>
      </c>
      <c r="M734" t="s">
        <v>258</v>
      </c>
      <c r="N734" s="5">
        <v>0</v>
      </c>
    </row>
    <row r="735" spans="1:14" x14ac:dyDescent="0.25">
      <c r="A735" t="s">
        <v>1276</v>
      </c>
      <c r="B735" t="s">
        <v>105</v>
      </c>
      <c r="C735" t="str">
        <f>_xlfn.XLOOKUP(Table6[[#This Row],[app_id]],Table5[app_id],Table5[app_name],"",0)</f>
        <v>Liftly</v>
      </c>
      <c r="D735" t="str">
        <f>_xlfn.XLOOKUP(Table6[[#This Row],[app_id]],Table5[app_id],Table5[category],"",0)</f>
        <v>Fitness</v>
      </c>
      <c r="E735" t="s">
        <v>546</v>
      </c>
      <c r="F735" t="s">
        <v>534</v>
      </c>
      <c r="G735" t="s">
        <v>46</v>
      </c>
      <c r="H735" t="s">
        <v>535</v>
      </c>
      <c r="I735">
        <v>42</v>
      </c>
      <c r="J735">
        <v>18.2</v>
      </c>
      <c r="K735" t="s">
        <v>257</v>
      </c>
      <c r="L735" t="s">
        <v>258</v>
      </c>
      <c r="M735" t="s">
        <v>258</v>
      </c>
      <c r="N735" s="5">
        <v>0</v>
      </c>
    </row>
    <row r="736" spans="1:14" x14ac:dyDescent="0.25">
      <c r="A736" t="s">
        <v>1277</v>
      </c>
      <c r="B736" t="s">
        <v>107</v>
      </c>
      <c r="C736" t="str">
        <f>_xlfn.XLOOKUP(Table6[[#This Row],[app_id]],Table5[app_id],Table5[app_name],"",0)</f>
        <v>YogaHub</v>
      </c>
      <c r="D736" t="str">
        <f>_xlfn.XLOOKUP(Table6[[#This Row],[app_id]],Table5[app_id],Table5[category],"",0)</f>
        <v>Fitness</v>
      </c>
      <c r="E736" t="s">
        <v>552</v>
      </c>
      <c r="F736" t="s">
        <v>534</v>
      </c>
      <c r="G736" t="s">
        <v>23</v>
      </c>
      <c r="H736" t="s">
        <v>535</v>
      </c>
      <c r="I736">
        <v>14</v>
      </c>
      <c r="J736">
        <v>35.299999999999997</v>
      </c>
      <c r="K736" t="s">
        <v>258</v>
      </c>
      <c r="L736" t="s">
        <v>258</v>
      </c>
      <c r="M736" t="s">
        <v>258</v>
      </c>
      <c r="N736" s="5">
        <v>0</v>
      </c>
    </row>
    <row r="737" spans="1:14" x14ac:dyDescent="0.25">
      <c r="A737" t="s">
        <v>1278</v>
      </c>
      <c r="B737" t="s">
        <v>109</v>
      </c>
      <c r="C737" t="str">
        <f>_xlfn.XLOOKUP(Table6[[#This Row],[app_id]],Table5[app_id],Table5[app_name],"",0)</f>
        <v>MoveGo</v>
      </c>
      <c r="D737" t="str">
        <f>_xlfn.XLOOKUP(Table6[[#This Row],[app_id]],Table5[app_id],Table5[category],"",0)</f>
        <v>Fitness</v>
      </c>
      <c r="E737" t="s">
        <v>537</v>
      </c>
      <c r="F737" t="s">
        <v>538</v>
      </c>
      <c r="G737" t="s">
        <v>30</v>
      </c>
      <c r="H737" t="s">
        <v>535</v>
      </c>
      <c r="I737">
        <v>7</v>
      </c>
      <c r="J737">
        <v>35.700000000000003</v>
      </c>
      <c r="K737" t="s">
        <v>258</v>
      </c>
      <c r="L737" t="s">
        <v>258</v>
      </c>
      <c r="M737" t="s">
        <v>258</v>
      </c>
      <c r="N737" s="5">
        <v>6.12</v>
      </c>
    </row>
    <row r="738" spans="1:14" x14ac:dyDescent="0.25">
      <c r="A738" t="s">
        <v>1279</v>
      </c>
      <c r="B738" t="s">
        <v>111</v>
      </c>
      <c r="C738" t="str">
        <f>_xlfn.XLOOKUP(Table6[[#This Row],[app_id]],Table5[app_id],Table5[app_name],"",0)</f>
        <v>BrightNow</v>
      </c>
      <c r="D738" t="str">
        <f>_xlfn.XLOOKUP(Table6[[#This Row],[app_id]],Table5[app_id],Table5[category],"",0)</f>
        <v>Education</v>
      </c>
      <c r="E738" t="s">
        <v>537</v>
      </c>
      <c r="F738" t="s">
        <v>538</v>
      </c>
      <c r="G738" t="s">
        <v>18</v>
      </c>
      <c r="H738" t="s">
        <v>535</v>
      </c>
      <c r="I738">
        <v>46</v>
      </c>
      <c r="J738">
        <v>14.3</v>
      </c>
      <c r="K738" t="s">
        <v>257</v>
      </c>
      <c r="L738" t="s">
        <v>257</v>
      </c>
      <c r="M738" t="s">
        <v>258</v>
      </c>
      <c r="N738" s="5">
        <v>16.91</v>
      </c>
    </row>
    <row r="739" spans="1:14" x14ac:dyDescent="0.25">
      <c r="A739" t="s">
        <v>1280</v>
      </c>
      <c r="B739" t="s">
        <v>114</v>
      </c>
      <c r="C739" t="str">
        <f>_xlfn.XLOOKUP(Table6[[#This Row],[app_id]],Table5[app_id],Table5[app_name],"",0)</f>
        <v>StudyCloud</v>
      </c>
      <c r="D739" t="str">
        <f>_xlfn.XLOOKUP(Table6[[#This Row],[app_id]],Table5[app_id],Table5[category],"",0)</f>
        <v>Education</v>
      </c>
      <c r="E739" t="s">
        <v>552</v>
      </c>
      <c r="F739" t="s">
        <v>534</v>
      </c>
      <c r="G739" t="s">
        <v>61</v>
      </c>
      <c r="H739" t="s">
        <v>535</v>
      </c>
      <c r="I739">
        <v>45</v>
      </c>
      <c r="J739">
        <v>40.5</v>
      </c>
      <c r="K739" t="s">
        <v>257</v>
      </c>
      <c r="L739" t="s">
        <v>257</v>
      </c>
      <c r="M739" t="s">
        <v>258</v>
      </c>
      <c r="N739" s="5">
        <v>0</v>
      </c>
    </row>
    <row r="740" spans="1:14" x14ac:dyDescent="0.25">
      <c r="A740" t="s">
        <v>1281</v>
      </c>
      <c r="B740" t="s">
        <v>116</v>
      </c>
      <c r="C740" t="str">
        <f>_xlfn.XLOOKUP(Table6[[#This Row],[app_id]],Table5[app_id],Table5[app_name],"",0)</f>
        <v>SkillNow</v>
      </c>
      <c r="D740" t="str">
        <f>_xlfn.XLOOKUP(Table6[[#This Row],[app_id]],Table5[app_id],Table5[category],"",0)</f>
        <v>Education</v>
      </c>
      <c r="E740" t="s">
        <v>557</v>
      </c>
      <c r="F740" t="s">
        <v>538</v>
      </c>
      <c r="G740" t="s">
        <v>18</v>
      </c>
      <c r="H740" t="s">
        <v>535</v>
      </c>
      <c r="I740">
        <v>19</v>
      </c>
      <c r="J740">
        <v>14.5</v>
      </c>
      <c r="K740" t="s">
        <v>258</v>
      </c>
      <c r="L740" t="s">
        <v>257</v>
      </c>
      <c r="M740" t="s">
        <v>257</v>
      </c>
      <c r="N740" s="5">
        <v>0</v>
      </c>
    </row>
    <row r="741" spans="1:14" x14ac:dyDescent="0.25">
      <c r="A741" t="s">
        <v>1282</v>
      </c>
      <c r="B741" t="s">
        <v>118</v>
      </c>
      <c r="C741" t="str">
        <f>_xlfn.XLOOKUP(Table6[[#This Row],[app_id]],Table5[app_id],Table5[app_name],"",0)</f>
        <v>LearnMate</v>
      </c>
      <c r="D741" t="str">
        <f>_xlfn.XLOOKUP(Table6[[#This Row],[app_id]],Table5[app_id],Table5[category],"",0)</f>
        <v>Education</v>
      </c>
      <c r="E741" t="s">
        <v>537</v>
      </c>
      <c r="F741" t="s">
        <v>538</v>
      </c>
      <c r="G741" t="s">
        <v>26</v>
      </c>
      <c r="H741" t="s">
        <v>535</v>
      </c>
      <c r="I741">
        <v>16</v>
      </c>
      <c r="J741">
        <v>22.3</v>
      </c>
      <c r="K741" t="s">
        <v>258</v>
      </c>
      <c r="L741" t="s">
        <v>258</v>
      </c>
      <c r="M741" t="s">
        <v>258</v>
      </c>
      <c r="N741" s="5">
        <v>0</v>
      </c>
    </row>
    <row r="742" spans="1:14" x14ac:dyDescent="0.25">
      <c r="A742" t="s">
        <v>1283</v>
      </c>
      <c r="B742" t="s">
        <v>120</v>
      </c>
      <c r="C742" t="str">
        <f>_xlfn.XLOOKUP(Table6[[#This Row],[app_id]],Table5[app_id],Table5[app_name],"",0)</f>
        <v>QuestNow</v>
      </c>
      <c r="D742" t="str">
        <f>_xlfn.XLOOKUP(Table6[[#This Row],[app_id]],Table5[app_id],Table5[category],"",0)</f>
        <v>Education</v>
      </c>
      <c r="E742" t="s">
        <v>546</v>
      </c>
      <c r="F742" t="s">
        <v>534</v>
      </c>
      <c r="G742" t="s">
        <v>18</v>
      </c>
      <c r="H742" t="s">
        <v>535</v>
      </c>
      <c r="I742">
        <v>95</v>
      </c>
      <c r="J742">
        <v>27.7</v>
      </c>
      <c r="K742" t="s">
        <v>257</v>
      </c>
      <c r="L742" t="s">
        <v>257</v>
      </c>
      <c r="M742" t="s">
        <v>258</v>
      </c>
      <c r="N742" s="5">
        <v>2.76</v>
      </c>
    </row>
    <row r="743" spans="1:14" x14ac:dyDescent="0.25">
      <c r="A743" t="s">
        <v>1284</v>
      </c>
      <c r="B743" t="s">
        <v>122</v>
      </c>
      <c r="C743" t="str">
        <f>_xlfn.XLOOKUP(Table6[[#This Row],[app_id]],Table5[app_id],Table5[app_name],"",0)</f>
        <v>SkillHub</v>
      </c>
      <c r="D743" t="str">
        <f>_xlfn.XLOOKUP(Table6[[#This Row],[app_id]],Table5[app_id],Table5[category],"",0)</f>
        <v>Education</v>
      </c>
      <c r="E743" t="s">
        <v>546</v>
      </c>
      <c r="F743" t="s">
        <v>538</v>
      </c>
      <c r="G743" t="s">
        <v>61</v>
      </c>
      <c r="H743" t="s">
        <v>535</v>
      </c>
      <c r="I743">
        <v>21</v>
      </c>
      <c r="J743">
        <v>32.9</v>
      </c>
      <c r="K743" t="s">
        <v>258</v>
      </c>
      <c r="L743" t="s">
        <v>257</v>
      </c>
      <c r="M743" t="s">
        <v>258</v>
      </c>
      <c r="N743" s="5">
        <v>0</v>
      </c>
    </row>
    <row r="744" spans="1:14" x14ac:dyDescent="0.25">
      <c r="A744" t="s">
        <v>1285</v>
      </c>
      <c r="B744" t="s">
        <v>124</v>
      </c>
      <c r="C744" t="str">
        <f>_xlfn.XLOOKUP(Table6[[#This Row],[app_id]],Table5[app_id],Table5[app_name],"",0)</f>
        <v>TutorCloud</v>
      </c>
      <c r="D744" t="str">
        <f>_xlfn.XLOOKUP(Table6[[#This Row],[app_id]],Table5[app_id],Table5[category],"",0)</f>
        <v>Education</v>
      </c>
      <c r="E744" t="s">
        <v>537</v>
      </c>
      <c r="F744" t="s">
        <v>538</v>
      </c>
      <c r="G744" t="s">
        <v>18</v>
      </c>
      <c r="H744" t="s">
        <v>535</v>
      </c>
      <c r="I744">
        <v>26</v>
      </c>
      <c r="J744">
        <v>23</v>
      </c>
      <c r="K744" t="s">
        <v>258</v>
      </c>
      <c r="L744" t="s">
        <v>258</v>
      </c>
      <c r="M744" t="s">
        <v>257</v>
      </c>
      <c r="N744" s="5">
        <v>0</v>
      </c>
    </row>
    <row r="745" spans="1:14" x14ac:dyDescent="0.25">
      <c r="A745" t="s">
        <v>1286</v>
      </c>
      <c r="B745" t="s">
        <v>126</v>
      </c>
      <c r="C745" t="str">
        <f>_xlfn.XLOOKUP(Table6[[#This Row],[app_id]],Table5[app_id],Table5[app_name],"",0)</f>
        <v>SkillOne</v>
      </c>
      <c r="D745" t="str">
        <f>_xlfn.XLOOKUP(Table6[[#This Row],[app_id]],Table5[app_id],Table5[category],"",0)</f>
        <v>Education</v>
      </c>
      <c r="E745" t="s">
        <v>557</v>
      </c>
      <c r="F745" t="s">
        <v>534</v>
      </c>
      <c r="G745" t="s">
        <v>30</v>
      </c>
      <c r="H745" t="s">
        <v>535</v>
      </c>
      <c r="I745">
        <v>13</v>
      </c>
      <c r="J745">
        <v>16.399999999999999</v>
      </c>
      <c r="K745" t="s">
        <v>258</v>
      </c>
      <c r="L745" t="s">
        <v>257</v>
      </c>
      <c r="M745" t="s">
        <v>258</v>
      </c>
      <c r="N745" s="5">
        <v>0</v>
      </c>
    </row>
    <row r="746" spans="1:14" x14ac:dyDescent="0.25">
      <c r="A746" t="s">
        <v>1287</v>
      </c>
      <c r="B746" t="s">
        <v>128</v>
      </c>
      <c r="C746" t="str">
        <f>_xlfn.XLOOKUP(Table6[[#This Row],[app_id]],Table5[app_id],Table5[app_name],"",0)</f>
        <v>LearnOne</v>
      </c>
      <c r="D746" t="str">
        <f>_xlfn.XLOOKUP(Table6[[#This Row],[app_id]],Table5[app_id],Table5[category],"",0)</f>
        <v>Education</v>
      </c>
      <c r="E746" t="s">
        <v>533</v>
      </c>
      <c r="F746" t="s">
        <v>538</v>
      </c>
      <c r="G746" t="s">
        <v>35</v>
      </c>
      <c r="H746" t="s">
        <v>540</v>
      </c>
      <c r="I746">
        <v>45</v>
      </c>
      <c r="J746">
        <v>24.8</v>
      </c>
      <c r="K746" t="s">
        <v>257</v>
      </c>
      <c r="L746" t="s">
        <v>257</v>
      </c>
      <c r="M746" t="s">
        <v>258</v>
      </c>
      <c r="N746" s="5">
        <v>0</v>
      </c>
    </row>
    <row r="747" spans="1:14" x14ac:dyDescent="0.25">
      <c r="A747" t="s">
        <v>1288</v>
      </c>
      <c r="B747" t="s">
        <v>130</v>
      </c>
      <c r="C747" t="str">
        <f>_xlfn.XLOOKUP(Table6[[#This Row],[app_id]],Table5[app_id],Table5[app_name],"",0)</f>
        <v>LearnPlus</v>
      </c>
      <c r="D747" t="str">
        <f>_xlfn.XLOOKUP(Table6[[#This Row],[app_id]],Table5[app_id],Table5[category],"",0)</f>
        <v>Education</v>
      </c>
      <c r="E747" t="s">
        <v>537</v>
      </c>
      <c r="F747" t="s">
        <v>538</v>
      </c>
      <c r="G747" t="s">
        <v>46</v>
      </c>
      <c r="H747" t="s">
        <v>535</v>
      </c>
      <c r="I747">
        <v>36</v>
      </c>
      <c r="J747">
        <v>34.6</v>
      </c>
      <c r="K747" t="s">
        <v>257</v>
      </c>
      <c r="L747" t="s">
        <v>258</v>
      </c>
      <c r="M747" t="s">
        <v>257</v>
      </c>
      <c r="N747" s="5">
        <v>0</v>
      </c>
    </row>
    <row r="748" spans="1:14" x14ac:dyDescent="0.25">
      <c r="A748" t="s">
        <v>1289</v>
      </c>
      <c r="B748" t="s">
        <v>132</v>
      </c>
      <c r="C748" t="str">
        <f>_xlfn.XLOOKUP(Table6[[#This Row],[app_id]],Table5[app_id],Table5[app_name],"",0)</f>
        <v>StudyPlus</v>
      </c>
      <c r="D748" t="str">
        <f>_xlfn.XLOOKUP(Table6[[#This Row],[app_id]],Table5[app_id],Table5[category],"",0)</f>
        <v>Education</v>
      </c>
      <c r="E748" t="s">
        <v>546</v>
      </c>
      <c r="F748" t="s">
        <v>534</v>
      </c>
      <c r="G748" t="s">
        <v>35</v>
      </c>
      <c r="H748" t="s">
        <v>535</v>
      </c>
      <c r="I748">
        <v>21</v>
      </c>
      <c r="J748">
        <v>41</v>
      </c>
      <c r="K748" t="s">
        <v>258</v>
      </c>
      <c r="L748" t="s">
        <v>258</v>
      </c>
      <c r="M748" t="s">
        <v>258</v>
      </c>
      <c r="N748" s="5">
        <v>0</v>
      </c>
    </row>
    <row r="749" spans="1:14" x14ac:dyDescent="0.25">
      <c r="A749" t="s">
        <v>1290</v>
      </c>
      <c r="B749" t="s">
        <v>134</v>
      </c>
      <c r="C749" t="str">
        <f>_xlfn.XLOOKUP(Table6[[#This Row],[app_id]],Table5[app_id],Table5[app_name],"",0)</f>
        <v>StudyX</v>
      </c>
      <c r="D749" t="str">
        <f>_xlfn.XLOOKUP(Table6[[#This Row],[app_id]],Table5[app_id],Table5[category],"",0)</f>
        <v>Education</v>
      </c>
      <c r="E749" t="s">
        <v>537</v>
      </c>
      <c r="F749" t="s">
        <v>534</v>
      </c>
      <c r="G749" t="s">
        <v>46</v>
      </c>
      <c r="H749" t="s">
        <v>540</v>
      </c>
      <c r="I749">
        <v>14</v>
      </c>
      <c r="J749">
        <v>12.2</v>
      </c>
      <c r="K749" t="s">
        <v>258</v>
      </c>
      <c r="L749" t="s">
        <v>257</v>
      </c>
      <c r="M749" t="s">
        <v>258</v>
      </c>
      <c r="N749" s="5">
        <v>0</v>
      </c>
    </row>
    <row r="750" spans="1:14" x14ac:dyDescent="0.25">
      <c r="A750" t="s">
        <v>1291</v>
      </c>
      <c r="B750" t="s">
        <v>136</v>
      </c>
      <c r="C750" t="str">
        <f>_xlfn.XLOOKUP(Table6[[#This Row],[app_id]],Table5[app_id],Table5[app_name],"",0)</f>
        <v>PlayPlus</v>
      </c>
      <c r="D750" t="str">
        <f>_xlfn.XLOOKUP(Table6[[#This Row],[app_id]],Table5[app_id],Table5[category],"",0)</f>
        <v>Entertainment</v>
      </c>
      <c r="E750" t="s">
        <v>533</v>
      </c>
      <c r="F750" t="s">
        <v>534</v>
      </c>
      <c r="G750" t="s">
        <v>35</v>
      </c>
      <c r="H750" t="s">
        <v>535</v>
      </c>
      <c r="I750">
        <v>16</v>
      </c>
      <c r="J750">
        <v>14.1</v>
      </c>
      <c r="K750" t="s">
        <v>258</v>
      </c>
      <c r="L750" t="s">
        <v>258</v>
      </c>
      <c r="M750" t="s">
        <v>257</v>
      </c>
      <c r="N750" s="5">
        <v>0</v>
      </c>
    </row>
    <row r="751" spans="1:14" x14ac:dyDescent="0.25">
      <c r="A751" t="s">
        <v>1292</v>
      </c>
      <c r="B751" t="s">
        <v>139</v>
      </c>
      <c r="C751" t="str">
        <f>_xlfn.XLOOKUP(Table6[[#This Row],[app_id]],Table5[app_id],Table5[app_name],"",0)</f>
        <v>ShowMate</v>
      </c>
      <c r="D751" t="str">
        <f>_xlfn.XLOOKUP(Table6[[#This Row],[app_id]],Table5[app_id],Table5[category],"",0)</f>
        <v>Entertainment</v>
      </c>
      <c r="E751" t="s">
        <v>546</v>
      </c>
      <c r="F751" t="s">
        <v>538</v>
      </c>
      <c r="G751" t="s">
        <v>35</v>
      </c>
      <c r="H751" t="s">
        <v>535</v>
      </c>
      <c r="I751">
        <v>82</v>
      </c>
      <c r="J751">
        <v>27.8</v>
      </c>
      <c r="K751" t="s">
        <v>257</v>
      </c>
      <c r="L751" t="s">
        <v>257</v>
      </c>
      <c r="M751" t="s">
        <v>257</v>
      </c>
      <c r="N751" s="5">
        <v>0</v>
      </c>
    </row>
    <row r="752" spans="1:14" x14ac:dyDescent="0.25">
      <c r="A752" t="s">
        <v>1293</v>
      </c>
      <c r="B752" t="s">
        <v>141</v>
      </c>
      <c r="C752" t="str">
        <f>_xlfn.XLOOKUP(Table6[[#This Row],[app_id]],Table5[app_id],Table5[app_name],"",0)</f>
        <v>VibeX</v>
      </c>
      <c r="D752" t="str">
        <f>_xlfn.XLOOKUP(Table6[[#This Row],[app_id]],Table5[app_id],Table5[category],"",0)</f>
        <v>Entertainment</v>
      </c>
      <c r="E752" t="s">
        <v>537</v>
      </c>
      <c r="F752" t="s">
        <v>534</v>
      </c>
      <c r="G752" t="s">
        <v>35</v>
      </c>
      <c r="H752" t="s">
        <v>540</v>
      </c>
      <c r="I752">
        <v>7</v>
      </c>
      <c r="J752">
        <v>25.9</v>
      </c>
      <c r="K752" t="s">
        <v>258</v>
      </c>
      <c r="L752" t="s">
        <v>258</v>
      </c>
      <c r="M752" t="s">
        <v>257</v>
      </c>
      <c r="N752" s="5">
        <v>0</v>
      </c>
    </row>
    <row r="753" spans="1:14" x14ac:dyDescent="0.25">
      <c r="A753" t="s">
        <v>1294</v>
      </c>
      <c r="B753" t="s">
        <v>143</v>
      </c>
      <c r="C753" t="str">
        <f>_xlfn.XLOOKUP(Table6[[#This Row],[app_id]],Table5[app_id],Table5[app_name],"",0)</f>
        <v>BuzzNow</v>
      </c>
      <c r="D753" t="str">
        <f>_xlfn.XLOOKUP(Table6[[#This Row],[app_id]],Table5[app_id],Table5[category],"",0)</f>
        <v>Entertainment</v>
      </c>
      <c r="E753" t="s">
        <v>546</v>
      </c>
      <c r="F753" t="s">
        <v>538</v>
      </c>
      <c r="G753" t="s">
        <v>61</v>
      </c>
      <c r="H753" t="s">
        <v>535</v>
      </c>
      <c r="I753">
        <v>64</v>
      </c>
      <c r="J753">
        <v>14</v>
      </c>
      <c r="K753" t="s">
        <v>257</v>
      </c>
      <c r="L753" t="s">
        <v>258</v>
      </c>
      <c r="M753" t="s">
        <v>257</v>
      </c>
      <c r="N753" s="5">
        <v>0</v>
      </c>
    </row>
    <row r="754" spans="1:14" x14ac:dyDescent="0.25">
      <c r="A754" t="s">
        <v>1295</v>
      </c>
      <c r="B754" t="s">
        <v>145</v>
      </c>
      <c r="C754" t="str">
        <f>_xlfn.XLOOKUP(Table6[[#This Row],[app_id]],Table5[app_id],Table5[app_name],"",0)</f>
        <v>StreamPlus</v>
      </c>
      <c r="D754" t="str">
        <f>_xlfn.XLOOKUP(Table6[[#This Row],[app_id]],Table5[app_id],Table5[category],"",0)</f>
        <v>Entertainment</v>
      </c>
      <c r="E754" t="s">
        <v>533</v>
      </c>
      <c r="F754" t="s">
        <v>534</v>
      </c>
      <c r="G754" t="s">
        <v>35</v>
      </c>
      <c r="H754" t="s">
        <v>535</v>
      </c>
      <c r="I754">
        <v>23</v>
      </c>
      <c r="J754">
        <v>21.9</v>
      </c>
      <c r="K754" t="s">
        <v>258</v>
      </c>
      <c r="L754" t="s">
        <v>258</v>
      </c>
      <c r="M754" t="s">
        <v>258</v>
      </c>
      <c r="N754" s="5">
        <v>45.03</v>
      </c>
    </row>
    <row r="755" spans="1:14" x14ac:dyDescent="0.25">
      <c r="A755" t="s">
        <v>1296</v>
      </c>
      <c r="B755" t="s">
        <v>147</v>
      </c>
      <c r="C755" t="str">
        <f>_xlfn.XLOOKUP(Table6[[#This Row],[app_id]],Table5[app_id],Table5[app_name],"",0)</f>
        <v>Showly</v>
      </c>
      <c r="D755" t="str">
        <f>_xlfn.XLOOKUP(Table6[[#This Row],[app_id]],Table5[app_id],Table5[category],"",0)</f>
        <v>Entertainment</v>
      </c>
      <c r="E755" t="s">
        <v>552</v>
      </c>
      <c r="F755" t="s">
        <v>538</v>
      </c>
      <c r="G755" t="s">
        <v>26</v>
      </c>
      <c r="H755" t="s">
        <v>535</v>
      </c>
      <c r="I755">
        <v>80</v>
      </c>
      <c r="J755">
        <v>34.5</v>
      </c>
      <c r="K755" t="s">
        <v>257</v>
      </c>
      <c r="L755" t="s">
        <v>257</v>
      </c>
      <c r="M755" t="s">
        <v>258</v>
      </c>
      <c r="N755" s="5">
        <v>0</v>
      </c>
    </row>
    <row r="756" spans="1:14" x14ac:dyDescent="0.25">
      <c r="A756" t="s">
        <v>1297</v>
      </c>
      <c r="B756" t="s">
        <v>149</v>
      </c>
      <c r="C756" t="str">
        <f>_xlfn.XLOOKUP(Table6[[#This Row],[app_id]],Table5[app_id],Table5[app_name],"",0)</f>
        <v>BuzzOne</v>
      </c>
      <c r="D756" t="str">
        <f>_xlfn.XLOOKUP(Table6[[#This Row],[app_id]],Table5[app_id],Table5[category],"",0)</f>
        <v>Entertainment</v>
      </c>
      <c r="E756" t="s">
        <v>533</v>
      </c>
      <c r="F756" t="s">
        <v>534</v>
      </c>
      <c r="G756" t="s">
        <v>69</v>
      </c>
      <c r="H756" t="s">
        <v>535</v>
      </c>
      <c r="I756">
        <v>19</v>
      </c>
      <c r="J756">
        <v>34.299999999999997</v>
      </c>
      <c r="K756" t="s">
        <v>257</v>
      </c>
      <c r="L756" t="s">
        <v>258</v>
      </c>
      <c r="M756" t="s">
        <v>258</v>
      </c>
      <c r="N756" s="5">
        <v>0</v>
      </c>
    </row>
    <row r="757" spans="1:14" x14ac:dyDescent="0.25">
      <c r="A757" t="s">
        <v>1298</v>
      </c>
      <c r="B757" t="s">
        <v>151</v>
      </c>
      <c r="C757" t="str">
        <f>_xlfn.XLOOKUP(Table6[[#This Row],[app_id]],Table5[app_id],Table5[app_name],"",0)</f>
        <v>PlayHub</v>
      </c>
      <c r="D757" t="str">
        <f>_xlfn.XLOOKUP(Table6[[#This Row],[app_id]],Table5[app_id],Table5[category],"",0)</f>
        <v>Entertainment</v>
      </c>
      <c r="E757" t="s">
        <v>546</v>
      </c>
      <c r="F757" t="s">
        <v>534</v>
      </c>
      <c r="G757" t="s">
        <v>46</v>
      </c>
      <c r="H757" t="s">
        <v>535</v>
      </c>
      <c r="I757">
        <v>17</v>
      </c>
      <c r="J757">
        <v>36.700000000000003</v>
      </c>
      <c r="K757" t="s">
        <v>258</v>
      </c>
      <c r="L757" t="s">
        <v>257</v>
      </c>
      <c r="M757" t="s">
        <v>258</v>
      </c>
      <c r="N757" s="5">
        <v>4.71</v>
      </c>
    </row>
    <row r="758" spans="1:14" x14ac:dyDescent="0.25">
      <c r="A758" t="s">
        <v>1299</v>
      </c>
      <c r="B758" t="s">
        <v>153</v>
      </c>
      <c r="C758" t="str">
        <f>_xlfn.XLOOKUP(Table6[[#This Row],[app_id]],Table5[app_id],Table5[app_name],"",0)</f>
        <v>CinemaGo</v>
      </c>
      <c r="D758" t="str">
        <f>_xlfn.XLOOKUP(Table6[[#This Row],[app_id]],Table5[app_id],Table5[category],"",0)</f>
        <v>Entertainment</v>
      </c>
      <c r="E758" t="s">
        <v>557</v>
      </c>
      <c r="F758" t="s">
        <v>534</v>
      </c>
      <c r="G758" t="s">
        <v>18</v>
      </c>
      <c r="H758" t="s">
        <v>535</v>
      </c>
      <c r="I758">
        <v>59</v>
      </c>
      <c r="J758">
        <v>9.6999999999999993</v>
      </c>
      <c r="K758" t="s">
        <v>257</v>
      </c>
      <c r="L758" t="s">
        <v>257</v>
      </c>
      <c r="M758" t="s">
        <v>258</v>
      </c>
      <c r="N758" s="5">
        <v>78.03</v>
      </c>
    </row>
    <row r="759" spans="1:14" x14ac:dyDescent="0.25">
      <c r="A759" t="s">
        <v>1300</v>
      </c>
      <c r="B759" t="s">
        <v>155</v>
      </c>
      <c r="C759" t="str">
        <f>_xlfn.XLOOKUP(Table6[[#This Row],[app_id]],Table5[app_id],Table5[app_name],"",0)</f>
        <v>LaughX</v>
      </c>
      <c r="D759" t="str">
        <f>_xlfn.XLOOKUP(Table6[[#This Row],[app_id]],Table5[app_id],Table5[category],"",0)</f>
        <v>Entertainment</v>
      </c>
      <c r="E759" t="s">
        <v>537</v>
      </c>
      <c r="F759" t="s">
        <v>534</v>
      </c>
      <c r="G759" t="s">
        <v>26</v>
      </c>
      <c r="H759" t="s">
        <v>540</v>
      </c>
      <c r="I759">
        <v>20</v>
      </c>
      <c r="J759">
        <v>23</v>
      </c>
      <c r="K759" t="s">
        <v>258</v>
      </c>
      <c r="L759" t="s">
        <v>258</v>
      </c>
      <c r="M759" t="s">
        <v>257</v>
      </c>
      <c r="N759" s="5">
        <v>0</v>
      </c>
    </row>
    <row r="760" spans="1:14" x14ac:dyDescent="0.25">
      <c r="A760" t="s">
        <v>1301</v>
      </c>
      <c r="B760" t="s">
        <v>157</v>
      </c>
      <c r="C760" t="str">
        <f>_xlfn.XLOOKUP(Table6[[#This Row],[app_id]],Table5[app_id],Table5[app_name],"",0)</f>
        <v>CinemaHub</v>
      </c>
      <c r="D760" t="str">
        <f>_xlfn.XLOOKUP(Table6[[#This Row],[app_id]],Table5[app_id],Table5[category],"",0)</f>
        <v>Entertainment</v>
      </c>
      <c r="E760" t="s">
        <v>533</v>
      </c>
      <c r="F760" t="s">
        <v>534</v>
      </c>
      <c r="G760" t="s">
        <v>46</v>
      </c>
      <c r="H760" t="s">
        <v>535</v>
      </c>
      <c r="I760">
        <v>18</v>
      </c>
      <c r="J760">
        <v>26.8</v>
      </c>
      <c r="K760" t="s">
        <v>258</v>
      </c>
      <c r="L760" t="s">
        <v>258</v>
      </c>
      <c r="M760" t="s">
        <v>257</v>
      </c>
      <c r="N760" s="5">
        <v>0</v>
      </c>
    </row>
    <row r="761" spans="1:14" x14ac:dyDescent="0.25">
      <c r="A761" t="s">
        <v>1302</v>
      </c>
      <c r="B761" t="s">
        <v>159</v>
      </c>
      <c r="C761" t="str">
        <f>_xlfn.XLOOKUP(Table6[[#This Row],[app_id]],Table5[app_id],Table5[app_name],"",0)</f>
        <v>ShowPro</v>
      </c>
      <c r="D761" t="str">
        <f>_xlfn.XLOOKUP(Table6[[#This Row],[app_id]],Table5[app_id],Table5[category],"",0)</f>
        <v>Entertainment</v>
      </c>
      <c r="E761" t="s">
        <v>546</v>
      </c>
      <c r="F761" t="s">
        <v>538</v>
      </c>
      <c r="G761" t="s">
        <v>18</v>
      </c>
      <c r="H761" t="s">
        <v>535</v>
      </c>
      <c r="I761">
        <v>16</v>
      </c>
      <c r="J761">
        <v>11.4</v>
      </c>
      <c r="K761" t="s">
        <v>258</v>
      </c>
      <c r="L761" t="s">
        <v>258</v>
      </c>
      <c r="M761" t="s">
        <v>258</v>
      </c>
      <c r="N761" s="5">
        <v>0</v>
      </c>
    </row>
    <row r="762" spans="1:14" x14ac:dyDescent="0.25">
      <c r="A762" t="s">
        <v>1303</v>
      </c>
      <c r="B762" t="s">
        <v>161</v>
      </c>
      <c r="C762" t="str">
        <f>_xlfn.XLOOKUP(Table6[[#This Row],[app_id]],Table5[app_id],Table5[app_name],"",0)</f>
        <v>FoodPlus</v>
      </c>
      <c r="D762" t="str">
        <f>_xlfn.XLOOKUP(Table6[[#This Row],[app_id]],Table5[app_id],Table5[category],"",0)</f>
        <v>Food Delivery</v>
      </c>
      <c r="E762" t="s">
        <v>546</v>
      </c>
      <c r="F762" t="s">
        <v>538</v>
      </c>
      <c r="G762" t="s">
        <v>30</v>
      </c>
      <c r="H762" t="s">
        <v>535</v>
      </c>
      <c r="I762">
        <v>34</v>
      </c>
      <c r="J762">
        <v>19.399999999999999</v>
      </c>
      <c r="K762" t="s">
        <v>257</v>
      </c>
      <c r="L762" t="s">
        <v>257</v>
      </c>
      <c r="M762" t="s">
        <v>258</v>
      </c>
      <c r="N762" s="5">
        <v>0</v>
      </c>
    </row>
    <row r="763" spans="1:14" x14ac:dyDescent="0.25">
      <c r="A763" t="s">
        <v>1304</v>
      </c>
      <c r="B763" t="s">
        <v>164</v>
      </c>
      <c r="C763" t="str">
        <f>_xlfn.XLOOKUP(Table6[[#This Row],[app_id]],Table5[app_id],Table5[app_name],"",0)</f>
        <v>BiteGo</v>
      </c>
      <c r="D763" t="str">
        <f>_xlfn.XLOOKUP(Table6[[#This Row],[app_id]],Table5[app_id],Table5[category],"",0)</f>
        <v>Food Delivery</v>
      </c>
      <c r="E763" t="s">
        <v>537</v>
      </c>
      <c r="F763" t="s">
        <v>534</v>
      </c>
      <c r="G763" t="s">
        <v>26</v>
      </c>
      <c r="H763" t="s">
        <v>535</v>
      </c>
      <c r="I763">
        <v>89</v>
      </c>
      <c r="J763">
        <v>5.4</v>
      </c>
      <c r="K763" t="s">
        <v>257</v>
      </c>
      <c r="L763" t="s">
        <v>257</v>
      </c>
      <c r="M763" t="s">
        <v>258</v>
      </c>
      <c r="N763" s="5">
        <v>0</v>
      </c>
    </row>
    <row r="764" spans="1:14" x14ac:dyDescent="0.25">
      <c r="A764" t="s">
        <v>1305</v>
      </c>
      <c r="B764" t="s">
        <v>166</v>
      </c>
      <c r="C764" t="str">
        <f>_xlfn.XLOOKUP(Table6[[#This Row],[app_id]],Table5[app_id],Table5[app_name],"",0)</f>
        <v>OrderCloud</v>
      </c>
      <c r="D764" t="str">
        <f>_xlfn.XLOOKUP(Table6[[#This Row],[app_id]],Table5[app_id],Table5[category],"",0)</f>
        <v>Food Delivery</v>
      </c>
      <c r="E764" t="s">
        <v>552</v>
      </c>
      <c r="F764" t="s">
        <v>534</v>
      </c>
      <c r="G764" t="s">
        <v>61</v>
      </c>
      <c r="H764" t="s">
        <v>535</v>
      </c>
      <c r="I764">
        <v>28</v>
      </c>
      <c r="J764">
        <v>9.8000000000000007</v>
      </c>
      <c r="K764" t="s">
        <v>257</v>
      </c>
      <c r="L764" t="s">
        <v>258</v>
      </c>
      <c r="M764" t="s">
        <v>258</v>
      </c>
      <c r="N764" s="5">
        <v>0</v>
      </c>
    </row>
    <row r="765" spans="1:14" x14ac:dyDescent="0.25">
      <c r="A765" t="s">
        <v>1306</v>
      </c>
      <c r="B765" t="s">
        <v>168</v>
      </c>
      <c r="C765" t="str">
        <f>_xlfn.XLOOKUP(Table6[[#This Row],[app_id]],Table5[app_id],Table5[app_name],"",0)</f>
        <v>DinePlus</v>
      </c>
      <c r="D765" t="str">
        <f>_xlfn.XLOOKUP(Table6[[#This Row],[app_id]],Table5[app_id],Table5[category],"",0)</f>
        <v>Food Delivery</v>
      </c>
      <c r="E765" t="s">
        <v>537</v>
      </c>
      <c r="F765" t="s">
        <v>534</v>
      </c>
      <c r="G765" t="s">
        <v>35</v>
      </c>
      <c r="H765" t="s">
        <v>540</v>
      </c>
      <c r="I765">
        <v>25</v>
      </c>
      <c r="J765">
        <v>4.7</v>
      </c>
      <c r="K765" t="s">
        <v>258</v>
      </c>
      <c r="L765" t="s">
        <v>257</v>
      </c>
      <c r="M765" t="s">
        <v>258</v>
      </c>
      <c r="N765" s="5">
        <v>0</v>
      </c>
    </row>
    <row r="766" spans="1:14" x14ac:dyDescent="0.25">
      <c r="A766" t="s">
        <v>1307</v>
      </c>
      <c r="B766" t="s">
        <v>170</v>
      </c>
      <c r="C766" t="str">
        <f>_xlfn.XLOOKUP(Table6[[#This Row],[app_id]],Table5[app_id],Table5[app_name],"",0)</f>
        <v>SnackX</v>
      </c>
      <c r="D766" t="str">
        <f>_xlfn.XLOOKUP(Table6[[#This Row],[app_id]],Table5[app_id],Table5[category],"",0)</f>
        <v>Food Delivery</v>
      </c>
      <c r="E766" t="s">
        <v>533</v>
      </c>
      <c r="F766" t="s">
        <v>534</v>
      </c>
      <c r="G766" t="s">
        <v>46</v>
      </c>
      <c r="H766" t="s">
        <v>535</v>
      </c>
      <c r="I766">
        <v>27</v>
      </c>
      <c r="J766">
        <v>12.1</v>
      </c>
      <c r="K766" t="s">
        <v>258</v>
      </c>
      <c r="L766" t="s">
        <v>257</v>
      </c>
      <c r="M766" t="s">
        <v>258</v>
      </c>
      <c r="N766" s="5">
        <v>0</v>
      </c>
    </row>
    <row r="767" spans="1:14" x14ac:dyDescent="0.25">
      <c r="A767" t="s">
        <v>1308</v>
      </c>
      <c r="B767" t="s">
        <v>172</v>
      </c>
      <c r="C767" t="str">
        <f>_xlfn.XLOOKUP(Table6[[#This Row],[app_id]],Table5[app_id],Table5[app_name],"",0)</f>
        <v>FoodOne</v>
      </c>
      <c r="D767" t="str">
        <f>_xlfn.XLOOKUP(Table6[[#This Row],[app_id]],Table5[app_id],Table5[category],"",0)</f>
        <v>Food Delivery</v>
      </c>
      <c r="E767" t="s">
        <v>533</v>
      </c>
      <c r="F767" t="s">
        <v>534</v>
      </c>
      <c r="G767" t="s">
        <v>46</v>
      </c>
      <c r="H767" t="s">
        <v>535</v>
      </c>
      <c r="I767">
        <v>4</v>
      </c>
      <c r="J767">
        <v>3.8</v>
      </c>
      <c r="K767" t="s">
        <v>258</v>
      </c>
      <c r="L767" t="s">
        <v>258</v>
      </c>
      <c r="M767" t="s">
        <v>258</v>
      </c>
      <c r="N767" s="5">
        <v>0</v>
      </c>
    </row>
    <row r="768" spans="1:14" x14ac:dyDescent="0.25">
      <c r="A768" t="s">
        <v>1309</v>
      </c>
      <c r="B768" t="s">
        <v>174</v>
      </c>
      <c r="C768" t="str">
        <f>_xlfn.XLOOKUP(Table6[[#This Row],[app_id]],Table5[app_id],Table5[app_name],"",0)</f>
        <v>MealMate</v>
      </c>
      <c r="D768" t="str">
        <f>_xlfn.XLOOKUP(Table6[[#This Row],[app_id]],Table5[app_id],Table5[category],"",0)</f>
        <v>Food Delivery</v>
      </c>
      <c r="E768" t="s">
        <v>537</v>
      </c>
      <c r="F768" t="s">
        <v>534</v>
      </c>
      <c r="G768" t="s">
        <v>35</v>
      </c>
      <c r="H768" t="s">
        <v>535</v>
      </c>
      <c r="I768">
        <v>56</v>
      </c>
      <c r="J768">
        <v>13.9</v>
      </c>
      <c r="K768" t="s">
        <v>257</v>
      </c>
      <c r="L768" t="s">
        <v>257</v>
      </c>
      <c r="M768" t="s">
        <v>258</v>
      </c>
      <c r="N768" s="5">
        <v>0</v>
      </c>
    </row>
    <row r="769" spans="1:14" x14ac:dyDescent="0.25">
      <c r="A769" t="s">
        <v>1310</v>
      </c>
      <c r="B769" t="s">
        <v>176</v>
      </c>
      <c r="C769" t="str">
        <f>_xlfn.XLOOKUP(Table6[[#This Row],[app_id]],Table5[app_id],Table5[app_name],"",0)</f>
        <v>SnackHub</v>
      </c>
      <c r="D769" t="str">
        <f>_xlfn.XLOOKUP(Table6[[#This Row],[app_id]],Table5[app_id],Table5[category],"",0)</f>
        <v>Food Delivery</v>
      </c>
      <c r="E769" t="s">
        <v>546</v>
      </c>
      <c r="F769" t="s">
        <v>538</v>
      </c>
      <c r="G769" t="s">
        <v>61</v>
      </c>
      <c r="H769" t="s">
        <v>540</v>
      </c>
      <c r="I769">
        <v>41</v>
      </c>
      <c r="J769">
        <v>15.6</v>
      </c>
      <c r="K769" t="s">
        <v>257</v>
      </c>
      <c r="L769" t="s">
        <v>257</v>
      </c>
      <c r="M769" t="s">
        <v>258</v>
      </c>
      <c r="N769" s="5">
        <v>0</v>
      </c>
    </row>
    <row r="770" spans="1:14" x14ac:dyDescent="0.25">
      <c r="A770" t="s">
        <v>1311</v>
      </c>
      <c r="B770" t="s">
        <v>178</v>
      </c>
      <c r="C770" t="str">
        <f>_xlfn.XLOOKUP(Table6[[#This Row],[app_id]],Table5[app_id],Table5[app_name],"",0)</f>
        <v>BiteCloud</v>
      </c>
      <c r="D770" t="str">
        <f>_xlfn.XLOOKUP(Table6[[#This Row],[app_id]],Table5[app_id],Table5[category],"",0)</f>
        <v>Food Delivery</v>
      </c>
      <c r="E770" t="s">
        <v>557</v>
      </c>
      <c r="F770" t="s">
        <v>538</v>
      </c>
      <c r="G770" t="s">
        <v>23</v>
      </c>
      <c r="H770" t="s">
        <v>535</v>
      </c>
      <c r="I770">
        <v>7</v>
      </c>
      <c r="J770">
        <v>23.8</v>
      </c>
      <c r="K770" t="s">
        <v>258</v>
      </c>
      <c r="L770" t="s">
        <v>258</v>
      </c>
      <c r="M770" t="s">
        <v>258</v>
      </c>
      <c r="N770" s="5">
        <v>0</v>
      </c>
    </row>
    <row r="771" spans="1:14" x14ac:dyDescent="0.25">
      <c r="A771" t="s">
        <v>1312</v>
      </c>
      <c r="B771" t="s">
        <v>180</v>
      </c>
      <c r="C771" t="str">
        <f>_xlfn.XLOOKUP(Table6[[#This Row],[app_id]],Table5[app_id],Table5[app_name],"",0)</f>
        <v>PlatePlus</v>
      </c>
      <c r="D771" t="str">
        <f>_xlfn.XLOOKUP(Table6[[#This Row],[app_id]],Table5[app_id],Table5[category],"",0)</f>
        <v>Food Delivery</v>
      </c>
      <c r="E771" t="s">
        <v>533</v>
      </c>
      <c r="F771" t="s">
        <v>538</v>
      </c>
      <c r="G771" t="s">
        <v>30</v>
      </c>
      <c r="H771" t="s">
        <v>535</v>
      </c>
      <c r="I771">
        <v>16</v>
      </c>
      <c r="J771">
        <v>22.4</v>
      </c>
      <c r="K771" t="s">
        <v>257</v>
      </c>
      <c r="L771" t="s">
        <v>257</v>
      </c>
      <c r="M771" t="s">
        <v>258</v>
      </c>
      <c r="N771" s="5">
        <v>0</v>
      </c>
    </row>
    <row r="772" spans="1:14" x14ac:dyDescent="0.25">
      <c r="A772" t="s">
        <v>1313</v>
      </c>
      <c r="B772" t="s">
        <v>182</v>
      </c>
      <c r="C772" t="str">
        <f>_xlfn.XLOOKUP(Table6[[#This Row],[app_id]],Table5[app_id],Table5[app_name],"",0)</f>
        <v>VoyageGo</v>
      </c>
      <c r="D772" t="str">
        <f>_xlfn.XLOOKUP(Table6[[#This Row],[app_id]],Table5[app_id],Table5[category],"",0)</f>
        <v>Travel</v>
      </c>
      <c r="E772" t="s">
        <v>546</v>
      </c>
      <c r="F772" t="s">
        <v>538</v>
      </c>
      <c r="G772" t="s">
        <v>18</v>
      </c>
      <c r="H772" t="s">
        <v>535</v>
      </c>
      <c r="I772">
        <v>13</v>
      </c>
      <c r="J772">
        <v>13.7</v>
      </c>
      <c r="K772" t="s">
        <v>258</v>
      </c>
      <c r="L772" t="s">
        <v>257</v>
      </c>
      <c r="M772" t="s">
        <v>258</v>
      </c>
      <c r="N772" s="5">
        <v>0</v>
      </c>
    </row>
    <row r="773" spans="1:14" x14ac:dyDescent="0.25">
      <c r="A773" t="s">
        <v>1314</v>
      </c>
      <c r="B773" t="s">
        <v>185</v>
      </c>
      <c r="C773" t="str">
        <f>_xlfn.XLOOKUP(Table6[[#This Row],[app_id]],Table5[app_id],Table5[app_name],"",0)</f>
        <v>TripOne</v>
      </c>
      <c r="D773" t="str">
        <f>_xlfn.XLOOKUP(Table6[[#This Row],[app_id]],Table5[app_id],Table5[category],"",0)</f>
        <v>Travel</v>
      </c>
      <c r="E773" t="s">
        <v>533</v>
      </c>
      <c r="F773" t="s">
        <v>538</v>
      </c>
      <c r="G773" t="s">
        <v>26</v>
      </c>
      <c r="H773" t="s">
        <v>535</v>
      </c>
      <c r="I773">
        <v>82</v>
      </c>
      <c r="J773">
        <v>10.199999999999999</v>
      </c>
      <c r="K773" t="s">
        <v>257</v>
      </c>
      <c r="L773" t="s">
        <v>257</v>
      </c>
      <c r="M773" t="s">
        <v>258</v>
      </c>
      <c r="N773" s="5">
        <v>0</v>
      </c>
    </row>
    <row r="774" spans="1:14" x14ac:dyDescent="0.25">
      <c r="A774" t="s">
        <v>1315</v>
      </c>
      <c r="B774" t="s">
        <v>187</v>
      </c>
      <c r="C774" t="str">
        <f>_xlfn.XLOOKUP(Table6[[#This Row],[app_id]],Table5[app_id],Table5[app_name],"",0)</f>
        <v>FlyGo</v>
      </c>
      <c r="D774" t="str">
        <f>_xlfn.XLOOKUP(Table6[[#This Row],[app_id]],Table5[app_id],Table5[category],"",0)</f>
        <v>Travel</v>
      </c>
      <c r="E774" t="s">
        <v>533</v>
      </c>
      <c r="F774" t="s">
        <v>538</v>
      </c>
      <c r="G774" t="s">
        <v>35</v>
      </c>
      <c r="H774" t="s">
        <v>535</v>
      </c>
      <c r="I774">
        <v>23</v>
      </c>
      <c r="J774">
        <v>7.5</v>
      </c>
      <c r="K774" t="s">
        <v>258</v>
      </c>
      <c r="L774" t="s">
        <v>257</v>
      </c>
      <c r="M774" t="s">
        <v>258</v>
      </c>
      <c r="N774" s="5">
        <v>0</v>
      </c>
    </row>
    <row r="775" spans="1:14" x14ac:dyDescent="0.25">
      <c r="A775" t="s">
        <v>1316</v>
      </c>
      <c r="B775" t="s">
        <v>189</v>
      </c>
      <c r="C775" t="str">
        <f>_xlfn.XLOOKUP(Table6[[#This Row],[app_id]],Table5[app_id],Table5[app_name],"",0)</f>
        <v>MapX</v>
      </c>
      <c r="D775" t="str">
        <f>_xlfn.XLOOKUP(Table6[[#This Row],[app_id]],Table5[app_id],Table5[category],"",0)</f>
        <v>Travel</v>
      </c>
      <c r="E775" t="s">
        <v>552</v>
      </c>
      <c r="F775" t="s">
        <v>548</v>
      </c>
      <c r="G775" t="s">
        <v>61</v>
      </c>
      <c r="H775" t="s">
        <v>535</v>
      </c>
      <c r="I775">
        <v>85</v>
      </c>
      <c r="J775">
        <v>18.899999999999999</v>
      </c>
      <c r="K775" t="s">
        <v>257</v>
      </c>
      <c r="L775" t="s">
        <v>257</v>
      </c>
      <c r="M775" t="s">
        <v>258</v>
      </c>
      <c r="N775" s="5">
        <v>0</v>
      </c>
    </row>
    <row r="776" spans="1:14" x14ac:dyDescent="0.25">
      <c r="A776" t="s">
        <v>1317</v>
      </c>
      <c r="B776" t="s">
        <v>191</v>
      </c>
      <c r="C776" t="str">
        <f>_xlfn.XLOOKUP(Table6[[#This Row],[app_id]],Table5[app_id],Table5[app_name],"",0)</f>
        <v>StayX</v>
      </c>
      <c r="D776" t="str">
        <f>_xlfn.XLOOKUP(Table6[[#This Row],[app_id]],Table5[app_id],Table5[category],"",0)</f>
        <v>Travel</v>
      </c>
      <c r="E776" t="s">
        <v>546</v>
      </c>
      <c r="F776" t="s">
        <v>538</v>
      </c>
      <c r="G776" t="s">
        <v>46</v>
      </c>
      <c r="H776" t="s">
        <v>535</v>
      </c>
      <c r="I776">
        <v>2</v>
      </c>
      <c r="J776">
        <v>14.1</v>
      </c>
      <c r="K776" t="s">
        <v>258</v>
      </c>
      <c r="L776" t="s">
        <v>258</v>
      </c>
      <c r="M776" t="s">
        <v>258</v>
      </c>
      <c r="N776" s="5">
        <v>0</v>
      </c>
    </row>
    <row r="777" spans="1:14" x14ac:dyDescent="0.25">
      <c r="A777" t="s">
        <v>1318</v>
      </c>
      <c r="B777" t="s">
        <v>193</v>
      </c>
      <c r="C777" t="str">
        <f>_xlfn.XLOOKUP(Table6[[#This Row],[app_id]],Table5[app_id],Table5[app_name],"",0)</f>
        <v>GoNow</v>
      </c>
      <c r="D777" t="str">
        <f>_xlfn.XLOOKUP(Table6[[#This Row],[app_id]],Table5[app_id],Table5[category],"",0)</f>
        <v>Travel</v>
      </c>
      <c r="E777" t="s">
        <v>546</v>
      </c>
      <c r="F777" t="s">
        <v>538</v>
      </c>
      <c r="G777" t="s">
        <v>18</v>
      </c>
      <c r="H777" t="s">
        <v>535</v>
      </c>
      <c r="I777">
        <v>9</v>
      </c>
      <c r="J777">
        <v>4.4000000000000004</v>
      </c>
      <c r="K777" t="s">
        <v>258</v>
      </c>
      <c r="L777" t="s">
        <v>258</v>
      </c>
      <c r="M777" t="s">
        <v>258</v>
      </c>
      <c r="N777" s="5">
        <v>0</v>
      </c>
    </row>
    <row r="778" spans="1:14" x14ac:dyDescent="0.25">
      <c r="A778" t="s">
        <v>1319</v>
      </c>
      <c r="B778" t="s">
        <v>195</v>
      </c>
      <c r="C778" t="str">
        <f>_xlfn.XLOOKUP(Table6[[#This Row],[app_id]],Table5[app_id],Table5[app_name],"",0)</f>
        <v>RouteGo</v>
      </c>
      <c r="D778" t="str">
        <f>_xlfn.XLOOKUP(Table6[[#This Row],[app_id]],Table5[app_id],Table5[category],"",0)</f>
        <v>Travel</v>
      </c>
      <c r="E778" t="s">
        <v>546</v>
      </c>
      <c r="F778" t="s">
        <v>538</v>
      </c>
      <c r="G778" t="s">
        <v>35</v>
      </c>
      <c r="H778" t="s">
        <v>535</v>
      </c>
      <c r="I778">
        <v>61</v>
      </c>
      <c r="J778">
        <v>23.1</v>
      </c>
      <c r="K778" t="s">
        <v>257</v>
      </c>
      <c r="L778" t="s">
        <v>257</v>
      </c>
      <c r="M778" t="s">
        <v>258</v>
      </c>
      <c r="N778" s="5">
        <v>36.92</v>
      </c>
    </row>
    <row r="779" spans="1:14" x14ac:dyDescent="0.25">
      <c r="A779" t="s">
        <v>1320</v>
      </c>
      <c r="B779" t="s">
        <v>197</v>
      </c>
      <c r="C779" t="str">
        <f>_xlfn.XLOOKUP(Table6[[#This Row],[app_id]],Table5[app_id],Table5[app_name],"",0)</f>
        <v>TripGo</v>
      </c>
      <c r="D779" t="str">
        <f>_xlfn.XLOOKUP(Table6[[#This Row],[app_id]],Table5[app_id],Table5[category],"",0)</f>
        <v>Travel</v>
      </c>
      <c r="E779" t="s">
        <v>537</v>
      </c>
      <c r="F779" t="s">
        <v>538</v>
      </c>
      <c r="G779" t="s">
        <v>30</v>
      </c>
      <c r="H779" t="s">
        <v>540</v>
      </c>
      <c r="I779">
        <v>37</v>
      </c>
      <c r="J779">
        <v>20.399999999999999</v>
      </c>
      <c r="K779" t="s">
        <v>257</v>
      </c>
      <c r="L779" t="s">
        <v>258</v>
      </c>
      <c r="M779" t="s">
        <v>258</v>
      </c>
      <c r="N779" s="5">
        <v>0</v>
      </c>
    </row>
    <row r="780" spans="1:14" x14ac:dyDescent="0.25">
      <c r="A780" t="s">
        <v>1321</v>
      </c>
      <c r="B780" t="s">
        <v>199</v>
      </c>
      <c r="C780" t="str">
        <f>_xlfn.XLOOKUP(Table6[[#This Row],[app_id]],Table5[app_id],Table5[app_name],"",0)</f>
        <v>Flyly</v>
      </c>
      <c r="D780" t="str">
        <f>_xlfn.XLOOKUP(Table6[[#This Row],[app_id]],Table5[app_id],Table5[category],"",0)</f>
        <v>Travel</v>
      </c>
      <c r="E780" t="s">
        <v>537</v>
      </c>
      <c r="F780" t="s">
        <v>534</v>
      </c>
      <c r="G780" t="s">
        <v>30</v>
      </c>
      <c r="H780" t="s">
        <v>540</v>
      </c>
      <c r="I780">
        <v>43</v>
      </c>
      <c r="J780">
        <v>15.7</v>
      </c>
      <c r="K780" t="s">
        <v>257</v>
      </c>
      <c r="L780" t="s">
        <v>258</v>
      </c>
      <c r="M780" t="s">
        <v>257</v>
      </c>
      <c r="N780" s="5">
        <v>0</v>
      </c>
    </row>
    <row r="781" spans="1:14" x14ac:dyDescent="0.25">
      <c r="A781" t="s">
        <v>1322</v>
      </c>
      <c r="B781" t="s">
        <v>201</v>
      </c>
      <c r="C781" t="str">
        <f>_xlfn.XLOOKUP(Table6[[#This Row],[app_id]],Table5[app_id],Table5[app_name],"",0)</f>
        <v>TripPro</v>
      </c>
      <c r="D781" t="str">
        <f>_xlfn.XLOOKUP(Table6[[#This Row],[app_id]],Table5[app_id],Table5[category],"",0)</f>
        <v>Travel</v>
      </c>
      <c r="E781" t="s">
        <v>546</v>
      </c>
      <c r="F781" t="s">
        <v>538</v>
      </c>
      <c r="G781" t="s">
        <v>46</v>
      </c>
      <c r="H781" t="s">
        <v>535</v>
      </c>
      <c r="I781">
        <v>22</v>
      </c>
      <c r="J781">
        <v>7.6</v>
      </c>
      <c r="K781" t="s">
        <v>257</v>
      </c>
      <c r="L781" t="s">
        <v>257</v>
      </c>
      <c r="M781" t="s">
        <v>258</v>
      </c>
      <c r="N781" s="5">
        <v>0</v>
      </c>
    </row>
    <row r="782" spans="1:14" x14ac:dyDescent="0.25">
      <c r="A782" t="s">
        <v>1323</v>
      </c>
      <c r="B782" t="s">
        <v>203</v>
      </c>
      <c r="C782" t="str">
        <f>_xlfn.XLOOKUP(Table6[[#This Row],[app_id]],Table5[app_id],Table5[app_name],"",0)</f>
        <v>Focusly</v>
      </c>
      <c r="D782" t="str">
        <f>_xlfn.XLOOKUP(Table6[[#This Row],[app_id]],Table5[app_id],Table5[category],"",0)</f>
        <v>Productivity</v>
      </c>
      <c r="E782" t="s">
        <v>557</v>
      </c>
      <c r="F782" t="s">
        <v>548</v>
      </c>
      <c r="G782" t="s">
        <v>35</v>
      </c>
      <c r="H782" t="s">
        <v>535</v>
      </c>
      <c r="I782">
        <v>30</v>
      </c>
      <c r="J782">
        <v>23.8</v>
      </c>
      <c r="K782" t="s">
        <v>257</v>
      </c>
      <c r="L782" t="s">
        <v>258</v>
      </c>
      <c r="M782" t="s">
        <v>258</v>
      </c>
      <c r="N782" s="5">
        <v>0</v>
      </c>
    </row>
    <row r="783" spans="1:14" x14ac:dyDescent="0.25">
      <c r="A783" t="s">
        <v>1324</v>
      </c>
      <c r="B783" t="s">
        <v>206</v>
      </c>
      <c r="C783" t="str">
        <f>_xlfn.XLOOKUP(Table6[[#This Row],[app_id]],Table5[app_id],Table5[app_name],"",0)</f>
        <v>DeskX</v>
      </c>
      <c r="D783" t="str">
        <f>_xlfn.XLOOKUP(Table6[[#This Row],[app_id]],Table5[app_id],Table5[category],"",0)</f>
        <v>Productivity</v>
      </c>
      <c r="E783" t="s">
        <v>533</v>
      </c>
      <c r="F783" t="s">
        <v>534</v>
      </c>
      <c r="G783" t="s">
        <v>69</v>
      </c>
      <c r="H783" t="s">
        <v>540</v>
      </c>
      <c r="I783">
        <v>2</v>
      </c>
      <c r="J783">
        <v>6.3</v>
      </c>
      <c r="K783" t="s">
        <v>258</v>
      </c>
      <c r="L783" t="s">
        <v>258</v>
      </c>
      <c r="M783" t="s">
        <v>258</v>
      </c>
      <c r="N783" s="5">
        <v>0</v>
      </c>
    </row>
    <row r="784" spans="1:14" x14ac:dyDescent="0.25">
      <c r="A784" t="s">
        <v>1325</v>
      </c>
      <c r="B784" t="s">
        <v>208</v>
      </c>
      <c r="C784" t="str">
        <f>_xlfn.XLOOKUP(Table6[[#This Row],[app_id]],Table5[app_id],Table5[app_name],"",0)</f>
        <v>DonePro</v>
      </c>
      <c r="D784" t="str">
        <f>_xlfn.XLOOKUP(Table6[[#This Row],[app_id]],Table5[app_id],Table5[category],"",0)</f>
        <v>Productivity</v>
      </c>
      <c r="E784" t="s">
        <v>533</v>
      </c>
      <c r="F784" t="s">
        <v>538</v>
      </c>
      <c r="G784" t="s">
        <v>18</v>
      </c>
      <c r="H784" t="s">
        <v>535</v>
      </c>
      <c r="I784">
        <v>2</v>
      </c>
      <c r="J784">
        <v>16.8</v>
      </c>
      <c r="K784" t="s">
        <v>258</v>
      </c>
      <c r="L784" t="s">
        <v>258</v>
      </c>
      <c r="M784" t="s">
        <v>257</v>
      </c>
      <c r="N784" s="5">
        <v>0</v>
      </c>
    </row>
    <row r="785" spans="1:14" x14ac:dyDescent="0.25">
      <c r="A785" t="s">
        <v>1326</v>
      </c>
      <c r="B785" t="s">
        <v>210</v>
      </c>
      <c r="C785" t="str">
        <f>_xlfn.XLOOKUP(Table6[[#This Row],[app_id]],Table5[app_id],Table5[app_name],"",0)</f>
        <v>NotePlus</v>
      </c>
      <c r="D785" t="str">
        <f>_xlfn.XLOOKUP(Table6[[#This Row],[app_id]],Table5[app_id],Table5[category],"",0)</f>
        <v>Productivity</v>
      </c>
      <c r="E785" t="s">
        <v>546</v>
      </c>
      <c r="F785" t="s">
        <v>534</v>
      </c>
      <c r="G785" t="s">
        <v>61</v>
      </c>
      <c r="H785" t="s">
        <v>535</v>
      </c>
      <c r="I785">
        <v>81</v>
      </c>
      <c r="J785">
        <v>20.9</v>
      </c>
      <c r="K785" t="s">
        <v>257</v>
      </c>
      <c r="L785" t="s">
        <v>258</v>
      </c>
      <c r="M785" t="s">
        <v>257</v>
      </c>
      <c r="N785" s="5">
        <v>24.63</v>
      </c>
    </row>
    <row r="786" spans="1:14" x14ac:dyDescent="0.25">
      <c r="A786" t="s">
        <v>1327</v>
      </c>
      <c r="B786" t="s">
        <v>212</v>
      </c>
      <c r="C786" t="str">
        <f>_xlfn.XLOOKUP(Table6[[#This Row],[app_id]],Table5[app_id],Table5[app_name],"",0)</f>
        <v>SyncPlus</v>
      </c>
      <c r="D786" t="str">
        <f>_xlfn.XLOOKUP(Table6[[#This Row],[app_id]],Table5[app_id],Table5[category],"",0)</f>
        <v>Productivity</v>
      </c>
      <c r="E786" t="s">
        <v>537</v>
      </c>
      <c r="F786" t="s">
        <v>538</v>
      </c>
      <c r="G786" t="s">
        <v>23</v>
      </c>
      <c r="H786" t="s">
        <v>535</v>
      </c>
      <c r="I786">
        <v>63</v>
      </c>
      <c r="J786">
        <v>19.5</v>
      </c>
      <c r="K786" t="s">
        <v>257</v>
      </c>
      <c r="L786" t="s">
        <v>257</v>
      </c>
      <c r="M786" t="s">
        <v>257</v>
      </c>
      <c r="N786" s="5">
        <v>0</v>
      </c>
    </row>
    <row r="787" spans="1:14" x14ac:dyDescent="0.25">
      <c r="A787" t="s">
        <v>1328</v>
      </c>
      <c r="B787" t="s">
        <v>214</v>
      </c>
      <c r="C787" t="str">
        <f>_xlfn.XLOOKUP(Table6[[#This Row],[app_id]],Table5[app_id],Table5[app_name],"",0)</f>
        <v>NoteOne</v>
      </c>
      <c r="D787" t="str">
        <f>_xlfn.XLOOKUP(Table6[[#This Row],[app_id]],Table5[app_id],Table5[category],"",0)</f>
        <v>Productivity</v>
      </c>
      <c r="E787" t="s">
        <v>533</v>
      </c>
      <c r="F787" t="s">
        <v>534</v>
      </c>
      <c r="G787" t="s">
        <v>26</v>
      </c>
      <c r="H787" t="s">
        <v>535</v>
      </c>
      <c r="I787">
        <v>18</v>
      </c>
      <c r="J787">
        <v>18.3</v>
      </c>
      <c r="K787" t="s">
        <v>258</v>
      </c>
      <c r="L787" t="s">
        <v>258</v>
      </c>
      <c r="M787" t="s">
        <v>257</v>
      </c>
      <c r="N787" s="5">
        <v>23.28</v>
      </c>
    </row>
    <row r="788" spans="1:14" x14ac:dyDescent="0.25">
      <c r="A788" t="s">
        <v>1329</v>
      </c>
      <c r="B788" t="s">
        <v>216</v>
      </c>
      <c r="C788" t="str">
        <f>_xlfn.XLOOKUP(Table6[[#This Row],[app_id]],Table5[app_id],Table5[app_name],"",0)</f>
        <v>NoteMate</v>
      </c>
      <c r="D788" t="str">
        <f>_xlfn.XLOOKUP(Table6[[#This Row],[app_id]],Table5[app_id],Table5[category],"",0)</f>
        <v>Productivity</v>
      </c>
      <c r="E788" t="s">
        <v>533</v>
      </c>
      <c r="F788" t="s">
        <v>538</v>
      </c>
      <c r="G788" t="s">
        <v>69</v>
      </c>
      <c r="H788" t="s">
        <v>535</v>
      </c>
      <c r="I788">
        <v>53</v>
      </c>
      <c r="J788">
        <v>20.100000000000001</v>
      </c>
      <c r="K788" t="s">
        <v>257</v>
      </c>
      <c r="L788" t="s">
        <v>258</v>
      </c>
      <c r="M788" t="s">
        <v>258</v>
      </c>
      <c r="N788" s="5">
        <v>0</v>
      </c>
    </row>
    <row r="789" spans="1:14" x14ac:dyDescent="0.25">
      <c r="A789" t="s">
        <v>1330</v>
      </c>
      <c r="B789" t="s">
        <v>218</v>
      </c>
      <c r="C789" t="str">
        <f>_xlfn.XLOOKUP(Table6[[#This Row],[app_id]],Table5[app_id],Table5[app_name],"",0)</f>
        <v>PlanPlus</v>
      </c>
      <c r="D789" t="str">
        <f>_xlfn.XLOOKUP(Table6[[#This Row],[app_id]],Table5[app_id],Table5[category],"",0)</f>
        <v>Productivity</v>
      </c>
      <c r="E789" t="s">
        <v>533</v>
      </c>
      <c r="F789" t="s">
        <v>538</v>
      </c>
      <c r="G789" t="s">
        <v>23</v>
      </c>
      <c r="H789" t="s">
        <v>535</v>
      </c>
      <c r="I789">
        <v>15</v>
      </c>
      <c r="J789">
        <v>5.7</v>
      </c>
      <c r="K789" t="s">
        <v>258</v>
      </c>
      <c r="L789" t="s">
        <v>257</v>
      </c>
      <c r="M789" t="s">
        <v>258</v>
      </c>
      <c r="N789" s="5">
        <v>0</v>
      </c>
    </row>
    <row r="790" spans="1:14" x14ac:dyDescent="0.25">
      <c r="A790" t="s">
        <v>1331</v>
      </c>
      <c r="B790" t="s">
        <v>220</v>
      </c>
      <c r="C790" t="str">
        <f>_xlfn.XLOOKUP(Table6[[#This Row],[app_id]],Table5[app_id],Table5[app_name],"",0)</f>
        <v>PlanMate</v>
      </c>
      <c r="D790" t="str">
        <f>_xlfn.XLOOKUP(Table6[[#This Row],[app_id]],Table5[app_id],Table5[category],"",0)</f>
        <v>Productivity</v>
      </c>
      <c r="E790" t="s">
        <v>546</v>
      </c>
      <c r="F790" t="s">
        <v>538</v>
      </c>
      <c r="G790" t="s">
        <v>46</v>
      </c>
      <c r="H790" t="s">
        <v>540</v>
      </c>
      <c r="I790">
        <v>91</v>
      </c>
      <c r="J790">
        <v>18.399999999999999</v>
      </c>
      <c r="K790" t="s">
        <v>257</v>
      </c>
      <c r="L790" t="s">
        <v>258</v>
      </c>
      <c r="M790" t="s">
        <v>257</v>
      </c>
      <c r="N790" s="5">
        <v>48.45</v>
      </c>
    </row>
    <row r="791" spans="1:14" x14ac:dyDescent="0.25">
      <c r="A791" t="s">
        <v>1332</v>
      </c>
      <c r="B791" t="s">
        <v>222</v>
      </c>
      <c r="C791" t="str">
        <f>_xlfn.XLOOKUP(Table6[[#This Row],[app_id]],Table5[app_id],Table5[app_name],"",0)</f>
        <v>SyncPlus</v>
      </c>
      <c r="D791" t="str">
        <f>_xlfn.XLOOKUP(Table6[[#This Row],[app_id]],Table5[app_id],Table5[category],"",0)</f>
        <v>Productivity</v>
      </c>
      <c r="E791" t="s">
        <v>546</v>
      </c>
      <c r="F791" t="s">
        <v>534</v>
      </c>
      <c r="G791" t="s">
        <v>30</v>
      </c>
      <c r="H791" t="s">
        <v>535</v>
      </c>
      <c r="I791">
        <v>14</v>
      </c>
      <c r="J791">
        <v>12.7</v>
      </c>
      <c r="K791" t="s">
        <v>258</v>
      </c>
      <c r="L791" t="s">
        <v>258</v>
      </c>
      <c r="M791" t="s">
        <v>258</v>
      </c>
      <c r="N791" s="5">
        <v>0</v>
      </c>
    </row>
    <row r="792" spans="1:14" x14ac:dyDescent="0.25">
      <c r="A792" t="s">
        <v>1333</v>
      </c>
      <c r="B792" t="s">
        <v>223</v>
      </c>
      <c r="C792" t="str">
        <f>_xlfn.XLOOKUP(Table6[[#This Row],[app_id]],Table5[app_id],Table5[app_name],"",0)</f>
        <v>ClinicPro</v>
      </c>
      <c r="D792" t="str">
        <f>_xlfn.XLOOKUP(Table6[[#This Row],[app_id]],Table5[app_id],Table5[category],"",0)</f>
        <v>Health</v>
      </c>
      <c r="E792" t="s">
        <v>537</v>
      </c>
      <c r="F792" t="s">
        <v>534</v>
      </c>
      <c r="G792" t="s">
        <v>18</v>
      </c>
      <c r="H792" t="s">
        <v>535</v>
      </c>
      <c r="I792">
        <v>24</v>
      </c>
      <c r="J792">
        <v>16</v>
      </c>
      <c r="K792" t="s">
        <v>257</v>
      </c>
      <c r="L792" t="s">
        <v>258</v>
      </c>
      <c r="M792" t="s">
        <v>258</v>
      </c>
      <c r="N792" s="5">
        <v>43.1</v>
      </c>
    </row>
    <row r="793" spans="1:14" x14ac:dyDescent="0.25">
      <c r="A793" t="s">
        <v>1334</v>
      </c>
      <c r="B793" t="s">
        <v>226</v>
      </c>
      <c r="C793" t="str">
        <f>_xlfn.XLOOKUP(Table6[[#This Row],[app_id]],Table5[app_id],Table5[app_name],"",0)</f>
        <v>MindMate</v>
      </c>
      <c r="D793" t="str">
        <f>_xlfn.XLOOKUP(Table6[[#This Row],[app_id]],Table5[app_id],Table5[category],"",0)</f>
        <v>Health</v>
      </c>
      <c r="E793" t="s">
        <v>533</v>
      </c>
      <c r="F793" t="s">
        <v>534</v>
      </c>
      <c r="G793" t="s">
        <v>35</v>
      </c>
      <c r="H793" t="s">
        <v>535</v>
      </c>
      <c r="I793">
        <v>18</v>
      </c>
      <c r="J793">
        <v>5.3</v>
      </c>
      <c r="K793" t="s">
        <v>258</v>
      </c>
      <c r="L793" t="s">
        <v>257</v>
      </c>
      <c r="M793" t="s">
        <v>258</v>
      </c>
      <c r="N793" s="5">
        <v>13.67</v>
      </c>
    </row>
    <row r="794" spans="1:14" x14ac:dyDescent="0.25">
      <c r="A794" t="s">
        <v>1335</v>
      </c>
      <c r="B794" t="s">
        <v>228</v>
      </c>
      <c r="C794" t="str">
        <f>_xlfn.XLOOKUP(Table6[[#This Row],[app_id]],Table5[app_id],Table5[app_name],"",0)</f>
        <v>ClinicOne</v>
      </c>
      <c r="D794" t="str">
        <f>_xlfn.XLOOKUP(Table6[[#This Row],[app_id]],Table5[app_id],Table5[category],"",0)</f>
        <v>Health</v>
      </c>
      <c r="E794" t="s">
        <v>557</v>
      </c>
      <c r="F794" t="s">
        <v>534</v>
      </c>
      <c r="G794" t="s">
        <v>46</v>
      </c>
      <c r="H794" t="s">
        <v>540</v>
      </c>
      <c r="I794">
        <v>30</v>
      </c>
      <c r="J794">
        <v>13.3</v>
      </c>
      <c r="K794" t="s">
        <v>257</v>
      </c>
      <c r="L794" t="s">
        <v>257</v>
      </c>
      <c r="M794" t="s">
        <v>258</v>
      </c>
      <c r="N794" s="5">
        <v>0</v>
      </c>
    </row>
    <row r="795" spans="1:14" x14ac:dyDescent="0.25">
      <c r="A795" t="s">
        <v>1336</v>
      </c>
      <c r="B795" t="s">
        <v>230</v>
      </c>
      <c r="C795" t="str">
        <f>_xlfn.XLOOKUP(Table6[[#This Row],[app_id]],Table5[app_id],Table5[app_name],"",0)</f>
        <v>WellMate</v>
      </c>
      <c r="D795" t="str">
        <f>_xlfn.XLOOKUP(Table6[[#This Row],[app_id]],Table5[app_id],Table5[category],"",0)</f>
        <v>Health</v>
      </c>
      <c r="E795" t="s">
        <v>533</v>
      </c>
      <c r="F795" t="s">
        <v>534</v>
      </c>
      <c r="G795" t="s">
        <v>69</v>
      </c>
      <c r="H795" t="s">
        <v>535</v>
      </c>
      <c r="I795">
        <v>52</v>
      </c>
      <c r="J795">
        <v>18.399999999999999</v>
      </c>
      <c r="K795" t="s">
        <v>257</v>
      </c>
      <c r="L795" t="s">
        <v>257</v>
      </c>
      <c r="M795" t="s">
        <v>258</v>
      </c>
      <c r="N795" s="5">
        <v>0</v>
      </c>
    </row>
    <row r="796" spans="1:14" x14ac:dyDescent="0.25">
      <c r="A796" t="s">
        <v>1337</v>
      </c>
      <c r="B796" t="s">
        <v>232</v>
      </c>
      <c r="C796" t="str">
        <f>_xlfn.XLOOKUP(Table6[[#This Row],[app_id]],Table5[app_id],Table5[app_name],"",0)</f>
        <v>MediMate</v>
      </c>
      <c r="D796" t="str">
        <f>_xlfn.XLOOKUP(Table6[[#This Row],[app_id]],Table5[app_id],Table5[category],"",0)</f>
        <v>Health</v>
      </c>
      <c r="E796" t="s">
        <v>537</v>
      </c>
      <c r="F796" t="s">
        <v>538</v>
      </c>
      <c r="G796" t="s">
        <v>61</v>
      </c>
      <c r="H796" t="s">
        <v>535</v>
      </c>
      <c r="I796">
        <v>17</v>
      </c>
      <c r="J796">
        <v>13.2</v>
      </c>
      <c r="K796" t="s">
        <v>258</v>
      </c>
      <c r="L796" t="s">
        <v>258</v>
      </c>
      <c r="M796" t="s">
        <v>258</v>
      </c>
      <c r="N796" s="5">
        <v>0</v>
      </c>
    </row>
    <row r="797" spans="1:14" x14ac:dyDescent="0.25">
      <c r="A797" t="s">
        <v>1338</v>
      </c>
      <c r="B797" t="s">
        <v>234</v>
      </c>
      <c r="C797" t="str">
        <f>_xlfn.XLOOKUP(Table6[[#This Row],[app_id]],Table5[app_id],Table5[app_name],"",0)</f>
        <v>WellNow</v>
      </c>
      <c r="D797" t="str">
        <f>_xlfn.XLOOKUP(Table6[[#This Row],[app_id]],Table5[app_id],Table5[category],"",0)</f>
        <v>Health</v>
      </c>
      <c r="E797" t="s">
        <v>546</v>
      </c>
      <c r="F797" t="s">
        <v>628</v>
      </c>
      <c r="G797" t="s">
        <v>23</v>
      </c>
      <c r="H797" t="s">
        <v>540</v>
      </c>
      <c r="I797">
        <v>53</v>
      </c>
      <c r="J797">
        <v>8.6</v>
      </c>
      <c r="K797" t="s">
        <v>257</v>
      </c>
      <c r="L797" t="s">
        <v>257</v>
      </c>
      <c r="M797" t="s">
        <v>258</v>
      </c>
      <c r="N797" s="5">
        <v>0</v>
      </c>
    </row>
    <row r="798" spans="1:14" x14ac:dyDescent="0.25">
      <c r="A798" t="s">
        <v>1339</v>
      </c>
      <c r="B798" t="s">
        <v>236</v>
      </c>
      <c r="C798" t="str">
        <f>_xlfn.XLOOKUP(Table6[[#This Row],[app_id]],Table5[app_id],Table5[app_name],"",0)</f>
        <v>CareCloud</v>
      </c>
      <c r="D798" t="str">
        <f>_xlfn.XLOOKUP(Table6[[#This Row],[app_id]],Table5[app_id],Table5[category],"",0)</f>
        <v>Health</v>
      </c>
      <c r="E798" t="s">
        <v>546</v>
      </c>
      <c r="F798" t="s">
        <v>538</v>
      </c>
      <c r="G798" t="s">
        <v>46</v>
      </c>
      <c r="H798" t="s">
        <v>535</v>
      </c>
      <c r="I798">
        <v>43</v>
      </c>
      <c r="J798">
        <v>3.5</v>
      </c>
      <c r="K798" t="s">
        <v>257</v>
      </c>
      <c r="L798" t="s">
        <v>257</v>
      </c>
      <c r="M798" t="s">
        <v>258</v>
      </c>
      <c r="N798" s="5">
        <v>0</v>
      </c>
    </row>
    <row r="799" spans="1:14" x14ac:dyDescent="0.25">
      <c r="A799" t="s">
        <v>1340</v>
      </c>
      <c r="B799" t="s">
        <v>238</v>
      </c>
      <c r="C799" t="str">
        <f>_xlfn.XLOOKUP(Table6[[#This Row],[app_id]],Table5[app_id],Table5[app_name],"",0)</f>
        <v>MediNow</v>
      </c>
      <c r="D799" t="str">
        <f>_xlfn.XLOOKUP(Table6[[#This Row],[app_id]],Table5[app_id],Table5[category],"",0)</f>
        <v>Health</v>
      </c>
      <c r="E799" t="s">
        <v>537</v>
      </c>
      <c r="F799" t="s">
        <v>538</v>
      </c>
      <c r="G799" t="s">
        <v>35</v>
      </c>
      <c r="H799" t="s">
        <v>535</v>
      </c>
      <c r="I799">
        <v>90</v>
      </c>
      <c r="J799">
        <v>21.5</v>
      </c>
      <c r="K799" t="s">
        <v>257</v>
      </c>
      <c r="L799" t="s">
        <v>258</v>
      </c>
      <c r="M799" t="s">
        <v>257</v>
      </c>
      <c r="N799" s="5">
        <v>0</v>
      </c>
    </row>
    <row r="800" spans="1:14" x14ac:dyDescent="0.25">
      <c r="A800" t="s">
        <v>1341</v>
      </c>
      <c r="B800" t="s">
        <v>240</v>
      </c>
      <c r="C800" t="str">
        <f>_xlfn.XLOOKUP(Table6[[#This Row],[app_id]],Table5[app_id],Table5[app_name],"",0)</f>
        <v>MindPlus</v>
      </c>
      <c r="D800" t="str">
        <f>_xlfn.XLOOKUP(Table6[[#This Row],[app_id]],Table5[app_id],Table5[category],"",0)</f>
        <v>Health</v>
      </c>
      <c r="E800" t="s">
        <v>557</v>
      </c>
      <c r="F800" t="s">
        <v>534</v>
      </c>
      <c r="G800" t="s">
        <v>23</v>
      </c>
      <c r="H800" t="s">
        <v>535</v>
      </c>
      <c r="I800">
        <v>7</v>
      </c>
      <c r="J800">
        <v>4.9000000000000004</v>
      </c>
      <c r="K800" t="s">
        <v>258</v>
      </c>
      <c r="L800" t="s">
        <v>258</v>
      </c>
      <c r="M800" t="s">
        <v>258</v>
      </c>
      <c r="N800" s="5">
        <v>0</v>
      </c>
    </row>
    <row r="801" spans="1:14" x14ac:dyDescent="0.25">
      <c r="A801" t="s">
        <v>1342</v>
      </c>
      <c r="B801" t="s">
        <v>242</v>
      </c>
      <c r="C801" t="str">
        <f>_xlfn.XLOOKUP(Table6[[#This Row],[app_id]],Table5[app_id],Table5[app_name],"",0)</f>
        <v>MediCloud</v>
      </c>
      <c r="D801" t="str">
        <f>_xlfn.XLOOKUP(Table6[[#This Row],[app_id]],Table5[app_id],Table5[category],"",0)</f>
        <v>Health</v>
      </c>
      <c r="E801" t="s">
        <v>533</v>
      </c>
      <c r="F801" t="s">
        <v>534</v>
      </c>
      <c r="G801" t="s">
        <v>23</v>
      </c>
      <c r="H801" t="s">
        <v>535</v>
      </c>
      <c r="I801">
        <v>23</v>
      </c>
      <c r="J801">
        <v>20.6</v>
      </c>
      <c r="K801" t="s">
        <v>258</v>
      </c>
      <c r="L801" t="s">
        <v>258</v>
      </c>
      <c r="M801" t="s">
        <v>257</v>
      </c>
      <c r="N801" s="5">
        <v>0</v>
      </c>
    </row>
    <row r="802" spans="1:14" x14ac:dyDescent="0.25">
      <c r="A802" t="s">
        <v>1343</v>
      </c>
      <c r="B802" t="s">
        <v>12</v>
      </c>
      <c r="C802" t="str">
        <f>_xlfn.XLOOKUP(Table6[[#This Row],[app_id]],Table5[app_id],Table5[app_name],"",0)</f>
        <v>InvestPro</v>
      </c>
      <c r="D802" t="str">
        <f>_xlfn.XLOOKUP(Table6[[#This Row],[app_id]],Table5[app_id],Table5[category],"",0)</f>
        <v>Finance</v>
      </c>
      <c r="E802" t="s">
        <v>546</v>
      </c>
      <c r="F802" t="s">
        <v>534</v>
      </c>
      <c r="G802" t="s">
        <v>23</v>
      </c>
      <c r="H802" t="s">
        <v>540</v>
      </c>
      <c r="I802">
        <v>26</v>
      </c>
      <c r="J802">
        <v>13.4</v>
      </c>
      <c r="K802" t="s">
        <v>258</v>
      </c>
      <c r="L802" t="s">
        <v>257</v>
      </c>
      <c r="M802" t="s">
        <v>258</v>
      </c>
      <c r="N802" s="5">
        <v>0</v>
      </c>
    </row>
    <row r="803" spans="1:14" x14ac:dyDescent="0.25">
      <c r="A803" t="s">
        <v>1344</v>
      </c>
      <c r="B803" t="s">
        <v>19</v>
      </c>
      <c r="C803" t="str">
        <f>_xlfn.XLOOKUP(Table6[[#This Row],[app_id]],Table5[app_id],Table5[app_name],"",0)</f>
        <v>BankPro</v>
      </c>
      <c r="D803" t="str">
        <f>_xlfn.XLOOKUP(Table6[[#This Row],[app_id]],Table5[app_id],Table5[category],"",0)</f>
        <v>Finance</v>
      </c>
      <c r="E803" t="s">
        <v>537</v>
      </c>
      <c r="F803" t="s">
        <v>534</v>
      </c>
      <c r="G803" t="s">
        <v>46</v>
      </c>
      <c r="H803" t="s">
        <v>535</v>
      </c>
      <c r="I803">
        <v>5</v>
      </c>
      <c r="J803">
        <v>7</v>
      </c>
      <c r="K803" t="s">
        <v>258</v>
      </c>
      <c r="L803" t="s">
        <v>258</v>
      </c>
      <c r="M803" t="s">
        <v>258</v>
      </c>
      <c r="N803" s="5">
        <v>0</v>
      </c>
    </row>
    <row r="804" spans="1:14" x14ac:dyDescent="0.25">
      <c r="A804" t="s">
        <v>1345</v>
      </c>
      <c r="B804" t="s">
        <v>24</v>
      </c>
      <c r="C804" t="str">
        <f>_xlfn.XLOOKUP(Table6[[#This Row],[app_id]],Table5[app_id],Table5[app_name],"",0)</f>
        <v>BankX</v>
      </c>
      <c r="D804" t="str">
        <f>_xlfn.XLOOKUP(Table6[[#This Row],[app_id]],Table5[app_id],Table5[category],"",0)</f>
        <v>Finance</v>
      </c>
      <c r="E804" t="s">
        <v>557</v>
      </c>
      <c r="F804" t="s">
        <v>534</v>
      </c>
      <c r="G804" t="s">
        <v>61</v>
      </c>
      <c r="H804" t="s">
        <v>535</v>
      </c>
      <c r="I804">
        <v>13</v>
      </c>
      <c r="J804">
        <v>19.3</v>
      </c>
      <c r="K804" t="s">
        <v>258</v>
      </c>
      <c r="L804" t="s">
        <v>258</v>
      </c>
      <c r="M804" t="s">
        <v>257</v>
      </c>
      <c r="N804" s="5">
        <v>0</v>
      </c>
    </row>
    <row r="805" spans="1:14" x14ac:dyDescent="0.25">
      <c r="A805" t="s">
        <v>1346</v>
      </c>
      <c r="B805" t="s">
        <v>27</v>
      </c>
      <c r="C805" t="str">
        <f>_xlfn.XLOOKUP(Table6[[#This Row],[app_id]],Table5[app_id],Table5[app_name],"",0)</f>
        <v>BankNow</v>
      </c>
      <c r="D805" t="str">
        <f>_xlfn.XLOOKUP(Table6[[#This Row],[app_id]],Table5[app_id],Table5[category],"",0)</f>
        <v>Finance</v>
      </c>
      <c r="E805" t="s">
        <v>546</v>
      </c>
      <c r="F805" t="s">
        <v>534</v>
      </c>
      <c r="G805" t="s">
        <v>35</v>
      </c>
      <c r="H805" t="s">
        <v>535</v>
      </c>
      <c r="I805">
        <v>17</v>
      </c>
      <c r="J805">
        <v>8.8000000000000007</v>
      </c>
      <c r="K805" t="s">
        <v>258</v>
      </c>
      <c r="L805" t="s">
        <v>258</v>
      </c>
      <c r="M805" t="s">
        <v>258</v>
      </c>
      <c r="N805" s="5">
        <v>0</v>
      </c>
    </row>
    <row r="806" spans="1:14" x14ac:dyDescent="0.25">
      <c r="A806" t="s">
        <v>1347</v>
      </c>
      <c r="B806" t="s">
        <v>31</v>
      </c>
      <c r="C806" t="str">
        <f>_xlfn.XLOOKUP(Table6[[#This Row],[app_id]],Table5[app_id],Table5[app_name],"",0)</f>
        <v>CreditHub</v>
      </c>
      <c r="D806" t="str">
        <f>_xlfn.XLOOKUP(Table6[[#This Row],[app_id]],Table5[app_id],Table5[category],"",0)</f>
        <v>Finance</v>
      </c>
      <c r="E806" t="s">
        <v>533</v>
      </c>
      <c r="F806" t="s">
        <v>548</v>
      </c>
      <c r="G806" t="s">
        <v>69</v>
      </c>
      <c r="H806" t="s">
        <v>535</v>
      </c>
      <c r="I806">
        <v>90</v>
      </c>
      <c r="J806">
        <v>15.8</v>
      </c>
      <c r="K806" t="s">
        <v>257</v>
      </c>
      <c r="L806" t="s">
        <v>257</v>
      </c>
      <c r="M806" t="s">
        <v>257</v>
      </c>
      <c r="N806" s="5">
        <v>0</v>
      </c>
    </row>
    <row r="807" spans="1:14" x14ac:dyDescent="0.25">
      <c r="A807" t="s">
        <v>1348</v>
      </c>
      <c r="B807" t="s">
        <v>36</v>
      </c>
      <c r="C807" t="str">
        <f>_xlfn.XLOOKUP(Table6[[#This Row],[app_id]],Table5[app_id],Table5[app_name],"",0)</f>
        <v>PayPlus</v>
      </c>
      <c r="D807" t="str">
        <f>_xlfn.XLOOKUP(Table6[[#This Row],[app_id]],Table5[app_id],Table5[category],"",0)</f>
        <v>Finance</v>
      </c>
      <c r="E807" t="s">
        <v>557</v>
      </c>
      <c r="F807" t="s">
        <v>534</v>
      </c>
      <c r="G807" t="s">
        <v>35</v>
      </c>
      <c r="H807" t="s">
        <v>535</v>
      </c>
      <c r="I807">
        <v>14</v>
      </c>
      <c r="J807">
        <v>11.3</v>
      </c>
      <c r="K807" t="s">
        <v>258</v>
      </c>
      <c r="L807" t="s">
        <v>257</v>
      </c>
      <c r="M807" t="s">
        <v>258</v>
      </c>
      <c r="N807" s="5">
        <v>83.96</v>
      </c>
    </row>
    <row r="808" spans="1:14" x14ac:dyDescent="0.25">
      <c r="A808" t="s">
        <v>1349</v>
      </c>
      <c r="B808" t="s">
        <v>39</v>
      </c>
      <c r="C808" t="str">
        <f>_xlfn.XLOOKUP(Table6[[#This Row],[app_id]],Table5[app_id],Table5[app_name],"",0)</f>
        <v>BankPlus</v>
      </c>
      <c r="D808" t="str">
        <f>_xlfn.XLOOKUP(Table6[[#This Row],[app_id]],Table5[app_id],Table5[category],"",0)</f>
        <v>Finance</v>
      </c>
      <c r="E808" t="s">
        <v>557</v>
      </c>
      <c r="F808" t="s">
        <v>538</v>
      </c>
      <c r="G808" t="s">
        <v>23</v>
      </c>
      <c r="H808" t="s">
        <v>535</v>
      </c>
      <c r="I808">
        <v>21</v>
      </c>
      <c r="J808">
        <v>3.9</v>
      </c>
      <c r="K808" t="s">
        <v>258</v>
      </c>
      <c r="L808" t="s">
        <v>257</v>
      </c>
      <c r="M808" t="s">
        <v>258</v>
      </c>
      <c r="N808" s="5">
        <v>0</v>
      </c>
    </row>
    <row r="809" spans="1:14" x14ac:dyDescent="0.25">
      <c r="A809" t="s">
        <v>1350</v>
      </c>
      <c r="B809" t="s">
        <v>42</v>
      </c>
      <c r="C809" t="str">
        <f>_xlfn.XLOOKUP(Table6[[#This Row],[app_id]],Table5[app_id],Table5[app_name],"",0)</f>
        <v>CoinPlus</v>
      </c>
      <c r="D809" t="str">
        <f>_xlfn.XLOOKUP(Table6[[#This Row],[app_id]],Table5[app_id],Table5[category],"",0)</f>
        <v>Finance</v>
      </c>
      <c r="E809" t="s">
        <v>557</v>
      </c>
      <c r="F809" t="s">
        <v>534</v>
      </c>
      <c r="G809" t="s">
        <v>30</v>
      </c>
      <c r="H809" t="s">
        <v>535</v>
      </c>
      <c r="I809">
        <v>85</v>
      </c>
      <c r="J809">
        <v>5.7</v>
      </c>
      <c r="K809" t="s">
        <v>257</v>
      </c>
      <c r="L809" t="s">
        <v>258</v>
      </c>
      <c r="M809" t="s">
        <v>258</v>
      </c>
      <c r="N809" s="5">
        <v>0</v>
      </c>
    </row>
    <row r="810" spans="1:14" x14ac:dyDescent="0.25">
      <c r="A810" t="s">
        <v>1351</v>
      </c>
      <c r="B810" t="s">
        <v>47</v>
      </c>
      <c r="C810" t="str">
        <f>_xlfn.XLOOKUP(Table6[[#This Row],[app_id]],Table5[app_id],Table5[app_name],"",0)</f>
        <v>CreditOne</v>
      </c>
      <c r="D810" t="str">
        <f>_xlfn.XLOOKUP(Table6[[#This Row],[app_id]],Table5[app_id],Table5[category],"",0)</f>
        <v>Finance</v>
      </c>
      <c r="E810" t="s">
        <v>537</v>
      </c>
      <c r="F810" t="s">
        <v>538</v>
      </c>
      <c r="G810" t="s">
        <v>69</v>
      </c>
      <c r="H810" t="s">
        <v>535</v>
      </c>
      <c r="I810">
        <v>79</v>
      </c>
      <c r="J810">
        <v>6</v>
      </c>
      <c r="K810" t="s">
        <v>257</v>
      </c>
      <c r="L810" t="s">
        <v>257</v>
      </c>
      <c r="M810" t="s">
        <v>258</v>
      </c>
      <c r="N810" s="5">
        <v>0</v>
      </c>
    </row>
    <row r="811" spans="1:14" x14ac:dyDescent="0.25">
      <c r="A811" t="s">
        <v>1352</v>
      </c>
      <c r="B811" t="s">
        <v>49</v>
      </c>
      <c r="C811" t="str">
        <f>_xlfn.XLOOKUP(Table6[[#This Row],[app_id]],Table5[app_id],Table5[app_name],"",0)</f>
        <v>PayPro</v>
      </c>
      <c r="D811" t="str">
        <f>_xlfn.XLOOKUP(Table6[[#This Row],[app_id]],Table5[app_id],Table5[category],"",0)</f>
        <v>Finance</v>
      </c>
      <c r="E811" t="s">
        <v>546</v>
      </c>
      <c r="F811" t="s">
        <v>538</v>
      </c>
      <c r="G811" t="s">
        <v>18</v>
      </c>
      <c r="H811" t="s">
        <v>535</v>
      </c>
      <c r="I811">
        <v>81</v>
      </c>
      <c r="J811">
        <v>3.2</v>
      </c>
      <c r="K811" t="s">
        <v>257</v>
      </c>
      <c r="L811" t="s">
        <v>257</v>
      </c>
      <c r="M811" t="s">
        <v>258</v>
      </c>
      <c r="N811" s="5">
        <v>0</v>
      </c>
    </row>
    <row r="812" spans="1:14" x14ac:dyDescent="0.25">
      <c r="A812" t="s">
        <v>1353</v>
      </c>
      <c r="B812" t="s">
        <v>51</v>
      </c>
      <c r="C812" t="str">
        <f>_xlfn.XLOOKUP(Table6[[#This Row],[app_id]],Table5[app_id],Table5[app_name],"",0)</f>
        <v>Creditly</v>
      </c>
      <c r="D812" t="str">
        <f>_xlfn.XLOOKUP(Table6[[#This Row],[app_id]],Table5[app_id],Table5[category],"",0)</f>
        <v>Finance</v>
      </c>
      <c r="E812" t="s">
        <v>546</v>
      </c>
      <c r="F812" t="s">
        <v>538</v>
      </c>
      <c r="G812" t="s">
        <v>46</v>
      </c>
      <c r="H812" t="s">
        <v>535</v>
      </c>
      <c r="I812">
        <v>18</v>
      </c>
      <c r="J812">
        <v>23.9</v>
      </c>
      <c r="K812" t="s">
        <v>258</v>
      </c>
      <c r="L812" t="s">
        <v>257</v>
      </c>
      <c r="M812" t="s">
        <v>258</v>
      </c>
      <c r="N812" s="5">
        <v>0</v>
      </c>
    </row>
    <row r="813" spans="1:14" x14ac:dyDescent="0.25">
      <c r="A813" t="s">
        <v>1354</v>
      </c>
      <c r="B813" t="s">
        <v>53</v>
      </c>
      <c r="C813" t="str">
        <f>_xlfn.XLOOKUP(Table6[[#This Row],[app_id]],Table5[app_id],Table5[app_name],"",0)</f>
        <v>PayX</v>
      </c>
      <c r="D813" t="str">
        <f>_xlfn.XLOOKUP(Table6[[#This Row],[app_id]],Table5[app_id],Table5[category],"",0)</f>
        <v>Finance</v>
      </c>
      <c r="E813" t="s">
        <v>537</v>
      </c>
      <c r="F813" t="s">
        <v>534</v>
      </c>
      <c r="G813" t="s">
        <v>46</v>
      </c>
      <c r="H813" t="s">
        <v>535</v>
      </c>
      <c r="I813">
        <v>17</v>
      </c>
      <c r="J813">
        <v>7.7</v>
      </c>
      <c r="K813" t="s">
        <v>258</v>
      </c>
      <c r="L813" t="s">
        <v>257</v>
      </c>
      <c r="M813" t="s">
        <v>258</v>
      </c>
      <c r="N813" s="5">
        <v>0</v>
      </c>
    </row>
    <row r="814" spans="1:14" x14ac:dyDescent="0.25">
      <c r="A814" t="s">
        <v>1355</v>
      </c>
      <c r="B814" t="s">
        <v>56</v>
      </c>
      <c r="C814" t="str">
        <f>_xlfn.XLOOKUP(Table6[[#This Row],[app_id]],Table5[app_id],Table5[app_name],"",0)</f>
        <v>DealGo</v>
      </c>
      <c r="D814" t="str">
        <f>_xlfn.XLOOKUP(Table6[[#This Row],[app_id]],Table5[app_id],Table5[category],"",0)</f>
        <v>Shopping</v>
      </c>
      <c r="E814" t="s">
        <v>533</v>
      </c>
      <c r="F814" t="s">
        <v>548</v>
      </c>
      <c r="G814" t="s">
        <v>61</v>
      </c>
      <c r="H814" t="s">
        <v>535</v>
      </c>
      <c r="I814">
        <v>24</v>
      </c>
      <c r="J814">
        <v>7.8</v>
      </c>
      <c r="K814" t="s">
        <v>258</v>
      </c>
      <c r="L814" t="s">
        <v>257</v>
      </c>
      <c r="M814" t="s">
        <v>258</v>
      </c>
      <c r="N814" s="5">
        <v>0</v>
      </c>
    </row>
    <row r="815" spans="1:14" x14ac:dyDescent="0.25">
      <c r="A815" t="s">
        <v>1356</v>
      </c>
      <c r="B815" t="s">
        <v>62</v>
      </c>
      <c r="C815" t="str">
        <f>_xlfn.XLOOKUP(Table6[[#This Row],[app_id]],Table5[app_id],Table5[app_name],"",0)</f>
        <v>MallNow</v>
      </c>
      <c r="D815" t="str">
        <f>_xlfn.XLOOKUP(Table6[[#This Row],[app_id]],Table5[app_id],Table5[category],"",0)</f>
        <v>Shopping</v>
      </c>
      <c r="E815" t="s">
        <v>533</v>
      </c>
      <c r="F815" t="s">
        <v>538</v>
      </c>
      <c r="G815" t="s">
        <v>23</v>
      </c>
      <c r="H815" t="s">
        <v>540</v>
      </c>
      <c r="I815">
        <v>19</v>
      </c>
      <c r="J815">
        <v>23.1</v>
      </c>
      <c r="K815" t="s">
        <v>258</v>
      </c>
      <c r="L815" t="s">
        <v>258</v>
      </c>
      <c r="M815" t="s">
        <v>258</v>
      </c>
      <c r="N815" s="5">
        <v>31.51</v>
      </c>
    </row>
    <row r="816" spans="1:14" x14ac:dyDescent="0.25">
      <c r="A816" t="s">
        <v>1357</v>
      </c>
      <c r="B816" t="s">
        <v>65</v>
      </c>
      <c r="C816" t="str">
        <f>_xlfn.XLOOKUP(Table6[[#This Row],[app_id]],Table5[app_id],Table5[app_name],"",0)</f>
        <v>DealPro</v>
      </c>
      <c r="D816" t="str">
        <f>_xlfn.XLOOKUP(Table6[[#This Row],[app_id]],Table5[app_id],Table5[category],"",0)</f>
        <v>Shopping</v>
      </c>
      <c r="E816" t="s">
        <v>537</v>
      </c>
      <c r="F816" t="s">
        <v>538</v>
      </c>
      <c r="G816" t="s">
        <v>69</v>
      </c>
      <c r="H816" t="s">
        <v>535</v>
      </c>
      <c r="I816">
        <v>16</v>
      </c>
      <c r="J816">
        <v>16.3</v>
      </c>
      <c r="K816" t="s">
        <v>258</v>
      </c>
      <c r="L816" t="s">
        <v>257</v>
      </c>
      <c r="M816" t="s">
        <v>258</v>
      </c>
      <c r="N816" s="5">
        <v>0</v>
      </c>
    </row>
    <row r="817" spans="1:14" x14ac:dyDescent="0.25">
      <c r="A817" t="s">
        <v>1358</v>
      </c>
      <c r="B817" t="s">
        <v>67</v>
      </c>
      <c r="C817" t="str">
        <f>_xlfn.XLOOKUP(Table6[[#This Row],[app_id]],Table5[app_id],Table5[app_name],"",0)</f>
        <v>StyleNow</v>
      </c>
      <c r="D817" t="str">
        <f>_xlfn.XLOOKUP(Table6[[#This Row],[app_id]],Table5[app_id],Table5[category],"",0)</f>
        <v>Shopping</v>
      </c>
      <c r="E817" t="s">
        <v>546</v>
      </c>
      <c r="F817" t="s">
        <v>534</v>
      </c>
      <c r="G817" t="s">
        <v>30</v>
      </c>
      <c r="H817" t="s">
        <v>540</v>
      </c>
      <c r="I817">
        <v>23</v>
      </c>
      <c r="J817">
        <v>16.5</v>
      </c>
      <c r="K817" t="s">
        <v>258</v>
      </c>
      <c r="L817" t="s">
        <v>258</v>
      </c>
      <c r="M817" t="s">
        <v>258</v>
      </c>
      <c r="N817" s="5">
        <v>0</v>
      </c>
    </row>
    <row r="818" spans="1:14" x14ac:dyDescent="0.25">
      <c r="A818" t="s">
        <v>1359</v>
      </c>
      <c r="B818" t="s">
        <v>70</v>
      </c>
      <c r="C818" t="str">
        <f>_xlfn.XLOOKUP(Table6[[#This Row],[app_id]],Table5[app_id],Table5[app_name],"",0)</f>
        <v>DealCloud</v>
      </c>
      <c r="D818" t="str">
        <f>_xlfn.XLOOKUP(Table6[[#This Row],[app_id]],Table5[app_id],Table5[category],"",0)</f>
        <v>Shopping</v>
      </c>
      <c r="E818" t="s">
        <v>546</v>
      </c>
      <c r="F818" t="s">
        <v>534</v>
      </c>
      <c r="G818" t="s">
        <v>46</v>
      </c>
      <c r="H818" t="s">
        <v>535</v>
      </c>
      <c r="I818">
        <v>16</v>
      </c>
      <c r="J818">
        <v>10.9</v>
      </c>
      <c r="K818" t="s">
        <v>258</v>
      </c>
      <c r="L818" t="s">
        <v>258</v>
      </c>
      <c r="M818" t="s">
        <v>257</v>
      </c>
      <c r="N818" s="5">
        <v>84.09</v>
      </c>
    </row>
    <row r="819" spans="1:14" x14ac:dyDescent="0.25">
      <c r="A819" t="s">
        <v>1360</v>
      </c>
      <c r="B819" t="s">
        <v>72</v>
      </c>
      <c r="C819" t="str">
        <f>_xlfn.XLOOKUP(Table6[[#This Row],[app_id]],Table5[app_id],Table5[app_name],"",0)</f>
        <v>CartCloud</v>
      </c>
      <c r="D819" t="str">
        <f>_xlfn.XLOOKUP(Table6[[#This Row],[app_id]],Table5[app_id],Table5[category],"",0)</f>
        <v>Shopping</v>
      </c>
      <c r="E819" t="s">
        <v>533</v>
      </c>
      <c r="F819" t="s">
        <v>628</v>
      </c>
      <c r="G819" t="s">
        <v>26</v>
      </c>
      <c r="H819" t="s">
        <v>535</v>
      </c>
      <c r="I819">
        <v>43</v>
      </c>
      <c r="J819">
        <v>16.5</v>
      </c>
      <c r="K819" t="s">
        <v>257</v>
      </c>
      <c r="L819" t="s">
        <v>257</v>
      </c>
      <c r="M819" t="s">
        <v>258</v>
      </c>
      <c r="N819" s="5">
        <v>26.27</v>
      </c>
    </row>
    <row r="820" spans="1:14" x14ac:dyDescent="0.25">
      <c r="A820" t="s">
        <v>1361</v>
      </c>
      <c r="B820" t="s">
        <v>74</v>
      </c>
      <c r="C820" t="str">
        <f>_xlfn.XLOOKUP(Table6[[#This Row],[app_id]],Table5[app_id],Table5[app_name],"",0)</f>
        <v>CartMate</v>
      </c>
      <c r="D820" t="str">
        <f>_xlfn.XLOOKUP(Table6[[#This Row],[app_id]],Table5[app_id],Table5[category],"",0)</f>
        <v>Shopping</v>
      </c>
      <c r="E820" t="s">
        <v>546</v>
      </c>
      <c r="F820" t="s">
        <v>538</v>
      </c>
      <c r="G820" t="s">
        <v>61</v>
      </c>
      <c r="H820" t="s">
        <v>535</v>
      </c>
      <c r="I820">
        <v>23</v>
      </c>
      <c r="J820">
        <v>16.8</v>
      </c>
      <c r="K820" t="s">
        <v>258</v>
      </c>
      <c r="L820" t="s">
        <v>258</v>
      </c>
      <c r="M820" t="s">
        <v>257</v>
      </c>
      <c r="N820" s="5">
        <v>23.2</v>
      </c>
    </row>
    <row r="821" spans="1:14" x14ac:dyDescent="0.25">
      <c r="A821" t="s">
        <v>1362</v>
      </c>
      <c r="B821" t="s">
        <v>76</v>
      </c>
      <c r="C821" t="str">
        <f>_xlfn.XLOOKUP(Table6[[#This Row],[app_id]],Table5[app_id],Table5[app_name],"",0)</f>
        <v>BazaarOne</v>
      </c>
      <c r="D821" t="str">
        <f>_xlfn.XLOOKUP(Table6[[#This Row],[app_id]],Table5[app_id],Table5[category],"",0)</f>
        <v>Shopping</v>
      </c>
      <c r="E821" t="s">
        <v>546</v>
      </c>
      <c r="F821" t="s">
        <v>538</v>
      </c>
      <c r="G821" t="s">
        <v>46</v>
      </c>
      <c r="H821" t="s">
        <v>535</v>
      </c>
      <c r="I821">
        <v>17</v>
      </c>
      <c r="J821">
        <v>5.0999999999999996</v>
      </c>
      <c r="K821" t="s">
        <v>258</v>
      </c>
      <c r="L821" t="s">
        <v>257</v>
      </c>
      <c r="M821" t="s">
        <v>258</v>
      </c>
      <c r="N821" s="5">
        <v>0</v>
      </c>
    </row>
    <row r="822" spans="1:14" x14ac:dyDescent="0.25">
      <c r="A822" t="s">
        <v>1363</v>
      </c>
      <c r="B822" t="s">
        <v>78</v>
      </c>
      <c r="C822" t="str">
        <f>_xlfn.XLOOKUP(Table6[[#This Row],[app_id]],Table5[app_id],Table5[app_name],"",0)</f>
        <v>StyleOne</v>
      </c>
      <c r="D822" t="str">
        <f>_xlfn.XLOOKUP(Table6[[#This Row],[app_id]],Table5[app_id],Table5[category],"",0)</f>
        <v>Shopping</v>
      </c>
      <c r="E822" t="s">
        <v>546</v>
      </c>
      <c r="F822" t="s">
        <v>534</v>
      </c>
      <c r="G822" t="s">
        <v>69</v>
      </c>
      <c r="H822" t="s">
        <v>540</v>
      </c>
      <c r="I822">
        <v>87</v>
      </c>
      <c r="J822">
        <v>18.2</v>
      </c>
      <c r="K822" t="s">
        <v>257</v>
      </c>
      <c r="L822" t="s">
        <v>257</v>
      </c>
      <c r="M822" t="s">
        <v>258</v>
      </c>
      <c r="N822" s="5">
        <v>0</v>
      </c>
    </row>
    <row r="823" spans="1:14" x14ac:dyDescent="0.25">
      <c r="A823" t="s">
        <v>1364</v>
      </c>
      <c r="B823" t="s">
        <v>80</v>
      </c>
      <c r="C823" t="str">
        <f>_xlfn.XLOOKUP(Table6[[#This Row],[app_id]],Table5[app_id],Table5[app_name],"",0)</f>
        <v>Cartly</v>
      </c>
      <c r="D823" t="str">
        <f>_xlfn.XLOOKUP(Table6[[#This Row],[app_id]],Table5[app_id],Table5[category],"",0)</f>
        <v>Shopping</v>
      </c>
      <c r="E823" t="s">
        <v>533</v>
      </c>
      <c r="F823" t="s">
        <v>534</v>
      </c>
      <c r="G823" t="s">
        <v>69</v>
      </c>
      <c r="H823" t="s">
        <v>535</v>
      </c>
      <c r="I823">
        <v>22</v>
      </c>
      <c r="J823">
        <v>23.4</v>
      </c>
      <c r="K823" t="s">
        <v>258</v>
      </c>
      <c r="L823" t="s">
        <v>257</v>
      </c>
      <c r="M823" t="s">
        <v>258</v>
      </c>
      <c r="N823" s="5">
        <v>61.77</v>
      </c>
    </row>
    <row r="824" spans="1:14" x14ac:dyDescent="0.25">
      <c r="A824" t="s">
        <v>1365</v>
      </c>
      <c r="B824" t="s">
        <v>83</v>
      </c>
      <c r="C824" t="str">
        <f>_xlfn.XLOOKUP(Table6[[#This Row],[app_id]],Table5[app_id],Table5[app_name],"",0)</f>
        <v>BazaarCloud</v>
      </c>
      <c r="D824" t="str">
        <f>_xlfn.XLOOKUP(Table6[[#This Row],[app_id]],Table5[app_id],Table5[category],"",0)</f>
        <v>Shopping</v>
      </c>
      <c r="E824" t="s">
        <v>537</v>
      </c>
      <c r="F824" t="s">
        <v>538</v>
      </c>
      <c r="G824" t="s">
        <v>69</v>
      </c>
      <c r="H824" t="s">
        <v>535</v>
      </c>
      <c r="I824">
        <v>17</v>
      </c>
      <c r="J824">
        <v>6.4</v>
      </c>
      <c r="K824" t="s">
        <v>258</v>
      </c>
      <c r="L824" t="s">
        <v>258</v>
      </c>
      <c r="M824" t="s">
        <v>258</v>
      </c>
      <c r="N824" s="5">
        <v>0</v>
      </c>
    </row>
    <row r="825" spans="1:14" x14ac:dyDescent="0.25">
      <c r="A825" t="s">
        <v>1366</v>
      </c>
      <c r="B825" t="s">
        <v>85</v>
      </c>
      <c r="C825" t="str">
        <f>_xlfn.XLOOKUP(Table6[[#This Row],[app_id]],Table5[app_id],Table5[app_name],"",0)</f>
        <v>CartPro</v>
      </c>
      <c r="D825" t="str">
        <f>_xlfn.XLOOKUP(Table6[[#This Row],[app_id]],Table5[app_id],Table5[category],"",0)</f>
        <v>Shopping</v>
      </c>
      <c r="E825" t="s">
        <v>537</v>
      </c>
      <c r="F825" t="s">
        <v>534</v>
      </c>
      <c r="G825" t="s">
        <v>46</v>
      </c>
      <c r="H825" t="s">
        <v>535</v>
      </c>
      <c r="I825">
        <v>29</v>
      </c>
      <c r="J825">
        <v>6</v>
      </c>
      <c r="K825" t="s">
        <v>257</v>
      </c>
      <c r="L825" t="s">
        <v>258</v>
      </c>
      <c r="M825" t="s">
        <v>258</v>
      </c>
      <c r="N825" s="5">
        <v>0</v>
      </c>
    </row>
    <row r="826" spans="1:14" x14ac:dyDescent="0.25">
      <c r="A826" t="s">
        <v>1367</v>
      </c>
      <c r="B826" t="s">
        <v>87</v>
      </c>
      <c r="C826" t="str">
        <f>_xlfn.XLOOKUP(Table6[[#This Row],[app_id]],Table5[app_id],Table5[app_name],"",0)</f>
        <v>RunPlus</v>
      </c>
      <c r="D826" t="str">
        <f>_xlfn.XLOOKUP(Table6[[#This Row],[app_id]],Table5[app_id],Table5[category],"",0)</f>
        <v>Fitness</v>
      </c>
      <c r="E826" t="s">
        <v>557</v>
      </c>
      <c r="F826" t="s">
        <v>538</v>
      </c>
      <c r="G826" t="s">
        <v>18</v>
      </c>
      <c r="H826" t="s">
        <v>535</v>
      </c>
      <c r="I826">
        <v>72</v>
      </c>
      <c r="J826">
        <v>25.1</v>
      </c>
      <c r="K826" t="s">
        <v>257</v>
      </c>
      <c r="L826" t="s">
        <v>257</v>
      </c>
      <c r="M826" t="s">
        <v>258</v>
      </c>
      <c r="N826" s="5">
        <v>0</v>
      </c>
    </row>
    <row r="827" spans="1:14" x14ac:dyDescent="0.25">
      <c r="A827" t="s">
        <v>1368</v>
      </c>
      <c r="B827" t="s">
        <v>90</v>
      </c>
      <c r="C827" t="str">
        <f>_xlfn.XLOOKUP(Table6[[#This Row],[app_id]],Table5[app_id],Table5[app_name],"",0)</f>
        <v>TrainCloud</v>
      </c>
      <c r="D827" t="str">
        <f>_xlfn.XLOOKUP(Table6[[#This Row],[app_id]],Table5[app_id],Table5[category],"",0)</f>
        <v>Fitness</v>
      </c>
      <c r="E827" t="s">
        <v>537</v>
      </c>
      <c r="F827" t="s">
        <v>538</v>
      </c>
      <c r="G827" t="s">
        <v>61</v>
      </c>
      <c r="H827" t="s">
        <v>535</v>
      </c>
      <c r="I827">
        <v>76</v>
      </c>
      <c r="J827">
        <v>24.3</v>
      </c>
      <c r="K827" t="s">
        <v>257</v>
      </c>
      <c r="L827" t="s">
        <v>257</v>
      </c>
      <c r="M827" t="s">
        <v>258</v>
      </c>
      <c r="N827" s="5">
        <v>0</v>
      </c>
    </row>
    <row r="828" spans="1:14" x14ac:dyDescent="0.25">
      <c r="A828" t="s">
        <v>1369</v>
      </c>
      <c r="B828" t="s">
        <v>92</v>
      </c>
      <c r="C828" t="str">
        <f>_xlfn.XLOOKUP(Table6[[#This Row],[app_id]],Table5[app_id],Table5[app_name],"",0)</f>
        <v>Trainly</v>
      </c>
      <c r="D828" t="str">
        <f>_xlfn.XLOOKUP(Table6[[#This Row],[app_id]],Table5[app_id],Table5[category],"",0)</f>
        <v>Fitness</v>
      </c>
      <c r="E828" t="s">
        <v>546</v>
      </c>
      <c r="F828" t="s">
        <v>538</v>
      </c>
      <c r="G828" t="s">
        <v>18</v>
      </c>
      <c r="H828" t="s">
        <v>535</v>
      </c>
      <c r="I828">
        <v>93</v>
      </c>
      <c r="J828">
        <v>22</v>
      </c>
      <c r="K828" t="s">
        <v>257</v>
      </c>
      <c r="L828" t="s">
        <v>257</v>
      </c>
      <c r="M828" t="s">
        <v>258</v>
      </c>
      <c r="N828" s="5">
        <v>0</v>
      </c>
    </row>
    <row r="829" spans="1:14" x14ac:dyDescent="0.25">
      <c r="A829" t="s">
        <v>1370</v>
      </c>
      <c r="B829" t="s">
        <v>94</v>
      </c>
      <c r="C829" t="str">
        <f>_xlfn.XLOOKUP(Table6[[#This Row],[app_id]],Table5[app_id],Table5[app_name],"",0)</f>
        <v>LiftCloud</v>
      </c>
      <c r="D829" t="str">
        <f>_xlfn.XLOOKUP(Table6[[#This Row],[app_id]],Table5[app_id],Table5[category],"",0)</f>
        <v>Fitness</v>
      </c>
      <c r="E829" t="s">
        <v>552</v>
      </c>
      <c r="F829" t="s">
        <v>538</v>
      </c>
      <c r="G829" t="s">
        <v>69</v>
      </c>
      <c r="H829" t="s">
        <v>535</v>
      </c>
      <c r="I829">
        <v>6</v>
      </c>
      <c r="J829">
        <v>18.399999999999999</v>
      </c>
      <c r="K829" t="s">
        <v>258</v>
      </c>
      <c r="L829" t="s">
        <v>257</v>
      </c>
      <c r="M829" t="s">
        <v>258</v>
      </c>
      <c r="N829" s="5">
        <v>0</v>
      </c>
    </row>
    <row r="830" spans="1:14" x14ac:dyDescent="0.25">
      <c r="A830" t="s">
        <v>1371</v>
      </c>
      <c r="B830" t="s">
        <v>96</v>
      </c>
      <c r="C830" t="str">
        <f>_xlfn.XLOOKUP(Table6[[#This Row],[app_id]],Table5[app_id],Table5[app_name],"",0)</f>
        <v>MoveNow</v>
      </c>
      <c r="D830" t="str">
        <f>_xlfn.XLOOKUP(Table6[[#This Row],[app_id]],Table5[app_id],Table5[category],"",0)</f>
        <v>Fitness</v>
      </c>
      <c r="E830" t="s">
        <v>546</v>
      </c>
      <c r="F830" t="s">
        <v>538</v>
      </c>
      <c r="G830" t="s">
        <v>46</v>
      </c>
      <c r="H830" t="s">
        <v>535</v>
      </c>
      <c r="I830">
        <v>12</v>
      </c>
      <c r="J830">
        <v>36</v>
      </c>
      <c r="K830" t="s">
        <v>258</v>
      </c>
      <c r="L830" t="s">
        <v>258</v>
      </c>
      <c r="M830" t="s">
        <v>257</v>
      </c>
      <c r="N830" s="5">
        <v>0</v>
      </c>
    </row>
    <row r="831" spans="1:14" x14ac:dyDescent="0.25">
      <c r="A831" t="s">
        <v>1372</v>
      </c>
      <c r="B831" t="s">
        <v>98</v>
      </c>
      <c r="C831" t="str">
        <f>_xlfn.XLOOKUP(Table6[[#This Row],[app_id]],Table5[app_id],Table5[app_name],"",0)</f>
        <v>ActiveMate</v>
      </c>
      <c r="D831" t="str">
        <f>_xlfn.XLOOKUP(Table6[[#This Row],[app_id]],Table5[app_id],Table5[category],"",0)</f>
        <v>Fitness</v>
      </c>
      <c r="E831" t="s">
        <v>537</v>
      </c>
      <c r="F831" t="s">
        <v>534</v>
      </c>
      <c r="G831" t="s">
        <v>30</v>
      </c>
      <c r="H831" t="s">
        <v>535</v>
      </c>
      <c r="I831">
        <v>56</v>
      </c>
      <c r="J831">
        <v>20.399999999999999</v>
      </c>
      <c r="K831" t="s">
        <v>257</v>
      </c>
      <c r="L831" t="s">
        <v>258</v>
      </c>
      <c r="M831" t="s">
        <v>257</v>
      </c>
      <c r="N831" s="5">
        <v>11.44</v>
      </c>
    </row>
    <row r="832" spans="1:14" x14ac:dyDescent="0.25">
      <c r="A832" t="s">
        <v>1373</v>
      </c>
      <c r="B832" t="s">
        <v>100</v>
      </c>
      <c r="C832" t="str">
        <f>_xlfn.XLOOKUP(Table6[[#This Row],[app_id]],Table5[app_id],Table5[app_name],"",0)</f>
        <v>RunGo</v>
      </c>
      <c r="D832" t="str">
        <f>_xlfn.XLOOKUP(Table6[[#This Row],[app_id]],Table5[app_id],Table5[category],"",0)</f>
        <v>Fitness</v>
      </c>
      <c r="E832" t="s">
        <v>533</v>
      </c>
      <c r="F832" t="s">
        <v>538</v>
      </c>
      <c r="G832" t="s">
        <v>30</v>
      </c>
      <c r="H832" t="s">
        <v>535</v>
      </c>
      <c r="I832">
        <v>12</v>
      </c>
      <c r="J832">
        <v>18.100000000000001</v>
      </c>
      <c r="K832" t="s">
        <v>258</v>
      </c>
      <c r="L832" t="s">
        <v>257</v>
      </c>
      <c r="M832" t="s">
        <v>258</v>
      </c>
      <c r="N832" s="5">
        <v>0</v>
      </c>
    </row>
    <row r="833" spans="1:14" x14ac:dyDescent="0.25">
      <c r="A833" t="s">
        <v>1374</v>
      </c>
      <c r="B833" t="s">
        <v>102</v>
      </c>
      <c r="C833" t="str">
        <f>_xlfn.XLOOKUP(Table6[[#This Row],[app_id]],Table5[app_id],Table5[app_name],"",0)</f>
        <v>LiftPro</v>
      </c>
      <c r="D833" t="str">
        <f>_xlfn.XLOOKUP(Table6[[#This Row],[app_id]],Table5[app_id],Table5[category],"",0)</f>
        <v>Fitness</v>
      </c>
      <c r="E833" t="s">
        <v>552</v>
      </c>
      <c r="F833" t="s">
        <v>534</v>
      </c>
      <c r="G833" t="s">
        <v>30</v>
      </c>
      <c r="H833" t="s">
        <v>535</v>
      </c>
      <c r="I833">
        <v>10</v>
      </c>
      <c r="J833">
        <v>26.2</v>
      </c>
      <c r="K833" t="s">
        <v>258</v>
      </c>
      <c r="L833" t="s">
        <v>258</v>
      </c>
      <c r="M833" t="s">
        <v>257</v>
      </c>
      <c r="N833" s="5">
        <v>0</v>
      </c>
    </row>
    <row r="834" spans="1:14" x14ac:dyDescent="0.25">
      <c r="A834" t="s">
        <v>1375</v>
      </c>
      <c r="B834" t="s">
        <v>104</v>
      </c>
      <c r="C834" t="str">
        <f>_xlfn.XLOOKUP(Table6[[#This Row],[app_id]],Table5[app_id],Table5[app_name],"",0)</f>
        <v>LiftPro</v>
      </c>
      <c r="D834" t="str">
        <f>_xlfn.XLOOKUP(Table6[[#This Row],[app_id]],Table5[app_id],Table5[category],"",0)</f>
        <v>Fitness</v>
      </c>
      <c r="E834" t="s">
        <v>537</v>
      </c>
      <c r="F834" t="s">
        <v>534</v>
      </c>
      <c r="G834" t="s">
        <v>23</v>
      </c>
      <c r="H834" t="s">
        <v>535</v>
      </c>
      <c r="I834">
        <v>67</v>
      </c>
      <c r="J834">
        <v>25.7</v>
      </c>
      <c r="K834" t="s">
        <v>257</v>
      </c>
      <c r="L834" t="s">
        <v>257</v>
      </c>
      <c r="M834" t="s">
        <v>257</v>
      </c>
      <c r="N834" s="5">
        <v>0</v>
      </c>
    </row>
    <row r="835" spans="1:14" x14ac:dyDescent="0.25">
      <c r="A835" t="s">
        <v>1376</v>
      </c>
      <c r="B835" t="s">
        <v>105</v>
      </c>
      <c r="C835" t="str">
        <f>_xlfn.XLOOKUP(Table6[[#This Row],[app_id]],Table5[app_id],Table5[app_name],"",0)</f>
        <v>Liftly</v>
      </c>
      <c r="D835" t="str">
        <f>_xlfn.XLOOKUP(Table6[[#This Row],[app_id]],Table5[app_id],Table5[category],"",0)</f>
        <v>Fitness</v>
      </c>
      <c r="E835" t="s">
        <v>546</v>
      </c>
      <c r="F835" t="s">
        <v>538</v>
      </c>
      <c r="G835" t="s">
        <v>30</v>
      </c>
      <c r="H835" t="s">
        <v>535</v>
      </c>
      <c r="I835">
        <v>39</v>
      </c>
      <c r="J835">
        <v>29.6</v>
      </c>
      <c r="K835" t="s">
        <v>257</v>
      </c>
      <c r="L835" t="s">
        <v>258</v>
      </c>
      <c r="M835" t="s">
        <v>258</v>
      </c>
      <c r="N835" s="5">
        <v>47.67</v>
      </c>
    </row>
    <row r="836" spans="1:14" x14ac:dyDescent="0.25">
      <c r="A836" t="s">
        <v>1377</v>
      </c>
      <c r="B836" t="s">
        <v>107</v>
      </c>
      <c r="C836" t="str">
        <f>_xlfn.XLOOKUP(Table6[[#This Row],[app_id]],Table5[app_id],Table5[app_name],"",0)</f>
        <v>YogaHub</v>
      </c>
      <c r="D836" t="str">
        <f>_xlfn.XLOOKUP(Table6[[#This Row],[app_id]],Table5[app_id],Table5[category],"",0)</f>
        <v>Fitness</v>
      </c>
      <c r="E836" t="s">
        <v>546</v>
      </c>
      <c r="F836" t="s">
        <v>538</v>
      </c>
      <c r="G836" t="s">
        <v>69</v>
      </c>
      <c r="H836" t="s">
        <v>535</v>
      </c>
      <c r="I836">
        <v>13</v>
      </c>
      <c r="J836">
        <v>40.1</v>
      </c>
      <c r="K836" t="s">
        <v>258</v>
      </c>
      <c r="L836" t="s">
        <v>257</v>
      </c>
      <c r="M836" t="s">
        <v>258</v>
      </c>
      <c r="N836" s="5">
        <v>0</v>
      </c>
    </row>
    <row r="837" spans="1:14" x14ac:dyDescent="0.25">
      <c r="A837" t="s">
        <v>1378</v>
      </c>
      <c r="B837" t="s">
        <v>109</v>
      </c>
      <c r="C837" t="str">
        <f>_xlfn.XLOOKUP(Table6[[#This Row],[app_id]],Table5[app_id],Table5[app_name],"",0)</f>
        <v>MoveGo</v>
      </c>
      <c r="D837" t="str">
        <f>_xlfn.XLOOKUP(Table6[[#This Row],[app_id]],Table5[app_id],Table5[category],"",0)</f>
        <v>Fitness</v>
      </c>
      <c r="E837" t="s">
        <v>546</v>
      </c>
      <c r="F837" t="s">
        <v>534</v>
      </c>
      <c r="G837" t="s">
        <v>23</v>
      </c>
      <c r="H837" t="s">
        <v>535</v>
      </c>
      <c r="I837">
        <v>29</v>
      </c>
      <c r="J837">
        <v>38.700000000000003</v>
      </c>
      <c r="K837" t="s">
        <v>257</v>
      </c>
      <c r="L837" t="s">
        <v>257</v>
      </c>
      <c r="M837" t="s">
        <v>258</v>
      </c>
      <c r="N837" s="5">
        <v>0</v>
      </c>
    </row>
    <row r="838" spans="1:14" x14ac:dyDescent="0.25">
      <c r="A838" t="s">
        <v>1379</v>
      </c>
      <c r="B838" t="s">
        <v>111</v>
      </c>
      <c r="C838" t="str">
        <f>_xlfn.XLOOKUP(Table6[[#This Row],[app_id]],Table5[app_id],Table5[app_name],"",0)</f>
        <v>BrightNow</v>
      </c>
      <c r="D838" t="str">
        <f>_xlfn.XLOOKUP(Table6[[#This Row],[app_id]],Table5[app_id],Table5[category],"",0)</f>
        <v>Education</v>
      </c>
      <c r="E838" t="s">
        <v>533</v>
      </c>
      <c r="F838" t="s">
        <v>538</v>
      </c>
      <c r="G838" t="s">
        <v>23</v>
      </c>
      <c r="H838" t="s">
        <v>535</v>
      </c>
      <c r="I838">
        <v>22</v>
      </c>
      <c r="J838">
        <v>8.6</v>
      </c>
      <c r="K838" t="s">
        <v>258</v>
      </c>
      <c r="L838" t="s">
        <v>258</v>
      </c>
      <c r="M838" t="s">
        <v>258</v>
      </c>
      <c r="N838" s="5">
        <v>0</v>
      </c>
    </row>
    <row r="839" spans="1:14" x14ac:dyDescent="0.25">
      <c r="A839" t="s">
        <v>1380</v>
      </c>
      <c r="B839" t="s">
        <v>114</v>
      </c>
      <c r="C839" t="str">
        <f>_xlfn.XLOOKUP(Table6[[#This Row],[app_id]],Table5[app_id],Table5[app_name],"",0)</f>
        <v>StudyCloud</v>
      </c>
      <c r="D839" t="str">
        <f>_xlfn.XLOOKUP(Table6[[#This Row],[app_id]],Table5[app_id],Table5[category],"",0)</f>
        <v>Education</v>
      </c>
      <c r="E839" t="s">
        <v>533</v>
      </c>
      <c r="F839" t="s">
        <v>534</v>
      </c>
      <c r="G839" t="s">
        <v>46</v>
      </c>
      <c r="H839" t="s">
        <v>535</v>
      </c>
      <c r="I839">
        <v>68</v>
      </c>
      <c r="J839">
        <v>25.4</v>
      </c>
      <c r="K839" t="s">
        <v>257</v>
      </c>
      <c r="L839" t="s">
        <v>257</v>
      </c>
      <c r="M839" t="s">
        <v>257</v>
      </c>
      <c r="N839" s="5">
        <v>18.38</v>
      </c>
    </row>
    <row r="840" spans="1:14" x14ac:dyDescent="0.25">
      <c r="A840" t="s">
        <v>1381</v>
      </c>
      <c r="B840" t="s">
        <v>116</v>
      </c>
      <c r="C840" t="str">
        <f>_xlfn.XLOOKUP(Table6[[#This Row],[app_id]],Table5[app_id],Table5[app_name],"",0)</f>
        <v>SkillNow</v>
      </c>
      <c r="D840" t="str">
        <f>_xlfn.XLOOKUP(Table6[[#This Row],[app_id]],Table5[app_id],Table5[category],"",0)</f>
        <v>Education</v>
      </c>
      <c r="E840" t="s">
        <v>537</v>
      </c>
      <c r="F840" t="s">
        <v>548</v>
      </c>
      <c r="G840" t="s">
        <v>35</v>
      </c>
      <c r="H840" t="s">
        <v>535</v>
      </c>
      <c r="I840">
        <v>6</v>
      </c>
      <c r="J840">
        <v>30</v>
      </c>
      <c r="K840" t="s">
        <v>258</v>
      </c>
      <c r="L840" t="s">
        <v>257</v>
      </c>
      <c r="M840" t="s">
        <v>258</v>
      </c>
      <c r="N840" s="5">
        <v>0</v>
      </c>
    </row>
    <row r="841" spans="1:14" x14ac:dyDescent="0.25">
      <c r="A841" t="s">
        <v>1382</v>
      </c>
      <c r="B841" t="s">
        <v>118</v>
      </c>
      <c r="C841" t="str">
        <f>_xlfn.XLOOKUP(Table6[[#This Row],[app_id]],Table5[app_id],Table5[app_name],"",0)</f>
        <v>LearnMate</v>
      </c>
      <c r="D841" t="str">
        <f>_xlfn.XLOOKUP(Table6[[#This Row],[app_id]],Table5[app_id],Table5[category],"",0)</f>
        <v>Education</v>
      </c>
      <c r="E841" t="s">
        <v>546</v>
      </c>
      <c r="F841" t="s">
        <v>534</v>
      </c>
      <c r="G841" t="s">
        <v>18</v>
      </c>
      <c r="H841" t="s">
        <v>535</v>
      </c>
      <c r="I841">
        <v>83</v>
      </c>
      <c r="J841">
        <v>35.299999999999997</v>
      </c>
      <c r="K841" t="s">
        <v>257</v>
      </c>
      <c r="L841" t="s">
        <v>257</v>
      </c>
      <c r="M841" t="s">
        <v>258</v>
      </c>
      <c r="N841" s="5">
        <v>0</v>
      </c>
    </row>
    <row r="842" spans="1:14" x14ac:dyDescent="0.25">
      <c r="A842" t="s">
        <v>1383</v>
      </c>
      <c r="B842" t="s">
        <v>120</v>
      </c>
      <c r="C842" t="str">
        <f>_xlfn.XLOOKUP(Table6[[#This Row],[app_id]],Table5[app_id],Table5[app_name],"",0)</f>
        <v>QuestNow</v>
      </c>
      <c r="D842" t="str">
        <f>_xlfn.XLOOKUP(Table6[[#This Row],[app_id]],Table5[app_id],Table5[category],"",0)</f>
        <v>Education</v>
      </c>
      <c r="E842" t="s">
        <v>546</v>
      </c>
      <c r="F842" t="s">
        <v>534</v>
      </c>
      <c r="G842" t="s">
        <v>35</v>
      </c>
      <c r="H842" t="s">
        <v>535</v>
      </c>
      <c r="I842">
        <v>81</v>
      </c>
      <c r="J842">
        <v>19.2</v>
      </c>
      <c r="K842" t="s">
        <v>257</v>
      </c>
      <c r="L842" t="s">
        <v>257</v>
      </c>
      <c r="M842" t="s">
        <v>258</v>
      </c>
      <c r="N842" s="5">
        <v>29.96</v>
      </c>
    </row>
    <row r="843" spans="1:14" x14ac:dyDescent="0.25">
      <c r="A843" t="s">
        <v>1384</v>
      </c>
      <c r="B843" t="s">
        <v>122</v>
      </c>
      <c r="C843" t="str">
        <f>_xlfn.XLOOKUP(Table6[[#This Row],[app_id]],Table5[app_id],Table5[app_name],"",0)</f>
        <v>SkillHub</v>
      </c>
      <c r="D843" t="str">
        <f>_xlfn.XLOOKUP(Table6[[#This Row],[app_id]],Table5[app_id],Table5[category],"",0)</f>
        <v>Education</v>
      </c>
      <c r="E843" t="s">
        <v>533</v>
      </c>
      <c r="F843" t="s">
        <v>538</v>
      </c>
      <c r="G843" t="s">
        <v>23</v>
      </c>
      <c r="H843" t="s">
        <v>540</v>
      </c>
      <c r="I843">
        <v>26</v>
      </c>
      <c r="J843">
        <v>15.4</v>
      </c>
      <c r="K843" t="s">
        <v>258</v>
      </c>
      <c r="L843" t="s">
        <v>258</v>
      </c>
      <c r="M843" t="s">
        <v>257</v>
      </c>
      <c r="N843" s="5">
        <v>0</v>
      </c>
    </row>
    <row r="844" spans="1:14" x14ac:dyDescent="0.25">
      <c r="A844" t="s">
        <v>1385</v>
      </c>
      <c r="B844" t="s">
        <v>124</v>
      </c>
      <c r="C844" t="str">
        <f>_xlfn.XLOOKUP(Table6[[#This Row],[app_id]],Table5[app_id],Table5[app_name],"",0)</f>
        <v>TutorCloud</v>
      </c>
      <c r="D844" t="str">
        <f>_xlfn.XLOOKUP(Table6[[#This Row],[app_id]],Table5[app_id],Table5[category],"",0)</f>
        <v>Education</v>
      </c>
      <c r="E844" t="s">
        <v>557</v>
      </c>
      <c r="F844" t="s">
        <v>538</v>
      </c>
      <c r="G844" t="s">
        <v>35</v>
      </c>
      <c r="H844" t="s">
        <v>535</v>
      </c>
      <c r="I844">
        <v>38</v>
      </c>
      <c r="J844">
        <v>21.6</v>
      </c>
      <c r="K844" t="s">
        <v>257</v>
      </c>
      <c r="L844" t="s">
        <v>258</v>
      </c>
      <c r="M844" t="s">
        <v>257</v>
      </c>
      <c r="N844" s="5">
        <v>4.96</v>
      </c>
    </row>
    <row r="845" spans="1:14" x14ac:dyDescent="0.25">
      <c r="A845" t="s">
        <v>1386</v>
      </c>
      <c r="B845" t="s">
        <v>126</v>
      </c>
      <c r="C845" t="str">
        <f>_xlfn.XLOOKUP(Table6[[#This Row],[app_id]],Table5[app_id],Table5[app_name],"",0)</f>
        <v>SkillOne</v>
      </c>
      <c r="D845" t="str">
        <f>_xlfn.XLOOKUP(Table6[[#This Row],[app_id]],Table5[app_id],Table5[category],"",0)</f>
        <v>Education</v>
      </c>
      <c r="E845" t="s">
        <v>557</v>
      </c>
      <c r="F845" t="s">
        <v>538</v>
      </c>
      <c r="G845" t="s">
        <v>26</v>
      </c>
      <c r="H845" t="s">
        <v>535</v>
      </c>
      <c r="I845">
        <v>21</v>
      </c>
      <c r="J845">
        <v>29</v>
      </c>
      <c r="K845" t="s">
        <v>258</v>
      </c>
      <c r="L845" t="s">
        <v>257</v>
      </c>
      <c r="M845" t="s">
        <v>258</v>
      </c>
      <c r="N845" s="5">
        <v>0</v>
      </c>
    </row>
    <row r="846" spans="1:14" x14ac:dyDescent="0.25">
      <c r="A846" t="s">
        <v>1387</v>
      </c>
      <c r="B846" t="s">
        <v>128</v>
      </c>
      <c r="C846" t="str">
        <f>_xlfn.XLOOKUP(Table6[[#This Row],[app_id]],Table5[app_id],Table5[app_name],"",0)</f>
        <v>LearnOne</v>
      </c>
      <c r="D846" t="str">
        <f>_xlfn.XLOOKUP(Table6[[#This Row],[app_id]],Table5[app_id],Table5[category],"",0)</f>
        <v>Education</v>
      </c>
      <c r="E846" t="s">
        <v>533</v>
      </c>
      <c r="F846" t="s">
        <v>538</v>
      </c>
      <c r="G846" t="s">
        <v>18</v>
      </c>
      <c r="H846" t="s">
        <v>535</v>
      </c>
      <c r="I846">
        <v>88</v>
      </c>
      <c r="J846">
        <v>36.299999999999997</v>
      </c>
      <c r="K846" t="s">
        <v>257</v>
      </c>
      <c r="L846" t="s">
        <v>257</v>
      </c>
      <c r="M846" t="s">
        <v>258</v>
      </c>
      <c r="N846" s="5">
        <v>0</v>
      </c>
    </row>
    <row r="847" spans="1:14" x14ac:dyDescent="0.25">
      <c r="A847" t="s">
        <v>1388</v>
      </c>
      <c r="B847" t="s">
        <v>130</v>
      </c>
      <c r="C847" t="str">
        <f>_xlfn.XLOOKUP(Table6[[#This Row],[app_id]],Table5[app_id],Table5[app_name],"",0)</f>
        <v>LearnPlus</v>
      </c>
      <c r="D847" t="str">
        <f>_xlfn.XLOOKUP(Table6[[#This Row],[app_id]],Table5[app_id],Table5[category],"",0)</f>
        <v>Education</v>
      </c>
      <c r="E847" t="s">
        <v>546</v>
      </c>
      <c r="F847" t="s">
        <v>538</v>
      </c>
      <c r="G847" t="s">
        <v>23</v>
      </c>
      <c r="H847" t="s">
        <v>535</v>
      </c>
      <c r="I847">
        <v>92</v>
      </c>
      <c r="J847">
        <v>33.9</v>
      </c>
      <c r="K847" t="s">
        <v>257</v>
      </c>
      <c r="L847" t="s">
        <v>257</v>
      </c>
      <c r="M847" t="s">
        <v>258</v>
      </c>
      <c r="N847" s="5">
        <v>48.77</v>
      </c>
    </row>
    <row r="848" spans="1:14" x14ac:dyDescent="0.25">
      <c r="A848" t="s">
        <v>1389</v>
      </c>
      <c r="B848" t="s">
        <v>132</v>
      </c>
      <c r="C848" t="str">
        <f>_xlfn.XLOOKUP(Table6[[#This Row],[app_id]],Table5[app_id],Table5[app_name],"",0)</f>
        <v>StudyPlus</v>
      </c>
      <c r="D848" t="str">
        <f>_xlfn.XLOOKUP(Table6[[#This Row],[app_id]],Table5[app_id],Table5[category],"",0)</f>
        <v>Education</v>
      </c>
      <c r="E848" t="s">
        <v>546</v>
      </c>
      <c r="F848" t="s">
        <v>538</v>
      </c>
      <c r="G848" t="s">
        <v>26</v>
      </c>
      <c r="H848" t="s">
        <v>535</v>
      </c>
      <c r="I848">
        <v>12</v>
      </c>
      <c r="J848">
        <v>16.5</v>
      </c>
      <c r="K848" t="s">
        <v>258</v>
      </c>
      <c r="L848" t="s">
        <v>258</v>
      </c>
      <c r="M848" t="s">
        <v>257</v>
      </c>
      <c r="N848" s="5">
        <v>0</v>
      </c>
    </row>
    <row r="849" spans="1:14" x14ac:dyDescent="0.25">
      <c r="A849" t="s">
        <v>1390</v>
      </c>
      <c r="B849" t="s">
        <v>134</v>
      </c>
      <c r="C849" t="str">
        <f>_xlfn.XLOOKUP(Table6[[#This Row],[app_id]],Table5[app_id],Table5[app_name],"",0)</f>
        <v>StudyX</v>
      </c>
      <c r="D849" t="str">
        <f>_xlfn.XLOOKUP(Table6[[#This Row],[app_id]],Table5[app_id],Table5[category],"",0)</f>
        <v>Education</v>
      </c>
      <c r="E849" t="s">
        <v>533</v>
      </c>
      <c r="F849" t="s">
        <v>538</v>
      </c>
      <c r="G849" t="s">
        <v>69</v>
      </c>
      <c r="H849" t="s">
        <v>535</v>
      </c>
      <c r="I849">
        <v>18</v>
      </c>
      <c r="J849">
        <v>33.299999999999997</v>
      </c>
      <c r="K849" t="s">
        <v>258</v>
      </c>
      <c r="L849" t="s">
        <v>257</v>
      </c>
      <c r="M849" t="s">
        <v>258</v>
      </c>
      <c r="N849" s="5">
        <v>52.32</v>
      </c>
    </row>
    <row r="850" spans="1:14" x14ac:dyDescent="0.25">
      <c r="A850" t="s">
        <v>1391</v>
      </c>
      <c r="B850" t="s">
        <v>136</v>
      </c>
      <c r="C850" t="str">
        <f>_xlfn.XLOOKUP(Table6[[#This Row],[app_id]],Table5[app_id],Table5[app_name],"",0)</f>
        <v>PlayPlus</v>
      </c>
      <c r="D850" t="str">
        <f>_xlfn.XLOOKUP(Table6[[#This Row],[app_id]],Table5[app_id],Table5[category],"",0)</f>
        <v>Entertainment</v>
      </c>
      <c r="E850" t="s">
        <v>533</v>
      </c>
      <c r="F850" t="s">
        <v>538</v>
      </c>
      <c r="G850" t="s">
        <v>35</v>
      </c>
      <c r="H850" t="s">
        <v>535</v>
      </c>
      <c r="I850">
        <v>28</v>
      </c>
      <c r="J850">
        <v>16.2</v>
      </c>
      <c r="K850" t="s">
        <v>258</v>
      </c>
      <c r="L850" t="s">
        <v>257</v>
      </c>
      <c r="M850" t="s">
        <v>257</v>
      </c>
      <c r="N850" s="5">
        <v>0</v>
      </c>
    </row>
    <row r="851" spans="1:14" x14ac:dyDescent="0.25">
      <c r="A851" t="s">
        <v>1392</v>
      </c>
      <c r="B851" t="s">
        <v>139</v>
      </c>
      <c r="C851" t="str">
        <f>_xlfn.XLOOKUP(Table6[[#This Row],[app_id]],Table5[app_id],Table5[app_name],"",0)</f>
        <v>ShowMate</v>
      </c>
      <c r="D851" t="str">
        <f>_xlfn.XLOOKUP(Table6[[#This Row],[app_id]],Table5[app_id],Table5[category],"",0)</f>
        <v>Entertainment</v>
      </c>
      <c r="E851" t="s">
        <v>533</v>
      </c>
      <c r="F851" t="s">
        <v>534</v>
      </c>
      <c r="G851" t="s">
        <v>18</v>
      </c>
      <c r="H851" t="s">
        <v>535</v>
      </c>
      <c r="I851">
        <v>3</v>
      </c>
      <c r="J851">
        <v>26.6</v>
      </c>
      <c r="K851" t="s">
        <v>258</v>
      </c>
      <c r="L851" t="s">
        <v>257</v>
      </c>
      <c r="M851" t="s">
        <v>258</v>
      </c>
      <c r="N851" s="5">
        <v>0</v>
      </c>
    </row>
    <row r="852" spans="1:14" x14ac:dyDescent="0.25">
      <c r="A852" t="s">
        <v>1393</v>
      </c>
      <c r="B852" t="s">
        <v>141</v>
      </c>
      <c r="C852" t="str">
        <f>_xlfn.XLOOKUP(Table6[[#This Row],[app_id]],Table5[app_id],Table5[app_name],"",0)</f>
        <v>VibeX</v>
      </c>
      <c r="D852" t="str">
        <f>_xlfn.XLOOKUP(Table6[[#This Row],[app_id]],Table5[app_id],Table5[category],"",0)</f>
        <v>Entertainment</v>
      </c>
      <c r="E852" t="s">
        <v>537</v>
      </c>
      <c r="F852" t="s">
        <v>534</v>
      </c>
      <c r="G852" t="s">
        <v>30</v>
      </c>
      <c r="H852" t="s">
        <v>535</v>
      </c>
      <c r="I852">
        <v>29</v>
      </c>
      <c r="J852">
        <v>14.4</v>
      </c>
      <c r="K852" t="s">
        <v>257</v>
      </c>
      <c r="L852" t="s">
        <v>257</v>
      </c>
      <c r="M852" t="s">
        <v>258</v>
      </c>
      <c r="N852" s="5">
        <v>10.45</v>
      </c>
    </row>
    <row r="853" spans="1:14" x14ac:dyDescent="0.25">
      <c r="A853" t="s">
        <v>1394</v>
      </c>
      <c r="B853" t="s">
        <v>143</v>
      </c>
      <c r="C853" t="str">
        <f>_xlfn.XLOOKUP(Table6[[#This Row],[app_id]],Table5[app_id],Table5[app_name],"",0)</f>
        <v>BuzzNow</v>
      </c>
      <c r="D853" t="str">
        <f>_xlfn.XLOOKUP(Table6[[#This Row],[app_id]],Table5[app_id],Table5[category],"",0)</f>
        <v>Entertainment</v>
      </c>
      <c r="E853" t="s">
        <v>537</v>
      </c>
      <c r="F853" t="s">
        <v>538</v>
      </c>
      <c r="G853" t="s">
        <v>35</v>
      </c>
      <c r="H853" t="s">
        <v>535</v>
      </c>
      <c r="I853">
        <v>85</v>
      </c>
      <c r="J853">
        <v>26.1</v>
      </c>
      <c r="K853" t="s">
        <v>257</v>
      </c>
      <c r="L853" t="s">
        <v>257</v>
      </c>
      <c r="M853" t="s">
        <v>258</v>
      </c>
      <c r="N853" s="5">
        <v>0</v>
      </c>
    </row>
    <row r="854" spans="1:14" x14ac:dyDescent="0.25">
      <c r="A854" t="s">
        <v>1395</v>
      </c>
      <c r="B854" t="s">
        <v>145</v>
      </c>
      <c r="C854" t="str">
        <f>_xlfn.XLOOKUP(Table6[[#This Row],[app_id]],Table5[app_id],Table5[app_name],"",0)</f>
        <v>StreamPlus</v>
      </c>
      <c r="D854" t="str">
        <f>_xlfn.XLOOKUP(Table6[[#This Row],[app_id]],Table5[app_id],Table5[category],"",0)</f>
        <v>Entertainment</v>
      </c>
      <c r="E854" t="s">
        <v>537</v>
      </c>
      <c r="F854" t="s">
        <v>534</v>
      </c>
      <c r="G854" t="s">
        <v>69</v>
      </c>
      <c r="H854" t="s">
        <v>535</v>
      </c>
      <c r="I854">
        <v>1</v>
      </c>
      <c r="J854">
        <v>23.1</v>
      </c>
      <c r="K854" t="s">
        <v>258</v>
      </c>
      <c r="L854" t="s">
        <v>257</v>
      </c>
      <c r="M854" t="s">
        <v>258</v>
      </c>
      <c r="N854" s="5">
        <v>0</v>
      </c>
    </row>
    <row r="855" spans="1:14" x14ac:dyDescent="0.25">
      <c r="A855" t="s">
        <v>1396</v>
      </c>
      <c r="B855" t="s">
        <v>147</v>
      </c>
      <c r="C855" t="str">
        <f>_xlfn.XLOOKUP(Table6[[#This Row],[app_id]],Table5[app_id],Table5[app_name],"",0)</f>
        <v>Showly</v>
      </c>
      <c r="D855" t="str">
        <f>_xlfn.XLOOKUP(Table6[[#This Row],[app_id]],Table5[app_id],Table5[category],"",0)</f>
        <v>Entertainment</v>
      </c>
      <c r="E855" t="s">
        <v>557</v>
      </c>
      <c r="F855" t="s">
        <v>548</v>
      </c>
      <c r="G855" t="s">
        <v>23</v>
      </c>
      <c r="H855" t="s">
        <v>535</v>
      </c>
      <c r="I855">
        <v>5</v>
      </c>
      <c r="J855">
        <v>39.700000000000003</v>
      </c>
      <c r="K855" t="s">
        <v>258</v>
      </c>
      <c r="L855" t="s">
        <v>258</v>
      </c>
      <c r="M855" t="s">
        <v>258</v>
      </c>
      <c r="N855" s="5">
        <v>0</v>
      </c>
    </row>
    <row r="856" spans="1:14" x14ac:dyDescent="0.25">
      <c r="A856" t="s">
        <v>1397</v>
      </c>
      <c r="B856" t="s">
        <v>149</v>
      </c>
      <c r="C856" t="str">
        <f>_xlfn.XLOOKUP(Table6[[#This Row],[app_id]],Table5[app_id],Table5[app_name],"",0)</f>
        <v>BuzzOne</v>
      </c>
      <c r="D856" t="str">
        <f>_xlfn.XLOOKUP(Table6[[#This Row],[app_id]],Table5[app_id],Table5[category],"",0)</f>
        <v>Entertainment</v>
      </c>
      <c r="E856" t="s">
        <v>533</v>
      </c>
      <c r="F856" t="s">
        <v>534</v>
      </c>
      <c r="G856" t="s">
        <v>46</v>
      </c>
      <c r="H856" t="s">
        <v>535</v>
      </c>
      <c r="I856">
        <v>12</v>
      </c>
      <c r="J856">
        <v>12.3</v>
      </c>
      <c r="K856" t="s">
        <v>258</v>
      </c>
      <c r="L856" t="s">
        <v>258</v>
      </c>
      <c r="M856" t="s">
        <v>257</v>
      </c>
      <c r="N856" s="5">
        <v>0</v>
      </c>
    </row>
    <row r="857" spans="1:14" x14ac:dyDescent="0.25">
      <c r="A857" t="s">
        <v>1398</v>
      </c>
      <c r="B857" t="s">
        <v>151</v>
      </c>
      <c r="C857" t="str">
        <f>_xlfn.XLOOKUP(Table6[[#This Row],[app_id]],Table5[app_id],Table5[app_name],"",0)</f>
        <v>PlayHub</v>
      </c>
      <c r="D857" t="str">
        <f>_xlfn.XLOOKUP(Table6[[#This Row],[app_id]],Table5[app_id],Table5[category],"",0)</f>
        <v>Entertainment</v>
      </c>
      <c r="E857" t="s">
        <v>537</v>
      </c>
      <c r="F857" t="s">
        <v>534</v>
      </c>
      <c r="G857" t="s">
        <v>35</v>
      </c>
      <c r="H857" t="s">
        <v>535</v>
      </c>
      <c r="I857">
        <v>1</v>
      </c>
      <c r="J857">
        <v>19.7</v>
      </c>
      <c r="K857" t="s">
        <v>258</v>
      </c>
      <c r="L857" t="s">
        <v>258</v>
      </c>
      <c r="M857" t="s">
        <v>257</v>
      </c>
      <c r="N857" s="5">
        <v>0</v>
      </c>
    </row>
    <row r="858" spans="1:14" x14ac:dyDescent="0.25">
      <c r="A858" t="s">
        <v>1399</v>
      </c>
      <c r="B858" t="s">
        <v>153</v>
      </c>
      <c r="C858" t="str">
        <f>_xlfn.XLOOKUP(Table6[[#This Row],[app_id]],Table5[app_id],Table5[app_name],"",0)</f>
        <v>CinemaGo</v>
      </c>
      <c r="D858" t="str">
        <f>_xlfn.XLOOKUP(Table6[[#This Row],[app_id]],Table5[app_id],Table5[category],"",0)</f>
        <v>Entertainment</v>
      </c>
      <c r="E858" t="s">
        <v>533</v>
      </c>
      <c r="F858" t="s">
        <v>538</v>
      </c>
      <c r="G858" t="s">
        <v>26</v>
      </c>
      <c r="H858" t="s">
        <v>535</v>
      </c>
      <c r="I858">
        <v>50</v>
      </c>
      <c r="J858">
        <v>16.7</v>
      </c>
      <c r="K858" t="s">
        <v>257</v>
      </c>
      <c r="L858" t="s">
        <v>258</v>
      </c>
      <c r="M858" t="s">
        <v>257</v>
      </c>
      <c r="N858" s="5">
        <v>0</v>
      </c>
    </row>
    <row r="859" spans="1:14" x14ac:dyDescent="0.25">
      <c r="A859" t="s">
        <v>1400</v>
      </c>
      <c r="B859" t="s">
        <v>155</v>
      </c>
      <c r="C859" t="str">
        <f>_xlfn.XLOOKUP(Table6[[#This Row],[app_id]],Table5[app_id],Table5[app_name],"",0)</f>
        <v>LaughX</v>
      </c>
      <c r="D859" t="str">
        <f>_xlfn.XLOOKUP(Table6[[#This Row],[app_id]],Table5[app_id],Table5[category],"",0)</f>
        <v>Entertainment</v>
      </c>
      <c r="E859" t="s">
        <v>533</v>
      </c>
      <c r="F859" t="s">
        <v>538</v>
      </c>
      <c r="G859" t="s">
        <v>35</v>
      </c>
      <c r="H859" t="s">
        <v>535</v>
      </c>
      <c r="I859">
        <v>25</v>
      </c>
      <c r="J859">
        <v>9.3000000000000007</v>
      </c>
      <c r="K859" t="s">
        <v>257</v>
      </c>
      <c r="L859" t="s">
        <v>258</v>
      </c>
      <c r="M859" t="s">
        <v>258</v>
      </c>
      <c r="N859" s="5">
        <v>0</v>
      </c>
    </row>
    <row r="860" spans="1:14" x14ac:dyDescent="0.25">
      <c r="A860" t="s">
        <v>1401</v>
      </c>
      <c r="B860" t="s">
        <v>157</v>
      </c>
      <c r="C860" t="str">
        <f>_xlfn.XLOOKUP(Table6[[#This Row],[app_id]],Table5[app_id],Table5[app_name],"",0)</f>
        <v>CinemaHub</v>
      </c>
      <c r="D860" t="str">
        <f>_xlfn.XLOOKUP(Table6[[#This Row],[app_id]],Table5[app_id],Table5[category],"",0)</f>
        <v>Entertainment</v>
      </c>
      <c r="E860" t="s">
        <v>537</v>
      </c>
      <c r="F860" t="s">
        <v>534</v>
      </c>
      <c r="G860" t="s">
        <v>23</v>
      </c>
      <c r="H860" t="s">
        <v>535</v>
      </c>
      <c r="I860">
        <v>25</v>
      </c>
      <c r="J860">
        <v>23</v>
      </c>
      <c r="K860" t="s">
        <v>257</v>
      </c>
      <c r="L860" t="s">
        <v>257</v>
      </c>
      <c r="M860" t="s">
        <v>258</v>
      </c>
      <c r="N860" s="5">
        <v>0</v>
      </c>
    </row>
    <row r="861" spans="1:14" x14ac:dyDescent="0.25">
      <c r="A861" t="s">
        <v>1402</v>
      </c>
      <c r="B861" t="s">
        <v>159</v>
      </c>
      <c r="C861" t="str">
        <f>_xlfn.XLOOKUP(Table6[[#This Row],[app_id]],Table5[app_id],Table5[app_name],"",0)</f>
        <v>ShowPro</v>
      </c>
      <c r="D861" t="str">
        <f>_xlfn.XLOOKUP(Table6[[#This Row],[app_id]],Table5[app_id],Table5[category],"",0)</f>
        <v>Entertainment</v>
      </c>
      <c r="E861" t="s">
        <v>533</v>
      </c>
      <c r="F861" t="s">
        <v>534</v>
      </c>
      <c r="G861" t="s">
        <v>26</v>
      </c>
      <c r="H861" t="s">
        <v>540</v>
      </c>
      <c r="I861">
        <v>8</v>
      </c>
      <c r="J861">
        <v>22.3</v>
      </c>
      <c r="K861" t="s">
        <v>258</v>
      </c>
      <c r="L861" t="s">
        <v>257</v>
      </c>
      <c r="M861" t="s">
        <v>258</v>
      </c>
      <c r="N861" s="5">
        <v>0</v>
      </c>
    </row>
    <row r="862" spans="1:14" x14ac:dyDescent="0.25">
      <c r="A862" t="s">
        <v>1403</v>
      </c>
      <c r="B862" t="s">
        <v>161</v>
      </c>
      <c r="C862" t="str">
        <f>_xlfn.XLOOKUP(Table6[[#This Row],[app_id]],Table5[app_id],Table5[app_name],"",0)</f>
        <v>FoodPlus</v>
      </c>
      <c r="D862" t="str">
        <f>_xlfn.XLOOKUP(Table6[[#This Row],[app_id]],Table5[app_id],Table5[category],"",0)</f>
        <v>Food Delivery</v>
      </c>
      <c r="E862" t="s">
        <v>533</v>
      </c>
      <c r="F862" t="s">
        <v>534</v>
      </c>
      <c r="G862" t="s">
        <v>23</v>
      </c>
      <c r="H862" t="s">
        <v>535</v>
      </c>
      <c r="I862">
        <v>10</v>
      </c>
      <c r="J862">
        <v>8.1999999999999993</v>
      </c>
      <c r="K862" t="s">
        <v>258</v>
      </c>
      <c r="L862" t="s">
        <v>257</v>
      </c>
      <c r="M862" t="s">
        <v>258</v>
      </c>
      <c r="N862" s="5">
        <v>31.53</v>
      </c>
    </row>
    <row r="863" spans="1:14" x14ac:dyDescent="0.25">
      <c r="A863" t="s">
        <v>1404</v>
      </c>
      <c r="B863" t="s">
        <v>164</v>
      </c>
      <c r="C863" t="str">
        <f>_xlfn.XLOOKUP(Table6[[#This Row],[app_id]],Table5[app_id],Table5[app_name],"",0)</f>
        <v>BiteGo</v>
      </c>
      <c r="D863" t="str">
        <f>_xlfn.XLOOKUP(Table6[[#This Row],[app_id]],Table5[app_id],Table5[category],"",0)</f>
        <v>Food Delivery</v>
      </c>
      <c r="E863" t="s">
        <v>552</v>
      </c>
      <c r="F863" t="s">
        <v>538</v>
      </c>
      <c r="G863" t="s">
        <v>18</v>
      </c>
      <c r="H863" t="s">
        <v>535</v>
      </c>
      <c r="I863">
        <v>52</v>
      </c>
      <c r="J863">
        <v>22.8</v>
      </c>
      <c r="K863" t="s">
        <v>257</v>
      </c>
      <c r="L863" t="s">
        <v>258</v>
      </c>
      <c r="M863" t="s">
        <v>258</v>
      </c>
      <c r="N863" s="5">
        <v>0</v>
      </c>
    </row>
    <row r="864" spans="1:14" x14ac:dyDescent="0.25">
      <c r="A864" t="s">
        <v>1405</v>
      </c>
      <c r="B864" t="s">
        <v>166</v>
      </c>
      <c r="C864" t="str">
        <f>_xlfn.XLOOKUP(Table6[[#This Row],[app_id]],Table5[app_id],Table5[app_name],"",0)</f>
        <v>OrderCloud</v>
      </c>
      <c r="D864" t="str">
        <f>_xlfn.XLOOKUP(Table6[[#This Row],[app_id]],Table5[app_id],Table5[category],"",0)</f>
        <v>Food Delivery</v>
      </c>
      <c r="E864" t="s">
        <v>533</v>
      </c>
      <c r="F864" t="s">
        <v>538</v>
      </c>
      <c r="G864" t="s">
        <v>26</v>
      </c>
      <c r="H864" t="s">
        <v>535</v>
      </c>
      <c r="I864">
        <v>6</v>
      </c>
      <c r="J864">
        <v>4.5999999999999996</v>
      </c>
      <c r="K864" t="s">
        <v>258</v>
      </c>
      <c r="L864" t="s">
        <v>258</v>
      </c>
      <c r="M864" t="s">
        <v>257</v>
      </c>
      <c r="N864" s="5">
        <v>0</v>
      </c>
    </row>
    <row r="865" spans="1:14" x14ac:dyDescent="0.25">
      <c r="A865" t="s">
        <v>1406</v>
      </c>
      <c r="B865" t="s">
        <v>168</v>
      </c>
      <c r="C865" t="str">
        <f>_xlfn.XLOOKUP(Table6[[#This Row],[app_id]],Table5[app_id],Table5[app_name],"",0)</f>
        <v>DinePlus</v>
      </c>
      <c r="D865" t="str">
        <f>_xlfn.XLOOKUP(Table6[[#This Row],[app_id]],Table5[app_id],Table5[category],"",0)</f>
        <v>Food Delivery</v>
      </c>
      <c r="E865" t="s">
        <v>546</v>
      </c>
      <c r="F865" t="s">
        <v>538</v>
      </c>
      <c r="G865" t="s">
        <v>26</v>
      </c>
      <c r="H865" t="s">
        <v>535</v>
      </c>
      <c r="I865">
        <v>19</v>
      </c>
      <c r="J865">
        <v>17.8</v>
      </c>
      <c r="K865" t="s">
        <v>258</v>
      </c>
      <c r="L865" t="s">
        <v>258</v>
      </c>
      <c r="M865" t="s">
        <v>258</v>
      </c>
      <c r="N865" s="5">
        <v>38.79</v>
      </c>
    </row>
    <row r="866" spans="1:14" x14ac:dyDescent="0.25">
      <c r="A866" t="s">
        <v>1407</v>
      </c>
      <c r="B866" t="s">
        <v>170</v>
      </c>
      <c r="C866" t="str">
        <f>_xlfn.XLOOKUP(Table6[[#This Row],[app_id]],Table5[app_id],Table5[app_name],"",0)</f>
        <v>SnackX</v>
      </c>
      <c r="D866" t="str">
        <f>_xlfn.XLOOKUP(Table6[[#This Row],[app_id]],Table5[app_id],Table5[category],"",0)</f>
        <v>Food Delivery</v>
      </c>
      <c r="E866" t="s">
        <v>546</v>
      </c>
      <c r="F866" t="s">
        <v>534</v>
      </c>
      <c r="G866" t="s">
        <v>18</v>
      </c>
      <c r="H866" t="s">
        <v>535</v>
      </c>
      <c r="I866">
        <v>4</v>
      </c>
      <c r="J866">
        <v>7.2</v>
      </c>
      <c r="K866" t="s">
        <v>258</v>
      </c>
      <c r="L866" t="s">
        <v>257</v>
      </c>
      <c r="M866" t="s">
        <v>258</v>
      </c>
      <c r="N866" s="5">
        <v>0</v>
      </c>
    </row>
    <row r="867" spans="1:14" x14ac:dyDescent="0.25">
      <c r="A867" t="s">
        <v>1408</v>
      </c>
      <c r="B867" t="s">
        <v>172</v>
      </c>
      <c r="C867" t="str">
        <f>_xlfn.XLOOKUP(Table6[[#This Row],[app_id]],Table5[app_id],Table5[app_name],"",0)</f>
        <v>FoodOne</v>
      </c>
      <c r="D867" t="str">
        <f>_xlfn.XLOOKUP(Table6[[#This Row],[app_id]],Table5[app_id],Table5[category],"",0)</f>
        <v>Food Delivery</v>
      </c>
      <c r="E867" t="s">
        <v>537</v>
      </c>
      <c r="F867" t="s">
        <v>534</v>
      </c>
      <c r="G867" t="s">
        <v>30</v>
      </c>
      <c r="H867" t="s">
        <v>535</v>
      </c>
      <c r="I867">
        <v>11</v>
      </c>
      <c r="J867">
        <v>16.3</v>
      </c>
      <c r="K867" t="s">
        <v>258</v>
      </c>
      <c r="L867" t="s">
        <v>257</v>
      </c>
      <c r="M867" t="s">
        <v>258</v>
      </c>
      <c r="N867" s="5">
        <v>0</v>
      </c>
    </row>
    <row r="868" spans="1:14" x14ac:dyDescent="0.25">
      <c r="A868" t="s">
        <v>1409</v>
      </c>
      <c r="B868" t="s">
        <v>174</v>
      </c>
      <c r="C868" t="str">
        <f>_xlfn.XLOOKUP(Table6[[#This Row],[app_id]],Table5[app_id],Table5[app_name],"",0)</f>
        <v>MealMate</v>
      </c>
      <c r="D868" t="str">
        <f>_xlfn.XLOOKUP(Table6[[#This Row],[app_id]],Table5[app_id],Table5[category],"",0)</f>
        <v>Food Delivery</v>
      </c>
      <c r="E868" t="s">
        <v>546</v>
      </c>
      <c r="F868" t="s">
        <v>538</v>
      </c>
      <c r="G868" t="s">
        <v>23</v>
      </c>
      <c r="H868" t="s">
        <v>535</v>
      </c>
      <c r="I868">
        <v>14</v>
      </c>
      <c r="J868">
        <v>13.2</v>
      </c>
      <c r="K868" t="s">
        <v>258</v>
      </c>
      <c r="L868" t="s">
        <v>258</v>
      </c>
      <c r="M868" t="s">
        <v>258</v>
      </c>
      <c r="N868" s="5">
        <v>4.24</v>
      </c>
    </row>
    <row r="869" spans="1:14" x14ac:dyDescent="0.25">
      <c r="A869" t="s">
        <v>1410</v>
      </c>
      <c r="B869" t="s">
        <v>176</v>
      </c>
      <c r="C869" t="str">
        <f>_xlfn.XLOOKUP(Table6[[#This Row],[app_id]],Table5[app_id],Table5[app_name],"",0)</f>
        <v>SnackHub</v>
      </c>
      <c r="D869" t="str">
        <f>_xlfn.XLOOKUP(Table6[[#This Row],[app_id]],Table5[app_id],Table5[category],"",0)</f>
        <v>Food Delivery</v>
      </c>
      <c r="E869" t="s">
        <v>537</v>
      </c>
      <c r="F869" t="s">
        <v>534</v>
      </c>
      <c r="G869" t="s">
        <v>69</v>
      </c>
      <c r="H869" t="s">
        <v>535</v>
      </c>
      <c r="I869">
        <v>78</v>
      </c>
      <c r="J869">
        <v>10.7</v>
      </c>
      <c r="K869" t="s">
        <v>257</v>
      </c>
      <c r="L869" t="s">
        <v>257</v>
      </c>
      <c r="M869" t="s">
        <v>258</v>
      </c>
      <c r="N869" s="5">
        <v>0</v>
      </c>
    </row>
    <row r="870" spans="1:14" x14ac:dyDescent="0.25">
      <c r="A870" t="s">
        <v>1411</v>
      </c>
      <c r="B870" t="s">
        <v>178</v>
      </c>
      <c r="C870" t="str">
        <f>_xlfn.XLOOKUP(Table6[[#This Row],[app_id]],Table5[app_id],Table5[app_name],"",0)</f>
        <v>BiteCloud</v>
      </c>
      <c r="D870" t="str">
        <f>_xlfn.XLOOKUP(Table6[[#This Row],[app_id]],Table5[app_id],Table5[category],"",0)</f>
        <v>Food Delivery</v>
      </c>
      <c r="E870" t="s">
        <v>533</v>
      </c>
      <c r="F870" t="s">
        <v>534</v>
      </c>
      <c r="G870" t="s">
        <v>26</v>
      </c>
      <c r="H870" t="s">
        <v>535</v>
      </c>
      <c r="I870">
        <v>16</v>
      </c>
      <c r="J870">
        <v>6.4</v>
      </c>
      <c r="K870" t="s">
        <v>258</v>
      </c>
      <c r="L870" t="s">
        <v>258</v>
      </c>
      <c r="M870" t="s">
        <v>258</v>
      </c>
      <c r="N870" s="5">
        <v>0</v>
      </c>
    </row>
    <row r="871" spans="1:14" x14ac:dyDescent="0.25">
      <c r="A871" t="s">
        <v>1412</v>
      </c>
      <c r="B871" t="s">
        <v>180</v>
      </c>
      <c r="C871" t="str">
        <f>_xlfn.XLOOKUP(Table6[[#This Row],[app_id]],Table5[app_id],Table5[app_name],"",0)</f>
        <v>PlatePlus</v>
      </c>
      <c r="D871" t="str">
        <f>_xlfn.XLOOKUP(Table6[[#This Row],[app_id]],Table5[app_id],Table5[category],"",0)</f>
        <v>Food Delivery</v>
      </c>
      <c r="E871" t="s">
        <v>546</v>
      </c>
      <c r="F871" t="s">
        <v>538</v>
      </c>
      <c r="G871" t="s">
        <v>46</v>
      </c>
      <c r="H871" t="s">
        <v>535</v>
      </c>
      <c r="I871">
        <v>86</v>
      </c>
      <c r="J871">
        <v>5.3</v>
      </c>
      <c r="K871" t="s">
        <v>257</v>
      </c>
      <c r="L871" t="s">
        <v>258</v>
      </c>
      <c r="M871" t="s">
        <v>258</v>
      </c>
      <c r="N871" s="5">
        <v>0</v>
      </c>
    </row>
    <row r="872" spans="1:14" x14ac:dyDescent="0.25">
      <c r="A872" t="s">
        <v>1413</v>
      </c>
      <c r="B872" t="s">
        <v>182</v>
      </c>
      <c r="C872" t="str">
        <f>_xlfn.XLOOKUP(Table6[[#This Row],[app_id]],Table5[app_id],Table5[app_name],"",0)</f>
        <v>VoyageGo</v>
      </c>
      <c r="D872" t="str">
        <f>_xlfn.XLOOKUP(Table6[[#This Row],[app_id]],Table5[app_id],Table5[category],"",0)</f>
        <v>Travel</v>
      </c>
      <c r="E872" t="s">
        <v>537</v>
      </c>
      <c r="F872" t="s">
        <v>538</v>
      </c>
      <c r="G872" t="s">
        <v>35</v>
      </c>
      <c r="H872" t="s">
        <v>535</v>
      </c>
      <c r="I872">
        <v>22</v>
      </c>
      <c r="J872">
        <v>3.2</v>
      </c>
      <c r="K872" t="s">
        <v>258</v>
      </c>
      <c r="L872" t="s">
        <v>257</v>
      </c>
      <c r="M872" t="s">
        <v>257</v>
      </c>
      <c r="N872" s="5">
        <v>0</v>
      </c>
    </row>
    <row r="873" spans="1:14" x14ac:dyDescent="0.25">
      <c r="A873" t="s">
        <v>1414</v>
      </c>
      <c r="B873" t="s">
        <v>185</v>
      </c>
      <c r="C873" t="str">
        <f>_xlfn.XLOOKUP(Table6[[#This Row],[app_id]],Table5[app_id],Table5[app_name],"",0)</f>
        <v>TripOne</v>
      </c>
      <c r="D873" t="str">
        <f>_xlfn.XLOOKUP(Table6[[#This Row],[app_id]],Table5[app_id],Table5[category],"",0)</f>
        <v>Travel</v>
      </c>
      <c r="E873" t="s">
        <v>546</v>
      </c>
      <c r="F873" t="s">
        <v>534</v>
      </c>
      <c r="G873" t="s">
        <v>26</v>
      </c>
      <c r="H873" t="s">
        <v>535</v>
      </c>
      <c r="I873">
        <v>17</v>
      </c>
      <c r="J873">
        <v>22.3</v>
      </c>
      <c r="K873" t="s">
        <v>258</v>
      </c>
      <c r="L873" t="s">
        <v>257</v>
      </c>
      <c r="M873" t="s">
        <v>258</v>
      </c>
      <c r="N873" s="5">
        <v>39.369999999999997</v>
      </c>
    </row>
    <row r="874" spans="1:14" x14ac:dyDescent="0.25">
      <c r="A874" t="s">
        <v>1415</v>
      </c>
      <c r="B874" t="s">
        <v>187</v>
      </c>
      <c r="C874" t="str">
        <f>_xlfn.XLOOKUP(Table6[[#This Row],[app_id]],Table5[app_id],Table5[app_name],"",0)</f>
        <v>FlyGo</v>
      </c>
      <c r="D874" t="str">
        <f>_xlfn.XLOOKUP(Table6[[#This Row],[app_id]],Table5[app_id],Table5[category],"",0)</f>
        <v>Travel</v>
      </c>
      <c r="E874" t="s">
        <v>533</v>
      </c>
      <c r="F874" t="s">
        <v>534</v>
      </c>
      <c r="G874" t="s">
        <v>46</v>
      </c>
      <c r="H874" t="s">
        <v>535</v>
      </c>
      <c r="I874">
        <v>17</v>
      </c>
      <c r="J874">
        <v>20.2</v>
      </c>
      <c r="K874" t="s">
        <v>258</v>
      </c>
      <c r="L874" t="s">
        <v>257</v>
      </c>
      <c r="M874" t="s">
        <v>258</v>
      </c>
      <c r="N874" s="5">
        <v>0</v>
      </c>
    </row>
    <row r="875" spans="1:14" x14ac:dyDescent="0.25">
      <c r="A875" t="s">
        <v>1416</v>
      </c>
      <c r="B875" t="s">
        <v>189</v>
      </c>
      <c r="C875" t="str">
        <f>_xlfn.XLOOKUP(Table6[[#This Row],[app_id]],Table5[app_id],Table5[app_name],"",0)</f>
        <v>MapX</v>
      </c>
      <c r="D875" t="str">
        <f>_xlfn.XLOOKUP(Table6[[#This Row],[app_id]],Table5[app_id],Table5[category],"",0)</f>
        <v>Travel</v>
      </c>
      <c r="E875" t="s">
        <v>533</v>
      </c>
      <c r="F875" t="s">
        <v>534</v>
      </c>
      <c r="G875" t="s">
        <v>61</v>
      </c>
      <c r="H875" t="s">
        <v>535</v>
      </c>
      <c r="I875">
        <v>5</v>
      </c>
      <c r="J875">
        <v>16.600000000000001</v>
      </c>
      <c r="K875" t="s">
        <v>258</v>
      </c>
      <c r="L875" t="s">
        <v>257</v>
      </c>
      <c r="M875" t="s">
        <v>258</v>
      </c>
      <c r="N875" s="5">
        <v>0</v>
      </c>
    </row>
    <row r="876" spans="1:14" x14ac:dyDescent="0.25">
      <c r="A876" t="s">
        <v>1417</v>
      </c>
      <c r="B876" t="s">
        <v>191</v>
      </c>
      <c r="C876" t="str">
        <f>_xlfn.XLOOKUP(Table6[[#This Row],[app_id]],Table5[app_id],Table5[app_name],"",0)</f>
        <v>StayX</v>
      </c>
      <c r="D876" t="str">
        <f>_xlfn.XLOOKUP(Table6[[#This Row],[app_id]],Table5[app_id],Table5[category],"",0)</f>
        <v>Travel</v>
      </c>
      <c r="E876" t="s">
        <v>537</v>
      </c>
      <c r="F876" t="s">
        <v>534</v>
      </c>
      <c r="G876" t="s">
        <v>23</v>
      </c>
      <c r="H876" t="s">
        <v>540</v>
      </c>
      <c r="I876">
        <v>4</v>
      </c>
      <c r="J876">
        <v>18.100000000000001</v>
      </c>
      <c r="K876" t="s">
        <v>258</v>
      </c>
      <c r="L876" t="s">
        <v>257</v>
      </c>
      <c r="M876" t="s">
        <v>258</v>
      </c>
      <c r="N876" s="5">
        <v>9.1</v>
      </c>
    </row>
    <row r="877" spans="1:14" x14ac:dyDescent="0.25">
      <c r="A877" t="s">
        <v>1418</v>
      </c>
      <c r="B877" t="s">
        <v>193</v>
      </c>
      <c r="C877" t="str">
        <f>_xlfn.XLOOKUP(Table6[[#This Row],[app_id]],Table5[app_id],Table5[app_name],"",0)</f>
        <v>GoNow</v>
      </c>
      <c r="D877" t="str">
        <f>_xlfn.XLOOKUP(Table6[[#This Row],[app_id]],Table5[app_id],Table5[category],"",0)</f>
        <v>Travel</v>
      </c>
      <c r="E877" t="s">
        <v>533</v>
      </c>
      <c r="F877" t="s">
        <v>534</v>
      </c>
      <c r="G877" t="s">
        <v>23</v>
      </c>
      <c r="H877" t="s">
        <v>540</v>
      </c>
      <c r="I877">
        <v>44</v>
      </c>
      <c r="J877">
        <v>17.899999999999999</v>
      </c>
      <c r="K877" t="s">
        <v>257</v>
      </c>
      <c r="L877" t="s">
        <v>257</v>
      </c>
      <c r="M877" t="s">
        <v>258</v>
      </c>
      <c r="N877" s="5">
        <v>0</v>
      </c>
    </row>
    <row r="878" spans="1:14" x14ac:dyDescent="0.25">
      <c r="A878" t="s">
        <v>1419</v>
      </c>
      <c r="B878" t="s">
        <v>195</v>
      </c>
      <c r="C878" t="str">
        <f>_xlfn.XLOOKUP(Table6[[#This Row],[app_id]],Table5[app_id],Table5[app_name],"",0)</f>
        <v>RouteGo</v>
      </c>
      <c r="D878" t="str">
        <f>_xlfn.XLOOKUP(Table6[[#This Row],[app_id]],Table5[app_id],Table5[category],"",0)</f>
        <v>Travel</v>
      </c>
      <c r="E878" t="s">
        <v>533</v>
      </c>
      <c r="F878" t="s">
        <v>534</v>
      </c>
      <c r="G878" t="s">
        <v>30</v>
      </c>
      <c r="H878" t="s">
        <v>535</v>
      </c>
      <c r="I878">
        <v>90</v>
      </c>
      <c r="J878">
        <v>21.2</v>
      </c>
      <c r="K878" t="s">
        <v>257</v>
      </c>
      <c r="L878" t="s">
        <v>257</v>
      </c>
      <c r="M878" t="s">
        <v>258</v>
      </c>
      <c r="N878" s="5">
        <v>0</v>
      </c>
    </row>
    <row r="879" spans="1:14" x14ac:dyDescent="0.25">
      <c r="A879" t="s">
        <v>1420</v>
      </c>
      <c r="B879" t="s">
        <v>197</v>
      </c>
      <c r="C879" t="str">
        <f>_xlfn.XLOOKUP(Table6[[#This Row],[app_id]],Table5[app_id],Table5[app_name],"",0)</f>
        <v>TripGo</v>
      </c>
      <c r="D879" t="str">
        <f>_xlfn.XLOOKUP(Table6[[#This Row],[app_id]],Table5[app_id],Table5[category],"",0)</f>
        <v>Travel</v>
      </c>
      <c r="E879" t="s">
        <v>546</v>
      </c>
      <c r="F879" t="s">
        <v>534</v>
      </c>
      <c r="G879" t="s">
        <v>61</v>
      </c>
      <c r="H879" t="s">
        <v>540</v>
      </c>
      <c r="I879">
        <v>22</v>
      </c>
      <c r="J879">
        <v>15.8</v>
      </c>
      <c r="K879" t="s">
        <v>258</v>
      </c>
      <c r="L879" t="s">
        <v>258</v>
      </c>
      <c r="M879" t="s">
        <v>258</v>
      </c>
      <c r="N879" s="5">
        <v>74.12</v>
      </c>
    </row>
    <row r="880" spans="1:14" x14ac:dyDescent="0.25">
      <c r="A880" t="s">
        <v>1421</v>
      </c>
      <c r="B880" t="s">
        <v>199</v>
      </c>
      <c r="C880" t="str">
        <f>_xlfn.XLOOKUP(Table6[[#This Row],[app_id]],Table5[app_id],Table5[app_name],"",0)</f>
        <v>Flyly</v>
      </c>
      <c r="D880" t="str">
        <f>_xlfn.XLOOKUP(Table6[[#This Row],[app_id]],Table5[app_id],Table5[category],"",0)</f>
        <v>Travel</v>
      </c>
      <c r="E880" t="s">
        <v>557</v>
      </c>
      <c r="F880" t="s">
        <v>538</v>
      </c>
      <c r="G880" t="s">
        <v>61</v>
      </c>
      <c r="H880" t="s">
        <v>535</v>
      </c>
      <c r="I880">
        <v>7</v>
      </c>
      <c r="J880">
        <v>12.5</v>
      </c>
      <c r="K880" t="s">
        <v>258</v>
      </c>
      <c r="L880" t="s">
        <v>257</v>
      </c>
      <c r="M880" t="s">
        <v>258</v>
      </c>
      <c r="N880" s="5">
        <v>0</v>
      </c>
    </row>
    <row r="881" spans="1:14" x14ac:dyDescent="0.25">
      <c r="A881" t="s">
        <v>1422</v>
      </c>
      <c r="B881" t="s">
        <v>201</v>
      </c>
      <c r="C881" t="str">
        <f>_xlfn.XLOOKUP(Table6[[#This Row],[app_id]],Table5[app_id],Table5[app_name],"",0)</f>
        <v>TripPro</v>
      </c>
      <c r="D881" t="str">
        <f>_xlfn.XLOOKUP(Table6[[#This Row],[app_id]],Table5[app_id],Table5[category],"",0)</f>
        <v>Travel</v>
      </c>
      <c r="E881" t="s">
        <v>533</v>
      </c>
      <c r="F881" t="s">
        <v>548</v>
      </c>
      <c r="G881" t="s">
        <v>46</v>
      </c>
      <c r="H881" t="s">
        <v>535</v>
      </c>
      <c r="I881">
        <v>15</v>
      </c>
      <c r="J881">
        <v>13.4</v>
      </c>
      <c r="K881" t="s">
        <v>258</v>
      </c>
      <c r="L881" t="s">
        <v>258</v>
      </c>
      <c r="M881" t="s">
        <v>257</v>
      </c>
      <c r="N881" s="5">
        <v>0</v>
      </c>
    </row>
    <row r="882" spans="1:14" x14ac:dyDescent="0.25">
      <c r="A882" t="s">
        <v>1423</v>
      </c>
      <c r="B882" t="s">
        <v>203</v>
      </c>
      <c r="C882" t="str">
        <f>_xlfn.XLOOKUP(Table6[[#This Row],[app_id]],Table5[app_id],Table5[app_name],"",0)</f>
        <v>Focusly</v>
      </c>
      <c r="D882" t="str">
        <f>_xlfn.XLOOKUP(Table6[[#This Row],[app_id]],Table5[app_id],Table5[category],"",0)</f>
        <v>Productivity</v>
      </c>
      <c r="E882" t="s">
        <v>533</v>
      </c>
      <c r="F882" t="s">
        <v>534</v>
      </c>
      <c r="G882" t="s">
        <v>30</v>
      </c>
      <c r="H882" t="s">
        <v>535</v>
      </c>
      <c r="I882">
        <v>24</v>
      </c>
      <c r="J882">
        <v>20.8</v>
      </c>
      <c r="K882" t="s">
        <v>258</v>
      </c>
      <c r="L882" t="s">
        <v>258</v>
      </c>
      <c r="M882" t="s">
        <v>258</v>
      </c>
      <c r="N882" s="5">
        <v>0</v>
      </c>
    </row>
    <row r="883" spans="1:14" x14ac:dyDescent="0.25">
      <c r="A883" t="s">
        <v>1424</v>
      </c>
      <c r="B883" t="s">
        <v>206</v>
      </c>
      <c r="C883" t="str">
        <f>_xlfn.XLOOKUP(Table6[[#This Row],[app_id]],Table5[app_id],Table5[app_name],"",0)</f>
        <v>DeskX</v>
      </c>
      <c r="D883" t="str">
        <f>_xlfn.XLOOKUP(Table6[[#This Row],[app_id]],Table5[app_id],Table5[category],"",0)</f>
        <v>Productivity</v>
      </c>
      <c r="E883" t="s">
        <v>533</v>
      </c>
      <c r="F883" t="s">
        <v>534</v>
      </c>
      <c r="G883" t="s">
        <v>69</v>
      </c>
      <c r="H883" t="s">
        <v>535</v>
      </c>
      <c r="I883">
        <v>17</v>
      </c>
      <c r="J883">
        <v>7.6</v>
      </c>
      <c r="K883" t="s">
        <v>258</v>
      </c>
      <c r="L883" t="s">
        <v>258</v>
      </c>
      <c r="M883" t="s">
        <v>258</v>
      </c>
      <c r="N883" s="5">
        <v>0</v>
      </c>
    </row>
    <row r="884" spans="1:14" x14ac:dyDescent="0.25">
      <c r="A884" t="s">
        <v>1425</v>
      </c>
      <c r="B884" t="s">
        <v>208</v>
      </c>
      <c r="C884" t="str">
        <f>_xlfn.XLOOKUP(Table6[[#This Row],[app_id]],Table5[app_id],Table5[app_name],"",0)</f>
        <v>DonePro</v>
      </c>
      <c r="D884" t="str">
        <f>_xlfn.XLOOKUP(Table6[[#This Row],[app_id]],Table5[app_id],Table5[category],"",0)</f>
        <v>Productivity</v>
      </c>
      <c r="E884" t="s">
        <v>537</v>
      </c>
      <c r="F884" t="s">
        <v>628</v>
      </c>
      <c r="G884" t="s">
        <v>23</v>
      </c>
      <c r="H884" t="s">
        <v>535</v>
      </c>
      <c r="I884">
        <v>9</v>
      </c>
      <c r="J884">
        <v>21.3</v>
      </c>
      <c r="K884" t="s">
        <v>258</v>
      </c>
      <c r="L884" t="s">
        <v>257</v>
      </c>
      <c r="M884" t="s">
        <v>258</v>
      </c>
      <c r="N884" s="5">
        <v>0</v>
      </c>
    </row>
    <row r="885" spans="1:14" x14ac:dyDescent="0.25">
      <c r="A885" t="s">
        <v>1426</v>
      </c>
      <c r="B885" t="s">
        <v>210</v>
      </c>
      <c r="C885" t="str">
        <f>_xlfn.XLOOKUP(Table6[[#This Row],[app_id]],Table5[app_id],Table5[app_name],"",0)</f>
        <v>NotePlus</v>
      </c>
      <c r="D885" t="str">
        <f>_xlfn.XLOOKUP(Table6[[#This Row],[app_id]],Table5[app_id],Table5[category],"",0)</f>
        <v>Productivity</v>
      </c>
      <c r="E885" t="s">
        <v>537</v>
      </c>
      <c r="F885" t="s">
        <v>538</v>
      </c>
      <c r="G885" t="s">
        <v>46</v>
      </c>
      <c r="H885" t="s">
        <v>535</v>
      </c>
      <c r="I885">
        <v>49</v>
      </c>
      <c r="J885">
        <v>15.8</v>
      </c>
      <c r="K885" t="s">
        <v>257</v>
      </c>
      <c r="L885" t="s">
        <v>257</v>
      </c>
      <c r="M885" t="s">
        <v>258</v>
      </c>
      <c r="N885" s="5">
        <v>0</v>
      </c>
    </row>
    <row r="886" spans="1:14" x14ac:dyDescent="0.25">
      <c r="A886" t="s">
        <v>1427</v>
      </c>
      <c r="B886" t="s">
        <v>212</v>
      </c>
      <c r="C886" t="str">
        <f>_xlfn.XLOOKUP(Table6[[#This Row],[app_id]],Table5[app_id],Table5[app_name],"",0)</f>
        <v>SyncPlus</v>
      </c>
      <c r="D886" t="str">
        <f>_xlfn.XLOOKUP(Table6[[#This Row],[app_id]],Table5[app_id],Table5[category],"",0)</f>
        <v>Productivity</v>
      </c>
      <c r="E886" t="s">
        <v>546</v>
      </c>
      <c r="F886" t="s">
        <v>534</v>
      </c>
      <c r="G886" t="s">
        <v>61</v>
      </c>
      <c r="H886" t="s">
        <v>535</v>
      </c>
      <c r="I886">
        <v>74</v>
      </c>
      <c r="J886">
        <v>15.1</v>
      </c>
      <c r="K886" t="s">
        <v>257</v>
      </c>
      <c r="L886" t="s">
        <v>257</v>
      </c>
      <c r="M886" t="s">
        <v>257</v>
      </c>
      <c r="N886" s="5">
        <v>0</v>
      </c>
    </row>
    <row r="887" spans="1:14" x14ac:dyDescent="0.25">
      <c r="A887" t="s">
        <v>1428</v>
      </c>
      <c r="B887" t="s">
        <v>214</v>
      </c>
      <c r="C887" t="str">
        <f>_xlfn.XLOOKUP(Table6[[#This Row],[app_id]],Table5[app_id],Table5[app_name],"",0)</f>
        <v>NoteOne</v>
      </c>
      <c r="D887" t="str">
        <f>_xlfn.XLOOKUP(Table6[[#This Row],[app_id]],Table5[app_id],Table5[category],"",0)</f>
        <v>Productivity</v>
      </c>
      <c r="E887" t="s">
        <v>533</v>
      </c>
      <c r="F887" t="s">
        <v>534</v>
      </c>
      <c r="G887" t="s">
        <v>18</v>
      </c>
      <c r="H887" t="s">
        <v>535</v>
      </c>
      <c r="I887">
        <v>21</v>
      </c>
      <c r="J887">
        <v>4.9000000000000004</v>
      </c>
      <c r="K887" t="s">
        <v>257</v>
      </c>
      <c r="L887" t="s">
        <v>258</v>
      </c>
      <c r="M887" t="s">
        <v>258</v>
      </c>
      <c r="N887" s="5">
        <v>0</v>
      </c>
    </row>
    <row r="888" spans="1:14" x14ac:dyDescent="0.25">
      <c r="A888" t="s">
        <v>1429</v>
      </c>
      <c r="B888" t="s">
        <v>216</v>
      </c>
      <c r="C888" t="str">
        <f>_xlfn.XLOOKUP(Table6[[#This Row],[app_id]],Table5[app_id],Table5[app_name],"",0)</f>
        <v>NoteMate</v>
      </c>
      <c r="D888" t="str">
        <f>_xlfn.XLOOKUP(Table6[[#This Row],[app_id]],Table5[app_id],Table5[category],"",0)</f>
        <v>Productivity</v>
      </c>
      <c r="E888" t="s">
        <v>546</v>
      </c>
      <c r="F888" t="s">
        <v>534</v>
      </c>
      <c r="G888" t="s">
        <v>61</v>
      </c>
      <c r="H888" t="s">
        <v>535</v>
      </c>
      <c r="I888">
        <v>25</v>
      </c>
      <c r="J888">
        <v>7.6</v>
      </c>
      <c r="K888" t="s">
        <v>257</v>
      </c>
      <c r="L888" t="s">
        <v>257</v>
      </c>
      <c r="M888" t="s">
        <v>258</v>
      </c>
      <c r="N888" s="5">
        <v>53.66</v>
      </c>
    </row>
    <row r="889" spans="1:14" x14ac:dyDescent="0.25">
      <c r="A889" t="s">
        <v>1430</v>
      </c>
      <c r="B889" t="s">
        <v>218</v>
      </c>
      <c r="C889" t="str">
        <f>_xlfn.XLOOKUP(Table6[[#This Row],[app_id]],Table5[app_id],Table5[app_name],"",0)</f>
        <v>PlanPlus</v>
      </c>
      <c r="D889" t="str">
        <f>_xlfn.XLOOKUP(Table6[[#This Row],[app_id]],Table5[app_id],Table5[category],"",0)</f>
        <v>Productivity</v>
      </c>
      <c r="E889" t="s">
        <v>546</v>
      </c>
      <c r="F889" t="s">
        <v>538</v>
      </c>
      <c r="G889" t="s">
        <v>46</v>
      </c>
      <c r="H889" t="s">
        <v>540</v>
      </c>
      <c r="I889">
        <v>28</v>
      </c>
      <c r="J889">
        <v>6.6</v>
      </c>
      <c r="K889" t="s">
        <v>258</v>
      </c>
      <c r="L889" t="s">
        <v>258</v>
      </c>
      <c r="M889" t="s">
        <v>257</v>
      </c>
      <c r="N889" s="5">
        <v>24.63</v>
      </c>
    </row>
    <row r="890" spans="1:14" x14ac:dyDescent="0.25">
      <c r="A890" t="s">
        <v>1431</v>
      </c>
      <c r="B890" t="s">
        <v>220</v>
      </c>
      <c r="C890" t="str">
        <f>_xlfn.XLOOKUP(Table6[[#This Row],[app_id]],Table5[app_id],Table5[app_name],"",0)</f>
        <v>PlanMate</v>
      </c>
      <c r="D890" t="str">
        <f>_xlfn.XLOOKUP(Table6[[#This Row],[app_id]],Table5[app_id],Table5[category],"",0)</f>
        <v>Productivity</v>
      </c>
      <c r="E890" t="s">
        <v>546</v>
      </c>
      <c r="F890" t="s">
        <v>534</v>
      </c>
      <c r="G890" t="s">
        <v>35</v>
      </c>
      <c r="H890" t="s">
        <v>540</v>
      </c>
      <c r="I890">
        <v>5</v>
      </c>
      <c r="J890">
        <v>8.1</v>
      </c>
      <c r="K890" t="s">
        <v>258</v>
      </c>
      <c r="L890" t="s">
        <v>258</v>
      </c>
      <c r="M890" t="s">
        <v>258</v>
      </c>
      <c r="N890" s="5">
        <v>0</v>
      </c>
    </row>
    <row r="891" spans="1:14" x14ac:dyDescent="0.25">
      <c r="A891" t="s">
        <v>1432</v>
      </c>
      <c r="B891" t="s">
        <v>222</v>
      </c>
      <c r="C891" t="str">
        <f>_xlfn.XLOOKUP(Table6[[#This Row],[app_id]],Table5[app_id],Table5[app_name],"",0)</f>
        <v>SyncPlus</v>
      </c>
      <c r="D891" t="str">
        <f>_xlfn.XLOOKUP(Table6[[#This Row],[app_id]],Table5[app_id],Table5[category],"",0)</f>
        <v>Productivity</v>
      </c>
      <c r="E891" t="s">
        <v>546</v>
      </c>
      <c r="F891" t="s">
        <v>538</v>
      </c>
      <c r="G891" t="s">
        <v>23</v>
      </c>
      <c r="H891" t="s">
        <v>535</v>
      </c>
      <c r="I891">
        <v>15</v>
      </c>
      <c r="J891">
        <v>16.2</v>
      </c>
      <c r="K891" t="s">
        <v>257</v>
      </c>
      <c r="L891" t="s">
        <v>257</v>
      </c>
      <c r="M891" t="s">
        <v>258</v>
      </c>
      <c r="N891" s="5">
        <v>0</v>
      </c>
    </row>
    <row r="892" spans="1:14" x14ac:dyDescent="0.25">
      <c r="A892" t="s">
        <v>1433</v>
      </c>
      <c r="B892" t="s">
        <v>223</v>
      </c>
      <c r="C892" t="str">
        <f>_xlfn.XLOOKUP(Table6[[#This Row],[app_id]],Table5[app_id],Table5[app_name],"",0)</f>
        <v>ClinicPro</v>
      </c>
      <c r="D892" t="str">
        <f>_xlfn.XLOOKUP(Table6[[#This Row],[app_id]],Table5[app_id],Table5[category],"",0)</f>
        <v>Health</v>
      </c>
      <c r="E892" t="s">
        <v>533</v>
      </c>
      <c r="F892" t="s">
        <v>534</v>
      </c>
      <c r="G892" t="s">
        <v>69</v>
      </c>
      <c r="H892" t="s">
        <v>535</v>
      </c>
      <c r="I892">
        <v>21</v>
      </c>
      <c r="J892">
        <v>13.2</v>
      </c>
      <c r="K892" t="s">
        <v>258</v>
      </c>
      <c r="L892" t="s">
        <v>258</v>
      </c>
      <c r="M892" t="s">
        <v>257</v>
      </c>
      <c r="N892" s="5">
        <v>0</v>
      </c>
    </row>
    <row r="893" spans="1:14" x14ac:dyDescent="0.25">
      <c r="A893" t="s">
        <v>1434</v>
      </c>
      <c r="B893" t="s">
        <v>226</v>
      </c>
      <c r="C893" t="str">
        <f>_xlfn.XLOOKUP(Table6[[#This Row],[app_id]],Table5[app_id],Table5[app_name],"",0)</f>
        <v>MindMate</v>
      </c>
      <c r="D893" t="str">
        <f>_xlfn.XLOOKUP(Table6[[#This Row],[app_id]],Table5[app_id],Table5[category],"",0)</f>
        <v>Health</v>
      </c>
      <c r="E893" t="s">
        <v>537</v>
      </c>
      <c r="F893" t="s">
        <v>534</v>
      </c>
      <c r="G893" t="s">
        <v>23</v>
      </c>
      <c r="H893" t="s">
        <v>535</v>
      </c>
      <c r="I893">
        <v>25</v>
      </c>
      <c r="J893">
        <v>23.7</v>
      </c>
      <c r="K893" t="s">
        <v>257</v>
      </c>
      <c r="L893" t="s">
        <v>257</v>
      </c>
      <c r="M893" t="s">
        <v>258</v>
      </c>
      <c r="N893" s="5">
        <v>0</v>
      </c>
    </row>
    <row r="894" spans="1:14" x14ac:dyDescent="0.25">
      <c r="A894" t="s">
        <v>1435</v>
      </c>
      <c r="B894" t="s">
        <v>228</v>
      </c>
      <c r="C894" t="str">
        <f>_xlfn.XLOOKUP(Table6[[#This Row],[app_id]],Table5[app_id],Table5[app_name],"",0)</f>
        <v>ClinicOne</v>
      </c>
      <c r="D894" t="str">
        <f>_xlfn.XLOOKUP(Table6[[#This Row],[app_id]],Table5[app_id],Table5[category],"",0)</f>
        <v>Health</v>
      </c>
      <c r="E894" t="s">
        <v>537</v>
      </c>
      <c r="F894" t="s">
        <v>534</v>
      </c>
      <c r="G894" t="s">
        <v>30</v>
      </c>
      <c r="H894" t="s">
        <v>535</v>
      </c>
      <c r="I894">
        <v>15</v>
      </c>
      <c r="J894">
        <v>16.7</v>
      </c>
      <c r="K894" t="s">
        <v>258</v>
      </c>
      <c r="L894" t="s">
        <v>257</v>
      </c>
      <c r="M894" t="s">
        <v>258</v>
      </c>
      <c r="N894" s="5">
        <v>0</v>
      </c>
    </row>
    <row r="895" spans="1:14" x14ac:dyDescent="0.25">
      <c r="A895" t="s">
        <v>1436</v>
      </c>
      <c r="B895" t="s">
        <v>230</v>
      </c>
      <c r="C895" t="str">
        <f>_xlfn.XLOOKUP(Table6[[#This Row],[app_id]],Table5[app_id],Table5[app_name],"",0)</f>
        <v>WellMate</v>
      </c>
      <c r="D895" t="str">
        <f>_xlfn.XLOOKUP(Table6[[#This Row],[app_id]],Table5[app_id],Table5[category],"",0)</f>
        <v>Health</v>
      </c>
      <c r="E895" t="s">
        <v>546</v>
      </c>
      <c r="F895" t="s">
        <v>534</v>
      </c>
      <c r="G895" t="s">
        <v>35</v>
      </c>
      <c r="H895" t="s">
        <v>535</v>
      </c>
      <c r="I895">
        <v>11</v>
      </c>
      <c r="J895">
        <v>9.1</v>
      </c>
      <c r="K895" t="s">
        <v>258</v>
      </c>
      <c r="L895" t="s">
        <v>257</v>
      </c>
      <c r="M895" t="s">
        <v>258</v>
      </c>
      <c r="N895" s="5">
        <v>0</v>
      </c>
    </row>
    <row r="896" spans="1:14" x14ac:dyDescent="0.25">
      <c r="A896" t="s">
        <v>1437</v>
      </c>
      <c r="B896" t="s">
        <v>232</v>
      </c>
      <c r="C896" t="str">
        <f>_xlfn.XLOOKUP(Table6[[#This Row],[app_id]],Table5[app_id],Table5[app_name],"",0)</f>
        <v>MediMate</v>
      </c>
      <c r="D896" t="str">
        <f>_xlfn.XLOOKUP(Table6[[#This Row],[app_id]],Table5[app_id],Table5[category],"",0)</f>
        <v>Health</v>
      </c>
      <c r="E896" t="s">
        <v>546</v>
      </c>
      <c r="F896" t="s">
        <v>628</v>
      </c>
      <c r="G896" t="s">
        <v>18</v>
      </c>
      <c r="H896" t="s">
        <v>535</v>
      </c>
      <c r="I896">
        <v>20</v>
      </c>
      <c r="J896">
        <v>5.0999999999999996</v>
      </c>
      <c r="K896" t="s">
        <v>257</v>
      </c>
      <c r="L896" t="s">
        <v>258</v>
      </c>
      <c r="M896" t="s">
        <v>258</v>
      </c>
      <c r="N896" s="5">
        <v>0</v>
      </c>
    </row>
    <row r="897" spans="1:14" x14ac:dyDescent="0.25">
      <c r="A897" t="s">
        <v>1438</v>
      </c>
      <c r="B897" t="s">
        <v>234</v>
      </c>
      <c r="C897" t="str">
        <f>_xlfn.XLOOKUP(Table6[[#This Row],[app_id]],Table5[app_id],Table5[app_name],"",0)</f>
        <v>WellNow</v>
      </c>
      <c r="D897" t="str">
        <f>_xlfn.XLOOKUP(Table6[[#This Row],[app_id]],Table5[app_id],Table5[category],"",0)</f>
        <v>Health</v>
      </c>
      <c r="E897" t="s">
        <v>533</v>
      </c>
      <c r="F897" t="s">
        <v>534</v>
      </c>
      <c r="G897" t="s">
        <v>30</v>
      </c>
      <c r="H897" t="s">
        <v>535</v>
      </c>
      <c r="I897">
        <v>41</v>
      </c>
      <c r="J897">
        <v>17.3</v>
      </c>
      <c r="K897" t="s">
        <v>257</v>
      </c>
      <c r="L897" t="s">
        <v>258</v>
      </c>
      <c r="M897" t="s">
        <v>257</v>
      </c>
      <c r="N897" s="5">
        <v>40.86</v>
      </c>
    </row>
    <row r="898" spans="1:14" x14ac:dyDescent="0.25">
      <c r="A898" t="s">
        <v>1439</v>
      </c>
      <c r="B898" t="s">
        <v>236</v>
      </c>
      <c r="C898" t="str">
        <f>_xlfn.XLOOKUP(Table6[[#This Row],[app_id]],Table5[app_id],Table5[app_name],"",0)</f>
        <v>CareCloud</v>
      </c>
      <c r="D898" t="str">
        <f>_xlfn.XLOOKUP(Table6[[#This Row],[app_id]],Table5[app_id],Table5[category],"",0)</f>
        <v>Health</v>
      </c>
      <c r="E898" t="s">
        <v>546</v>
      </c>
      <c r="F898" t="s">
        <v>534</v>
      </c>
      <c r="G898" t="s">
        <v>35</v>
      </c>
      <c r="H898" t="s">
        <v>535</v>
      </c>
      <c r="I898">
        <v>17</v>
      </c>
      <c r="J898">
        <v>16.2</v>
      </c>
      <c r="K898" t="s">
        <v>258</v>
      </c>
      <c r="L898" t="s">
        <v>257</v>
      </c>
      <c r="M898" t="s">
        <v>258</v>
      </c>
      <c r="N898" s="5">
        <v>0</v>
      </c>
    </row>
    <row r="899" spans="1:14" x14ac:dyDescent="0.25">
      <c r="A899" t="s">
        <v>1440</v>
      </c>
      <c r="B899" t="s">
        <v>238</v>
      </c>
      <c r="C899" t="str">
        <f>_xlfn.XLOOKUP(Table6[[#This Row],[app_id]],Table5[app_id],Table5[app_name],"",0)</f>
        <v>MediNow</v>
      </c>
      <c r="D899" t="str">
        <f>_xlfn.XLOOKUP(Table6[[#This Row],[app_id]],Table5[app_id],Table5[category],"",0)</f>
        <v>Health</v>
      </c>
      <c r="E899" t="s">
        <v>533</v>
      </c>
      <c r="F899" t="s">
        <v>538</v>
      </c>
      <c r="G899" t="s">
        <v>30</v>
      </c>
      <c r="H899" t="s">
        <v>535</v>
      </c>
      <c r="I899">
        <v>19</v>
      </c>
      <c r="J899">
        <v>14.8</v>
      </c>
      <c r="K899" t="s">
        <v>258</v>
      </c>
      <c r="L899" t="s">
        <v>258</v>
      </c>
      <c r="M899" t="s">
        <v>257</v>
      </c>
      <c r="N899" s="5">
        <v>0</v>
      </c>
    </row>
    <row r="900" spans="1:14" x14ac:dyDescent="0.25">
      <c r="A900" t="s">
        <v>1441</v>
      </c>
      <c r="B900" t="s">
        <v>240</v>
      </c>
      <c r="C900" t="str">
        <f>_xlfn.XLOOKUP(Table6[[#This Row],[app_id]],Table5[app_id],Table5[app_name],"",0)</f>
        <v>MindPlus</v>
      </c>
      <c r="D900" t="str">
        <f>_xlfn.XLOOKUP(Table6[[#This Row],[app_id]],Table5[app_id],Table5[category],"",0)</f>
        <v>Health</v>
      </c>
      <c r="E900" t="s">
        <v>537</v>
      </c>
      <c r="F900" t="s">
        <v>538</v>
      </c>
      <c r="G900" t="s">
        <v>26</v>
      </c>
      <c r="H900" t="s">
        <v>535</v>
      </c>
      <c r="I900">
        <v>22</v>
      </c>
      <c r="J900">
        <v>7.8</v>
      </c>
      <c r="K900" t="s">
        <v>258</v>
      </c>
      <c r="L900" t="s">
        <v>257</v>
      </c>
      <c r="M900" t="s">
        <v>258</v>
      </c>
      <c r="N900" s="5">
        <v>26.26</v>
      </c>
    </row>
    <row r="901" spans="1:14" x14ac:dyDescent="0.25">
      <c r="A901" t="s">
        <v>1442</v>
      </c>
      <c r="B901" t="s">
        <v>242</v>
      </c>
      <c r="C901" t="str">
        <f>_xlfn.XLOOKUP(Table6[[#This Row],[app_id]],Table5[app_id],Table5[app_name],"",0)</f>
        <v>MediCloud</v>
      </c>
      <c r="D901" t="str">
        <f>_xlfn.XLOOKUP(Table6[[#This Row],[app_id]],Table5[app_id],Table5[category],"",0)</f>
        <v>Health</v>
      </c>
      <c r="E901" t="s">
        <v>537</v>
      </c>
      <c r="F901" t="s">
        <v>538</v>
      </c>
      <c r="G901" t="s">
        <v>61</v>
      </c>
      <c r="H901" t="s">
        <v>535</v>
      </c>
      <c r="I901">
        <v>38</v>
      </c>
      <c r="J901">
        <v>8.1</v>
      </c>
      <c r="K901" t="s">
        <v>257</v>
      </c>
      <c r="L901" t="s">
        <v>257</v>
      </c>
      <c r="M901" t="s">
        <v>258</v>
      </c>
      <c r="N901" s="5">
        <v>0</v>
      </c>
    </row>
    <row r="902" spans="1:14" x14ac:dyDescent="0.25">
      <c r="A902" t="s">
        <v>1443</v>
      </c>
      <c r="B902" t="s">
        <v>12</v>
      </c>
      <c r="C902" t="str">
        <f>_xlfn.XLOOKUP(Table6[[#This Row],[app_id]],Table5[app_id],Table5[app_name],"",0)</f>
        <v>InvestPro</v>
      </c>
      <c r="D902" t="str">
        <f>_xlfn.XLOOKUP(Table6[[#This Row],[app_id]],Table5[app_id],Table5[category],"",0)</f>
        <v>Finance</v>
      </c>
      <c r="E902" t="s">
        <v>546</v>
      </c>
      <c r="F902" t="s">
        <v>534</v>
      </c>
      <c r="G902" t="s">
        <v>46</v>
      </c>
      <c r="H902" t="s">
        <v>540</v>
      </c>
      <c r="I902">
        <v>86</v>
      </c>
      <c r="J902">
        <v>11.6</v>
      </c>
      <c r="K902" t="s">
        <v>257</v>
      </c>
      <c r="L902" t="s">
        <v>258</v>
      </c>
      <c r="M902" t="s">
        <v>258</v>
      </c>
      <c r="N902" s="5">
        <v>0</v>
      </c>
    </row>
    <row r="903" spans="1:14" x14ac:dyDescent="0.25">
      <c r="A903" t="s">
        <v>1444</v>
      </c>
      <c r="B903" t="s">
        <v>19</v>
      </c>
      <c r="C903" t="str">
        <f>_xlfn.XLOOKUP(Table6[[#This Row],[app_id]],Table5[app_id],Table5[app_name],"",0)</f>
        <v>BankPro</v>
      </c>
      <c r="D903" t="str">
        <f>_xlfn.XLOOKUP(Table6[[#This Row],[app_id]],Table5[app_id],Table5[category],"",0)</f>
        <v>Finance</v>
      </c>
      <c r="E903" t="s">
        <v>533</v>
      </c>
      <c r="F903" t="s">
        <v>538</v>
      </c>
      <c r="G903" t="s">
        <v>69</v>
      </c>
      <c r="H903" t="s">
        <v>535</v>
      </c>
      <c r="I903">
        <v>53</v>
      </c>
      <c r="J903">
        <v>10.5</v>
      </c>
      <c r="K903" t="s">
        <v>257</v>
      </c>
      <c r="L903" t="s">
        <v>258</v>
      </c>
      <c r="M903" t="s">
        <v>257</v>
      </c>
      <c r="N903" s="5">
        <v>0</v>
      </c>
    </row>
    <row r="904" spans="1:14" x14ac:dyDescent="0.25">
      <c r="A904" t="s">
        <v>1445</v>
      </c>
      <c r="B904" t="s">
        <v>24</v>
      </c>
      <c r="C904" t="str">
        <f>_xlfn.XLOOKUP(Table6[[#This Row],[app_id]],Table5[app_id],Table5[app_name],"",0)</f>
        <v>BankX</v>
      </c>
      <c r="D904" t="str">
        <f>_xlfn.XLOOKUP(Table6[[#This Row],[app_id]],Table5[app_id],Table5[category],"",0)</f>
        <v>Finance</v>
      </c>
      <c r="E904" t="s">
        <v>546</v>
      </c>
      <c r="F904" t="s">
        <v>538</v>
      </c>
      <c r="G904" t="s">
        <v>46</v>
      </c>
      <c r="H904" t="s">
        <v>535</v>
      </c>
      <c r="I904">
        <v>3</v>
      </c>
      <c r="J904">
        <v>18.899999999999999</v>
      </c>
      <c r="K904" t="s">
        <v>258</v>
      </c>
      <c r="L904" t="s">
        <v>258</v>
      </c>
      <c r="M904" t="s">
        <v>258</v>
      </c>
      <c r="N904" s="5">
        <v>0</v>
      </c>
    </row>
    <row r="905" spans="1:14" x14ac:dyDescent="0.25">
      <c r="A905" t="s">
        <v>1446</v>
      </c>
      <c r="B905" t="s">
        <v>27</v>
      </c>
      <c r="C905" t="str">
        <f>_xlfn.XLOOKUP(Table6[[#This Row],[app_id]],Table5[app_id],Table5[app_name],"",0)</f>
        <v>BankNow</v>
      </c>
      <c r="D905" t="str">
        <f>_xlfn.XLOOKUP(Table6[[#This Row],[app_id]],Table5[app_id],Table5[category],"",0)</f>
        <v>Finance</v>
      </c>
      <c r="E905" t="s">
        <v>537</v>
      </c>
      <c r="F905" t="s">
        <v>538</v>
      </c>
      <c r="G905" t="s">
        <v>18</v>
      </c>
      <c r="H905" t="s">
        <v>535</v>
      </c>
      <c r="I905">
        <v>10</v>
      </c>
      <c r="J905">
        <v>21.1</v>
      </c>
      <c r="K905" t="s">
        <v>258</v>
      </c>
      <c r="L905" t="s">
        <v>258</v>
      </c>
      <c r="M905" t="s">
        <v>257</v>
      </c>
      <c r="N905" s="5">
        <v>0</v>
      </c>
    </row>
    <row r="906" spans="1:14" x14ac:dyDescent="0.25">
      <c r="A906" t="s">
        <v>1447</v>
      </c>
      <c r="B906" t="s">
        <v>31</v>
      </c>
      <c r="C906" t="str">
        <f>_xlfn.XLOOKUP(Table6[[#This Row],[app_id]],Table5[app_id],Table5[app_name],"",0)</f>
        <v>CreditHub</v>
      </c>
      <c r="D906" t="str">
        <f>_xlfn.XLOOKUP(Table6[[#This Row],[app_id]],Table5[app_id],Table5[category],"",0)</f>
        <v>Finance</v>
      </c>
      <c r="E906" t="s">
        <v>533</v>
      </c>
      <c r="F906" t="s">
        <v>538</v>
      </c>
      <c r="G906" t="s">
        <v>35</v>
      </c>
      <c r="H906" t="s">
        <v>535</v>
      </c>
      <c r="I906">
        <v>44</v>
      </c>
      <c r="J906">
        <v>10.199999999999999</v>
      </c>
      <c r="K906" t="s">
        <v>257</v>
      </c>
      <c r="L906" t="s">
        <v>258</v>
      </c>
      <c r="M906" t="s">
        <v>257</v>
      </c>
      <c r="N906" s="5">
        <v>0</v>
      </c>
    </row>
    <row r="907" spans="1:14" x14ac:dyDescent="0.25">
      <c r="A907" t="s">
        <v>1448</v>
      </c>
      <c r="B907" t="s">
        <v>36</v>
      </c>
      <c r="C907" t="str">
        <f>_xlfn.XLOOKUP(Table6[[#This Row],[app_id]],Table5[app_id],Table5[app_name],"",0)</f>
        <v>PayPlus</v>
      </c>
      <c r="D907" t="str">
        <f>_xlfn.XLOOKUP(Table6[[#This Row],[app_id]],Table5[app_id],Table5[category],"",0)</f>
        <v>Finance</v>
      </c>
      <c r="E907" t="s">
        <v>546</v>
      </c>
      <c r="F907" t="s">
        <v>548</v>
      </c>
      <c r="G907" t="s">
        <v>69</v>
      </c>
      <c r="H907" t="s">
        <v>535</v>
      </c>
      <c r="I907">
        <v>90</v>
      </c>
      <c r="J907">
        <v>21.7</v>
      </c>
      <c r="K907" t="s">
        <v>257</v>
      </c>
      <c r="L907" t="s">
        <v>257</v>
      </c>
      <c r="M907" t="s">
        <v>258</v>
      </c>
      <c r="N907" s="5">
        <v>0</v>
      </c>
    </row>
    <row r="908" spans="1:14" x14ac:dyDescent="0.25">
      <c r="A908" t="s">
        <v>1449</v>
      </c>
      <c r="B908" t="s">
        <v>39</v>
      </c>
      <c r="C908" t="str">
        <f>_xlfn.XLOOKUP(Table6[[#This Row],[app_id]],Table5[app_id],Table5[app_name],"",0)</f>
        <v>BankPlus</v>
      </c>
      <c r="D908" t="str">
        <f>_xlfn.XLOOKUP(Table6[[#This Row],[app_id]],Table5[app_id],Table5[category],"",0)</f>
        <v>Finance</v>
      </c>
      <c r="E908" t="s">
        <v>533</v>
      </c>
      <c r="F908" t="s">
        <v>534</v>
      </c>
      <c r="G908" t="s">
        <v>26</v>
      </c>
      <c r="H908" t="s">
        <v>535</v>
      </c>
      <c r="I908">
        <v>9</v>
      </c>
      <c r="J908">
        <v>18.899999999999999</v>
      </c>
      <c r="K908" t="s">
        <v>258</v>
      </c>
      <c r="L908" t="s">
        <v>257</v>
      </c>
      <c r="M908" t="s">
        <v>258</v>
      </c>
      <c r="N908" s="5">
        <v>88.58</v>
      </c>
    </row>
    <row r="909" spans="1:14" x14ac:dyDescent="0.25">
      <c r="A909" t="s">
        <v>1450</v>
      </c>
      <c r="B909" t="s">
        <v>42</v>
      </c>
      <c r="C909" t="str">
        <f>_xlfn.XLOOKUP(Table6[[#This Row],[app_id]],Table5[app_id],Table5[app_name],"",0)</f>
        <v>CoinPlus</v>
      </c>
      <c r="D909" t="str">
        <f>_xlfn.XLOOKUP(Table6[[#This Row],[app_id]],Table5[app_id],Table5[category],"",0)</f>
        <v>Finance</v>
      </c>
      <c r="E909" t="s">
        <v>533</v>
      </c>
      <c r="F909" t="s">
        <v>534</v>
      </c>
      <c r="G909" t="s">
        <v>69</v>
      </c>
      <c r="H909" t="s">
        <v>535</v>
      </c>
      <c r="I909">
        <v>12</v>
      </c>
      <c r="J909">
        <v>9.9</v>
      </c>
      <c r="K909" t="s">
        <v>258</v>
      </c>
      <c r="L909" t="s">
        <v>257</v>
      </c>
      <c r="M909" t="s">
        <v>257</v>
      </c>
      <c r="N909" s="5">
        <v>0</v>
      </c>
    </row>
    <row r="910" spans="1:14" x14ac:dyDescent="0.25">
      <c r="A910" t="s">
        <v>1451</v>
      </c>
      <c r="B910" t="s">
        <v>47</v>
      </c>
      <c r="C910" t="str">
        <f>_xlfn.XLOOKUP(Table6[[#This Row],[app_id]],Table5[app_id],Table5[app_name],"",0)</f>
        <v>CreditOne</v>
      </c>
      <c r="D910" t="str">
        <f>_xlfn.XLOOKUP(Table6[[#This Row],[app_id]],Table5[app_id],Table5[category],"",0)</f>
        <v>Finance</v>
      </c>
      <c r="E910" t="s">
        <v>537</v>
      </c>
      <c r="F910" t="s">
        <v>538</v>
      </c>
      <c r="G910" t="s">
        <v>69</v>
      </c>
      <c r="H910" t="s">
        <v>535</v>
      </c>
      <c r="I910">
        <v>14</v>
      </c>
      <c r="J910">
        <v>3.4</v>
      </c>
      <c r="K910" t="s">
        <v>257</v>
      </c>
      <c r="L910" t="s">
        <v>257</v>
      </c>
      <c r="M910" t="s">
        <v>258</v>
      </c>
      <c r="N910" s="5">
        <v>0</v>
      </c>
    </row>
    <row r="911" spans="1:14" x14ac:dyDescent="0.25">
      <c r="A911" t="s">
        <v>1452</v>
      </c>
      <c r="B911" t="s">
        <v>49</v>
      </c>
      <c r="C911" t="str">
        <f>_xlfn.XLOOKUP(Table6[[#This Row],[app_id]],Table5[app_id],Table5[app_name],"",0)</f>
        <v>PayPro</v>
      </c>
      <c r="D911" t="str">
        <f>_xlfn.XLOOKUP(Table6[[#This Row],[app_id]],Table5[app_id],Table5[category],"",0)</f>
        <v>Finance</v>
      </c>
      <c r="E911" t="s">
        <v>552</v>
      </c>
      <c r="F911" t="s">
        <v>534</v>
      </c>
      <c r="G911" t="s">
        <v>69</v>
      </c>
      <c r="H911" t="s">
        <v>540</v>
      </c>
      <c r="I911">
        <v>30</v>
      </c>
      <c r="J911">
        <v>13</v>
      </c>
      <c r="K911" t="s">
        <v>257</v>
      </c>
      <c r="L911" t="s">
        <v>258</v>
      </c>
      <c r="M911" t="s">
        <v>258</v>
      </c>
      <c r="N911" s="5">
        <v>4.95</v>
      </c>
    </row>
    <row r="912" spans="1:14" x14ac:dyDescent="0.25">
      <c r="A912" t="s">
        <v>1453</v>
      </c>
      <c r="B912" t="s">
        <v>51</v>
      </c>
      <c r="C912" t="str">
        <f>_xlfn.XLOOKUP(Table6[[#This Row],[app_id]],Table5[app_id],Table5[app_name],"",0)</f>
        <v>Creditly</v>
      </c>
      <c r="D912" t="str">
        <f>_xlfn.XLOOKUP(Table6[[#This Row],[app_id]],Table5[app_id],Table5[category],"",0)</f>
        <v>Finance</v>
      </c>
      <c r="E912" t="s">
        <v>546</v>
      </c>
      <c r="F912" t="s">
        <v>538</v>
      </c>
      <c r="G912" t="s">
        <v>23</v>
      </c>
      <c r="H912" t="s">
        <v>535</v>
      </c>
      <c r="I912">
        <v>47</v>
      </c>
      <c r="J912">
        <v>17.2</v>
      </c>
      <c r="K912" t="s">
        <v>257</v>
      </c>
      <c r="L912" t="s">
        <v>257</v>
      </c>
      <c r="M912" t="s">
        <v>258</v>
      </c>
      <c r="N912" s="5">
        <v>0</v>
      </c>
    </row>
    <row r="913" spans="1:14" x14ac:dyDescent="0.25">
      <c r="A913" t="s">
        <v>1454</v>
      </c>
      <c r="B913" t="s">
        <v>53</v>
      </c>
      <c r="C913" t="str">
        <f>_xlfn.XLOOKUP(Table6[[#This Row],[app_id]],Table5[app_id],Table5[app_name],"",0)</f>
        <v>PayX</v>
      </c>
      <c r="D913" t="str">
        <f>_xlfn.XLOOKUP(Table6[[#This Row],[app_id]],Table5[app_id],Table5[category],"",0)</f>
        <v>Finance</v>
      </c>
      <c r="E913" t="s">
        <v>546</v>
      </c>
      <c r="F913" t="s">
        <v>548</v>
      </c>
      <c r="G913" t="s">
        <v>26</v>
      </c>
      <c r="H913" t="s">
        <v>535</v>
      </c>
      <c r="I913">
        <v>10</v>
      </c>
      <c r="J913">
        <v>4.5999999999999996</v>
      </c>
      <c r="K913" t="s">
        <v>258</v>
      </c>
      <c r="L913" t="s">
        <v>258</v>
      </c>
      <c r="M913" t="s">
        <v>257</v>
      </c>
      <c r="N913" s="5">
        <v>0</v>
      </c>
    </row>
    <row r="914" spans="1:14" x14ac:dyDescent="0.25">
      <c r="A914" t="s">
        <v>1455</v>
      </c>
      <c r="B914" t="s">
        <v>56</v>
      </c>
      <c r="C914" t="str">
        <f>_xlfn.XLOOKUP(Table6[[#This Row],[app_id]],Table5[app_id],Table5[app_name],"",0)</f>
        <v>DealGo</v>
      </c>
      <c r="D914" t="str">
        <f>_xlfn.XLOOKUP(Table6[[#This Row],[app_id]],Table5[app_id],Table5[category],"",0)</f>
        <v>Shopping</v>
      </c>
      <c r="E914" t="s">
        <v>546</v>
      </c>
      <c r="F914" t="s">
        <v>534</v>
      </c>
      <c r="G914" t="s">
        <v>61</v>
      </c>
      <c r="H914" t="s">
        <v>535</v>
      </c>
      <c r="I914">
        <v>16</v>
      </c>
      <c r="J914">
        <v>14.1</v>
      </c>
      <c r="K914" t="s">
        <v>257</v>
      </c>
      <c r="L914" t="s">
        <v>257</v>
      </c>
      <c r="M914" t="s">
        <v>258</v>
      </c>
      <c r="N914" s="5">
        <v>27.1</v>
      </c>
    </row>
    <row r="915" spans="1:14" x14ac:dyDescent="0.25">
      <c r="A915" t="s">
        <v>1456</v>
      </c>
      <c r="B915" t="s">
        <v>62</v>
      </c>
      <c r="C915" t="str">
        <f>_xlfn.XLOOKUP(Table6[[#This Row],[app_id]],Table5[app_id],Table5[app_name],"",0)</f>
        <v>MallNow</v>
      </c>
      <c r="D915" t="str">
        <f>_xlfn.XLOOKUP(Table6[[#This Row],[app_id]],Table5[app_id],Table5[category],"",0)</f>
        <v>Shopping</v>
      </c>
      <c r="E915" t="s">
        <v>537</v>
      </c>
      <c r="F915" t="s">
        <v>538</v>
      </c>
      <c r="G915" t="s">
        <v>61</v>
      </c>
      <c r="H915" t="s">
        <v>535</v>
      </c>
      <c r="I915">
        <v>21</v>
      </c>
      <c r="J915">
        <v>3.7</v>
      </c>
      <c r="K915" t="s">
        <v>257</v>
      </c>
      <c r="L915" t="s">
        <v>257</v>
      </c>
      <c r="M915" t="s">
        <v>258</v>
      </c>
      <c r="N915" s="5">
        <v>0</v>
      </c>
    </row>
    <row r="916" spans="1:14" x14ac:dyDescent="0.25">
      <c r="A916" t="s">
        <v>1457</v>
      </c>
      <c r="B916" t="s">
        <v>65</v>
      </c>
      <c r="C916" t="str">
        <f>_xlfn.XLOOKUP(Table6[[#This Row],[app_id]],Table5[app_id],Table5[app_name],"",0)</f>
        <v>DealPro</v>
      </c>
      <c r="D916" t="str">
        <f>_xlfn.XLOOKUP(Table6[[#This Row],[app_id]],Table5[app_id],Table5[category],"",0)</f>
        <v>Shopping</v>
      </c>
      <c r="E916" t="s">
        <v>546</v>
      </c>
      <c r="F916" t="s">
        <v>534</v>
      </c>
      <c r="G916" t="s">
        <v>30</v>
      </c>
      <c r="H916" t="s">
        <v>535</v>
      </c>
      <c r="I916">
        <v>22</v>
      </c>
      <c r="J916">
        <v>15.4</v>
      </c>
      <c r="K916" t="s">
        <v>258</v>
      </c>
      <c r="L916" t="s">
        <v>258</v>
      </c>
      <c r="M916" t="s">
        <v>258</v>
      </c>
      <c r="N916" s="5">
        <v>2.09</v>
      </c>
    </row>
    <row r="917" spans="1:14" x14ac:dyDescent="0.25">
      <c r="A917" t="s">
        <v>1458</v>
      </c>
      <c r="B917" t="s">
        <v>67</v>
      </c>
      <c r="C917" t="str">
        <f>_xlfn.XLOOKUP(Table6[[#This Row],[app_id]],Table5[app_id],Table5[app_name],"",0)</f>
        <v>StyleNow</v>
      </c>
      <c r="D917" t="str">
        <f>_xlfn.XLOOKUP(Table6[[#This Row],[app_id]],Table5[app_id],Table5[category],"",0)</f>
        <v>Shopping</v>
      </c>
      <c r="E917" t="s">
        <v>546</v>
      </c>
      <c r="F917" t="s">
        <v>534</v>
      </c>
      <c r="G917" t="s">
        <v>35</v>
      </c>
      <c r="H917" t="s">
        <v>535</v>
      </c>
      <c r="I917">
        <v>69</v>
      </c>
      <c r="J917">
        <v>12.5</v>
      </c>
      <c r="K917" t="s">
        <v>257</v>
      </c>
      <c r="L917" t="s">
        <v>257</v>
      </c>
      <c r="M917" t="s">
        <v>258</v>
      </c>
      <c r="N917" s="5">
        <v>0</v>
      </c>
    </row>
    <row r="918" spans="1:14" x14ac:dyDescent="0.25">
      <c r="A918" t="s">
        <v>1459</v>
      </c>
      <c r="B918" t="s">
        <v>70</v>
      </c>
      <c r="C918" t="str">
        <f>_xlfn.XLOOKUP(Table6[[#This Row],[app_id]],Table5[app_id],Table5[app_name],"",0)</f>
        <v>DealCloud</v>
      </c>
      <c r="D918" t="str">
        <f>_xlfn.XLOOKUP(Table6[[#This Row],[app_id]],Table5[app_id],Table5[category],"",0)</f>
        <v>Shopping</v>
      </c>
      <c r="E918" t="s">
        <v>546</v>
      </c>
      <c r="F918" t="s">
        <v>534</v>
      </c>
      <c r="G918" t="s">
        <v>23</v>
      </c>
      <c r="H918" t="s">
        <v>535</v>
      </c>
      <c r="I918">
        <v>81</v>
      </c>
      <c r="J918">
        <v>17.7</v>
      </c>
      <c r="K918" t="s">
        <v>257</v>
      </c>
      <c r="L918" t="s">
        <v>257</v>
      </c>
      <c r="M918" t="s">
        <v>258</v>
      </c>
      <c r="N918" s="5">
        <v>51.21</v>
      </c>
    </row>
    <row r="919" spans="1:14" x14ac:dyDescent="0.25">
      <c r="A919" t="s">
        <v>1460</v>
      </c>
      <c r="B919" t="s">
        <v>72</v>
      </c>
      <c r="C919" t="str">
        <f>_xlfn.XLOOKUP(Table6[[#This Row],[app_id]],Table5[app_id],Table5[app_name],"",0)</f>
        <v>CartCloud</v>
      </c>
      <c r="D919" t="str">
        <f>_xlfn.XLOOKUP(Table6[[#This Row],[app_id]],Table5[app_id],Table5[category],"",0)</f>
        <v>Shopping</v>
      </c>
      <c r="E919" t="s">
        <v>546</v>
      </c>
      <c r="F919" t="s">
        <v>538</v>
      </c>
      <c r="G919" t="s">
        <v>46</v>
      </c>
      <c r="H919" t="s">
        <v>535</v>
      </c>
      <c r="I919">
        <v>13</v>
      </c>
      <c r="J919">
        <v>15.6</v>
      </c>
      <c r="K919" t="s">
        <v>258</v>
      </c>
      <c r="L919" t="s">
        <v>257</v>
      </c>
      <c r="M919" t="s">
        <v>258</v>
      </c>
      <c r="N919" s="5">
        <v>0</v>
      </c>
    </row>
    <row r="920" spans="1:14" x14ac:dyDescent="0.25">
      <c r="A920" t="s">
        <v>1461</v>
      </c>
      <c r="B920" t="s">
        <v>74</v>
      </c>
      <c r="C920" t="str">
        <f>_xlfn.XLOOKUP(Table6[[#This Row],[app_id]],Table5[app_id],Table5[app_name],"",0)</f>
        <v>CartMate</v>
      </c>
      <c r="D920" t="str">
        <f>_xlfn.XLOOKUP(Table6[[#This Row],[app_id]],Table5[app_id],Table5[category],"",0)</f>
        <v>Shopping</v>
      </c>
      <c r="E920" t="s">
        <v>533</v>
      </c>
      <c r="F920" t="s">
        <v>538</v>
      </c>
      <c r="G920" t="s">
        <v>35</v>
      </c>
      <c r="H920" t="s">
        <v>535</v>
      </c>
      <c r="I920">
        <v>7</v>
      </c>
      <c r="J920">
        <v>23.1</v>
      </c>
      <c r="K920" t="s">
        <v>258</v>
      </c>
      <c r="L920" t="s">
        <v>257</v>
      </c>
      <c r="M920" t="s">
        <v>258</v>
      </c>
      <c r="N920" s="5">
        <v>4.43</v>
      </c>
    </row>
    <row r="921" spans="1:14" x14ac:dyDescent="0.25">
      <c r="A921" t="s">
        <v>1462</v>
      </c>
      <c r="B921" t="s">
        <v>76</v>
      </c>
      <c r="C921" t="str">
        <f>_xlfn.XLOOKUP(Table6[[#This Row],[app_id]],Table5[app_id],Table5[app_name],"",0)</f>
        <v>BazaarOne</v>
      </c>
      <c r="D921" t="str">
        <f>_xlfn.XLOOKUP(Table6[[#This Row],[app_id]],Table5[app_id],Table5[category],"",0)</f>
        <v>Shopping</v>
      </c>
      <c r="E921" t="s">
        <v>546</v>
      </c>
      <c r="F921" t="s">
        <v>534</v>
      </c>
      <c r="G921" t="s">
        <v>46</v>
      </c>
      <c r="H921" t="s">
        <v>535</v>
      </c>
      <c r="I921">
        <v>16</v>
      </c>
      <c r="J921">
        <v>21.8</v>
      </c>
      <c r="K921" t="s">
        <v>258</v>
      </c>
      <c r="L921" t="s">
        <v>258</v>
      </c>
      <c r="M921" t="s">
        <v>257</v>
      </c>
      <c r="N921" s="5">
        <v>0</v>
      </c>
    </row>
    <row r="922" spans="1:14" x14ac:dyDescent="0.25">
      <c r="A922" t="s">
        <v>1463</v>
      </c>
      <c r="B922" t="s">
        <v>78</v>
      </c>
      <c r="C922" t="str">
        <f>_xlfn.XLOOKUP(Table6[[#This Row],[app_id]],Table5[app_id],Table5[app_name],"",0)</f>
        <v>StyleOne</v>
      </c>
      <c r="D922" t="str">
        <f>_xlfn.XLOOKUP(Table6[[#This Row],[app_id]],Table5[app_id],Table5[category],"",0)</f>
        <v>Shopping</v>
      </c>
      <c r="E922" t="s">
        <v>533</v>
      </c>
      <c r="F922" t="s">
        <v>534</v>
      </c>
      <c r="G922" t="s">
        <v>30</v>
      </c>
      <c r="H922" t="s">
        <v>540</v>
      </c>
      <c r="I922">
        <v>78</v>
      </c>
      <c r="J922">
        <v>11.6</v>
      </c>
      <c r="K922" t="s">
        <v>257</v>
      </c>
      <c r="L922" t="s">
        <v>258</v>
      </c>
      <c r="M922" t="s">
        <v>258</v>
      </c>
      <c r="N922" s="5">
        <v>0</v>
      </c>
    </row>
    <row r="923" spans="1:14" x14ac:dyDescent="0.25">
      <c r="A923" t="s">
        <v>1464</v>
      </c>
      <c r="B923" t="s">
        <v>80</v>
      </c>
      <c r="C923" t="str">
        <f>_xlfn.XLOOKUP(Table6[[#This Row],[app_id]],Table5[app_id],Table5[app_name],"",0)</f>
        <v>Cartly</v>
      </c>
      <c r="D923" t="str">
        <f>_xlfn.XLOOKUP(Table6[[#This Row],[app_id]],Table5[app_id],Table5[category],"",0)</f>
        <v>Shopping</v>
      </c>
      <c r="E923" t="s">
        <v>533</v>
      </c>
      <c r="F923" t="s">
        <v>534</v>
      </c>
      <c r="G923" t="s">
        <v>61</v>
      </c>
      <c r="H923" t="s">
        <v>535</v>
      </c>
      <c r="I923">
        <v>69</v>
      </c>
      <c r="J923">
        <v>18.899999999999999</v>
      </c>
      <c r="K923" t="s">
        <v>257</v>
      </c>
      <c r="L923" t="s">
        <v>258</v>
      </c>
      <c r="M923" t="s">
        <v>257</v>
      </c>
      <c r="N923" s="5">
        <v>81.260000000000005</v>
      </c>
    </row>
    <row r="924" spans="1:14" x14ac:dyDescent="0.25">
      <c r="A924" t="s">
        <v>1465</v>
      </c>
      <c r="B924" t="s">
        <v>83</v>
      </c>
      <c r="C924" t="str">
        <f>_xlfn.XLOOKUP(Table6[[#This Row],[app_id]],Table5[app_id],Table5[app_name],"",0)</f>
        <v>BazaarCloud</v>
      </c>
      <c r="D924" t="str">
        <f>_xlfn.XLOOKUP(Table6[[#This Row],[app_id]],Table5[app_id],Table5[category],"",0)</f>
        <v>Shopping</v>
      </c>
      <c r="E924" t="s">
        <v>533</v>
      </c>
      <c r="F924" t="s">
        <v>534</v>
      </c>
      <c r="G924" t="s">
        <v>26</v>
      </c>
      <c r="H924" t="s">
        <v>535</v>
      </c>
      <c r="I924">
        <v>23</v>
      </c>
      <c r="J924">
        <v>4.5</v>
      </c>
      <c r="K924" t="s">
        <v>257</v>
      </c>
      <c r="L924" t="s">
        <v>257</v>
      </c>
      <c r="M924" t="s">
        <v>258</v>
      </c>
      <c r="N924" s="5">
        <v>69.180000000000007</v>
      </c>
    </row>
    <row r="925" spans="1:14" x14ac:dyDescent="0.25">
      <c r="A925" t="s">
        <v>1466</v>
      </c>
      <c r="B925" t="s">
        <v>85</v>
      </c>
      <c r="C925" t="str">
        <f>_xlfn.XLOOKUP(Table6[[#This Row],[app_id]],Table5[app_id],Table5[app_name],"",0)</f>
        <v>CartPro</v>
      </c>
      <c r="D925" t="str">
        <f>_xlfn.XLOOKUP(Table6[[#This Row],[app_id]],Table5[app_id],Table5[category],"",0)</f>
        <v>Shopping</v>
      </c>
      <c r="E925" t="s">
        <v>533</v>
      </c>
      <c r="F925" t="s">
        <v>534</v>
      </c>
      <c r="G925" t="s">
        <v>30</v>
      </c>
      <c r="H925" t="s">
        <v>535</v>
      </c>
      <c r="I925">
        <v>44</v>
      </c>
      <c r="J925">
        <v>14.4</v>
      </c>
      <c r="K925" t="s">
        <v>257</v>
      </c>
      <c r="L925" t="s">
        <v>257</v>
      </c>
      <c r="M925" t="s">
        <v>258</v>
      </c>
      <c r="N925" s="5">
        <v>0</v>
      </c>
    </row>
    <row r="926" spans="1:14" x14ac:dyDescent="0.25">
      <c r="A926" t="s">
        <v>1467</v>
      </c>
      <c r="B926" t="s">
        <v>87</v>
      </c>
      <c r="C926" t="str">
        <f>_xlfn.XLOOKUP(Table6[[#This Row],[app_id]],Table5[app_id],Table5[app_name],"",0)</f>
        <v>RunPlus</v>
      </c>
      <c r="D926" t="str">
        <f>_xlfn.XLOOKUP(Table6[[#This Row],[app_id]],Table5[app_id],Table5[category],"",0)</f>
        <v>Fitness</v>
      </c>
      <c r="E926" t="s">
        <v>537</v>
      </c>
      <c r="F926" t="s">
        <v>538</v>
      </c>
      <c r="G926" t="s">
        <v>61</v>
      </c>
      <c r="H926" t="s">
        <v>535</v>
      </c>
      <c r="I926">
        <v>1</v>
      </c>
      <c r="J926">
        <v>30.3</v>
      </c>
      <c r="K926" t="s">
        <v>258</v>
      </c>
      <c r="L926" t="s">
        <v>257</v>
      </c>
      <c r="M926" t="s">
        <v>258</v>
      </c>
      <c r="N926" s="5">
        <v>0</v>
      </c>
    </row>
    <row r="927" spans="1:14" x14ac:dyDescent="0.25">
      <c r="A927" t="s">
        <v>1468</v>
      </c>
      <c r="B927" t="s">
        <v>90</v>
      </c>
      <c r="C927" t="str">
        <f>_xlfn.XLOOKUP(Table6[[#This Row],[app_id]],Table5[app_id],Table5[app_name],"",0)</f>
        <v>TrainCloud</v>
      </c>
      <c r="D927" t="str">
        <f>_xlfn.XLOOKUP(Table6[[#This Row],[app_id]],Table5[app_id],Table5[category],"",0)</f>
        <v>Fitness</v>
      </c>
      <c r="E927" t="s">
        <v>537</v>
      </c>
      <c r="F927" t="s">
        <v>538</v>
      </c>
      <c r="G927" t="s">
        <v>18</v>
      </c>
      <c r="H927" t="s">
        <v>535</v>
      </c>
      <c r="I927">
        <v>27</v>
      </c>
      <c r="J927">
        <v>9.6999999999999993</v>
      </c>
      <c r="K927" t="s">
        <v>258</v>
      </c>
      <c r="L927" t="s">
        <v>257</v>
      </c>
      <c r="M927" t="s">
        <v>258</v>
      </c>
      <c r="N927" s="5">
        <v>90.97</v>
      </c>
    </row>
    <row r="928" spans="1:14" x14ac:dyDescent="0.25">
      <c r="A928" t="s">
        <v>1469</v>
      </c>
      <c r="B928" t="s">
        <v>92</v>
      </c>
      <c r="C928" t="str">
        <f>_xlfn.XLOOKUP(Table6[[#This Row],[app_id]],Table5[app_id],Table5[app_name],"",0)</f>
        <v>Trainly</v>
      </c>
      <c r="D928" t="str">
        <f>_xlfn.XLOOKUP(Table6[[#This Row],[app_id]],Table5[app_id],Table5[category],"",0)</f>
        <v>Fitness</v>
      </c>
      <c r="E928" t="s">
        <v>533</v>
      </c>
      <c r="F928" t="s">
        <v>534</v>
      </c>
      <c r="G928" t="s">
        <v>35</v>
      </c>
      <c r="H928" t="s">
        <v>535</v>
      </c>
      <c r="I928">
        <v>13</v>
      </c>
      <c r="J928">
        <v>14.5</v>
      </c>
      <c r="K928" t="s">
        <v>258</v>
      </c>
      <c r="L928" t="s">
        <v>258</v>
      </c>
      <c r="M928" t="s">
        <v>258</v>
      </c>
      <c r="N928" s="5">
        <v>37.36</v>
      </c>
    </row>
    <row r="929" spans="1:14" x14ac:dyDescent="0.25">
      <c r="A929" t="s">
        <v>1470</v>
      </c>
      <c r="B929" t="s">
        <v>94</v>
      </c>
      <c r="C929" t="str">
        <f>_xlfn.XLOOKUP(Table6[[#This Row],[app_id]],Table5[app_id],Table5[app_name],"",0)</f>
        <v>LiftCloud</v>
      </c>
      <c r="D929" t="str">
        <f>_xlfn.XLOOKUP(Table6[[#This Row],[app_id]],Table5[app_id],Table5[category],"",0)</f>
        <v>Fitness</v>
      </c>
      <c r="E929" t="s">
        <v>533</v>
      </c>
      <c r="F929" t="s">
        <v>538</v>
      </c>
      <c r="G929" t="s">
        <v>69</v>
      </c>
      <c r="H929" t="s">
        <v>535</v>
      </c>
      <c r="I929">
        <v>37</v>
      </c>
      <c r="J929">
        <v>28.9</v>
      </c>
      <c r="K929" t="s">
        <v>257</v>
      </c>
      <c r="L929" t="s">
        <v>257</v>
      </c>
      <c r="M929" t="s">
        <v>258</v>
      </c>
      <c r="N929" s="5">
        <v>0</v>
      </c>
    </row>
    <row r="930" spans="1:14" x14ac:dyDescent="0.25">
      <c r="A930" t="s">
        <v>1471</v>
      </c>
      <c r="B930" t="s">
        <v>96</v>
      </c>
      <c r="C930" t="str">
        <f>_xlfn.XLOOKUP(Table6[[#This Row],[app_id]],Table5[app_id],Table5[app_name],"",0)</f>
        <v>MoveNow</v>
      </c>
      <c r="D930" t="str">
        <f>_xlfn.XLOOKUP(Table6[[#This Row],[app_id]],Table5[app_id],Table5[category],"",0)</f>
        <v>Fitness</v>
      </c>
      <c r="E930" t="s">
        <v>533</v>
      </c>
      <c r="F930" t="s">
        <v>538</v>
      </c>
      <c r="G930" t="s">
        <v>46</v>
      </c>
      <c r="H930" t="s">
        <v>535</v>
      </c>
      <c r="I930">
        <v>19</v>
      </c>
      <c r="J930">
        <v>35.6</v>
      </c>
      <c r="K930" t="s">
        <v>258</v>
      </c>
      <c r="L930" t="s">
        <v>258</v>
      </c>
      <c r="M930" t="s">
        <v>257</v>
      </c>
      <c r="N930" s="5">
        <v>64.44</v>
      </c>
    </row>
    <row r="931" spans="1:14" x14ac:dyDescent="0.25">
      <c r="A931" t="s">
        <v>1472</v>
      </c>
      <c r="B931" t="s">
        <v>98</v>
      </c>
      <c r="C931" t="str">
        <f>_xlfn.XLOOKUP(Table6[[#This Row],[app_id]],Table5[app_id],Table5[app_name],"",0)</f>
        <v>ActiveMate</v>
      </c>
      <c r="D931" t="str">
        <f>_xlfn.XLOOKUP(Table6[[#This Row],[app_id]],Table5[app_id],Table5[category],"",0)</f>
        <v>Fitness</v>
      </c>
      <c r="E931" t="s">
        <v>533</v>
      </c>
      <c r="F931" t="s">
        <v>534</v>
      </c>
      <c r="G931" t="s">
        <v>26</v>
      </c>
      <c r="H931" t="s">
        <v>535</v>
      </c>
      <c r="I931">
        <v>44</v>
      </c>
      <c r="J931">
        <v>40.299999999999997</v>
      </c>
      <c r="K931" t="s">
        <v>257</v>
      </c>
      <c r="L931" t="s">
        <v>257</v>
      </c>
      <c r="M931" t="s">
        <v>258</v>
      </c>
      <c r="N931" s="5">
        <v>0</v>
      </c>
    </row>
    <row r="932" spans="1:14" x14ac:dyDescent="0.25">
      <c r="A932" t="s">
        <v>1473</v>
      </c>
      <c r="B932" t="s">
        <v>100</v>
      </c>
      <c r="C932" t="str">
        <f>_xlfn.XLOOKUP(Table6[[#This Row],[app_id]],Table5[app_id],Table5[app_name],"",0)</f>
        <v>RunGo</v>
      </c>
      <c r="D932" t="str">
        <f>_xlfn.XLOOKUP(Table6[[#This Row],[app_id]],Table5[app_id],Table5[category],"",0)</f>
        <v>Fitness</v>
      </c>
      <c r="E932" t="s">
        <v>552</v>
      </c>
      <c r="F932" t="s">
        <v>534</v>
      </c>
      <c r="G932" t="s">
        <v>69</v>
      </c>
      <c r="H932" t="s">
        <v>535</v>
      </c>
      <c r="I932">
        <v>82</v>
      </c>
      <c r="J932">
        <v>36.9</v>
      </c>
      <c r="K932" t="s">
        <v>257</v>
      </c>
      <c r="L932" t="s">
        <v>257</v>
      </c>
      <c r="M932" t="s">
        <v>258</v>
      </c>
      <c r="N932" s="5">
        <v>0</v>
      </c>
    </row>
    <row r="933" spans="1:14" x14ac:dyDescent="0.25">
      <c r="A933" t="s">
        <v>1474</v>
      </c>
      <c r="B933" t="s">
        <v>102</v>
      </c>
      <c r="C933" t="str">
        <f>_xlfn.XLOOKUP(Table6[[#This Row],[app_id]],Table5[app_id],Table5[app_name],"",0)</f>
        <v>LiftPro</v>
      </c>
      <c r="D933" t="str">
        <f>_xlfn.XLOOKUP(Table6[[#This Row],[app_id]],Table5[app_id],Table5[category],"",0)</f>
        <v>Fitness</v>
      </c>
      <c r="E933" t="s">
        <v>533</v>
      </c>
      <c r="F933" t="s">
        <v>538</v>
      </c>
      <c r="G933" t="s">
        <v>69</v>
      </c>
      <c r="H933" t="s">
        <v>535</v>
      </c>
      <c r="I933">
        <v>67</v>
      </c>
      <c r="J933">
        <v>23.6</v>
      </c>
      <c r="K933" t="s">
        <v>257</v>
      </c>
      <c r="L933" t="s">
        <v>258</v>
      </c>
      <c r="M933" t="s">
        <v>258</v>
      </c>
      <c r="N933" s="5">
        <v>49.3</v>
      </c>
    </row>
    <row r="934" spans="1:14" x14ac:dyDescent="0.25">
      <c r="A934" t="s">
        <v>1475</v>
      </c>
      <c r="B934" t="s">
        <v>104</v>
      </c>
      <c r="C934" t="str">
        <f>_xlfn.XLOOKUP(Table6[[#This Row],[app_id]],Table5[app_id],Table5[app_name],"",0)</f>
        <v>LiftPro</v>
      </c>
      <c r="D934" t="str">
        <f>_xlfn.XLOOKUP(Table6[[#This Row],[app_id]],Table5[app_id],Table5[category],"",0)</f>
        <v>Fitness</v>
      </c>
      <c r="E934" t="s">
        <v>546</v>
      </c>
      <c r="F934" t="s">
        <v>538</v>
      </c>
      <c r="G934" t="s">
        <v>35</v>
      </c>
      <c r="H934" t="s">
        <v>535</v>
      </c>
      <c r="I934">
        <v>77</v>
      </c>
      <c r="J934">
        <v>23.1</v>
      </c>
      <c r="K934" t="s">
        <v>257</v>
      </c>
      <c r="L934" t="s">
        <v>257</v>
      </c>
      <c r="M934" t="s">
        <v>258</v>
      </c>
      <c r="N934" s="5">
        <v>0</v>
      </c>
    </row>
    <row r="935" spans="1:14" x14ac:dyDescent="0.25">
      <c r="A935" t="s">
        <v>1476</v>
      </c>
      <c r="B935" t="s">
        <v>105</v>
      </c>
      <c r="C935" t="str">
        <f>_xlfn.XLOOKUP(Table6[[#This Row],[app_id]],Table5[app_id],Table5[app_name],"",0)</f>
        <v>Liftly</v>
      </c>
      <c r="D935" t="str">
        <f>_xlfn.XLOOKUP(Table6[[#This Row],[app_id]],Table5[app_id],Table5[category],"",0)</f>
        <v>Fitness</v>
      </c>
      <c r="E935" t="s">
        <v>537</v>
      </c>
      <c r="F935" t="s">
        <v>538</v>
      </c>
      <c r="G935" t="s">
        <v>46</v>
      </c>
      <c r="H935" t="s">
        <v>535</v>
      </c>
      <c r="I935">
        <v>1</v>
      </c>
      <c r="J935">
        <v>30.2</v>
      </c>
      <c r="K935" t="s">
        <v>258</v>
      </c>
      <c r="L935" t="s">
        <v>257</v>
      </c>
      <c r="M935" t="s">
        <v>257</v>
      </c>
      <c r="N935" s="5">
        <v>0</v>
      </c>
    </row>
    <row r="936" spans="1:14" x14ac:dyDescent="0.25">
      <c r="A936" t="s">
        <v>1477</v>
      </c>
      <c r="B936" t="s">
        <v>107</v>
      </c>
      <c r="C936" t="str">
        <f>_xlfn.XLOOKUP(Table6[[#This Row],[app_id]],Table5[app_id],Table5[app_name],"",0)</f>
        <v>YogaHub</v>
      </c>
      <c r="D936" t="str">
        <f>_xlfn.XLOOKUP(Table6[[#This Row],[app_id]],Table5[app_id],Table5[category],"",0)</f>
        <v>Fitness</v>
      </c>
      <c r="E936" t="s">
        <v>533</v>
      </c>
      <c r="F936" t="s">
        <v>538</v>
      </c>
      <c r="G936" t="s">
        <v>18</v>
      </c>
      <c r="H936" t="s">
        <v>535</v>
      </c>
      <c r="I936">
        <v>28</v>
      </c>
      <c r="J936">
        <v>23.1</v>
      </c>
      <c r="K936" t="s">
        <v>258</v>
      </c>
      <c r="L936" t="s">
        <v>257</v>
      </c>
      <c r="M936" t="s">
        <v>257</v>
      </c>
      <c r="N936" s="5">
        <v>0</v>
      </c>
    </row>
    <row r="937" spans="1:14" x14ac:dyDescent="0.25">
      <c r="A937" t="s">
        <v>1478</v>
      </c>
      <c r="B937" t="s">
        <v>109</v>
      </c>
      <c r="C937" t="str">
        <f>_xlfn.XLOOKUP(Table6[[#This Row],[app_id]],Table5[app_id],Table5[app_name],"",0)</f>
        <v>MoveGo</v>
      </c>
      <c r="D937" t="str">
        <f>_xlfn.XLOOKUP(Table6[[#This Row],[app_id]],Table5[app_id],Table5[category],"",0)</f>
        <v>Fitness</v>
      </c>
      <c r="E937" t="s">
        <v>533</v>
      </c>
      <c r="F937" t="s">
        <v>538</v>
      </c>
      <c r="G937" t="s">
        <v>30</v>
      </c>
      <c r="H937" t="s">
        <v>535</v>
      </c>
      <c r="I937">
        <v>46</v>
      </c>
      <c r="J937">
        <v>29.7</v>
      </c>
      <c r="K937" t="s">
        <v>257</v>
      </c>
      <c r="L937" t="s">
        <v>257</v>
      </c>
      <c r="M937" t="s">
        <v>258</v>
      </c>
      <c r="N937" s="5">
        <v>0</v>
      </c>
    </row>
    <row r="938" spans="1:14" x14ac:dyDescent="0.25">
      <c r="A938" t="s">
        <v>1479</v>
      </c>
      <c r="B938" t="s">
        <v>111</v>
      </c>
      <c r="C938" t="str">
        <f>_xlfn.XLOOKUP(Table6[[#This Row],[app_id]],Table5[app_id],Table5[app_name],"",0)</f>
        <v>BrightNow</v>
      </c>
      <c r="D938" t="str">
        <f>_xlfn.XLOOKUP(Table6[[#This Row],[app_id]],Table5[app_id],Table5[category],"",0)</f>
        <v>Education</v>
      </c>
      <c r="E938" t="s">
        <v>546</v>
      </c>
      <c r="F938" t="s">
        <v>538</v>
      </c>
      <c r="G938" t="s">
        <v>23</v>
      </c>
      <c r="H938" t="s">
        <v>535</v>
      </c>
      <c r="I938">
        <v>6</v>
      </c>
      <c r="J938">
        <v>41.7</v>
      </c>
      <c r="K938" t="s">
        <v>258</v>
      </c>
      <c r="L938" t="s">
        <v>257</v>
      </c>
      <c r="M938" t="s">
        <v>258</v>
      </c>
      <c r="N938" s="5">
        <v>0</v>
      </c>
    </row>
    <row r="939" spans="1:14" x14ac:dyDescent="0.25">
      <c r="A939" t="s">
        <v>1480</v>
      </c>
      <c r="B939" t="s">
        <v>114</v>
      </c>
      <c r="C939" t="str">
        <f>_xlfn.XLOOKUP(Table6[[#This Row],[app_id]],Table5[app_id],Table5[app_name],"",0)</f>
        <v>StudyCloud</v>
      </c>
      <c r="D939" t="str">
        <f>_xlfn.XLOOKUP(Table6[[#This Row],[app_id]],Table5[app_id],Table5[category],"",0)</f>
        <v>Education</v>
      </c>
      <c r="E939" t="s">
        <v>546</v>
      </c>
      <c r="F939" t="s">
        <v>534</v>
      </c>
      <c r="G939" t="s">
        <v>35</v>
      </c>
      <c r="H939" t="s">
        <v>535</v>
      </c>
      <c r="I939">
        <v>7</v>
      </c>
      <c r="J939">
        <v>39.5</v>
      </c>
      <c r="K939" t="s">
        <v>258</v>
      </c>
      <c r="L939" t="s">
        <v>258</v>
      </c>
      <c r="M939" t="s">
        <v>257</v>
      </c>
      <c r="N939" s="5">
        <v>0</v>
      </c>
    </row>
    <row r="940" spans="1:14" x14ac:dyDescent="0.25">
      <c r="A940" t="s">
        <v>1481</v>
      </c>
      <c r="B940" t="s">
        <v>116</v>
      </c>
      <c r="C940" t="str">
        <f>_xlfn.XLOOKUP(Table6[[#This Row],[app_id]],Table5[app_id],Table5[app_name],"",0)</f>
        <v>SkillNow</v>
      </c>
      <c r="D940" t="str">
        <f>_xlfn.XLOOKUP(Table6[[#This Row],[app_id]],Table5[app_id],Table5[category],"",0)</f>
        <v>Education</v>
      </c>
      <c r="E940" t="s">
        <v>546</v>
      </c>
      <c r="F940" t="s">
        <v>534</v>
      </c>
      <c r="G940" t="s">
        <v>23</v>
      </c>
      <c r="H940" t="s">
        <v>535</v>
      </c>
      <c r="I940">
        <v>37</v>
      </c>
      <c r="J940">
        <v>15.6</v>
      </c>
      <c r="K940" t="s">
        <v>257</v>
      </c>
      <c r="L940" t="s">
        <v>258</v>
      </c>
      <c r="M940" t="s">
        <v>257</v>
      </c>
      <c r="N940" s="5">
        <v>42.86</v>
      </c>
    </row>
    <row r="941" spans="1:14" x14ac:dyDescent="0.25">
      <c r="A941" t="s">
        <v>1482</v>
      </c>
      <c r="B941" t="s">
        <v>118</v>
      </c>
      <c r="C941" t="str">
        <f>_xlfn.XLOOKUP(Table6[[#This Row],[app_id]],Table5[app_id],Table5[app_name],"",0)</f>
        <v>LearnMate</v>
      </c>
      <c r="D941" t="str">
        <f>_xlfn.XLOOKUP(Table6[[#This Row],[app_id]],Table5[app_id],Table5[category],"",0)</f>
        <v>Education</v>
      </c>
      <c r="E941" t="s">
        <v>537</v>
      </c>
      <c r="F941" t="s">
        <v>534</v>
      </c>
      <c r="G941" t="s">
        <v>35</v>
      </c>
      <c r="H941" t="s">
        <v>535</v>
      </c>
      <c r="I941">
        <v>31</v>
      </c>
      <c r="J941">
        <v>18.399999999999999</v>
      </c>
      <c r="K941" t="s">
        <v>257</v>
      </c>
      <c r="L941" t="s">
        <v>257</v>
      </c>
      <c r="M941" t="s">
        <v>258</v>
      </c>
      <c r="N941" s="5">
        <v>0</v>
      </c>
    </row>
    <row r="942" spans="1:14" x14ac:dyDescent="0.25">
      <c r="A942" t="s">
        <v>1483</v>
      </c>
      <c r="B942" t="s">
        <v>120</v>
      </c>
      <c r="C942" t="str">
        <f>_xlfn.XLOOKUP(Table6[[#This Row],[app_id]],Table5[app_id],Table5[app_name],"",0)</f>
        <v>QuestNow</v>
      </c>
      <c r="D942" t="str">
        <f>_xlfn.XLOOKUP(Table6[[#This Row],[app_id]],Table5[app_id],Table5[category],"",0)</f>
        <v>Education</v>
      </c>
      <c r="E942" t="s">
        <v>537</v>
      </c>
      <c r="F942" t="s">
        <v>538</v>
      </c>
      <c r="G942" t="s">
        <v>69</v>
      </c>
      <c r="H942" t="s">
        <v>535</v>
      </c>
      <c r="I942">
        <v>7</v>
      </c>
      <c r="J942">
        <v>20.9</v>
      </c>
      <c r="K942" t="s">
        <v>258</v>
      </c>
      <c r="L942" t="s">
        <v>257</v>
      </c>
      <c r="M942" t="s">
        <v>258</v>
      </c>
      <c r="N942" s="5">
        <v>0</v>
      </c>
    </row>
    <row r="943" spans="1:14" x14ac:dyDescent="0.25">
      <c r="A943" t="s">
        <v>1484</v>
      </c>
      <c r="B943" t="s">
        <v>122</v>
      </c>
      <c r="C943" t="str">
        <f>_xlfn.XLOOKUP(Table6[[#This Row],[app_id]],Table5[app_id],Table5[app_name],"",0)</f>
        <v>SkillHub</v>
      </c>
      <c r="D943" t="str">
        <f>_xlfn.XLOOKUP(Table6[[#This Row],[app_id]],Table5[app_id],Table5[category],"",0)</f>
        <v>Education</v>
      </c>
      <c r="E943" t="s">
        <v>546</v>
      </c>
      <c r="F943" t="s">
        <v>534</v>
      </c>
      <c r="G943" t="s">
        <v>61</v>
      </c>
      <c r="H943" t="s">
        <v>535</v>
      </c>
      <c r="I943">
        <v>25</v>
      </c>
      <c r="J943">
        <v>40</v>
      </c>
      <c r="K943" t="s">
        <v>257</v>
      </c>
      <c r="L943" t="s">
        <v>257</v>
      </c>
      <c r="M943" t="s">
        <v>257</v>
      </c>
      <c r="N943" s="5">
        <v>0</v>
      </c>
    </row>
    <row r="944" spans="1:14" x14ac:dyDescent="0.25">
      <c r="A944" t="s">
        <v>1485</v>
      </c>
      <c r="B944" t="s">
        <v>124</v>
      </c>
      <c r="C944" t="str">
        <f>_xlfn.XLOOKUP(Table6[[#This Row],[app_id]],Table5[app_id],Table5[app_name],"",0)</f>
        <v>TutorCloud</v>
      </c>
      <c r="D944" t="str">
        <f>_xlfn.XLOOKUP(Table6[[#This Row],[app_id]],Table5[app_id],Table5[category],"",0)</f>
        <v>Education</v>
      </c>
      <c r="E944" t="s">
        <v>546</v>
      </c>
      <c r="F944" t="s">
        <v>538</v>
      </c>
      <c r="G944" t="s">
        <v>46</v>
      </c>
      <c r="H944" t="s">
        <v>535</v>
      </c>
      <c r="I944">
        <v>39</v>
      </c>
      <c r="J944">
        <v>12.6</v>
      </c>
      <c r="K944" t="s">
        <v>257</v>
      </c>
      <c r="L944" t="s">
        <v>258</v>
      </c>
      <c r="M944" t="s">
        <v>258</v>
      </c>
      <c r="N944" s="5">
        <v>0</v>
      </c>
    </row>
    <row r="945" spans="1:14" x14ac:dyDescent="0.25">
      <c r="A945" t="s">
        <v>1486</v>
      </c>
      <c r="B945" t="s">
        <v>126</v>
      </c>
      <c r="C945" t="str">
        <f>_xlfn.XLOOKUP(Table6[[#This Row],[app_id]],Table5[app_id],Table5[app_name],"",0)</f>
        <v>SkillOne</v>
      </c>
      <c r="D945" t="str">
        <f>_xlfn.XLOOKUP(Table6[[#This Row],[app_id]],Table5[app_id],Table5[category],"",0)</f>
        <v>Education</v>
      </c>
      <c r="E945" t="s">
        <v>533</v>
      </c>
      <c r="F945" t="s">
        <v>538</v>
      </c>
      <c r="G945" t="s">
        <v>26</v>
      </c>
      <c r="H945" t="s">
        <v>540</v>
      </c>
      <c r="I945">
        <v>7</v>
      </c>
      <c r="J945">
        <v>41.9</v>
      </c>
      <c r="K945" t="s">
        <v>258</v>
      </c>
      <c r="L945" t="s">
        <v>257</v>
      </c>
      <c r="M945" t="s">
        <v>258</v>
      </c>
      <c r="N945" s="5">
        <v>0</v>
      </c>
    </row>
    <row r="946" spans="1:14" x14ac:dyDescent="0.25">
      <c r="A946" t="s">
        <v>1487</v>
      </c>
      <c r="B946" t="s">
        <v>128</v>
      </c>
      <c r="C946" t="str">
        <f>_xlfn.XLOOKUP(Table6[[#This Row],[app_id]],Table5[app_id],Table5[app_name],"",0)</f>
        <v>LearnOne</v>
      </c>
      <c r="D946" t="str">
        <f>_xlfn.XLOOKUP(Table6[[#This Row],[app_id]],Table5[app_id],Table5[category],"",0)</f>
        <v>Education</v>
      </c>
      <c r="E946" t="s">
        <v>537</v>
      </c>
      <c r="F946" t="s">
        <v>534</v>
      </c>
      <c r="G946" t="s">
        <v>30</v>
      </c>
      <c r="H946" t="s">
        <v>535</v>
      </c>
      <c r="I946">
        <v>25</v>
      </c>
      <c r="J946">
        <v>26.3</v>
      </c>
      <c r="K946" t="s">
        <v>257</v>
      </c>
      <c r="L946" t="s">
        <v>258</v>
      </c>
      <c r="M946" t="s">
        <v>258</v>
      </c>
      <c r="N946" s="5">
        <v>0</v>
      </c>
    </row>
    <row r="947" spans="1:14" x14ac:dyDescent="0.25">
      <c r="A947" t="s">
        <v>1488</v>
      </c>
      <c r="B947" t="s">
        <v>130</v>
      </c>
      <c r="C947" t="str">
        <f>_xlfn.XLOOKUP(Table6[[#This Row],[app_id]],Table5[app_id],Table5[app_name],"",0)</f>
        <v>LearnPlus</v>
      </c>
      <c r="D947" t="str">
        <f>_xlfn.XLOOKUP(Table6[[#This Row],[app_id]],Table5[app_id],Table5[category],"",0)</f>
        <v>Education</v>
      </c>
      <c r="E947" t="s">
        <v>533</v>
      </c>
      <c r="F947" t="s">
        <v>628</v>
      </c>
      <c r="G947" t="s">
        <v>30</v>
      </c>
      <c r="H947" t="s">
        <v>535</v>
      </c>
      <c r="I947">
        <v>2</v>
      </c>
      <c r="J947">
        <v>39.6</v>
      </c>
      <c r="K947" t="s">
        <v>258</v>
      </c>
      <c r="L947" t="s">
        <v>257</v>
      </c>
      <c r="M947" t="s">
        <v>257</v>
      </c>
      <c r="N947" s="5">
        <v>23.61</v>
      </c>
    </row>
    <row r="948" spans="1:14" x14ac:dyDescent="0.25">
      <c r="A948" t="s">
        <v>1489</v>
      </c>
      <c r="B948" t="s">
        <v>132</v>
      </c>
      <c r="C948" t="str">
        <f>_xlfn.XLOOKUP(Table6[[#This Row],[app_id]],Table5[app_id],Table5[app_name],"",0)</f>
        <v>StudyPlus</v>
      </c>
      <c r="D948" t="str">
        <f>_xlfn.XLOOKUP(Table6[[#This Row],[app_id]],Table5[app_id],Table5[category],"",0)</f>
        <v>Education</v>
      </c>
      <c r="E948" t="s">
        <v>552</v>
      </c>
      <c r="F948" t="s">
        <v>534</v>
      </c>
      <c r="G948" t="s">
        <v>30</v>
      </c>
      <c r="H948" t="s">
        <v>540</v>
      </c>
      <c r="I948">
        <v>23</v>
      </c>
      <c r="J948">
        <v>10.3</v>
      </c>
      <c r="K948" t="s">
        <v>257</v>
      </c>
      <c r="L948" t="s">
        <v>257</v>
      </c>
      <c r="M948" t="s">
        <v>258</v>
      </c>
      <c r="N948" s="5">
        <v>0</v>
      </c>
    </row>
    <row r="949" spans="1:14" x14ac:dyDescent="0.25">
      <c r="A949" t="s">
        <v>1490</v>
      </c>
      <c r="B949" t="s">
        <v>134</v>
      </c>
      <c r="C949" t="str">
        <f>_xlfn.XLOOKUP(Table6[[#This Row],[app_id]],Table5[app_id],Table5[app_name],"",0)</f>
        <v>StudyX</v>
      </c>
      <c r="D949" t="str">
        <f>_xlfn.XLOOKUP(Table6[[#This Row],[app_id]],Table5[app_id],Table5[category],"",0)</f>
        <v>Education</v>
      </c>
      <c r="E949" t="s">
        <v>533</v>
      </c>
      <c r="F949" t="s">
        <v>534</v>
      </c>
      <c r="G949" t="s">
        <v>30</v>
      </c>
      <c r="H949" t="s">
        <v>535</v>
      </c>
      <c r="I949">
        <v>92</v>
      </c>
      <c r="J949">
        <v>12.2</v>
      </c>
      <c r="K949" t="s">
        <v>257</v>
      </c>
      <c r="L949" t="s">
        <v>257</v>
      </c>
      <c r="M949" t="s">
        <v>258</v>
      </c>
      <c r="N949" s="5">
        <v>0</v>
      </c>
    </row>
    <row r="950" spans="1:14" x14ac:dyDescent="0.25">
      <c r="A950" t="s">
        <v>1491</v>
      </c>
      <c r="B950" t="s">
        <v>136</v>
      </c>
      <c r="C950" t="str">
        <f>_xlfn.XLOOKUP(Table6[[#This Row],[app_id]],Table5[app_id],Table5[app_name],"",0)</f>
        <v>PlayPlus</v>
      </c>
      <c r="D950" t="str">
        <f>_xlfn.XLOOKUP(Table6[[#This Row],[app_id]],Table5[app_id],Table5[category],"",0)</f>
        <v>Entertainment</v>
      </c>
      <c r="E950" t="s">
        <v>537</v>
      </c>
      <c r="F950" t="s">
        <v>534</v>
      </c>
      <c r="G950" t="s">
        <v>26</v>
      </c>
      <c r="H950" t="s">
        <v>535</v>
      </c>
      <c r="I950">
        <v>27</v>
      </c>
      <c r="J950">
        <v>39.299999999999997</v>
      </c>
      <c r="K950" t="s">
        <v>258</v>
      </c>
      <c r="L950" t="s">
        <v>257</v>
      </c>
      <c r="M950" t="s">
        <v>258</v>
      </c>
      <c r="N950" s="5">
        <v>0</v>
      </c>
    </row>
    <row r="951" spans="1:14" x14ac:dyDescent="0.25">
      <c r="A951" t="s">
        <v>1492</v>
      </c>
      <c r="B951" t="s">
        <v>139</v>
      </c>
      <c r="C951" t="str">
        <f>_xlfn.XLOOKUP(Table6[[#This Row],[app_id]],Table5[app_id],Table5[app_name],"",0)</f>
        <v>ShowMate</v>
      </c>
      <c r="D951" t="str">
        <f>_xlfn.XLOOKUP(Table6[[#This Row],[app_id]],Table5[app_id],Table5[category],"",0)</f>
        <v>Entertainment</v>
      </c>
      <c r="E951" t="s">
        <v>546</v>
      </c>
      <c r="F951" t="s">
        <v>534</v>
      </c>
      <c r="G951" t="s">
        <v>26</v>
      </c>
      <c r="H951" t="s">
        <v>535</v>
      </c>
      <c r="I951">
        <v>79</v>
      </c>
      <c r="J951">
        <v>33.9</v>
      </c>
      <c r="K951" t="s">
        <v>257</v>
      </c>
      <c r="L951" t="s">
        <v>257</v>
      </c>
      <c r="M951" t="s">
        <v>258</v>
      </c>
      <c r="N951" s="5">
        <v>0</v>
      </c>
    </row>
    <row r="952" spans="1:14" x14ac:dyDescent="0.25">
      <c r="A952" t="s">
        <v>1493</v>
      </c>
      <c r="B952" t="s">
        <v>141</v>
      </c>
      <c r="C952" t="str">
        <f>_xlfn.XLOOKUP(Table6[[#This Row],[app_id]],Table5[app_id],Table5[app_name],"",0)</f>
        <v>VibeX</v>
      </c>
      <c r="D952" t="str">
        <f>_xlfn.XLOOKUP(Table6[[#This Row],[app_id]],Table5[app_id],Table5[category],"",0)</f>
        <v>Entertainment</v>
      </c>
      <c r="E952" t="s">
        <v>537</v>
      </c>
      <c r="F952" t="s">
        <v>534</v>
      </c>
      <c r="G952" t="s">
        <v>30</v>
      </c>
      <c r="H952" t="s">
        <v>535</v>
      </c>
      <c r="I952">
        <v>6</v>
      </c>
      <c r="J952">
        <v>12.1</v>
      </c>
      <c r="K952" t="s">
        <v>258</v>
      </c>
      <c r="L952" t="s">
        <v>258</v>
      </c>
      <c r="M952" t="s">
        <v>258</v>
      </c>
      <c r="N952" s="5">
        <v>0</v>
      </c>
    </row>
    <row r="953" spans="1:14" x14ac:dyDescent="0.25">
      <c r="A953" t="s">
        <v>1494</v>
      </c>
      <c r="B953" t="s">
        <v>143</v>
      </c>
      <c r="C953" t="str">
        <f>_xlfn.XLOOKUP(Table6[[#This Row],[app_id]],Table5[app_id],Table5[app_name],"",0)</f>
        <v>BuzzNow</v>
      </c>
      <c r="D953" t="str">
        <f>_xlfn.XLOOKUP(Table6[[#This Row],[app_id]],Table5[app_id],Table5[category],"",0)</f>
        <v>Entertainment</v>
      </c>
      <c r="E953" t="s">
        <v>537</v>
      </c>
      <c r="F953" t="s">
        <v>538</v>
      </c>
      <c r="G953" t="s">
        <v>23</v>
      </c>
      <c r="H953" t="s">
        <v>535</v>
      </c>
      <c r="I953">
        <v>36</v>
      </c>
      <c r="J953">
        <v>9.6</v>
      </c>
      <c r="K953" t="s">
        <v>257</v>
      </c>
      <c r="L953" t="s">
        <v>258</v>
      </c>
      <c r="M953" t="s">
        <v>258</v>
      </c>
      <c r="N953" s="5">
        <v>0</v>
      </c>
    </row>
    <row r="954" spans="1:14" x14ac:dyDescent="0.25">
      <c r="A954" t="s">
        <v>1495</v>
      </c>
      <c r="B954" t="s">
        <v>145</v>
      </c>
      <c r="C954" t="str">
        <f>_xlfn.XLOOKUP(Table6[[#This Row],[app_id]],Table5[app_id],Table5[app_name],"",0)</f>
        <v>StreamPlus</v>
      </c>
      <c r="D954" t="str">
        <f>_xlfn.XLOOKUP(Table6[[#This Row],[app_id]],Table5[app_id],Table5[category],"",0)</f>
        <v>Entertainment</v>
      </c>
      <c r="E954" t="s">
        <v>533</v>
      </c>
      <c r="F954" t="s">
        <v>534</v>
      </c>
      <c r="G954" t="s">
        <v>26</v>
      </c>
      <c r="H954" t="s">
        <v>535</v>
      </c>
      <c r="I954">
        <v>16</v>
      </c>
      <c r="J954">
        <v>34.5</v>
      </c>
      <c r="K954" t="s">
        <v>258</v>
      </c>
      <c r="L954" t="s">
        <v>257</v>
      </c>
      <c r="M954" t="s">
        <v>258</v>
      </c>
      <c r="N954" s="5">
        <v>0</v>
      </c>
    </row>
    <row r="955" spans="1:14" x14ac:dyDescent="0.25">
      <c r="A955" t="s">
        <v>1496</v>
      </c>
      <c r="B955" t="s">
        <v>147</v>
      </c>
      <c r="C955" t="str">
        <f>_xlfn.XLOOKUP(Table6[[#This Row],[app_id]],Table5[app_id],Table5[app_name],"",0)</f>
        <v>Showly</v>
      </c>
      <c r="D955" t="str">
        <f>_xlfn.XLOOKUP(Table6[[#This Row],[app_id]],Table5[app_id],Table5[category],"",0)</f>
        <v>Entertainment</v>
      </c>
      <c r="E955" t="s">
        <v>552</v>
      </c>
      <c r="F955" t="s">
        <v>534</v>
      </c>
      <c r="G955" t="s">
        <v>26</v>
      </c>
      <c r="H955" t="s">
        <v>535</v>
      </c>
      <c r="I955">
        <v>13</v>
      </c>
      <c r="J955">
        <v>17.399999999999999</v>
      </c>
      <c r="K955" t="s">
        <v>258</v>
      </c>
      <c r="L955" t="s">
        <v>257</v>
      </c>
      <c r="M955" t="s">
        <v>258</v>
      </c>
      <c r="N955" s="5">
        <v>0</v>
      </c>
    </row>
    <row r="956" spans="1:14" x14ac:dyDescent="0.25">
      <c r="A956" t="s">
        <v>1497</v>
      </c>
      <c r="B956" t="s">
        <v>149</v>
      </c>
      <c r="C956" t="str">
        <f>_xlfn.XLOOKUP(Table6[[#This Row],[app_id]],Table5[app_id],Table5[app_name],"",0)</f>
        <v>BuzzOne</v>
      </c>
      <c r="D956" t="str">
        <f>_xlfn.XLOOKUP(Table6[[#This Row],[app_id]],Table5[app_id],Table5[category],"",0)</f>
        <v>Entertainment</v>
      </c>
      <c r="E956" t="s">
        <v>557</v>
      </c>
      <c r="F956" t="s">
        <v>548</v>
      </c>
      <c r="G956" t="s">
        <v>26</v>
      </c>
      <c r="H956" t="s">
        <v>535</v>
      </c>
      <c r="I956">
        <v>10</v>
      </c>
      <c r="J956">
        <v>26.7</v>
      </c>
      <c r="K956" t="s">
        <v>258</v>
      </c>
      <c r="L956" t="s">
        <v>257</v>
      </c>
      <c r="M956" t="s">
        <v>258</v>
      </c>
      <c r="N956" s="5">
        <v>0</v>
      </c>
    </row>
    <row r="957" spans="1:14" x14ac:dyDescent="0.25">
      <c r="A957" t="s">
        <v>1498</v>
      </c>
      <c r="B957" t="s">
        <v>151</v>
      </c>
      <c r="C957" t="str">
        <f>_xlfn.XLOOKUP(Table6[[#This Row],[app_id]],Table5[app_id],Table5[app_name],"",0)</f>
        <v>PlayHub</v>
      </c>
      <c r="D957" t="str">
        <f>_xlfn.XLOOKUP(Table6[[#This Row],[app_id]],Table5[app_id],Table5[category],"",0)</f>
        <v>Entertainment</v>
      </c>
      <c r="E957" t="s">
        <v>533</v>
      </c>
      <c r="F957" t="s">
        <v>538</v>
      </c>
      <c r="G957" t="s">
        <v>35</v>
      </c>
      <c r="H957" t="s">
        <v>535</v>
      </c>
      <c r="I957">
        <v>29</v>
      </c>
      <c r="J957">
        <v>16.7</v>
      </c>
      <c r="K957" t="s">
        <v>257</v>
      </c>
      <c r="L957" t="s">
        <v>257</v>
      </c>
      <c r="M957" t="s">
        <v>258</v>
      </c>
      <c r="N957" s="5">
        <v>0</v>
      </c>
    </row>
    <row r="958" spans="1:14" x14ac:dyDescent="0.25">
      <c r="A958" t="s">
        <v>1499</v>
      </c>
      <c r="B958" t="s">
        <v>153</v>
      </c>
      <c r="C958" t="str">
        <f>_xlfn.XLOOKUP(Table6[[#This Row],[app_id]],Table5[app_id],Table5[app_name],"",0)</f>
        <v>CinemaGo</v>
      </c>
      <c r="D958" t="str">
        <f>_xlfn.XLOOKUP(Table6[[#This Row],[app_id]],Table5[app_id],Table5[category],"",0)</f>
        <v>Entertainment</v>
      </c>
      <c r="E958" t="s">
        <v>546</v>
      </c>
      <c r="F958" t="s">
        <v>538</v>
      </c>
      <c r="G958" t="s">
        <v>46</v>
      </c>
      <c r="H958" t="s">
        <v>535</v>
      </c>
      <c r="I958">
        <v>14</v>
      </c>
      <c r="J958">
        <v>39.700000000000003</v>
      </c>
      <c r="K958" t="s">
        <v>258</v>
      </c>
      <c r="L958" t="s">
        <v>257</v>
      </c>
      <c r="M958" t="s">
        <v>258</v>
      </c>
      <c r="N958" s="5">
        <v>0</v>
      </c>
    </row>
    <row r="959" spans="1:14" x14ac:dyDescent="0.25">
      <c r="A959" t="s">
        <v>1500</v>
      </c>
      <c r="B959" t="s">
        <v>155</v>
      </c>
      <c r="C959" t="str">
        <f>_xlfn.XLOOKUP(Table6[[#This Row],[app_id]],Table5[app_id],Table5[app_name],"",0)</f>
        <v>LaughX</v>
      </c>
      <c r="D959" t="str">
        <f>_xlfn.XLOOKUP(Table6[[#This Row],[app_id]],Table5[app_id],Table5[category],"",0)</f>
        <v>Entertainment</v>
      </c>
      <c r="E959" t="s">
        <v>552</v>
      </c>
      <c r="F959" t="s">
        <v>534</v>
      </c>
      <c r="G959" t="s">
        <v>35</v>
      </c>
      <c r="H959" t="s">
        <v>535</v>
      </c>
      <c r="I959">
        <v>6</v>
      </c>
      <c r="J959">
        <v>17.2</v>
      </c>
      <c r="K959" t="s">
        <v>258</v>
      </c>
      <c r="L959" t="s">
        <v>257</v>
      </c>
      <c r="M959" t="s">
        <v>258</v>
      </c>
      <c r="N959" s="5">
        <v>0</v>
      </c>
    </row>
    <row r="960" spans="1:14" x14ac:dyDescent="0.25">
      <c r="A960" t="s">
        <v>1501</v>
      </c>
      <c r="B960" t="s">
        <v>157</v>
      </c>
      <c r="C960" t="str">
        <f>_xlfn.XLOOKUP(Table6[[#This Row],[app_id]],Table5[app_id],Table5[app_name],"",0)</f>
        <v>CinemaHub</v>
      </c>
      <c r="D960" t="str">
        <f>_xlfn.XLOOKUP(Table6[[#This Row],[app_id]],Table5[app_id],Table5[category],"",0)</f>
        <v>Entertainment</v>
      </c>
      <c r="E960" t="s">
        <v>537</v>
      </c>
      <c r="F960" t="s">
        <v>534</v>
      </c>
      <c r="G960" t="s">
        <v>35</v>
      </c>
      <c r="H960" t="s">
        <v>535</v>
      </c>
      <c r="I960">
        <v>37</v>
      </c>
      <c r="J960">
        <v>38.700000000000003</v>
      </c>
      <c r="K960" t="s">
        <v>257</v>
      </c>
      <c r="L960" t="s">
        <v>258</v>
      </c>
      <c r="M960" t="s">
        <v>258</v>
      </c>
      <c r="N960" s="5">
        <v>0</v>
      </c>
    </row>
    <row r="961" spans="1:14" x14ac:dyDescent="0.25">
      <c r="A961" t="s">
        <v>1502</v>
      </c>
      <c r="B961" t="s">
        <v>159</v>
      </c>
      <c r="C961" t="str">
        <f>_xlfn.XLOOKUP(Table6[[#This Row],[app_id]],Table5[app_id],Table5[app_name],"",0)</f>
        <v>ShowPro</v>
      </c>
      <c r="D961" t="str">
        <f>_xlfn.XLOOKUP(Table6[[#This Row],[app_id]],Table5[app_id],Table5[category],"",0)</f>
        <v>Entertainment</v>
      </c>
      <c r="E961" t="s">
        <v>552</v>
      </c>
      <c r="F961" t="s">
        <v>538</v>
      </c>
      <c r="G961" t="s">
        <v>46</v>
      </c>
      <c r="H961" t="s">
        <v>535</v>
      </c>
      <c r="I961">
        <v>39</v>
      </c>
      <c r="J961">
        <v>34</v>
      </c>
      <c r="K961" t="s">
        <v>257</v>
      </c>
      <c r="L961" t="s">
        <v>258</v>
      </c>
      <c r="M961" t="s">
        <v>257</v>
      </c>
      <c r="N961" s="5">
        <v>0</v>
      </c>
    </row>
    <row r="962" spans="1:14" x14ac:dyDescent="0.25">
      <c r="A962" t="s">
        <v>1503</v>
      </c>
      <c r="B962" t="s">
        <v>161</v>
      </c>
      <c r="C962" t="str">
        <f>_xlfn.XLOOKUP(Table6[[#This Row],[app_id]],Table5[app_id],Table5[app_name],"",0)</f>
        <v>FoodPlus</v>
      </c>
      <c r="D962" t="str">
        <f>_xlfn.XLOOKUP(Table6[[#This Row],[app_id]],Table5[app_id],Table5[category],"",0)</f>
        <v>Food Delivery</v>
      </c>
      <c r="E962" t="s">
        <v>557</v>
      </c>
      <c r="F962" t="s">
        <v>534</v>
      </c>
      <c r="G962" t="s">
        <v>35</v>
      </c>
      <c r="H962" t="s">
        <v>535</v>
      </c>
      <c r="I962">
        <v>25</v>
      </c>
      <c r="J962">
        <v>16.600000000000001</v>
      </c>
      <c r="K962" t="s">
        <v>258</v>
      </c>
      <c r="L962" t="s">
        <v>257</v>
      </c>
      <c r="M962" t="s">
        <v>258</v>
      </c>
      <c r="N962" s="5">
        <v>0</v>
      </c>
    </row>
    <row r="963" spans="1:14" x14ac:dyDescent="0.25">
      <c r="A963" t="s">
        <v>1504</v>
      </c>
      <c r="B963" t="s">
        <v>164</v>
      </c>
      <c r="C963" t="str">
        <f>_xlfn.XLOOKUP(Table6[[#This Row],[app_id]],Table5[app_id],Table5[app_name],"",0)</f>
        <v>BiteGo</v>
      </c>
      <c r="D963" t="str">
        <f>_xlfn.XLOOKUP(Table6[[#This Row],[app_id]],Table5[app_id],Table5[category],"",0)</f>
        <v>Food Delivery</v>
      </c>
      <c r="E963" t="s">
        <v>546</v>
      </c>
      <c r="F963" t="s">
        <v>534</v>
      </c>
      <c r="G963" t="s">
        <v>35</v>
      </c>
      <c r="H963" t="s">
        <v>535</v>
      </c>
      <c r="I963">
        <v>11</v>
      </c>
      <c r="J963">
        <v>3.4</v>
      </c>
      <c r="K963" t="s">
        <v>258</v>
      </c>
      <c r="L963" t="s">
        <v>257</v>
      </c>
      <c r="M963" t="s">
        <v>258</v>
      </c>
      <c r="N963" s="5">
        <v>0</v>
      </c>
    </row>
    <row r="964" spans="1:14" x14ac:dyDescent="0.25">
      <c r="A964" t="s">
        <v>1505</v>
      </c>
      <c r="B964" t="s">
        <v>166</v>
      </c>
      <c r="C964" t="str">
        <f>_xlfn.XLOOKUP(Table6[[#This Row],[app_id]],Table5[app_id],Table5[app_name],"",0)</f>
        <v>OrderCloud</v>
      </c>
      <c r="D964" t="str">
        <f>_xlfn.XLOOKUP(Table6[[#This Row],[app_id]],Table5[app_id],Table5[category],"",0)</f>
        <v>Food Delivery</v>
      </c>
      <c r="E964" t="s">
        <v>537</v>
      </c>
      <c r="F964" t="s">
        <v>534</v>
      </c>
      <c r="G964" t="s">
        <v>18</v>
      </c>
      <c r="H964" t="s">
        <v>535</v>
      </c>
      <c r="I964">
        <v>24</v>
      </c>
      <c r="J964">
        <v>9</v>
      </c>
      <c r="K964" t="s">
        <v>258</v>
      </c>
      <c r="L964" t="s">
        <v>258</v>
      </c>
      <c r="M964" t="s">
        <v>258</v>
      </c>
      <c r="N964" s="5">
        <v>0</v>
      </c>
    </row>
    <row r="965" spans="1:14" x14ac:dyDescent="0.25">
      <c r="A965" t="s">
        <v>1506</v>
      </c>
      <c r="B965" t="s">
        <v>168</v>
      </c>
      <c r="C965" t="str">
        <f>_xlfn.XLOOKUP(Table6[[#This Row],[app_id]],Table5[app_id],Table5[app_name],"",0)</f>
        <v>DinePlus</v>
      </c>
      <c r="D965" t="str">
        <f>_xlfn.XLOOKUP(Table6[[#This Row],[app_id]],Table5[app_id],Table5[category],"",0)</f>
        <v>Food Delivery</v>
      </c>
      <c r="E965" t="s">
        <v>552</v>
      </c>
      <c r="F965" t="s">
        <v>534</v>
      </c>
      <c r="G965" t="s">
        <v>35</v>
      </c>
      <c r="H965" t="s">
        <v>540</v>
      </c>
      <c r="I965">
        <v>24</v>
      </c>
      <c r="J965">
        <v>12</v>
      </c>
      <c r="K965" t="s">
        <v>258</v>
      </c>
      <c r="L965" t="s">
        <v>257</v>
      </c>
      <c r="M965" t="s">
        <v>258</v>
      </c>
      <c r="N965" s="5">
        <v>0</v>
      </c>
    </row>
    <row r="966" spans="1:14" x14ac:dyDescent="0.25">
      <c r="A966" t="s">
        <v>1507</v>
      </c>
      <c r="B966" t="s">
        <v>170</v>
      </c>
      <c r="C966" t="str">
        <f>_xlfn.XLOOKUP(Table6[[#This Row],[app_id]],Table5[app_id],Table5[app_name],"",0)</f>
        <v>SnackX</v>
      </c>
      <c r="D966" t="str">
        <f>_xlfn.XLOOKUP(Table6[[#This Row],[app_id]],Table5[app_id],Table5[category],"",0)</f>
        <v>Food Delivery</v>
      </c>
      <c r="E966" t="s">
        <v>533</v>
      </c>
      <c r="F966" t="s">
        <v>534</v>
      </c>
      <c r="G966" t="s">
        <v>35</v>
      </c>
      <c r="H966" t="s">
        <v>535</v>
      </c>
      <c r="I966">
        <v>23</v>
      </c>
      <c r="J966">
        <v>3.2</v>
      </c>
      <c r="K966" t="s">
        <v>258</v>
      </c>
      <c r="L966" t="s">
        <v>257</v>
      </c>
      <c r="M966" t="s">
        <v>258</v>
      </c>
      <c r="N966" s="5">
        <v>9.08</v>
      </c>
    </row>
    <row r="967" spans="1:14" x14ac:dyDescent="0.25">
      <c r="A967" t="s">
        <v>1508</v>
      </c>
      <c r="B967" t="s">
        <v>172</v>
      </c>
      <c r="C967" t="str">
        <f>_xlfn.XLOOKUP(Table6[[#This Row],[app_id]],Table5[app_id],Table5[app_name],"",0)</f>
        <v>FoodOne</v>
      </c>
      <c r="D967" t="str">
        <f>_xlfn.XLOOKUP(Table6[[#This Row],[app_id]],Table5[app_id],Table5[category],"",0)</f>
        <v>Food Delivery</v>
      </c>
      <c r="E967" t="s">
        <v>546</v>
      </c>
      <c r="F967" t="s">
        <v>538</v>
      </c>
      <c r="G967" t="s">
        <v>46</v>
      </c>
      <c r="H967" t="s">
        <v>540</v>
      </c>
      <c r="I967">
        <v>19</v>
      </c>
      <c r="J967">
        <v>23.5</v>
      </c>
      <c r="K967" t="s">
        <v>258</v>
      </c>
      <c r="L967" t="s">
        <v>258</v>
      </c>
      <c r="M967" t="s">
        <v>258</v>
      </c>
      <c r="N967" s="5">
        <v>9.9600000000000009</v>
      </c>
    </row>
    <row r="968" spans="1:14" x14ac:dyDescent="0.25">
      <c r="A968" t="s">
        <v>1509</v>
      </c>
      <c r="B968" t="s">
        <v>174</v>
      </c>
      <c r="C968" t="str">
        <f>_xlfn.XLOOKUP(Table6[[#This Row],[app_id]],Table5[app_id],Table5[app_name],"",0)</f>
        <v>MealMate</v>
      </c>
      <c r="D968" t="str">
        <f>_xlfn.XLOOKUP(Table6[[#This Row],[app_id]],Table5[app_id],Table5[category],"",0)</f>
        <v>Food Delivery</v>
      </c>
      <c r="E968" t="s">
        <v>533</v>
      </c>
      <c r="F968" t="s">
        <v>538</v>
      </c>
      <c r="G968" t="s">
        <v>69</v>
      </c>
      <c r="H968" t="s">
        <v>540</v>
      </c>
      <c r="I968">
        <v>7</v>
      </c>
      <c r="J968">
        <v>18.3</v>
      </c>
      <c r="K968" t="s">
        <v>258</v>
      </c>
      <c r="L968" t="s">
        <v>257</v>
      </c>
      <c r="M968" t="s">
        <v>258</v>
      </c>
      <c r="N968" s="5">
        <v>0</v>
      </c>
    </row>
    <row r="969" spans="1:14" x14ac:dyDescent="0.25">
      <c r="A969" t="s">
        <v>1510</v>
      </c>
      <c r="B969" t="s">
        <v>176</v>
      </c>
      <c r="C969" t="str">
        <f>_xlfn.XLOOKUP(Table6[[#This Row],[app_id]],Table5[app_id],Table5[app_name],"",0)</f>
        <v>SnackHub</v>
      </c>
      <c r="D969" t="str">
        <f>_xlfn.XLOOKUP(Table6[[#This Row],[app_id]],Table5[app_id],Table5[category],"",0)</f>
        <v>Food Delivery</v>
      </c>
      <c r="E969" t="s">
        <v>537</v>
      </c>
      <c r="F969" t="s">
        <v>534</v>
      </c>
      <c r="G969" t="s">
        <v>46</v>
      </c>
      <c r="H969" t="s">
        <v>535</v>
      </c>
      <c r="I969">
        <v>20</v>
      </c>
      <c r="J969">
        <v>6.6</v>
      </c>
      <c r="K969" t="s">
        <v>257</v>
      </c>
      <c r="L969" t="s">
        <v>257</v>
      </c>
      <c r="M969" t="s">
        <v>258</v>
      </c>
      <c r="N969" s="5">
        <v>0</v>
      </c>
    </row>
    <row r="970" spans="1:14" x14ac:dyDescent="0.25">
      <c r="A970" t="s">
        <v>1511</v>
      </c>
      <c r="B970" t="s">
        <v>178</v>
      </c>
      <c r="C970" t="str">
        <f>_xlfn.XLOOKUP(Table6[[#This Row],[app_id]],Table5[app_id],Table5[app_name],"",0)</f>
        <v>BiteCloud</v>
      </c>
      <c r="D970" t="str">
        <f>_xlfn.XLOOKUP(Table6[[#This Row],[app_id]],Table5[app_id],Table5[category],"",0)</f>
        <v>Food Delivery</v>
      </c>
      <c r="E970" t="s">
        <v>533</v>
      </c>
      <c r="F970" t="s">
        <v>534</v>
      </c>
      <c r="G970" t="s">
        <v>30</v>
      </c>
      <c r="H970" t="s">
        <v>535</v>
      </c>
      <c r="I970">
        <v>24</v>
      </c>
      <c r="J970">
        <v>11.9</v>
      </c>
      <c r="K970" t="s">
        <v>258</v>
      </c>
      <c r="L970" t="s">
        <v>257</v>
      </c>
      <c r="M970" t="s">
        <v>257</v>
      </c>
      <c r="N970" s="5">
        <v>40.14</v>
      </c>
    </row>
    <row r="971" spans="1:14" x14ac:dyDescent="0.25">
      <c r="A971" t="s">
        <v>1512</v>
      </c>
      <c r="B971" t="s">
        <v>180</v>
      </c>
      <c r="C971" t="str">
        <f>_xlfn.XLOOKUP(Table6[[#This Row],[app_id]],Table5[app_id],Table5[app_name],"",0)</f>
        <v>PlatePlus</v>
      </c>
      <c r="D971" t="str">
        <f>_xlfn.XLOOKUP(Table6[[#This Row],[app_id]],Table5[app_id],Table5[category],"",0)</f>
        <v>Food Delivery</v>
      </c>
      <c r="E971" t="s">
        <v>537</v>
      </c>
      <c r="F971" t="s">
        <v>548</v>
      </c>
      <c r="G971" t="s">
        <v>46</v>
      </c>
      <c r="H971" t="s">
        <v>535</v>
      </c>
      <c r="I971">
        <v>75</v>
      </c>
      <c r="J971">
        <v>22.8</v>
      </c>
      <c r="K971" t="s">
        <v>257</v>
      </c>
      <c r="L971" t="s">
        <v>257</v>
      </c>
      <c r="M971" t="s">
        <v>258</v>
      </c>
      <c r="N971" s="5">
        <v>0</v>
      </c>
    </row>
    <row r="972" spans="1:14" x14ac:dyDescent="0.25">
      <c r="A972" t="s">
        <v>1513</v>
      </c>
      <c r="B972" t="s">
        <v>182</v>
      </c>
      <c r="C972" t="str">
        <f>_xlfn.XLOOKUP(Table6[[#This Row],[app_id]],Table5[app_id],Table5[app_name],"",0)</f>
        <v>VoyageGo</v>
      </c>
      <c r="D972" t="str">
        <f>_xlfn.XLOOKUP(Table6[[#This Row],[app_id]],Table5[app_id],Table5[category],"",0)</f>
        <v>Travel</v>
      </c>
      <c r="E972" t="s">
        <v>546</v>
      </c>
      <c r="F972" t="s">
        <v>628</v>
      </c>
      <c r="G972" t="s">
        <v>23</v>
      </c>
      <c r="H972" t="s">
        <v>535</v>
      </c>
      <c r="I972">
        <v>36</v>
      </c>
      <c r="J972">
        <v>14.8</v>
      </c>
      <c r="K972" t="s">
        <v>257</v>
      </c>
      <c r="L972" t="s">
        <v>258</v>
      </c>
      <c r="M972" t="s">
        <v>258</v>
      </c>
      <c r="N972" s="5">
        <v>0</v>
      </c>
    </row>
    <row r="973" spans="1:14" x14ac:dyDescent="0.25">
      <c r="A973" t="s">
        <v>1514</v>
      </c>
      <c r="B973" t="s">
        <v>185</v>
      </c>
      <c r="C973" t="str">
        <f>_xlfn.XLOOKUP(Table6[[#This Row],[app_id]],Table5[app_id],Table5[app_name],"",0)</f>
        <v>TripOne</v>
      </c>
      <c r="D973" t="str">
        <f>_xlfn.XLOOKUP(Table6[[#This Row],[app_id]],Table5[app_id],Table5[category],"",0)</f>
        <v>Travel</v>
      </c>
      <c r="E973" t="s">
        <v>537</v>
      </c>
      <c r="F973" t="s">
        <v>628</v>
      </c>
      <c r="G973" t="s">
        <v>35</v>
      </c>
      <c r="H973" t="s">
        <v>535</v>
      </c>
      <c r="I973">
        <v>77</v>
      </c>
      <c r="J973">
        <v>21.8</v>
      </c>
      <c r="K973" t="s">
        <v>257</v>
      </c>
      <c r="L973" t="s">
        <v>257</v>
      </c>
      <c r="M973" t="s">
        <v>258</v>
      </c>
      <c r="N973" s="5">
        <v>0</v>
      </c>
    </row>
    <row r="974" spans="1:14" x14ac:dyDescent="0.25">
      <c r="A974" t="s">
        <v>1515</v>
      </c>
      <c r="B974" t="s">
        <v>187</v>
      </c>
      <c r="C974" t="str">
        <f>_xlfn.XLOOKUP(Table6[[#This Row],[app_id]],Table5[app_id],Table5[app_name],"",0)</f>
        <v>FlyGo</v>
      </c>
      <c r="D974" t="str">
        <f>_xlfn.XLOOKUP(Table6[[#This Row],[app_id]],Table5[app_id],Table5[category],"",0)</f>
        <v>Travel</v>
      </c>
      <c r="E974" t="s">
        <v>546</v>
      </c>
      <c r="F974" t="s">
        <v>538</v>
      </c>
      <c r="G974" t="s">
        <v>35</v>
      </c>
      <c r="H974" t="s">
        <v>535</v>
      </c>
      <c r="I974">
        <v>9</v>
      </c>
      <c r="J974">
        <v>7.8</v>
      </c>
      <c r="K974" t="s">
        <v>258</v>
      </c>
      <c r="L974" t="s">
        <v>257</v>
      </c>
      <c r="M974" t="s">
        <v>258</v>
      </c>
      <c r="N974" s="5">
        <v>0</v>
      </c>
    </row>
    <row r="975" spans="1:14" x14ac:dyDescent="0.25">
      <c r="A975" t="s">
        <v>1516</v>
      </c>
      <c r="B975" t="s">
        <v>189</v>
      </c>
      <c r="C975" t="str">
        <f>_xlfn.XLOOKUP(Table6[[#This Row],[app_id]],Table5[app_id],Table5[app_name],"",0)</f>
        <v>MapX</v>
      </c>
      <c r="D975" t="str">
        <f>_xlfn.XLOOKUP(Table6[[#This Row],[app_id]],Table5[app_id],Table5[category],"",0)</f>
        <v>Travel</v>
      </c>
      <c r="E975" t="s">
        <v>546</v>
      </c>
      <c r="F975" t="s">
        <v>534</v>
      </c>
      <c r="G975" t="s">
        <v>61</v>
      </c>
      <c r="H975" t="s">
        <v>535</v>
      </c>
      <c r="I975">
        <v>18</v>
      </c>
      <c r="J975">
        <v>23.6</v>
      </c>
      <c r="K975" t="s">
        <v>258</v>
      </c>
      <c r="L975" t="s">
        <v>258</v>
      </c>
      <c r="M975" t="s">
        <v>257</v>
      </c>
      <c r="N975" s="5">
        <v>0</v>
      </c>
    </row>
    <row r="976" spans="1:14" x14ac:dyDescent="0.25">
      <c r="A976" t="s">
        <v>1517</v>
      </c>
      <c r="B976" t="s">
        <v>191</v>
      </c>
      <c r="C976" t="str">
        <f>_xlfn.XLOOKUP(Table6[[#This Row],[app_id]],Table5[app_id],Table5[app_name],"",0)</f>
        <v>StayX</v>
      </c>
      <c r="D976" t="str">
        <f>_xlfn.XLOOKUP(Table6[[#This Row],[app_id]],Table5[app_id],Table5[category],"",0)</f>
        <v>Travel</v>
      </c>
      <c r="E976" t="s">
        <v>533</v>
      </c>
      <c r="F976" t="s">
        <v>534</v>
      </c>
      <c r="G976" t="s">
        <v>26</v>
      </c>
      <c r="H976" t="s">
        <v>535</v>
      </c>
      <c r="I976">
        <v>36</v>
      </c>
      <c r="J976">
        <v>11.8</v>
      </c>
      <c r="K976" t="s">
        <v>257</v>
      </c>
      <c r="L976" t="s">
        <v>257</v>
      </c>
      <c r="M976" t="s">
        <v>258</v>
      </c>
      <c r="N976" s="5">
        <v>48.45</v>
      </c>
    </row>
    <row r="977" spans="1:14" x14ac:dyDescent="0.25">
      <c r="A977" t="s">
        <v>1518</v>
      </c>
      <c r="B977" t="s">
        <v>193</v>
      </c>
      <c r="C977" t="str">
        <f>_xlfn.XLOOKUP(Table6[[#This Row],[app_id]],Table5[app_id],Table5[app_name],"",0)</f>
        <v>GoNow</v>
      </c>
      <c r="D977" t="str">
        <f>_xlfn.XLOOKUP(Table6[[#This Row],[app_id]],Table5[app_id],Table5[category],"",0)</f>
        <v>Travel</v>
      </c>
      <c r="E977" t="s">
        <v>537</v>
      </c>
      <c r="F977" t="s">
        <v>534</v>
      </c>
      <c r="G977" t="s">
        <v>23</v>
      </c>
      <c r="H977" t="s">
        <v>535</v>
      </c>
      <c r="I977">
        <v>45</v>
      </c>
      <c r="J977">
        <v>15.8</v>
      </c>
      <c r="K977" t="s">
        <v>257</v>
      </c>
      <c r="L977" t="s">
        <v>257</v>
      </c>
      <c r="M977" t="s">
        <v>258</v>
      </c>
      <c r="N977" s="5">
        <v>0</v>
      </c>
    </row>
    <row r="978" spans="1:14" x14ac:dyDescent="0.25">
      <c r="A978" t="s">
        <v>1519</v>
      </c>
      <c r="B978" t="s">
        <v>195</v>
      </c>
      <c r="C978" t="str">
        <f>_xlfn.XLOOKUP(Table6[[#This Row],[app_id]],Table5[app_id],Table5[app_name],"",0)</f>
        <v>RouteGo</v>
      </c>
      <c r="D978" t="str">
        <f>_xlfn.XLOOKUP(Table6[[#This Row],[app_id]],Table5[app_id],Table5[category],"",0)</f>
        <v>Travel</v>
      </c>
      <c r="E978" t="s">
        <v>557</v>
      </c>
      <c r="F978" t="s">
        <v>538</v>
      </c>
      <c r="G978" t="s">
        <v>61</v>
      </c>
      <c r="H978" t="s">
        <v>535</v>
      </c>
      <c r="I978">
        <v>8</v>
      </c>
      <c r="J978">
        <v>3.7</v>
      </c>
      <c r="K978" t="s">
        <v>258</v>
      </c>
      <c r="L978" t="s">
        <v>258</v>
      </c>
      <c r="M978" t="s">
        <v>257</v>
      </c>
      <c r="N978" s="5">
        <v>0</v>
      </c>
    </row>
    <row r="979" spans="1:14" x14ac:dyDescent="0.25">
      <c r="A979" t="s">
        <v>1520</v>
      </c>
      <c r="B979" t="s">
        <v>197</v>
      </c>
      <c r="C979" t="str">
        <f>_xlfn.XLOOKUP(Table6[[#This Row],[app_id]],Table5[app_id],Table5[app_name],"",0)</f>
        <v>TripGo</v>
      </c>
      <c r="D979" t="str">
        <f>_xlfn.XLOOKUP(Table6[[#This Row],[app_id]],Table5[app_id],Table5[category],"",0)</f>
        <v>Travel</v>
      </c>
      <c r="E979" t="s">
        <v>546</v>
      </c>
      <c r="F979" t="s">
        <v>538</v>
      </c>
      <c r="G979" t="s">
        <v>18</v>
      </c>
      <c r="H979" t="s">
        <v>535</v>
      </c>
      <c r="I979">
        <v>23</v>
      </c>
      <c r="J979">
        <v>10.6</v>
      </c>
      <c r="K979" t="s">
        <v>258</v>
      </c>
      <c r="L979" t="s">
        <v>257</v>
      </c>
      <c r="M979" t="s">
        <v>258</v>
      </c>
      <c r="N979" s="5">
        <v>95.29</v>
      </c>
    </row>
    <row r="980" spans="1:14" x14ac:dyDescent="0.25">
      <c r="A980" t="s">
        <v>1521</v>
      </c>
      <c r="B980" t="s">
        <v>199</v>
      </c>
      <c r="C980" t="str">
        <f>_xlfn.XLOOKUP(Table6[[#This Row],[app_id]],Table5[app_id],Table5[app_name],"",0)</f>
        <v>Flyly</v>
      </c>
      <c r="D980" t="str">
        <f>_xlfn.XLOOKUP(Table6[[#This Row],[app_id]],Table5[app_id],Table5[category],"",0)</f>
        <v>Travel</v>
      </c>
      <c r="E980" t="s">
        <v>546</v>
      </c>
      <c r="F980" t="s">
        <v>534</v>
      </c>
      <c r="G980" t="s">
        <v>23</v>
      </c>
      <c r="H980" t="s">
        <v>535</v>
      </c>
      <c r="I980">
        <v>23</v>
      </c>
      <c r="J980">
        <v>8.5</v>
      </c>
      <c r="K980" t="s">
        <v>258</v>
      </c>
      <c r="L980" t="s">
        <v>257</v>
      </c>
      <c r="M980" t="s">
        <v>258</v>
      </c>
      <c r="N980" s="5">
        <v>0</v>
      </c>
    </row>
    <row r="981" spans="1:14" x14ac:dyDescent="0.25">
      <c r="A981" t="s">
        <v>1522</v>
      </c>
      <c r="B981" t="s">
        <v>201</v>
      </c>
      <c r="C981" t="str">
        <f>_xlfn.XLOOKUP(Table6[[#This Row],[app_id]],Table5[app_id],Table5[app_name],"",0)</f>
        <v>TripPro</v>
      </c>
      <c r="D981" t="str">
        <f>_xlfn.XLOOKUP(Table6[[#This Row],[app_id]],Table5[app_id],Table5[category],"",0)</f>
        <v>Travel</v>
      </c>
      <c r="E981" t="s">
        <v>537</v>
      </c>
      <c r="F981" t="s">
        <v>534</v>
      </c>
      <c r="G981" t="s">
        <v>69</v>
      </c>
      <c r="H981" t="s">
        <v>540</v>
      </c>
      <c r="I981">
        <v>4</v>
      </c>
      <c r="J981">
        <v>20.8</v>
      </c>
      <c r="K981" t="s">
        <v>258</v>
      </c>
      <c r="L981" t="s">
        <v>258</v>
      </c>
      <c r="M981" t="s">
        <v>258</v>
      </c>
      <c r="N981" s="5">
        <v>0</v>
      </c>
    </row>
    <row r="982" spans="1:14" x14ac:dyDescent="0.25">
      <c r="A982" t="s">
        <v>1523</v>
      </c>
      <c r="B982" t="s">
        <v>203</v>
      </c>
      <c r="C982" t="str">
        <f>_xlfn.XLOOKUP(Table6[[#This Row],[app_id]],Table5[app_id],Table5[app_name],"",0)</f>
        <v>Focusly</v>
      </c>
      <c r="D982" t="str">
        <f>_xlfn.XLOOKUP(Table6[[#This Row],[app_id]],Table5[app_id],Table5[category],"",0)</f>
        <v>Productivity</v>
      </c>
      <c r="E982" t="s">
        <v>533</v>
      </c>
      <c r="F982" t="s">
        <v>534</v>
      </c>
      <c r="G982" t="s">
        <v>26</v>
      </c>
      <c r="H982" t="s">
        <v>535</v>
      </c>
      <c r="I982">
        <v>62</v>
      </c>
      <c r="J982">
        <v>16.3</v>
      </c>
      <c r="K982" t="s">
        <v>257</v>
      </c>
      <c r="L982" t="s">
        <v>258</v>
      </c>
      <c r="M982" t="s">
        <v>257</v>
      </c>
      <c r="N982" s="5">
        <v>0</v>
      </c>
    </row>
    <row r="983" spans="1:14" x14ac:dyDescent="0.25">
      <c r="A983" t="s">
        <v>1524</v>
      </c>
      <c r="B983" t="s">
        <v>206</v>
      </c>
      <c r="C983" t="str">
        <f>_xlfn.XLOOKUP(Table6[[#This Row],[app_id]],Table5[app_id],Table5[app_name],"",0)</f>
        <v>DeskX</v>
      </c>
      <c r="D983" t="str">
        <f>_xlfn.XLOOKUP(Table6[[#This Row],[app_id]],Table5[app_id],Table5[category],"",0)</f>
        <v>Productivity</v>
      </c>
      <c r="E983" t="s">
        <v>533</v>
      </c>
      <c r="F983" t="s">
        <v>534</v>
      </c>
      <c r="G983" t="s">
        <v>35</v>
      </c>
      <c r="H983" t="s">
        <v>535</v>
      </c>
      <c r="I983">
        <v>25</v>
      </c>
      <c r="J983">
        <v>17.100000000000001</v>
      </c>
      <c r="K983" t="s">
        <v>258</v>
      </c>
      <c r="L983" t="s">
        <v>258</v>
      </c>
      <c r="M983" t="s">
        <v>257</v>
      </c>
      <c r="N983" s="5">
        <v>0</v>
      </c>
    </row>
    <row r="984" spans="1:14" x14ac:dyDescent="0.25">
      <c r="A984" t="s">
        <v>1525</v>
      </c>
      <c r="B984" t="s">
        <v>208</v>
      </c>
      <c r="C984" t="str">
        <f>_xlfn.XLOOKUP(Table6[[#This Row],[app_id]],Table5[app_id],Table5[app_name],"",0)</f>
        <v>DonePro</v>
      </c>
      <c r="D984" t="str">
        <f>_xlfn.XLOOKUP(Table6[[#This Row],[app_id]],Table5[app_id],Table5[category],"",0)</f>
        <v>Productivity</v>
      </c>
      <c r="E984" t="s">
        <v>557</v>
      </c>
      <c r="F984" t="s">
        <v>534</v>
      </c>
      <c r="G984" t="s">
        <v>61</v>
      </c>
      <c r="H984" t="s">
        <v>535</v>
      </c>
      <c r="I984">
        <v>23</v>
      </c>
      <c r="J984">
        <v>16.899999999999999</v>
      </c>
      <c r="K984" t="s">
        <v>257</v>
      </c>
      <c r="L984" t="s">
        <v>257</v>
      </c>
      <c r="M984" t="s">
        <v>258</v>
      </c>
      <c r="N984" s="5">
        <v>0</v>
      </c>
    </row>
    <row r="985" spans="1:14" x14ac:dyDescent="0.25">
      <c r="A985" t="s">
        <v>1526</v>
      </c>
      <c r="B985" t="s">
        <v>210</v>
      </c>
      <c r="C985" t="str">
        <f>_xlfn.XLOOKUP(Table6[[#This Row],[app_id]],Table5[app_id],Table5[app_name],"",0)</f>
        <v>NotePlus</v>
      </c>
      <c r="D985" t="str">
        <f>_xlfn.XLOOKUP(Table6[[#This Row],[app_id]],Table5[app_id],Table5[category],"",0)</f>
        <v>Productivity</v>
      </c>
      <c r="E985" t="s">
        <v>546</v>
      </c>
      <c r="F985" t="s">
        <v>534</v>
      </c>
      <c r="G985" t="s">
        <v>26</v>
      </c>
      <c r="H985" t="s">
        <v>540</v>
      </c>
      <c r="I985">
        <v>75</v>
      </c>
      <c r="J985">
        <v>15.7</v>
      </c>
      <c r="K985" t="s">
        <v>257</v>
      </c>
      <c r="L985" t="s">
        <v>257</v>
      </c>
      <c r="M985" t="s">
        <v>258</v>
      </c>
      <c r="N985" s="5">
        <v>0</v>
      </c>
    </row>
    <row r="986" spans="1:14" x14ac:dyDescent="0.25">
      <c r="A986" t="s">
        <v>1527</v>
      </c>
      <c r="B986" t="s">
        <v>212</v>
      </c>
      <c r="C986" t="str">
        <f>_xlfn.XLOOKUP(Table6[[#This Row],[app_id]],Table5[app_id],Table5[app_name],"",0)</f>
        <v>SyncPlus</v>
      </c>
      <c r="D986" t="str">
        <f>_xlfn.XLOOKUP(Table6[[#This Row],[app_id]],Table5[app_id],Table5[category],"",0)</f>
        <v>Productivity</v>
      </c>
      <c r="E986" t="s">
        <v>533</v>
      </c>
      <c r="F986" t="s">
        <v>538</v>
      </c>
      <c r="G986" t="s">
        <v>26</v>
      </c>
      <c r="H986" t="s">
        <v>535</v>
      </c>
      <c r="I986">
        <v>82</v>
      </c>
      <c r="J986">
        <v>15.5</v>
      </c>
      <c r="K986" t="s">
        <v>257</v>
      </c>
      <c r="L986" t="s">
        <v>258</v>
      </c>
      <c r="M986" t="s">
        <v>258</v>
      </c>
      <c r="N986" s="5">
        <v>0</v>
      </c>
    </row>
    <row r="987" spans="1:14" x14ac:dyDescent="0.25">
      <c r="A987" t="s">
        <v>1528</v>
      </c>
      <c r="B987" t="s">
        <v>214</v>
      </c>
      <c r="C987" t="str">
        <f>_xlfn.XLOOKUP(Table6[[#This Row],[app_id]],Table5[app_id],Table5[app_name],"",0)</f>
        <v>NoteOne</v>
      </c>
      <c r="D987" t="str">
        <f>_xlfn.XLOOKUP(Table6[[#This Row],[app_id]],Table5[app_id],Table5[category],"",0)</f>
        <v>Productivity</v>
      </c>
      <c r="E987" t="s">
        <v>546</v>
      </c>
      <c r="F987" t="s">
        <v>538</v>
      </c>
      <c r="G987" t="s">
        <v>46</v>
      </c>
      <c r="H987" t="s">
        <v>535</v>
      </c>
      <c r="I987">
        <v>80</v>
      </c>
      <c r="J987">
        <v>16.7</v>
      </c>
      <c r="K987" t="s">
        <v>257</v>
      </c>
      <c r="L987" t="s">
        <v>257</v>
      </c>
      <c r="M987" t="s">
        <v>258</v>
      </c>
      <c r="N987" s="5">
        <v>0</v>
      </c>
    </row>
    <row r="988" spans="1:14" x14ac:dyDescent="0.25">
      <c r="A988" t="s">
        <v>1529</v>
      </c>
      <c r="B988" t="s">
        <v>216</v>
      </c>
      <c r="C988" t="str">
        <f>_xlfn.XLOOKUP(Table6[[#This Row],[app_id]],Table5[app_id],Table5[app_name],"",0)</f>
        <v>NoteMate</v>
      </c>
      <c r="D988" t="str">
        <f>_xlfn.XLOOKUP(Table6[[#This Row],[app_id]],Table5[app_id],Table5[category],"",0)</f>
        <v>Productivity</v>
      </c>
      <c r="E988" t="s">
        <v>537</v>
      </c>
      <c r="F988" t="s">
        <v>538</v>
      </c>
      <c r="G988" t="s">
        <v>26</v>
      </c>
      <c r="H988" t="s">
        <v>535</v>
      </c>
      <c r="I988">
        <v>35</v>
      </c>
      <c r="J988">
        <v>6.2</v>
      </c>
      <c r="K988" t="s">
        <v>257</v>
      </c>
      <c r="L988" t="s">
        <v>258</v>
      </c>
      <c r="M988" t="s">
        <v>257</v>
      </c>
      <c r="N988" s="5">
        <v>78.39</v>
      </c>
    </row>
    <row r="989" spans="1:14" x14ac:dyDescent="0.25">
      <c r="A989" t="s">
        <v>1530</v>
      </c>
      <c r="B989" t="s">
        <v>218</v>
      </c>
      <c r="C989" t="str">
        <f>_xlfn.XLOOKUP(Table6[[#This Row],[app_id]],Table5[app_id],Table5[app_name],"",0)</f>
        <v>PlanPlus</v>
      </c>
      <c r="D989" t="str">
        <f>_xlfn.XLOOKUP(Table6[[#This Row],[app_id]],Table5[app_id],Table5[category],"",0)</f>
        <v>Productivity</v>
      </c>
      <c r="E989" t="s">
        <v>546</v>
      </c>
      <c r="F989" t="s">
        <v>538</v>
      </c>
      <c r="G989" t="s">
        <v>46</v>
      </c>
      <c r="H989" t="s">
        <v>535</v>
      </c>
      <c r="I989">
        <v>33</v>
      </c>
      <c r="J989">
        <v>5.0999999999999996</v>
      </c>
      <c r="K989" t="s">
        <v>257</v>
      </c>
      <c r="L989" t="s">
        <v>257</v>
      </c>
      <c r="M989" t="s">
        <v>258</v>
      </c>
      <c r="N989" s="5">
        <v>0</v>
      </c>
    </row>
    <row r="990" spans="1:14" x14ac:dyDescent="0.25">
      <c r="A990" t="s">
        <v>1531</v>
      </c>
      <c r="B990" t="s">
        <v>220</v>
      </c>
      <c r="C990" t="str">
        <f>_xlfn.XLOOKUP(Table6[[#This Row],[app_id]],Table5[app_id],Table5[app_name],"",0)</f>
        <v>PlanMate</v>
      </c>
      <c r="D990" t="str">
        <f>_xlfn.XLOOKUP(Table6[[#This Row],[app_id]],Table5[app_id],Table5[category],"",0)</f>
        <v>Productivity</v>
      </c>
      <c r="E990" t="s">
        <v>537</v>
      </c>
      <c r="F990" t="s">
        <v>538</v>
      </c>
      <c r="G990" t="s">
        <v>69</v>
      </c>
      <c r="H990" t="s">
        <v>535</v>
      </c>
      <c r="I990">
        <v>72</v>
      </c>
      <c r="J990">
        <v>13.7</v>
      </c>
      <c r="K990" t="s">
        <v>257</v>
      </c>
      <c r="L990" t="s">
        <v>258</v>
      </c>
      <c r="M990" t="s">
        <v>257</v>
      </c>
      <c r="N990" s="5">
        <v>0</v>
      </c>
    </row>
    <row r="991" spans="1:14" x14ac:dyDescent="0.25">
      <c r="A991" t="s">
        <v>1532</v>
      </c>
      <c r="B991" t="s">
        <v>222</v>
      </c>
      <c r="C991" t="str">
        <f>_xlfn.XLOOKUP(Table6[[#This Row],[app_id]],Table5[app_id],Table5[app_name],"",0)</f>
        <v>SyncPlus</v>
      </c>
      <c r="D991" t="str">
        <f>_xlfn.XLOOKUP(Table6[[#This Row],[app_id]],Table5[app_id],Table5[category],"",0)</f>
        <v>Productivity</v>
      </c>
      <c r="E991" t="s">
        <v>546</v>
      </c>
      <c r="F991" t="s">
        <v>534</v>
      </c>
      <c r="G991" t="s">
        <v>30</v>
      </c>
      <c r="H991" t="s">
        <v>535</v>
      </c>
      <c r="I991">
        <v>73</v>
      </c>
      <c r="J991">
        <v>18.100000000000001</v>
      </c>
      <c r="K991" t="s">
        <v>257</v>
      </c>
      <c r="L991" t="s">
        <v>257</v>
      </c>
      <c r="M991" t="s">
        <v>258</v>
      </c>
      <c r="N991" s="5">
        <v>0</v>
      </c>
    </row>
    <row r="992" spans="1:14" x14ac:dyDescent="0.25">
      <c r="A992" t="s">
        <v>1533</v>
      </c>
      <c r="B992" t="s">
        <v>223</v>
      </c>
      <c r="C992" t="str">
        <f>_xlfn.XLOOKUP(Table6[[#This Row],[app_id]],Table5[app_id],Table5[app_name],"",0)</f>
        <v>ClinicPro</v>
      </c>
      <c r="D992" t="str">
        <f>_xlfn.XLOOKUP(Table6[[#This Row],[app_id]],Table5[app_id],Table5[category],"",0)</f>
        <v>Health</v>
      </c>
      <c r="E992" t="s">
        <v>533</v>
      </c>
      <c r="F992" t="s">
        <v>538</v>
      </c>
      <c r="G992" t="s">
        <v>69</v>
      </c>
      <c r="H992" t="s">
        <v>535</v>
      </c>
      <c r="I992">
        <v>18</v>
      </c>
      <c r="J992">
        <v>9.3000000000000007</v>
      </c>
      <c r="K992" t="s">
        <v>258</v>
      </c>
      <c r="L992" t="s">
        <v>258</v>
      </c>
      <c r="M992" t="s">
        <v>258</v>
      </c>
      <c r="N992" s="5">
        <v>0</v>
      </c>
    </row>
    <row r="993" spans="1:14" x14ac:dyDescent="0.25">
      <c r="A993" t="s">
        <v>1534</v>
      </c>
      <c r="B993" t="s">
        <v>226</v>
      </c>
      <c r="C993" t="str">
        <f>_xlfn.XLOOKUP(Table6[[#This Row],[app_id]],Table5[app_id],Table5[app_name],"",0)</f>
        <v>MindMate</v>
      </c>
      <c r="D993" t="str">
        <f>_xlfn.XLOOKUP(Table6[[#This Row],[app_id]],Table5[app_id],Table5[category],"",0)</f>
        <v>Health</v>
      </c>
      <c r="E993" t="s">
        <v>546</v>
      </c>
      <c r="F993" t="s">
        <v>628</v>
      </c>
      <c r="G993" t="s">
        <v>46</v>
      </c>
      <c r="H993" t="s">
        <v>535</v>
      </c>
      <c r="I993">
        <v>49</v>
      </c>
      <c r="J993">
        <v>18.600000000000001</v>
      </c>
      <c r="K993" t="s">
        <v>257</v>
      </c>
      <c r="L993" t="s">
        <v>258</v>
      </c>
      <c r="M993" t="s">
        <v>258</v>
      </c>
      <c r="N993" s="5">
        <v>0</v>
      </c>
    </row>
    <row r="994" spans="1:14" x14ac:dyDescent="0.25">
      <c r="A994" t="s">
        <v>1535</v>
      </c>
      <c r="B994" t="s">
        <v>228</v>
      </c>
      <c r="C994" t="str">
        <f>_xlfn.XLOOKUP(Table6[[#This Row],[app_id]],Table5[app_id],Table5[app_name],"",0)</f>
        <v>ClinicOne</v>
      </c>
      <c r="D994" t="str">
        <f>_xlfn.XLOOKUP(Table6[[#This Row],[app_id]],Table5[app_id],Table5[category],"",0)</f>
        <v>Health</v>
      </c>
      <c r="E994" t="s">
        <v>533</v>
      </c>
      <c r="F994" t="s">
        <v>534</v>
      </c>
      <c r="G994" t="s">
        <v>61</v>
      </c>
      <c r="H994" t="s">
        <v>535</v>
      </c>
      <c r="I994">
        <v>72</v>
      </c>
      <c r="J994">
        <v>12</v>
      </c>
      <c r="K994" t="s">
        <v>257</v>
      </c>
      <c r="L994" t="s">
        <v>257</v>
      </c>
      <c r="M994" t="s">
        <v>258</v>
      </c>
      <c r="N994" s="5">
        <v>0</v>
      </c>
    </row>
    <row r="995" spans="1:14" x14ac:dyDescent="0.25">
      <c r="A995" t="s">
        <v>1536</v>
      </c>
      <c r="B995" t="s">
        <v>230</v>
      </c>
      <c r="C995" t="str">
        <f>_xlfn.XLOOKUP(Table6[[#This Row],[app_id]],Table5[app_id],Table5[app_name],"",0)</f>
        <v>WellMate</v>
      </c>
      <c r="D995" t="str">
        <f>_xlfn.XLOOKUP(Table6[[#This Row],[app_id]],Table5[app_id],Table5[category],"",0)</f>
        <v>Health</v>
      </c>
      <c r="E995" t="s">
        <v>533</v>
      </c>
      <c r="F995" t="s">
        <v>534</v>
      </c>
      <c r="G995" t="s">
        <v>23</v>
      </c>
      <c r="H995" t="s">
        <v>535</v>
      </c>
      <c r="I995">
        <v>22</v>
      </c>
      <c r="J995">
        <v>7.1</v>
      </c>
      <c r="K995" t="s">
        <v>258</v>
      </c>
      <c r="L995" t="s">
        <v>258</v>
      </c>
      <c r="M995" t="s">
        <v>258</v>
      </c>
      <c r="N995" s="5">
        <v>0</v>
      </c>
    </row>
    <row r="996" spans="1:14" x14ac:dyDescent="0.25">
      <c r="A996" t="s">
        <v>1537</v>
      </c>
      <c r="B996" t="s">
        <v>232</v>
      </c>
      <c r="C996" t="str">
        <f>_xlfn.XLOOKUP(Table6[[#This Row],[app_id]],Table5[app_id],Table5[app_name],"",0)</f>
        <v>MediMate</v>
      </c>
      <c r="D996" t="str">
        <f>_xlfn.XLOOKUP(Table6[[#This Row],[app_id]],Table5[app_id],Table5[category],"",0)</f>
        <v>Health</v>
      </c>
      <c r="E996" t="s">
        <v>533</v>
      </c>
      <c r="F996" t="s">
        <v>538</v>
      </c>
      <c r="G996" t="s">
        <v>46</v>
      </c>
      <c r="H996" t="s">
        <v>535</v>
      </c>
      <c r="I996">
        <v>35</v>
      </c>
      <c r="J996">
        <v>15.6</v>
      </c>
      <c r="K996" t="s">
        <v>257</v>
      </c>
      <c r="L996" t="s">
        <v>257</v>
      </c>
      <c r="M996" t="s">
        <v>258</v>
      </c>
      <c r="N996" s="5">
        <v>0</v>
      </c>
    </row>
    <row r="997" spans="1:14" x14ac:dyDescent="0.25">
      <c r="A997" t="s">
        <v>1538</v>
      </c>
      <c r="B997" t="s">
        <v>234</v>
      </c>
      <c r="C997" t="str">
        <f>_xlfn.XLOOKUP(Table6[[#This Row],[app_id]],Table5[app_id],Table5[app_name],"",0)</f>
        <v>WellNow</v>
      </c>
      <c r="D997" t="str">
        <f>_xlfn.XLOOKUP(Table6[[#This Row],[app_id]],Table5[app_id],Table5[category],"",0)</f>
        <v>Health</v>
      </c>
      <c r="E997" t="s">
        <v>537</v>
      </c>
      <c r="F997" t="s">
        <v>538</v>
      </c>
      <c r="G997" t="s">
        <v>26</v>
      </c>
      <c r="H997" t="s">
        <v>535</v>
      </c>
      <c r="I997">
        <v>27</v>
      </c>
      <c r="J997">
        <v>3.3</v>
      </c>
      <c r="K997" t="s">
        <v>257</v>
      </c>
      <c r="L997" t="s">
        <v>258</v>
      </c>
      <c r="M997" t="s">
        <v>257</v>
      </c>
      <c r="N997" s="5">
        <v>0</v>
      </c>
    </row>
    <row r="998" spans="1:14" x14ac:dyDescent="0.25">
      <c r="A998" t="s">
        <v>1539</v>
      </c>
      <c r="B998" t="s">
        <v>236</v>
      </c>
      <c r="C998" t="str">
        <f>_xlfn.XLOOKUP(Table6[[#This Row],[app_id]],Table5[app_id],Table5[app_name],"",0)</f>
        <v>CareCloud</v>
      </c>
      <c r="D998" t="str">
        <f>_xlfn.XLOOKUP(Table6[[#This Row],[app_id]],Table5[app_id],Table5[category],"",0)</f>
        <v>Health</v>
      </c>
      <c r="E998" t="s">
        <v>537</v>
      </c>
      <c r="F998" t="s">
        <v>538</v>
      </c>
      <c r="G998" t="s">
        <v>35</v>
      </c>
      <c r="H998" t="s">
        <v>535</v>
      </c>
      <c r="I998">
        <v>90</v>
      </c>
      <c r="J998">
        <v>13.2</v>
      </c>
      <c r="K998" t="s">
        <v>257</v>
      </c>
      <c r="L998" t="s">
        <v>257</v>
      </c>
      <c r="M998" t="s">
        <v>258</v>
      </c>
      <c r="N998" s="5">
        <v>0</v>
      </c>
    </row>
    <row r="999" spans="1:14" x14ac:dyDescent="0.25">
      <c r="A999" t="s">
        <v>1540</v>
      </c>
      <c r="B999" t="s">
        <v>238</v>
      </c>
      <c r="C999" t="str">
        <f>_xlfn.XLOOKUP(Table6[[#This Row],[app_id]],Table5[app_id],Table5[app_name],"",0)</f>
        <v>MediNow</v>
      </c>
      <c r="D999" t="str">
        <f>_xlfn.XLOOKUP(Table6[[#This Row],[app_id]],Table5[app_id],Table5[category],"",0)</f>
        <v>Health</v>
      </c>
      <c r="E999" t="s">
        <v>557</v>
      </c>
      <c r="F999" t="s">
        <v>538</v>
      </c>
      <c r="G999" t="s">
        <v>23</v>
      </c>
      <c r="H999" t="s">
        <v>535</v>
      </c>
      <c r="I999">
        <v>25</v>
      </c>
      <c r="J999">
        <v>8.4</v>
      </c>
      <c r="K999" t="s">
        <v>258</v>
      </c>
      <c r="L999" t="s">
        <v>257</v>
      </c>
      <c r="M999" t="s">
        <v>258</v>
      </c>
      <c r="N999" s="5">
        <v>0</v>
      </c>
    </row>
    <row r="1000" spans="1:14" x14ac:dyDescent="0.25">
      <c r="A1000" t="s">
        <v>1541</v>
      </c>
      <c r="B1000" t="s">
        <v>240</v>
      </c>
      <c r="C1000" t="str">
        <f>_xlfn.XLOOKUP(Table6[[#This Row],[app_id]],Table5[app_id],Table5[app_name],"",0)</f>
        <v>MindPlus</v>
      </c>
      <c r="D1000" t="str">
        <f>_xlfn.XLOOKUP(Table6[[#This Row],[app_id]],Table5[app_id],Table5[category],"",0)</f>
        <v>Health</v>
      </c>
      <c r="E1000" t="s">
        <v>546</v>
      </c>
      <c r="F1000" t="s">
        <v>534</v>
      </c>
      <c r="G1000" t="s">
        <v>26</v>
      </c>
      <c r="H1000" t="s">
        <v>535</v>
      </c>
      <c r="I1000">
        <v>70</v>
      </c>
      <c r="J1000">
        <v>7</v>
      </c>
      <c r="K1000" t="s">
        <v>257</v>
      </c>
      <c r="L1000" t="s">
        <v>258</v>
      </c>
      <c r="M1000" t="s">
        <v>257</v>
      </c>
      <c r="N1000" s="5">
        <v>0</v>
      </c>
    </row>
    <row r="1001" spans="1:14" x14ac:dyDescent="0.25">
      <c r="A1001" t="s">
        <v>1542</v>
      </c>
      <c r="B1001" t="s">
        <v>242</v>
      </c>
      <c r="C1001" t="str">
        <f>_xlfn.XLOOKUP(Table6[[#This Row],[app_id]],Table5[app_id],Table5[app_name],"",0)</f>
        <v>MediCloud</v>
      </c>
      <c r="D1001" t="str">
        <f>_xlfn.XLOOKUP(Table6[[#This Row],[app_id]],Table5[app_id],Table5[category],"",0)</f>
        <v>Health</v>
      </c>
      <c r="E1001" t="s">
        <v>546</v>
      </c>
      <c r="F1001" t="s">
        <v>534</v>
      </c>
      <c r="G1001" t="s">
        <v>26</v>
      </c>
      <c r="H1001" t="s">
        <v>535</v>
      </c>
      <c r="I1001">
        <v>90</v>
      </c>
      <c r="J1001">
        <v>7.4</v>
      </c>
      <c r="K1001" t="s">
        <v>257</v>
      </c>
      <c r="L1001" t="s">
        <v>257</v>
      </c>
      <c r="M1001" t="s">
        <v>257</v>
      </c>
      <c r="N1001" s="5">
        <v>0</v>
      </c>
    </row>
    <row r="1002" spans="1:14" x14ac:dyDescent="0.25">
      <c r="A1002" t="s">
        <v>1543</v>
      </c>
      <c r="B1002" t="s">
        <v>12</v>
      </c>
      <c r="C1002" t="str">
        <f>_xlfn.XLOOKUP(Table6[[#This Row],[app_id]],Table5[app_id],Table5[app_name],"",0)</f>
        <v>InvestPro</v>
      </c>
      <c r="D1002" t="str">
        <f>_xlfn.XLOOKUP(Table6[[#This Row],[app_id]],Table5[app_id],Table5[category],"",0)</f>
        <v>Finance</v>
      </c>
      <c r="E1002" t="s">
        <v>533</v>
      </c>
      <c r="F1002" t="s">
        <v>538</v>
      </c>
      <c r="G1002" t="s">
        <v>46</v>
      </c>
      <c r="H1002" t="s">
        <v>535</v>
      </c>
      <c r="I1002">
        <v>84</v>
      </c>
      <c r="J1002">
        <v>23.6</v>
      </c>
      <c r="K1002" t="s">
        <v>257</v>
      </c>
      <c r="L1002" t="s">
        <v>257</v>
      </c>
      <c r="M1002" t="s">
        <v>258</v>
      </c>
      <c r="N1002" s="5">
        <v>0</v>
      </c>
    </row>
    <row r="1003" spans="1:14" x14ac:dyDescent="0.25">
      <c r="A1003" t="s">
        <v>1544</v>
      </c>
      <c r="B1003" t="s">
        <v>19</v>
      </c>
      <c r="C1003" t="str">
        <f>_xlfn.XLOOKUP(Table6[[#This Row],[app_id]],Table5[app_id],Table5[app_name],"",0)</f>
        <v>BankPro</v>
      </c>
      <c r="D1003" t="str">
        <f>_xlfn.XLOOKUP(Table6[[#This Row],[app_id]],Table5[app_id],Table5[category],"",0)</f>
        <v>Finance</v>
      </c>
      <c r="E1003" t="s">
        <v>533</v>
      </c>
      <c r="F1003" t="s">
        <v>538</v>
      </c>
      <c r="G1003" t="s">
        <v>30</v>
      </c>
      <c r="H1003" t="s">
        <v>535</v>
      </c>
      <c r="I1003">
        <v>61</v>
      </c>
      <c r="J1003">
        <v>9</v>
      </c>
      <c r="K1003" t="s">
        <v>257</v>
      </c>
      <c r="L1003" t="s">
        <v>257</v>
      </c>
      <c r="M1003" t="s">
        <v>258</v>
      </c>
      <c r="N1003" s="5">
        <v>0</v>
      </c>
    </row>
    <row r="1004" spans="1:14" x14ac:dyDescent="0.25">
      <c r="A1004" t="s">
        <v>1545</v>
      </c>
      <c r="B1004" t="s">
        <v>24</v>
      </c>
      <c r="C1004" t="str">
        <f>_xlfn.XLOOKUP(Table6[[#This Row],[app_id]],Table5[app_id],Table5[app_name],"",0)</f>
        <v>BankX</v>
      </c>
      <c r="D1004" t="str">
        <f>_xlfn.XLOOKUP(Table6[[#This Row],[app_id]],Table5[app_id],Table5[category],"",0)</f>
        <v>Finance</v>
      </c>
      <c r="E1004" t="s">
        <v>552</v>
      </c>
      <c r="F1004" t="s">
        <v>534</v>
      </c>
      <c r="G1004" t="s">
        <v>23</v>
      </c>
      <c r="H1004" t="s">
        <v>535</v>
      </c>
      <c r="I1004">
        <v>15</v>
      </c>
      <c r="J1004">
        <v>16.8</v>
      </c>
      <c r="K1004" t="s">
        <v>257</v>
      </c>
      <c r="L1004" t="s">
        <v>257</v>
      </c>
      <c r="M1004" t="s">
        <v>258</v>
      </c>
      <c r="N1004" s="5">
        <v>0</v>
      </c>
    </row>
    <row r="1005" spans="1:14" x14ac:dyDescent="0.25">
      <c r="A1005" t="s">
        <v>1546</v>
      </c>
      <c r="B1005" t="s">
        <v>27</v>
      </c>
      <c r="C1005" t="str">
        <f>_xlfn.XLOOKUP(Table6[[#This Row],[app_id]],Table5[app_id],Table5[app_name],"",0)</f>
        <v>BankNow</v>
      </c>
      <c r="D1005" t="str">
        <f>_xlfn.XLOOKUP(Table6[[#This Row],[app_id]],Table5[app_id],Table5[category],"",0)</f>
        <v>Finance</v>
      </c>
      <c r="E1005" t="s">
        <v>533</v>
      </c>
      <c r="F1005" t="s">
        <v>534</v>
      </c>
      <c r="G1005" t="s">
        <v>30</v>
      </c>
      <c r="H1005" t="s">
        <v>535</v>
      </c>
      <c r="I1005">
        <v>8</v>
      </c>
      <c r="J1005">
        <v>12.9</v>
      </c>
      <c r="K1005" t="s">
        <v>258</v>
      </c>
      <c r="L1005" t="s">
        <v>258</v>
      </c>
      <c r="M1005" t="s">
        <v>258</v>
      </c>
      <c r="N1005" s="5">
        <v>0</v>
      </c>
    </row>
    <row r="1006" spans="1:14" x14ac:dyDescent="0.25">
      <c r="A1006" t="s">
        <v>1547</v>
      </c>
      <c r="B1006" t="s">
        <v>31</v>
      </c>
      <c r="C1006" t="str">
        <f>_xlfn.XLOOKUP(Table6[[#This Row],[app_id]],Table5[app_id],Table5[app_name],"",0)</f>
        <v>CreditHub</v>
      </c>
      <c r="D1006" t="str">
        <f>_xlfn.XLOOKUP(Table6[[#This Row],[app_id]],Table5[app_id],Table5[category],"",0)</f>
        <v>Finance</v>
      </c>
      <c r="E1006" t="s">
        <v>546</v>
      </c>
      <c r="F1006" t="s">
        <v>534</v>
      </c>
      <c r="G1006" t="s">
        <v>69</v>
      </c>
      <c r="H1006" t="s">
        <v>535</v>
      </c>
      <c r="I1006">
        <v>18</v>
      </c>
      <c r="J1006">
        <v>6.4</v>
      </c>
      <c r="K1006" t="s">
        <v>258</v>
      </c>
      <c r="L1006" t="s">
        <v>258</v>
      </c>
      <c r="M1006" t="s">
        <v>258</v>
      </c>
      <c r="N1006" s="5">
        <v>0</v>
      </c>
    </row>
    <row r="1007" spans="1:14" x14ac:dyDescent="0.25">
      <c r="A1007" t="s">
        <v>1548</v>
      </c>
      <c r="B1007" t="s">
        <v>36</v>
      </c>
      <c r="C1007" t="str">
        <f>_xlfn.XLOOKUP(Table6[[#This Row],[app_id]],Table5[app_id],Table5[app_name],"",0)</f>
        <v>PayPlus</v>
      </c>
      <c r="D1007" t="str">
        <f>_xlfn.XLOOKUP(Table6[[#This Row],[app_id]],Table5[app_id],Table5[category],"",0)</f>
        <v>Finance</v>
      </c>
      <c r="E1007" t="s">
        <v>557</v>
      </c>
      <c r="F1007" t="s">
        <v>548</v>
      </c>
      <c r="G1007" t="s">
        <v>69</v>
      </c>
      <c r="H1007" t="s">
        <v>535</v>
      </c>
      <c r="I1007">
        <v>70</v>
      </c>
      <c r="J1007">
        <v>9.3000000000000007</v>
      </c>
      <c r="K1007" t="s">
        <v>257</v>
      </c>
      <c r="L1007" t="s">
        <v>258</v>
      </c>
      <c r="M1007" t="s">
        <v>258</v>
      </c>
      <c r="N1007" s="5">
        <v>6.91</v>
      </c>
    </row>
    <row r="1008" spans="1:14" x14ac:dyDescent="0.25">
      <c r="A1008" t="s">
        <v>1549</v>
      </c>
      <c r="B1008" t="s">
        <v>39</v>
      </c>
      <c r="C1008" t="str">
        <f>_xlfn.XLOOKUP(Table6[[#This Row],[app_id]],Table5[app_id],Table5[app_name],"",0)</f>
        <v>BankPlus</v>
      </c>
      <c r="D1008" t="str">
        <f>_xlfn.XLOOKUP(Table6[[#This Row],[app_id]],Table5[app_id],Table5[category],"",0)</f>
        <v>Finance</v>
      </c>
      <c r="E1008" t="s">
        <v>557</v>
      </c>
      <c r="F1008" t="s">
        <v>534</v>
      </c>
      <c r="G1008" t="s">
        <v>46</v>
      </c>
      <c r="H1008" t="s">
        <v>535</v>
      </c>
      <c r="I1008">
        <v>5</v>
      </c>
      <c r="J1008">
        <v>8.6</v>
      </c>
      <c r="K1008" t="s">
        <v>258</v>
      </c>
      <c r="L1008" t="s">
        <v>258</v>
      </c>
      <c r="M1008" t="s">
        <v>258</v>
      </c>
      <c r="N1008" s="5">
        <v>0</v>
      </c>
    </row>
    <row r="1009" spans="1:14" x14ac:dyDescent="0.25">
      <c r="A1009" t="s">
        <v>1550</v>
      </c>
      <c r="B1009" t="s">
        <v>42</v>
      </c>
      <c r="C1009" t="str">
        <f>_xlfn.XLOOKUP(Table6[[#This Row],[app_id]],Table5[app_id],Table5[app_name],"",0)</f>
        <v>CoinPlus</v>
      </c>
      <c r="D1009" t="str">
        <f>_xlfn.XLOOKUP(Table6[[#This Row],[app_id]],Table5[app_id],Table5[category],"",0)</f>
        <v>Finance</v>
      </c>
      <c r="E1009" t="s">
        <v>546</v>
      </c>
      <c r="F1009" t="s">
        <v>534</v>
      </c>
      <c r="G1009" t="s">
        <v>35</v>
      </c>
      <c r="H1009" t="s">
        <v>535</v>
      </c>
      <c r="I1009">
        <v>45</v>
      </c>
      <c r="J1009">
        <v>22.8</v>
      </c>
      <c r="K1009" t="s">
        <v>257</v>
      </c>
      <c r="L1009" t="s">
        <v>258</v>
      </c>
      <c r="M1009" t="s">
        <v>258</v>
      </c>
      <c r="N1009" s="5">
        <v>0</v>
      </c>
    </row>
    <row r="1010" spans="1:14" x14ac:dyDescent="0.25">
      <c r="A1010" t="s">
        <v>1551</v>
      </c>
      <c r="B1010" t="s">
        <v>47</v>
      </c>
      <c r="C1010" t="str">
        <f>_xlfn.XLOOKUP(Table6[[#This Row],[app_id]],Table5[app_id],Table5[app_name],"",0)</f>
        <v>CreditOne</v>
      </c>
      <c r="D1010" t="str">
        <f>_xlfn.XLOOKUP(Table6[[#This Row],[app_id]],Table5[app_id],Table5[category],"",0)</f>
        <v>Finance</v>
      </c>
      <c r="E1010" t="s">
        <v>533</v>
      </c>
      <c r="F1010" t="s">
        <v>534</v>
      </c>
      <c r="G1010" t="s">
        <v>35</v>
      </c>
      <c r="H1010" t="s">
        <v>535</v>
      </c>
      <c r="I1010">
        <v>36</v>
      </c>
      <c r="J1010">
        <v>5.0999999999999996</v>
      </c>
      <c r="K1010" t="s">
        <v>257</v>
      </c>
      <c r="L1010" t="s">
        <v>257</v>
      </c>
      <c r="M1010" t="s">
        <v>258</v>
      </c>
      <c r="N1010" s="5">
        <v>45.16</v>
      </c>
    </row>
    <row r="1011" spans="1:14" x14ac:dyDescent="0.25">
      <c r="A1011" t="s">
        <v>1552</v>
      </c>
      <c r="B1011" t="s">
        <v>49</v>
      </c>
      <c r="C1011" t="str">
        <f>_xlfn.XLOOKUP(Table6[[#This Row],[app_id]],Table5[app_id],Table5[app_name],"",0)</f>
        <v>PayPro</v>
      </c>
      <c r="D1011" t="str">
        <f>_xlfn.XLOOKUP(Table6[[#This Row],[app_id]],Table5[app_id],Table5[category],"",0)</f>
        <v>Finance</v>
      </c>
      <c r="E1011" t="s">
        <v>537</v>
      </c>
      <c r="F1011" t="s">
        <v>534</v>
      </c>
      <c r="G1011" t="s">
        <v>26</v>
      </c>
      <c r="H1011" t="s">
        <v>535</v>
      </c>
      <c r="I1011">
        <v>1</v>
      </c>
      <c r="J1011">
        <v>12.1</v>
      </c>
      <c r="K1011" t="s">
        <v>258</v>
      </c>
      <c r="L1011" t="s">
        <v>258</v>
      </c>
      <c r="M1011" t="s">
        <v>257</v>
      </c>
      <c r="N1011" s="5">
        <v>45.56</v>
      </c>
    </row>
    <row r="1012" spans="1:14" x14ac:dyDescent="0.25">
      <c r="A1012" t="s">
        <v>1553</v>
      </c>
      <c r="B1012" t="s">
        <v>51</v>
      </c>
      <c r="C1012" t="str">
        <f>_xlfn.XLOOKUP(Table6[[#This Row],[app_id]],Table5[app_id],Table5[app_name],"",0)</f>
        <v>Creditly</v>
      </c>
      <c r="D1012" t="str">
        <f>_xlfn.XLOOKUP(Table6[[#This Row],[app_id]],Table5[app_id],Table5[category],"",0)</f>
        <v>Finance</v>
      </c>
      <c r="E1012" t="s">
        <v>533</v>
      </c>
      <c r="F1012" t="s">
        <v>538</v>
      </c>
      <c r="G1012" t="s">
        <v>69</v>
      </c>
      <c r="H1012" t="s">
        <v>535</v>
      </c>
      <c r="I1012">
        <v>77</v>
      </c>
      <c r="J1012">
        <v>6</v>
      </c>
      <c r="K1012" t="s">
        <v>257</v>
      </c>
      <c r="L1012" t="s">
        <v>257</v>
      </c>
      <c r="M1012" t="s">
        <v>258</v>
      </c>
      <c r="N1012" s="5">
        <v>45.02</v>
      </c>
    </row>
    <row r="1013" spans="1:14" x14ac:dyDescent="0.25">
      <c r="A1013" t="s">
        <v>1554</v>
      </c>
      <c r="B1013" t="s">
        <v>53</v>
      </c>
      <c r="C1013" t="str">
        <f>_xlfn.XLOOKUP(Table6[[#This Row],[app_id]],Table5[app_id],Table5[app_name],"",0)</f>
        <v>PayX</v>
      </c>
      <c r="D1013" t="str">
        <f>_xlfn.XLOOKUP(Table6[[#This Row],[app_id]],Table5[app_id],Table5[category],"",0)</f>
        <v>Finance</v>
      </c>
      <c r="E1013" t="s">
        <v>537</v>
      </c>
      <c r="F1013" t="s">
        <v>534</v>
      </c>
      <c r="G1013" t="s">
        <v>30</v>
      </c>
      <c r="H1013" t="s">
        <v>535</v>
      </c>
      <c r="I1013">
        <v>7</v>
      </c>
      <c r="J1013">
        <v>12.2</v>
      </c>
      <c r="K1013" t="s">
        <v>258</v>
      </c>
      <c r="L1013" t="s">
        <v>258</v>
      </c>
      <c r="M1013" t="s">
        <v>258</v>
      </c>
      <c r="N1013" s="5">
        <v>32.21</v>
      </c>
    </row>
    <row r="1014" spans="1:14" x14ac:dyDescent="0.25">
      <c r="A1014" t="s">
        <v>1555</v>
      </c>
      <c r="B1014" t="s">
        <v>56</v>
      </c>
      <c r="C1014" t="str">
        <f>_xlfn.XLOOKUP(Table6[[#This Row],[app_id]],Table5[app_id],Table5[app_name],"",0)</f>
        <v>DealGo</v>
      </c>
      <c r="D1014" t="str">
        <f>_xlfn.XLOOKUP(Table6[[#This Row],[app_id]],Table5[app_id],Table5[category],"",0)</f>
        <v>Shopping</v>
      </c>
      <c r="E1014" t="s">
        <v>533</v>
      </c>
      <c r="F1014" t="s">
        <v>534</v>
      </c>
      <c r="G1014" t="s">
        <v>69</v>
      </c>
      <c r="H1014" t="s">
        <v>535</v>
      </c>
      <c r="I1014">
        <v>10</v>
      </c>
      <c r="J1014">
        <v>22.1</v>
      </c>
      <c r="K1014" t="s">
        <v>258</v>
      </c>
      <c r="L1014" t="s">
        <v>258</v>
      </c>
      <c r="M1014" t="s">
        <v>258</v>
      </c>
      <c r="N1014" s="5">
        <v>0</v>
      </c>
    </row>
    <row r="1015" spans="1:14" x14ac:dyDescent="0.25">
      <c r="A1015" t="s">
        <v>1556</v>
      </c>
      <c r="B1015" t="s">
        <v>62</v>
      </c>
      <c r="C1015" t="str">
        <f>_xlfn.XLOOKUP(Table6[[#This Row],[app_id]],Table5[app_id],Table5[app_name],"",0)</f>
        <v>MallNow</v>
      </c>
      <c r="D1015" t="str">
        <f>_xlfn.XLOOKUP(Table6[[#This Row],[app_id]],Table5[app_id],Table5[category],"",0)</f>
        <v>Shopping</v>
      </c>
      <c r="E1015" t="s">
        <v>533</v>
      </c>
      <c r="F1015" t="s">
        <v>534</v>
      </c>
      <c r="G1015" t="s">
        <v>26</v>
      </c>
      <c r="H1015" t="s">
        <v>535</v>
      </c>
      <c r="I1015">
        <v>22</v>
      </c>
      <c r="J1015">
        <v>6.6</v>
      </c>
      <c r="K1015" t="s">
        <v>258</v>
      </c>
      <c r="L1015" t="s">
        <v>258</v>
      </c>
      <c r="M1015" t="s">
        <v>258</v>
      </c>
      <c r="N1015" s="5">
        <v>0</v>
      </c>
    </row>
    <row r="1016" spans="1:14" x14ac:dyDescent="0.25">
      <c r="A1016" t="s">
        <v>1557</v>
      </c>
      <c r="B1016" t="s">
        <v>65</v>
      </c>
      <c r="C1016" t="str">
        <f>_xlfn.XLOOKUP(Table6[[#This Row],[app_id]],Table5[app_id],Table5[app_name],"",0)</f>
        <v>DealPro</v>
      </c>
      <c r="D1016" t="str">
        <f>_xlfn.XLOOKUP(Table6[[#This Row],[app_id]],Table5[app_id],Table5[category],"",0)</f>
        <v>Shopping</v>
      </c>
      <c r="E1016" t="s">
        <v>533</v>
      </c>
      <c r="F1016" t="s">
        <v>534</v>
      </c>
      <c r="G1016" t="s">
        <v>69</v>
      </c>
      <c r="H1016" t="s">
        <v>535</v>
      </c>
      <c r="I1016">
        <v>7</v>
      </c>
      <c r="J1016">
        <v>15.9</v>
      </c>
      <c r="K1016" t="s">
        <v>258</v>
      </c>
      <c r="L1016" t="s">
        <v>258</v>
      </c>
      <c r="M1016" t="s">
        <v>257</v>
      </c>
      <c r="N1016" s="5">
        <v>0</v>
      </c>
    </row>
    <row r="1017" spans="1:14" x14ac:dyDescent="0.25">
      <c r="A1017" t="s">
        <v>1558</v>
      </c>
      <c r="B1017" t="s">
        <v>67</v>
      </c>
      <c r="C1017" t="str">
        <f>_xlfn.XLOOKUP(Table6[[#This Row],[app_id]],Table5[app_id],Table5[app_name],"",0)</f>
        <v>StyleNow</v>
      </c>
      <c r="D1017" t="str">
        <f>_xlfn.XLOOKUP(Table6[[#This Row],[app_id]],Table5[app_id],Table5[category],"",0)</f>
        <v>Shopping</v>
      </c>
      <c r="E1017" t="s">
        <v>546</v>
      </c>
      <c r="F1017" t="s">
        <v>538</v>
      </c>
      <c r="G1017" t="s">
        <v>46</v>
      </c>
      <c r="H1017" t="s">
        <v>535</v>
      </c>
      <c r="I1017">
        <v>10</v>
      </c>
      <c r="J1017">
        <v>14.3</v>
      </c>
      <c r="K1017" t="s">
        <v>258</v>
      </c>
      <c r="L1017" t="s">
        <v>258</v>
      </c>
      <c r="M1017" t="s">
        <v>258</v>
      </c>
      <c r="N1017" s="5">
        <v>0</v>
      </c>
    </row>
    <row r="1018" spans="1:14" x14ac:dyDescent="0.25">
      <c r="A1018" t="s">
        <v>1559</v>
      </c>
      <c r="B1018" t="s">
        <v>70</v>
      </c>
      <c r="C1018" t="str">
        <f>_xlfn.XLOOKUP(Table6[[#This Row],[app_id]],Table5[app_id],Table5[app_name],"",0)</f>
        <v>DealCloud</v>
      </c>
      <c r="D1018" t="str">
        <f>_xlfn.XLOOKUP(Table6[[#This Row],[app_id]],Table5[app_id],Table5[category],"",0)</f>
        <v>Shopping</v>
      </c>
      <c r="E1018" t="s">
        <v>537</v>
      </c>
      <c r="F1018" t="s">
        <v>538</v>
      </c>
      <c r="G1018" t="s">
        <v>46</v>
      </c>
      <c r="H1018" t="s">
        <v>535</v>
      </c>
      <c r="I1018">
        <v>3</v>
      </c>
      <c r="J1018">
        <v>18.600000000000001</v>
      </c>
      <c r="K1018" t="s">
        <v>258</v>
      </c>
      <c r="L1018" t="s">
        <v>258</v>
      </c>
      <c r="M1018" t="s">
        <v>257</v>
      </c>
      <c r="N1018" s="5">
        <v>0</v>
      </c>
    </row>
    <row r="1019" spans="1:14" x14ac:dyDescent="0.25">
      <c r="A1019" t="s">
        <v>1560</v>
      </c>
      <c r="B1019" t="s">
        <v>72</v>
      </c>
      <c r="C1019" t="str">
        <f>_xlfn.XLOOKUP(Table6[[#This Row],[app_id]],Table5[app_id],Table5[app_name],"",0)</f>
        <v>CartCloud</v>
      </c>
      <c r="D1019" t="str">
        <f>_xlfn.XLOOKUP(Table6[[#This Row],[app_id]],Table5[app_id],Table5[category],"",0)</f>
        <v>Shopping</v>
      </c>
      <c r="E1019" t="s">
        <v>533</v>
      </c>
      <c r="F1019" t="s">
        <v>538</v>
      </c>
      <c r="G1019" t="s">
        <v>35</v>
      </c>
      <c r="H1019" t="s">
        <v>540</v>
      </c>
      <c r="I1019">
        <v>25</v>
      </c>
      <c r="J1019">
        <v>17.100000000000001</v>
      </c>
      <c r="K1019" t="s">
        <v>258</v>
      </c>
      <c r="L1019" t="s">
        <v>257</v>
      </c>
      <c r="M1019" t="s">
        <v>257</v>
      </c>
      <c r="N1019" s="5">
        <v>0</v>
      </c>
    </row>
    <row r="1020" spans="1:14" x14ac:dyDescent="0.25">
      <c r="A1020" t="s">
        <v>1561</v>
      </c>
      <c r="B1020" t="s">
        <v>74</v>
      </c>
      <c r="C1020" t="str">
        <f>_xlfn.XLOOKUP(Table6[[#This Row],[app_id]],Table5[app_id],Table5[app_name],"",0)</f>
        <v>CartMate</v>
      </c>
      <c r="D1020" t="str">
        <f>_xlfn.XLOOKUP(Table6[[#This Row],[app_id]],Table5[app_id],Table5[category],"",0)</f>
        <v>Shopping</v>
      </c>
      <c r="E1020" t="s">
        <v>537</v>
      </c>
      <c r="F1020" t="s">
        <v>538</v>
      </c>
      <c r="G1020" t="s">
        <v>35</v>
      </c>
      <c r="H1020" t="s">
        <v>535</v>
      </c>
      <c r="I1020">
        <v>43</v>
      </c>
      <c r="J1020">
        <v>6.3</v>
      </c>
      <c r="K1020" t="s">
        <v>257</v>
      </c>
      <c r="L1020" t="s">
        <v>258</v>
      </c>
      <c r="M1020" t="s">
        <v>257</v>
      </c>
      <c r="N1020" s="5">
        <v>0</v>
      </c>
    </row>
    <row r="1021" spans="1:14" x14ac:dyDescent="0.25">
      <c r="A1021" t="s">
        <v>1562</v>
      </c>
      <c r="B1021" t="s">
        <v>76</v>
      </c>
      <c r="C1021" t="str">
        <f>_xlfn.XLOOKUP(Table6[[#This Row],[app_id]],Table5[app_id],Table5[app_name],"",0)</f>
        <v>BazaarOne</v>
      </c>
      <c r="D1021" t="str">
        <f>_xlfn.XLOOKUP(Table6[[#This Row],[app_id]],Table5[app_id],Table5[category],"",0)</f>
        <v>Shopping</v>
      </c>
      <c r="E1021" t="s">
        <v>533</v>
      </c>
      <c r="F1021" t="s">
        <v>534</v>
      </c>
      <c r="G1021" t="s">
        <v>61</v>
      </c>
      <c r="H1021" t="s">
        <v>535</v>
      </c>
      <c r="I1021">
        <v>28</v>
      </c>
      <c r="J1021">
        <v>23.8</v>
      </c>
      <c r="K1021" t="s">
        <v>258</v>
      </c>
      <c r="L1021" t="s">
        <v>257</v>
      </c>
      <c r="M1021" t="s">
        <v>257</v>
      </c>
      <c r="N1021" s="5">
        <v>0</v>
      </c>
    </row>
    <row r="1022" spans="1:14" x14ac:dyDescent="0.25">
      <c r="A1022" t="s">
        <v>1563</v>
      </c>
      <c r="B1022" t="s">
        <v>78</v>
      </c>
      <c r="C1022" t="str">
        <f>_xlfn.XLOOKUP(Table6[[#This Row],[app_id]],Table5[app_id],Table5[app_name],"",0)</f>
        <v>StyleOne</v>
      </c>
      <c r="D1022" t="str">
        <f>_xlfn.XLOOKUP(Table6[[#This Row],[app_id]],Table5[app_id],Table5[category],"",0)</f>
        <v>Shopping</v>
      </c>
      <c r="E1022" t="s">
        <v>552</v>
      </c>
      <c r="F1022" t="s">
        <v>534</v>
      </c>
      <c r="G1022" t="s">
        <v>69</v>
      </c>
      <c r="H1022" t="s">
        <v>535</v>
      </c>
      <c r="I1022">
        <v>43</v>
      </c>
      <c r="J1022">
        <v>23.8</v>
      </c>
      <c r="K1022" t="s">
        <v>257</v>
      </c>
      <c r="L1022" t="s">
        <v>258</v>
      </c>
      <c r="M1022" t="s">
        <v>258</v>
      </c>
      <c r="N1022" s="5">
        <v>0</v>
      </c>
    </row>
    <row r="1023" spans="1:14" x14ac:dyDescent="0.25">
      <c r="A1023" t="s">
        <v>1564</v>
      </c>
      <c r="B1023" t="s">
        <v>80</v>
      </c>
      <c r="C1023" t="str">
        <f>_xlfn.XLOOKUP(Table6[[#This Row],[app_id]],Table5[app_id],Table5[app_name],"",0)</f>
        <v>Cartly</v>
      </c>
      <c r="D1023" t="str">
        <f>_xlfn.XLOOKUP(Table6[[#This Row],[app_id]],Table5[app_id],Table5[category],"",0)</f>
        <v>Shopping</v>
      </c>
      <c r="E1023" t="s">
        <v>537</v>
      </c>
      <c r="F1023" t="s">
        <v>534</v>
      </c>
      <c r="G1023" t="s">
        <v>18</v>
      </c>
      <c r="H1023" t="s">
        <v>535</v>
      </c>
      <c r="I1023">
        <v>7</v>
      </c>
      <c r="J1023">
        <v>8.4</v>
      </c>
      <c r="K1023" t="s">
        <v>258</v>
      </c>
      <c r="L1023" t="s">
        <v>257</v>
      </c>
      <c r="M1023" t="s">
        <v>258</v>
      </c>
      <c r="N1023" s="5">
        <v>0</v>
      </c>
    </row>
    <row r="1024" spans="1:14" x14ac:dyDescent="0.25">
      <c r="A1024" t="s">
        <v>1565</v>
      </c>
      <c r="B1024" t="s">
        <v>83</v>
      </c>
      <c r="C1024" t="str">
        <f>_xlfn.XLOOKUP(Table6[[#This Row],[app_id]],Table5[app_id],Table5[app_name],"",0)</f>
        <v>BazaarCloud</v>
      </c>
      <c r="D1024" t="str">
        <f>_xlfn.XLOOKUP(Table6[[#This Row],[app_id]],Table5[app_id],Table5[category],"",0)</f>
        <v>Shopping</v>
      </c>
      <c r="E1024" t="s">
        <v>552</v>
      </c>
      <c r="F1024" t="s">
        <v>538</v>
      </c>
      <c r="G1024" t="s">
        <v>30</v>
      </c>
      <c r="H1024" t="s">
        <v>540</v>
      </c>
      <c r="I1024">
        <v>28</v>
      </c>
      <c r="J1024">
        <v>23.8</v>
      </c>
      <c r="K1024" t="s">
        <v>258</v>
      </c>
      <c r="L1024" t="s">
        <v>257</v>
      </c>
      <c r="M1024" t="s">
        <v>258</v>
      </c>
      <c r="N1024" s="5">
        <v>0</v>
      </c>
    </row>
    <row r="1025" spans="1:14" x14ac:dyDescent="0.25">
      <c r="A1025" t="s">
        <v>1566</v>
      </c>
      <c r="B1025" t="s">
        <v>85</v>
      </c>
      <c r="C1025" t="str">
        <f>_xlfn.XLOOKUP(Table6[[#This Row],[app_id]],Table5[app_id],Table5[app_name],"",0)</f>
        <v>CartPro</v>
      </c>
      <c r="D1025" t="str">
        <f>_xlfn.XLOOKUP(Table6[[#This Row],[app_id]],Table5[app_id],Table5[category],"",0)</f>
        <v>Shopping</v>
      </c>
      <c r="E1025" t="s">
        <v>546</v>
      </c>
      <c r="F1025" t="s">
        <v>538</v>
      </c>
      <c r="G1025" t="s">
        <v>69</v>
      </c>
      <c r="H1025" t="s">
        <v>535</v>
      </c>
      <c r="I1025">
        <v>43</v>
      </c>
      <c r="J1025">
        <v>13.3</v>
      </c>
      <c r="K1025" t="s">
        <v>257</v>
      </c>
      <c r="L1025" t="s">
        <v>258</v>
      </c>
      <c r="M1025" t="s">
        <v>258</v>
      </c>
      <c r="N1025" s="5">
        <v>0</v>
      </c>
    </row>
    <row r="1026" spans="1:14" x14ac:dyDescent="0.25">
      <c r="A1026" t="s">
        <v>1567</v>
      </c>
      <c r="B1026" t="s">
        <v>87</v>
      </c>
      <c r="C1026" t="str">
        <f>_xlfn.XLOOKUP(Table6[[#This Row],[app_id]],Table5[app_id],Table5[app_name],"",0)</f>
        <v>RunPlus</v>
      </c>
      <c r="D1026" t="str">
        <f>_xlfn.XLOOKUP(Table6[[#This Row],[app_id]],Table5[app_id],Table5[category],"",0)</f>
        <v>Fitness</v>
      </c>
      <c r="E1026" t="s">
        <v>537</v>
      </c>
      <c r="F1026" t="s">
        <v>548</v>
      </c>
      <c r="G1026" t="s">
        <v>30</v>
      </c>
      <c r="H1026" t="s">
        <v>540</v>
      </c>
      <c r="I1026">
        <v>24</v>
      </c>
      <c r="J1026">
        <v>8.6</v>
      </c>
      <c r="K1026" t="s">
        <v>258</v>
      </c>
      <c r="L1026" t="s">
        <v>258</v>
      </c>
      <c r="M1026" t="s">
        <v>257</v>
      </c>
      <c r="N1026" s="5">
        <v>0</v>
      </c>
    </row>
    <row r="1027" spans="1:14" x14ac:dyDescent="0.25">
      <c r="A1027" t="s">
        <v>1568</v>
      </c>
      <c r="B1027" t="s">
        <v>90</v>
      </c>
      <c r="C1027" t="str">
        <f>_xlfn.XLOOKUP(Table6[[#This Row],[app_id]],Table5[app_id],Table5[app_name],"",0)</f>
        <v>TrainCloud</v>
      </c>
      <c r="D1027" t="str">
        <f>_xlfn.XLOOKUP(Table6[[#This Row],[app_id]],Table5[app_id],Table5[category],"",0)</f>
        <v>Fitness</v>
      </c>
      <c r="E1027" t="s">
        <v>552</v>
      </c>
      <c r="F1027" t="s">
        <v>548</v>
      </c>
      <c r="G1027" t="s">
        <v>46</v>
      </c>
      <c r="H1027" t="s">
        <v>540</v>
      </c>
      <c r="I1027">
        <v>19</v>
      </c>
      <c r="J1027">
        <v>34.200000000000003</v>
      </c>
      <c r="K1027" t="s">
        <v>257</v>
      </c>
      <c r="L1027" t="s">
        <v>257</v>
      </c>
      <c r="M1027" t="s">
        <v>258</v>
      </c>
      <c r="N1027" s="5">
        <v>52.75</v>
      </c>
    </row>
    <row r="1028" spans="1:14" x14ac:dyDescent="0.25">
      <c r="A1028" t="s">
        <v>1569</v>
      </c>
      <c r="B1028" t="s">
        <v>92</v>
      </c>
      <c r="C1028" t="str">
        <f>_xlfn.XLOOKUP(Table6[[#This Row],[app_id]],Table5[app_id],Table5[app_name],"",0)</f>
        <v>Trainly</v>
      </c>
      <c r="D1028" t="str">
        <f>_xlfn.XLOOKUP(Table6[[#This Row],[app_id]],Table5[app_id],Table5[category],"",0)</f>
        <v>Fitness</v>
      </c>
      <c r="E1028" t="s">
        <v>537</v>
      </c>
      <c r="F1028" t="s">
        <v>534</v>
      </c>
      <c r="G1028" t="s">
        <v>69</v>
      </c>
      <c r="H1028" t="s">
        <v>535</v>
      </c>
      <c r="I1028">
        <v>4</v>
      </c>
      <c r="J1028">
        <v>39</v>
      </c>
      <c r="K1028" t="s">
        <v>258</v>
      </c>
      <c r="L1028" t="s">
        <v>257</v>
      </c>
      <c r="M1028" t="s">
        <v>258</v>
      </c>
      <c r="N1028" s="5">
        <v>0</v>
      </c>
    </row>
    <row r="1029" spans="1:14" x14ac:dyDescent="0.25">
      <c r="A1029" t="s">
        <v>1570</v>
      </c>
      <c r="B1029" t="s">
        <v>94</v>
      </c>
      <c r="C1029" t="str">
        <f>_xlfn.XLOOKUP(Table6[[#This Row],[app_id]],Table5[app_id],Table5[app_name],"",0)</f>
        <v>LiftCloud</v>
      </c>
      <c r="D1029" t="str">
        <f>_xlfn.XLOOKUP(Table6[[#This Row],[app_id]],Table5[app_id],Table5[category],"",0)</f>
        <v>Fitness</v>
      </c>
      <c r="E1029" t="s">
        <v>537</v>
      </c>
      <c r="F1029" t="s">
        <v>628</v>
      </c>
      <c r="G1029" t="s">
        <v>46</v>
      </c>
      <c r="H1029" t="s">
        <v>535</v>
      </c>
      <c r="I1029">
        <v>70</v>
      </c>
      <c r="J1029">
        <v>9</v>
      </c>
      <c r="K1029" t="s">
        <v>257</v>
      </c>
      <c r="L1029" t="s">
        <v>257</v>
      </c>
      <c r="M1029" t="s">
        <v>258</v>
      </c>
      <c r="N1029" s="5">
        <v>0</v>
      </c>
    </row>
    <row r="1030" spans="1:14" x14ac:dyDescent="0.25">
      <c r="A1030" t="s">
        <v>1571</v>
      </c>
      <c r="B1030" t="s">
        <v>96</v>
      </c>
      <c r="C1030" t="str">
        <f>_xlfn.XLOOKUP(Table6[[#This Row],[app_id]],Table5[app_id],Table5[app_name],"",0)</f>
        <v>MoveNow</v>
      </c>
      <c r="D1030" t="str">
        <f>_xlfn.XLOOKUP(Table6[[#This Row],[app_id]],Table5[app_id],Table5[category],"",0)</f>
        <v>Fitness</v>
      </c>
      <c r="E1030" t="s">
        <v>557</v>
      </c>
      <c r="F1030" t="s">
        <v>534</v>
      </c>
      <c r="G1030" t="s">
        <v>61</v>
      </c>
      <c r="H1030" t="s">
        <v>535</v>
      </c>
      <c r="I1030">
        <v>67</v>
      </c>
      <c r="J1030">
        <v>10</v>
      </c>
      <c r="K1030" t="s">
        <v>257</v>
      </c>
      <c r="L1030" t="s">
        <v>258</v>
      </c>
      <c r="M1030" t="s">
        <v>258</v>
      </c>
      <c r="N1030" s="5">
        <v>3.19</v>
      </c>
    </row>
    <row r="1031" spans="1:14" x14ac:dyDescent="0.25">
      <c r="A1031" t="s">
        <v>1572</v>
      </c>
      <c r="B1031" t="s">
        <v>98</v>
      </c>
      <c r="C1031" t="str">
        <f>_xlfn.XLOOKUP(Table6[[#This Row],[app_id]],Table5[app_id],Table5[app_name],"",0)</f>
        <v>ActiveMate</v>
      </c>
      <c r="D1031" t="str">
        <f>_xlfn.XLOOKUP(Table6[[#This Row],[app_id]],Table5[app_id],Table5[category],"",0)</f>
        <v>Fitness</v>
      </c>
      <c r="E1031" t="s">
        <v>533</v>
      </c>
      <c r="F1031" t="s">
        <v>534</v>
      </c>
      <c r="G1031" t="s">
        <v>23</v>
      </c>
      <c r="H1031" t="s">
        <v>535</v>
      </c>
      <c r="I1031">
        <v>54</v>
      </c>
      <c r="J1031">
        <v>31</v>
      </c>
      <c r="K1031" t="s">
        <v>257</v>
      </c>
      <c r="L1031" t="s">
        <v>258</v>
      </c>
      <c r="M1031" t="s">
        <v>257</v>
      </c>
      <c r="N1031" s="5">
        <v>43.26</v>
      </c>
    </row>
    <row r="1032" spans="1:14" x14ac:dyDescent="0.25">
      <c r="A1032" t="s">
        <v>1573</v>
      </c>
      <c r="B1032" t="s">
        <v>100</v>
      </c>
      <c r="C1032" t="str">
        <f>_xlfn.XLOOKUP(Table6[[#This Row],[app_id]],Table5[app_id],Table5[app_name],"",0)</f>
        <v>RunGo</v>
      </c>
      <c r="D1032" t="str">
        <f>_xlfn.XLOOKUP(Table6[[#This Row],[app_id]],Table5[app_id],Table5[category],"",0)</f>
        <v>Fitness</v>
      </c>
      <c r="E1032" t="s">
        <v>546</v>
      </c>
      <c r="F1032" t="s">
        <v>538</v>
      </c>
      <c r="G1032" t="s">
        <v>69</v>
      </c>
      <c r="H1032" t="s">
        <v>535</v>
      </c>
      <c r="I1032">
        <v>74</v>
      </c>
      <c r="J1032">
        <v>32.6</v>
      </c>
      <c r="K1032" t="s">
        <v>257</v>
      </c>
      <c r="L1032" t="s">
        <v>257</v>
      </c>
      <c r="M1032" t="s">
        <v>257</v>
      </c>
      <c r="N1032" s="5">
        <v>0</v>
      </c>
    </row>
    <row r="1033" spans="1:14" x14ac:dyDescent="0.25">
      <c r="A1033" t="s">
        <v>1574</v>
      </c>
      <c r="B1033" t="s">
        <v>102</v>
      </c>
      <c r="C1033" t="str">
        <f>_xlfn.XLOOKUP(Table6[[#This Row],[app_id]],Table5[app_id],Table5[app_name],"",0)</f>
        <v>LiftPro</v>
      </c>
      <c r="D1033" t="str">
        <f>_xlfn.XLOOKUP(Table6[[#This Row],[app_id]],Table5[app_id],Table5[category],"",0)</f>
        <v>Fitness</v>
      </c>
      <c r="E1033" t="s">
        <v>537</v>
      </c>
      <c r="F1033" t="s">
        <v>628</v>
      </c>
      <c r="G1033" t="s">
        <v>46</v>
      </c>
      <c r="H1033" t="s">
        <v>535</v>
      </c>
      <c r="I1033">
        <v>88</v>
      </c>
      <c r="J1033">
        <v>12.3</v>
      </c>
      <c r="K1033" t="s">
        <v>257</v>
      </c>
      <c r="L1033" t="s">
        <v>257</v>
      </c>
      <c r="M1033" t="s">
        <v>258</v>
      </c>
      <c r="N1033" s="5">
        <v>0</v>
      </c>
    </row>
    <row r="1034" spans="1:14" x14ac:dyDescent="0.25">
      <c r="A1034" t="s">
        <v>1575</v>
      </c>
      <c r="B1034" t="s">
        <v>104</v>
      </c>
      <c r="C1034" t="str">
        <f>_xlfn.XLOOKUP(Table6[[#This Row],[app_id]],Table5[app_id],Table5[app_name],"",0)</f>
        <v>LiftPro</v>
      </c>
      <c r="D1034" t="str">
        <f>_xlfn.XLOOKUP(Table6[[#This Row],[app_id]],Table5[app_id],Table5[category],"",0)</f>
        <v>Fitness</v>
      </c>
      <c r="E1034" t="s">
        <v>546</v>
      </c>
      <c r="F1034" t="s">
        <v>534</v>
      </c>
      <c r="G1034" t="s">
        <v>30</v>
      </c>
      <c r="H1034" t="s">
        <v>535</v>
      </c>
      <c r="I1034">
        <v>56</v>
      </c>
      <c r="J1034">
        <v>18.7</v>
      </c>
      <c r="K1034" t="s">
        <v>257</v>
      </c>
      <c r="L1034" t="s">
        <v>258</v>
      </c>
      <c r="M1034" t="s">
        <v>258</v>
      </c>
      <c r="N1034" s="5">
        <v>0</v>
      </c>
    </row>
    <row r="1035" spans="1:14" x14ac:dyDescent="0.25">
      <c r="A1035" t="s">
        <v>1576</v>
      </c>
      <c r="B1035" t="s">
        <v>105</v>
      </c>
      <c r="C1035" t="str">
        <f>_xlfn.XLOOKUP(Table6[[#This Row],[app_id]],Table5[app_id],Table5[app_name],"",0)</f>
        <v>Liftly</v>
      </c>
      <c r="D1035" t="str">
        <f>_xlfn.XLOOKUP(Table6[[#This Row],[app_id]],Table5[app_id],Table5[category],"",0)</f>
        <v>Fitness</v>
      </c>
      <c r="E1035" t="s">
        <v>533</v>
      </c>
      <c r="F1035" t="s">
        <v>538</v>
      </c>
      <c r="G1035" t="s">
        <v>46</v>
      </c>
      <c r="H1035" t="s">
        <v>535</v>
      </c>
      <c r="I1035">
        <v>16</v>
      </c>
      <c r="J1035">
        <v>10.6</v>
      </c>
      <c r="K1035" t="s">
        <v>257</v>
      </c>
      <c r="L1035" t="s">
        <v>258</v>
      </c>
      <c r="M1035" t="s">
        <v>258</v>
      </c>
      <c r="N1035" s="5">
        <v>39.03</v>
      </c>
    </row>
    <row r="1036" spans="1:14" x14ac:dyDescent="0.25">
      <c r="A1036" t="s">
        <v>1577</v>
      </c>
      <c r="B1036" t="s">
        <v>107</v>
      </c>
      <c r="C1036" t="str">
        <f>_xlfn.XLOOKUP(Table6[[#This Row],[app_id]],Table5[app_id],Table5[app_name],"",0)</f>
        <v>YogaHub</v>
      </c>
      <c r="D1036" t="str">
        <f>_xlfn.XLOOKUP(Table6[[#This Row],[app_id]],Table5[app_id],Table5[category],"",0)</f>
        <v>Fitness</v>
      </c>
      <c r="E1036" t="s">
        <v>546</v>
      </c>
      <c r="F1036" t="s">
        <v>534</v>
      </c>
      <c r="G1036" t="s">
        <v>61</v>
      </c>
      <c r="H1036" t="s">
        <v>535</v>
      </c>
      <c r="I1036">
        <v>34</v>
      </c>
      <c r="J1036">
        <v>37.4</v>
      </c>
      <c r="K1036" t="s">
        <v>257</v>
      </c>
      <c r="L1036" t="s">
        <v>257</v>
      </c>
      <c r="M1036" t="s">
        <v>258</v>
      </c>
      <c r="N1036" s="5">
        <v>0</v>
      </c>
    </row>
    <row r="1037" spans="1:14" x14ac:dyDescent="0.25">
      <c r="A1037" t="s">
        <v>1578</v>
      </c>
      <c r="B1037" t="s">
        <v>109</v>
      </c>
      <c r="C1037" t="str">
        <f>_xlfn.XLOOKUP(Table6[[#This Row],[app_id]],Table5[app_id],Table5[app_name],"",0)</f>
        <v>MoveGo</v>
      </c>
      <c r="D1037" t="str">
        <f>_xlfn.XLOOKUP(Table6[[#This Row],[app_id]],Table5[app_id],Table5[category],"",0)</f>
        <v>Fitness</v>
      </c>
      <c r="E1037" t="s">
        <v>533</v>
      </c>
      <c r="F1037" t="s">
        <v>534</v>
      </c>
      <c r="G1037" t="s">
        <v>23</v>
      </c>
      <c r="H1037" t="s">
        <v>535</v>
      </c>
      <c r="I1037">
        <v>64</v>
      </c>
      <c r="J1037">
        <v>11.3</v>
      </c>
      <c r="K1037" t="s">
        <v>257</v>
      </c>
      <c r="L1037" t="s">
        <v>258</v>
      </c>
      <c r="M1037" t="s">
        <v>258</v>
      </c>
      <c r="N1037" s="5">
        <v>0</v>
      </c>
    </row>
    <row r="1038" spans="1:14" x14ac:dyDescent="0.25">
      <c r="A1038" t="s">
        <v>1579</v>
      </c>
      <c r="B1038" t="s">
        <v>111</v>
      </c>
      <c r="C1038" t="str">
        <f>_xlfn.XLOOKUP(Table6[[#This Row],[app_id]],Table5[app_id],Table5[app_name],"",0)</f>
        <v>BrightNow</v>
      </c>
      <c r="D1038" t="str">
        <f>_xlfn.XLOOKUP(Table6[[#This Row],[app_id]],Table5[app_id],Table5[category],"",0)</f>
        <v>Education</v>
      </c>
      <c r="E1038" t="s">
        <v>533</v>
      </c>
      <c r="F1038" t="s">
        <v>534</v>
      </c>
      <c r="G1038" t="s">
        <v>23</v>
      </c>
      <c r="H1038" t="s">
        <v>535</v>
      </c>
      <c r="I1038">
        <v>19</v>
      </c>
      <c r="J1038">
        <v>27.5</v>
      </c>
      <c r="K1038" t="s">
        <v>258</v>
      </c>
      <c r="L1038" t="s">
        <v>258</v>
      </c>
      <c r="M1038" t="s">
        <v>257</v>
      </c>
      <c r="N1038" s="5">
        <v>0</v>
      </c>
    </row>
    <row r="1039" spans="1:14" x14ac:dyDescent="0.25">
      <c r="A1039" t="s">
        <v>1580</v>
      </c>
      <c r="B1039" t="s">
        <v>114</v>
      </c>
      <c r="C1039" t="str">
        <f>_xlfn.XLOOKUP(Table6[[#This Row],[app_id]],Table5[app_id],Table5[app_name],"",0)</f>
        <v>StudyCloud</v>
      </c>
      <c r="D1039" t="str">
        <f>_xlfn.XLOOKUP(Table6[[#This Row],[app_id]],Table5[app_id],Table5[category],"",0)</f>
        <v>Education</v>
      </c>
      <c r="E1039" t="s">
        <v>546</v>
      </c>
      <c r="F1039" t="s">
        <v>538</v>
      </c>
      <c r="G1039" t="s">
        <v>69</v>
      </c>
      <c r="H1039" t="s">
        <v>540</v>
      </c>
      <c r="I1039">
        <v>4</v>
      </c>
      <c r="J1039">
        <v>33</v>
      </c>
      <c r="K1039" t="s">
        <v>258</v>
      </c>
      <c r="L1039" t="s">
        <v>258</v>
      </c>
      <c r="M1039" t="s">
        <v>258</v>
      </c>
      <c r="N1039" s="5">
        <v>0</v>
      </c>
    </row>
    <row r="1040" spans="1:14" x14ac:dyDescent="0.25">
      <c r="A1040" t="s">
        <v>1581</v>
      </c>
      <c r="B1040" t="s">
        <v>116</v>
      </c>
      <c r="C1040" t="str">
        <f>_xlfn.XLOOKUP(Table6[[#This Row],[app_id]],Table5[app_id],Table5[app_name],"",0)</f>
        <v>SkillNow</v>
      </c>
      <c r="D1040" t="str">
        <f>_xlfn.XLOOKUP(Table6[[#This Row],[app_id]],Table5[app_id],Table5[category],"",0)</f>
        <v>Education</v>
      </c>
      <c r="E1040" t="s">
        <v>533</v>
      </c>
      <c r="F1040" t="s">
        <v>538</v>
      </c>
      <c r="G1040" t="s">
        <v>26</v>
      </c>
      <c r="H1040" t="s">
        <v>535</v>
      </c>
      <c r="I1040">
        <v>20</v>
      </c>
      <c r="J1040">
        <v>12.1</v>
      </c>
      <c r="K1040" t="s">
        <v>258</v>
      </c>
      <c r="L1040" t="s">
        <v>257</v>
      </c>
      <c r="M1040" t="s">
        <v>258</v>
      </c>
      <c r="N1040" s="5">
        <v>42.06</v>
      </c>
    </row>
    <row r="1041" spans="1:14" x14ac:dyDescent="0.25">
      <c r="A1041" t="s">
        <v>1582</v>
      </c>
      <c r="B1041" t="s">
        <v>118</v>
      </c>
      <c r="C1041" t="str">
        <f>_xlfn.XLOOKUP(Table6[[#This Row],[app_id]],Table5[app_id],Table5[app_name],"",0)</f>
        <v>LearnMate</v>
      </c>
      <c r="D1041" t="str">
        <f>_xlfn.XLOOKUP(Table6[[#This Row],[app_id]],Table5[app_id],Table5[category],"",0)</f>
        <v>Education</v>
      </c>
      <c r="E1041" t="s">
        <v>533</v>
      </c>
      <c r="F1041" t="s">
        <v>534</v>
      </c>
      <c r="G1041" t="s">
        <v>23</v>
      </c>
      <c r="H1041" t="s">
        <v>535</v>
      </c>
      <c r="I1041">
        <v>28</v>
      </c>
      <c r="J1041">
        <v>41.8</v>
      </c>
      <c r="K1041" t="s">
        <v>258</v>
      </c>
      <c r="L1041" t="s">
        <v>257</v>
      </c>
      <c r="M1041" t="s">
        <v>258</v>
      </c>
      <c r="N1041" s="5">
        <v>0</v>
      </c>
    </row>
    <row r="1042" spans="1:14" x14ac:dyDescent="0.25">
      <c r="A1042" t="s">
        <v>1583</v>
      </c>
      <c r="B1042" t="s">
        <v>120</v>
      </c>
      <c r="C1042" t="str">
        <f>_xlfn.XLOOKUP(Table6[[#This Row],[app_id]],Table5[app_id],Table5[app_name],"",0)</f>
        <v>QuestNow</v>
      </c>
      <c r="D1042" t="str">
        <f>_xlfn.XLOOKUP(Table6[[#This Row],[app_id]],Table5[app_id],Table5[category],"",0)</f>
        <v>Education</v>
      </c>
      <c r="E1042" t="s">
        <v>546</v>
      </c>
      <c r="F1042" t="s">
        <v>538</v>
      </c>
      <c r="G1042" t="s">
        <v>69</v>
      </c>
      <c r="H1042" t="s">
        <v>535</v>
      </c>
      <c r="I1042">
        <v>88</v>
      </c>
      <c r="J1042">
        <v>15.7</v>
      </c>
      <c r="K1042" t="s">
        <v>257</v>
      </c>
      <c r="L1042" t="s">
        <v>258</v>
      </c>
      <c r="M1042" t="s">
        <v>258</v>
      </c>
      <c r="N1042" s="5">
        <v>0</v>
      </c>
    </row>
    <row r="1043" spans="1:14" x14ac:dyDescent="0.25">
      <c r="A1043" t="s">
        <v>1584</v>
      </c>
      <c r="B1043" t="s">
        <v>122</v>
      </c>
      <c r="C1043" t="str">
        <f>_xlfn.XLOOKUP(Table6[[#This Row],[app_id]],Table5[app_id],Table5[app_name],"",0)</f>
        <v>SkillHub</v>
      </c>
      <c r="D1043" t="str">
        <f>_xlfn.XLOOKUP(Table6[[#This Row],[app_id]],Table5[app_id],Table5[category],"",0)</f>
        <v>Education</v>
      </c>
      <c r="E1043" t="s">
        <v>546</v>
      </c>
      <c r="F1043" t="s">
        <v>534</v>
      </c>
      <c r="G1043" t="s">
        <v>23</v>
      </c>
      <c r="H1043" t="s">
        <v>535</v>
      </c>
      <c r="I1043">
        <v>40</v>
      </c>
      <c r="J1043">
        <v>33.6</v>
      </c>
      <c r="K1043" t="s">
        <v>257</v>
      </c>
      <c r="L1043" t="s">
        <v>257</v>
      </c>
      <c r="M1043" t="s">
        <v>258</v>
      </c>
      <c r="N1043" s="5">
        <v>0</v>
      </c>
    </row>
    <row r="1044" spans="1:14" x14ac:dyDescent="0.25">
      <c r="A1044" t="s">
        <v>1585</v>
      </c>
      <c r="B1044" t="s">
        <v>124</v>
      </c>
      <c r="C1044" t="str">
        <f>_xlfn.XLOOKUP(Table6[[#This Row],[app_id]],Table5[app_id],Table5[app_name],"",0)</f>
        <v>TutorCloud</v>
      </c>
      <c r="D1044" t="str">
        <f>_xlfn.XLOOKUP(Table6[[#This Row],[app_id]],Table5[app_id],Table5[category],"",0)</f>
        <v>Education</v>
      </c>
      <c r="E1044" t="s">
        <v>537</v>
      </c>
      <c r="F1044" t="s">
        <v>538</v>
      </c>
      <c r="G1044" t="s">
        <v>69</v>
      </c>
      <c r="H1044" t="s">
        <v>535</v>
      </c>
      <c r="I1044">
        <v>67</v>
      </c>
      <c r="J1044">
        <v>10</v>
      </c>
      <c r="K1044" t="s">
        <v>257</v>
      </c>
      <c r="L1044" t="s">
        <v>257</v>
      </c>
      <c r="M1044" t="s">
        <v>258</v>
      </c>
      <c r="N1044" s="5">
        <v>0</v>
      </c>
    </row>
    <row r="1045" spans="1:14" x14ac:dyDescent="0.25">
      <c r="A1045" t="s">
        <v>1586</v>
      </c>
      <c r="B1045" t="s">
        <v>126</v>
      </c>
      <c r="C1045" t="str">
        <f>_xlfn.XLOOKUP(Table6[[#This Row],[app_id]],Table5[app_id],Table5[app_name],"",0)</f>
        <v>SkillOne</v>
      </c>
      <c r="D1045" t="str">
        <f>_xlfn.XLOOKUP(Table6[[#This Row],[app_id]],Table5[app_id],Table5[category],"",0)</f>
        <v>Education</v>
      </c>
      <c r="E1045" t="s">
        <v>546</v>
      </c>
      <c r="F1045" t="s">
        <v>538</v>
      </c>
      <c r="G1045" t="s">
        <v>69</v>
      </c>
      <c r="H1045" t="s">
        <v>535</v>
      </c>
      <c r="I1045">
        <v>14</v>
      </c>
      <c r="J1045">
        <v>10.199999999999999</v>
      </c>
      <c r="K1045" t="s">
        <v>258</v>
      </c>
      <c r="L1045" t="s">
        <v>257</v>
      </c>
      <c r="M1045" t="s">
        <v>257</v>
      </c>
      <c r="N1045" s="5">
        <v>0</v>
      </c>
    </row>
    <row r="1046" spans="1:14" x14ac:dyDescent="0.25">
      <c r="A1046" t="s">
        <v>1587</v>
      </c>
      <c r="B1046" t="s">
        <v>128</v>
      </c>
      <c r="C1046" t="str">
        <f>_xlfn.XLOOKUP(Table6[[#This Row],[app_id]],Table5[app_id],Table5[app_name],"",0)</f>
        <v>LearnOne</v>
      </c>
      <c r="D1046" t="str">
        <f>_xlfn.XLOOKUP(Table6[[#This Row],[app_id]],Table5[app_id],Table5[category],"",0)</f>
        <v>Education</v>
      </c>
      <c r="E1046" t="s">
        <v>546</v>
      </c>
      <c r="F1046" t="s">
        <v>534</v>
      </c>
      <c r="G1046" t="s">
        <v>26</v>
      </c>
      <c r="H1046" t="s">
        <v>535</v>
      </c>
      <c r="I1046">
        <v>28</v>
      </c>
      <c r="J1046">
        <v>18.8</v>
      </c>
      <c r="K1046" t="s">
        <v>258</v>
      </c>
      <c r="L1046" t="s">
        <v>258</v>
      </c>
      <c r="M1046" t="s">
        <v>258</v>
      </c>
      <c r="N1046" s="5">
        <v>0</v>
      </c>
    </row>
    <row r="1047" spans="1:14" x14ac:dyDescent="0.25">
      <c r="A1047" t="s">
        <v>1588</v>
      </c>
      <c r="B1047" t="s">
        <v>130</v>
      </c>
      <c r="C1047" t="str">
        <f>_xlfn.XLOOKUP(Table6[[#This Row],[app_id]],Table5[app_id],Table5[app_name],"",0)</f>
        <v>LearnPlus</v>
      </c>
      <c r="D1047" t="str">
        <f>_xlfn.XLOOKUP(Table6[[#This Row],[app_id]],Table5[app_id],Table5[category],"",0)</f>
        <v>Education</v>
      </c>
      <c r="E1047" t="s">
        <v>546</v>
      </c>
      <c r="F1047" t="s">
        <v>548</v>
      </c>
      <c r="G1047" t="s">
        <v>30</v>
      </c>
      <c r="H1047" t="s">
        <v>535</v>
      </c>
      <c r="I1047">
        <v>4</v>
      </c>
      <c r="J1047">
        <v>16.8</v>
      </c>
      <c r="K1047" t="s">
        <v>258</v>
      </c>
      <c r="L1047" t="s">
        <v>257</v>
      </c>
      <c r="M1047" t="s">
        <v>258</v>
      </c>
      <c r="N1047" s="5">
        <v>0</v>
      </c>
    </row>
    <row r="1048" spans="1:14" x14ac:dyDescent="0.25">
      <c r="A1048" t="s">
        <v>1589</v>
      </c>
      <c r="B1048" t="s">
        <v>132</v>
      </c>
      <c r="C1048" t="str">
        <f>_xlfn.XLOOKUP(Table6[[#This Row],[app_id]],Table5[app_id],Table5[app_name],"",0)</f>
        <v>StudyPlus</v>
      </c>
      <c r="D1048" t="str">
        <f>_xlfn.XLOOKUP(Table6[[#This Row],[app_id]],Table5[app_id],Table5[category],"",0)</f>
        <v>Education</v>
      </c>
      <c r="E1048" t="s">
        <v>537</v>
      </c>
      <c r="F1048" t="s">
        <v>628</v>
      </c>
      <c r="G1048" t="s">
        <v>23</v>
      </c>
      <c r="H1048" t="s">
        <v>535</v>
      </c>
      <c r="I1048">
        <v>86</v>
      </c>
      <c r="J1048">
        <v>40.9</v>
      </c>
      <c r="K1048" t="s">
        <v>257</v>
      </c>
      <c r="L1048" t="s">
        <v>257</v>
      </c>
      <c r="M1048" t="s">
        <v>258</v>
      </c>
      <c r="N1048" s="5">
        <v>0</v>
      </c>
    </row>
    <row r="1049" spans="1:14" x14ac:dyDescent="0.25">
      <c r="A1049" t="s">
        <v>1590</v>
      </c>
      <c r="B1049" t="s">
        <v>134</v>
      </c>
      <c r="C1049" t="str">
        <f>_xlfn.XLOOKUP(Table6[[#This Row],[app_id]],Table5[app_id],Table5[app_name],"",0)</f>
        <v>StudyX</v>
      </c>
      <c r="D1049" t="str">
        <f>_xlfn.XLOOKUP(Table6[[#This Row],[app_id]],Table5[app_id],Table5[category],"",0)</f>
        <v>Education</v>
      </c>
      <c r="E1049" t="s">
        <v>533</v>
      </c>
      <c r="F1049" t="s">
        <v>538</v>
      </c>
      <c r="G1049" t="s">
        <v>23</v>
      </c>
      <c r="H1049" t="s">
        <v>535</v>
      </c>
      <c r="I1049">
        <v>93</v>
      </c>
      <c r="J1049">
        <v>19.399999999999999</v>
      </c>
      <c r="K1049" t="s">
        <v>257</v>
      </c>
      <c r="L1049" t="s">
        <v>258</v>
      </c>
      <c r="M1049" t="s">
        <v>257</v>
      </c>
      <c r="N1049" s="5">
        <v>32.46</v>
      </c>
    </row>
    <row r="1050" spans="1:14" x14ac:dyDescent="0.25">
      <c r="A1050" t="s">
        <v>1591</v>
      </c>
      <c r="B1050" t="s">
        <v>136</v>
      </c>
      <c r="C1050" t="str">
        <f>_xlfn.XLOOKUP(Table6[[#This Row],[app_id]],Table5[app_id],Table5[app_name],"",0)</f>
        <v>PlayPlus</v>
      </c>
      <c r="D1050" t="str">
        <f>_xlfn.XLOOKUP(Table6[[#This Row],[app_id]],Table5[app_id],Table5[category],"",0)</f>
        <v>Entertainment</v>
      </c>
      <c r="E1050" t="s">
        <v>557</v>
      </c>
      <c r="F1050" t="s">
        <v>538</v>
      </c>
      <c r="G1050" t="s">
        <v>26</v>
      </c>
      <c r="H1050" t="s">
        <v>535</v>
      </c>
      <c r="I1050">
        <v>58</v>
      </c>
      <c r="J1050">
        <v>21.8</v>
      </c>
      <c r="K1050" t="s">
        <v>257</v>
      </c>
      <c r="L1050" t="s">
        <v>257</v>
      </c>
      <c r="M1050" t="s">
        <v>258</v>
      </c>
      <c r="N1050" s="5">
        <v>0</v>
      </c>
    </row>
    <row r="1051" spans="1:14" x14ac:dyDescent="0.25">
      <c r="A1051" t="s">
        <v>1592</v>
      </c>
      <c r="B1051" t="s">
        <v>139</v>
      </c>
      <c r="C1051" t="str">
        <f>_xlfn.XLOOKUP(Table6[[#This Row],[app_id]],Table5[app_id],Table5[app_name],"",0)</f>
        <v>ShowMate</v>
      </c>
      <c r="D1051" t="str">
        <f>_xlfn.XLOOKUP(Table6[[#This Row],[app_id]],Table5[app_id],Table5[category],"",0)</f>
        <v>Entertainment</v>
      </c>
      <c r="E1051" t="s">
        <v>537</v>
      </c>
      <c r="F1051" t="s">
        <v>534</v>
      </c>
      <c r="G1051" t="s">
        <v>46</v>
      </c>
      <c r="H1051" t="s">
        <v>535</v>
      </c>
      <c r="I1051">
        <v>26</v>
      </c>
      <c r="J1051">
        <v>14.9</v>
      </c>
      <c r="K1051" t="s">
        <v>257</v>
      </c>
      <c r="L1051" t="s">
        <v>257</v>
      </c>
      <c r="M1051" t="s">
        <v>258</v>
      </c>
      <c r="N1051" s="5">
        <v>0</v>
      </c>
    </row>
    <row r="1052" spans="1:14" x14ac:dyDescent="0.25">
      <c r="A1052" t="s">
        <v>1593</v>
      </c>
      <c r="B1052" t="s">
        <v>141</v>
      </c>
      <c r="C1052" t="str">
        <f>_xlfn.XLOOKUP(Table6[[#This Row],[app_id]],Table5[app_id],Table5[app_name],"",0)</f>
        <v>VibeX</v>
      </c>
      <c r="D1052" t="str">
        <f>_xlfn.XLOOKUP(Table6[[#This Row],[app_id]],Table5[app_id],Table5[category],"",0)</f>
        <v>Entertainment</v>
      </c>
      <c r="E1052" t="s">
        <v>537</v>
      </c>
      <c r="F1052" t="s">
        <v>548</v>
      </c>
      <c r="G1052" t="s">
        <v>26</v>
      </c>
      <c r="H1052" t="s">
        <v>535</v>
      </c>
      <c r="I1052">
        <v>95</v>
      </c>
      <c r="J1052">
        <v>12.5</v>
      </c>
      <c r="K1052" t="s">
        <v>257</v>
      </c>
      <c r="L1052" t="s">
        <v>257</v>
      </c>
      <c r="M1052" t="s">
        <v>258</v>
      </c>
      <c r="N1052" s="5">
        <v>0</v>
      </c>
    </row>
    <row r="1053" spans="1:14" x14ac:dyDescent="0.25">
      <c r="A1053" t="s">
        <v>1594</v>
      </c>
      <c r="B1053" t="s">
        <v>143</v>
      </c>
      <c r="C1053" t="str">
        <f>_xlfn.XLOOKUP(Table6[[#This Row],[app_id]],Table5[app_id],Table5[app_name],"",0)</f>
        <v>BuzzNow</v>
      </c>
      <c r="D1053" t="str">
        <f>_xlfn.XLOOKUP(Table6[[#This Row],[app_id]],Table5[app_id],Table5[category],"",0)</f>
        <v>Entertainment</v>
      </c>
      <c r="E1053" t="s">
        <v>546</v>
      </c>
      <c r="F1053" t="s">
        <v>538</v>
      </c>
      <c r="G1053" t="s">
        <v>61</v>
      </c>
      <c r="H1053" t="s">
        <v>535</v>
      </c>
      <c r="I1053">
        <v>6</v>
      </c>
      <c r="J1053">
        <v>40.200000000000003</v>
      </c>
      <c r="K1053" t="s">
        <v>258</v>
      </c>
      <c r="L1053" t="s">
        <v>258</v>
      </c>
      <c r="M1053" t="s">
        <v>257</v>
      </c>
      <c r="N1053" s="5">
        <v>0</v>
      </c>
    </row>
    <row r="1054" spans="1:14" x14ac:dyDescent="0.25">
      <c r="A1054" t="s">
        <v>1595</v>
      </c>
      <c r="B1054" t="s">
        <v>145</v>
      </c>
      <c r="C1054" t="str">
        <f>_xlfn.XLOOKUP(Table6[[#This Row],[app_id]],Table5[app_id],Table5[app_name],"",0)</f>
        <v>StreamPlus</v>
      </c>
      <c r="D1054" t="str">
        <f>_xlfn.XLOOKUP(Table6[[#This Row],[app_id]],Table5[app_id],Table5[category],"",0)</f>
        <v>Entertainment</v>
      </c>
      <c r="E1054" t="s">
        <v>533</v>
      </c>
      <c r="F1054" t="s">
        <v>538</v>
      </c>
      <c r="G1054" t="s">
        <v>46</v>
      </c>
      <c r="H1054" t="s">
        <v>535</v>
      </c>
      <c r="I1054">
        <v>6</v>
      </c>
      <c r="J1054">
        <v>39.799999999999997</v>
      </c>
      <c r="K1054" t="s">
        <v>258</v>
      </c>
      <c r="L1054" t="s">
        <v>258</v>
      </c>
      <c r="M1054" t="s">
        <v>257</v>
      </c>
      <c r="N1054" s="5">
        <v>0</v>
      </c>
    </row>
    <row r="1055" spans="1:14" x14ac:dyDescent="0.25">
      <c r="A1055" t="s">
        <v>1596</v>
      </c>
      <c r="B1055" t="s">
        <v>147</v>
      </c>
      <c r="C1055" t="str">
        <f>_xlfn.XLOOKUP(Table6[[#This Row],[app_id]],Table5[app_id],Table5[app_name],"",0)</f>
        <v>Showly</v>
      </c>
      <c r="D1055" t="str">
        <f>_xlfn.XLOOKUP(Table6[[#This Row],[app_id]],Table5[app_id],Table5[category],"",0)</f>
        <v>Entertainment</v>
      </c>
      <c r="E1055" t="s">
        <v>546</v>
      </c>
      <c r="F1055" t="s">
        <v>534</v>
      </c>
      <c r="G1055" t="s">
        <v>35</v>
      </c>
      <c r="H1055" t="s">
        <v>535</v>
      </c>
      <c r="I1055">
        <v>89</v>
      </c>
      <c r="J1055">
        <v>36.200000000000003</v>
      </c>
      <c r="K1055" t="s">
        <v>257</v>
      </c>
      <c r="L1055" t="s">
        <v>258</v>
      </c>
      <c r="M1055" t="s">
        <v>258</v>
      </c>
      <c r="N1055" s="5">
        <v>0</v>
      </c>
    </row>
    <row r="1056" spans="1:14" x14ac:dyDescent="0.25">
      <c r="A1056" t="s">
        <v>1597</v>
      </c>
      <c r="B1056" t="s">
        <v>149</v>
      </c>
      <c r="C1056" t="str">
        <f>_xlfn.XLOOKUP(Table6[[#This Row],[app_id]],Table5[app_id],Table5[app_name],"",0)</f>
        <v>BuzzOne</v>
      </c>
      <c r="D1056" t="str">
        <f>_xlfn.XLOOKUP(Table6[[#This Row],[app_id]],Table5[app_id],Table5[category],"",0)</f>
        <v>Entertainment</v>
      </c>
      <c r="E1056" t="s">
        <v>533</v>
      </c>
      <c r="F1056" t="s">
        <v>534</v>
      </c>
      <c r="G1056" t="s">
        <v>30</v>
      </c>
      <c r="H1056" t="s">
        <v>535</v>
      </c>
      <c r="I1056">
        <v>3</v>
      </c>
      <c r="J1056">
        <v>32.700000000000003</v>
      </c>
      <c r="K1056" t="s">
        <v>258</v>
      </c>
      <c r="L1056" t="s">
        <v>257</v>
      </c>
      <c r="M1056" t="s">
        <v>258</v>
      </c>
      <c r="N1056" s="5">
        <v>33.56</v>
      </c>
    </row>
    <row r="1057" spans="1:14" x14ac:dyDescent="0.25">
      <c r="A1057" t="s">
        <v>1598</v>
      </c>
      <c r="B1057" t="s">
        <v>151</v>
      </c>
      <c r="C1057" t="str">
        <f>_xlfn.XLOOKUP(Table6[[#This Row],[app_id]],Table5[app_id],Table5[app_name],"",0)</f>
        <v>PlayHub</v>
      </c>
      <c r="D1057" t="str">
        <f>_xlfn.XLOOKUP(Table6[[#This Row],[app_id]],Table5[app_id],Table5[category],"",0)</f>
        <v>Entertainment</v>
      </c>
      <c r="E1057" t="s">
        <v>533</v>
      </c>
      <c r="F1057" t="s">
        <v>538</v>
      </c>
      <c r="G1057" t="s">
        <v>30</v>
      </c>
      <c r="H1057" t="s">
        <v>535</v>
      </c>
      <c r="I1057">
        <v>76</v>
      </c>
      <c r="J1057">
        <v>26.1</v>
      </c>
      <c r="K1057" t="s">
        <v>257</v>
      </c>
      <c r="L1057" t="s">
        <v>258</v>
      </c>
      <c r="M1057" t="s">
        <v>257</v>
      </c>
      <c r="N1057" s="5">
        <v>0</v>
      </c>
    </row>
    <row r="1058" spans="1:14" x14ac:dyDescent="0.25">
      <c r="A1058" t="s">
        <v>1599</v>
      </c>
      <c r="B1058" t="s">
        <v>153</v>
      </c>
      <c r="C1058" t="str">
        <f>_xlfn.XLOOKUP(Table6[[#This Row],[app_id]],Table5[app_id],Table5[app_name],"",0)</f>
        <v>CinemaGo</v>
      </c>
      <c r="D1058" t="str">
        <f>_xlfn.XLOOKUP(Table6[[#This Row],[app_id]],Table5[app_id],Table5[category],"",0)</f>
        <v>Entertainment</v>
      </c>
      <c r="E1058" t="s">
        <v>533</v>
      </c>
      <c r="F1058" t="s">
        <v>534</v>
      </c>
      <c r="G1058" t="s">
        <v>46</v>
      </c>
      <c r="H1058" t="s">
        <v>535</v>
      </c>
      <c r="I1058">
        <v>69</v>
      </c>
      <c r="J1058">
        <v>15.9</v>
      </c>
      <c r="K1058" t="s">
        <v>257</v>
      </c>
      <c r="L1058" t="s">
        <v>258</v>
      </c>
      <c r="M1058" t="s">
        <v>258</v>
      </c>
      <c r="N1058" s="5">
        <v>79.709999999999994</v>
      </c>
    </row>
    <row r="1059" spans="1:14" x14ac:dyDescent="0.25">
      <c r="A1059" t="s">
        <v>1600</v>
      </c>
      <c r="B1059" t="s">
        <v>155</v>
      </c>
      <c r="C1059" t="str">
        <f>_xlfn.XLOOKUP(Table6[[#This Row],[app_id]],Table5[app_id],Table5[app_name],"",0)</f>
        <v>LaughX</v>
      </c>
      <c r="D1059" t="str">
        <f>_xlfn.XLOOKUP(Table6[[#This Row],[app_id]],Table5[app_id],Table5[category],"",0)</f>
        <v>Entertainment</v>
      </c>
      <c r="E1059" t="s">
        <v>537</v>
      </c>
      <c r="F1059" t="s">
        <v>534</v>
      </c>
      <c r="G1059" t="s">
        <v>69</v>
      </c>
      <c r="H1059" t="s">
        <v>540</v>
      </c>
      <c r="I1059">
        <v>11</v>
      </c>
      <c r="J1059">
        <v>24.6</v>
      </c>
      <c r="K1059" t="s">
        <v>258</v>
      </c>
      <c r="L1059" t="s">
        <v>258</v>
      </c>
      <c r="M1059" t="s">
        <v>258</v>
      </c>
      <c r="N1059" s="5">
        <v>0</v>
      </c>
    </row>
    <row r="1060" spans="1:14" x14ac:dyDescent="0.25">
      <c r="A1060" t="s">
        <v>1601</v>
      </c>
      <c r="B1060" t="s">
        <v>157</v>
      </c>
      <c r="C1060" t="str">
        <f>_xlfn.XLOOKUP(Table6[[#This Row],[app_id]],Table5[app_id],Table5[app_name],"",0)</f>
        <v>CinemaHub</v>
      </c>
      <c r="D1060" t="str">
        <f>_xlfn.XLOOKUP(Table6[[#This Row],[app_id]],Table5[app_id],Table5[category],"",0)</f>
        <v>Entertainment</v>
      </c>
      <c r="E1060" t="s">
        <v>552</v>
      </c>
      <c r="F1060" t="s">
        <v>538</v>
      </c>
      <c r="G1060" t="s">
        <v>26</v>
      </c>
      <c r="H1060" t="s">
        <v>535</v>
      </c>
      <c r="I1060">
        <v>28</v>
      </c>
      <c r="J1060">
        <v>31.1</v>
      </c>
      <c r="K1060" t="s">
        <v>257</v>
      </c>
      <c r="L1060" t="s">
        <v>257</v>
      </c>
      <c r="M1060" t="s">
        <v>258</v>
      </c>
      <c r="N1060" s="5">
        <v>0</v>
      </c>
    </row>
    <row r="1061" spans="1:14" x14ac:dyDescent="0.25">
      <c r="A1061" t="s">
        <v>1602</v>
      </c>
      <c r="B1061" t="s">
        <v>159</v>
      </c>
      <c r="C1061" t="str">
        <f>_xlfn.XLOOKUP(Table6[[#This Row],[app_id]],Table5[app_id],Table5[app_name],"",0)</f>
        <v>ShowPro</v>
      </c>
      <c r="D1061" t="str">
        <f>_xlfn.XLOOKUP(Table6[[#This Row],[app_id]],Table5[app_id],Table5[category],"",0)</f>
        <v>Entertainment</v>
      </c>
      <c r="E1061" t="s">
        <v>533</v>
      </c>
      <c r="F1061" t="s">
        <v>538</v>
      </c>
      <c r="G1061" t="s">
        <v>30</v>
      </c>
      <c r="H1061" t="s">
        <v>535</v>
      </c>
      <c r="I1061">
        <v>17</v>
      </c>
      <c r="J1061">
        <v>36.4</v>
      </c>
      <c r="K1061" t="s">
        <v>257</v>
      </c>
      <c r="L1061" t="s">
        <v>257</v>
      </c>
      <c r="M1061" t="s">
        <v>258</v>
      </c>
      <c r="N1061" s="5">
        <v>0</v>
      </c>
    </row>
    <row r="1062" spans="1:14" x14ac:dyDescent="0.25">
      <c r="A1062" t="s">
        <v>1603</v>
      </c>
      <c r="B1062" t="s">
        <v>161</v>
      </c>
      <c r="C1062" t="str">
        <f>_xlfn.XLOOKUP(Table6[[#This Row],[app_id]],Table5[app_id],Table5[app_name],"",0)</f>
        <v>FoodPlus</v>
      </c>
      <c r="D1062" t="str">
        <f>_xlfn.XLOOKUP(Table6[[#This Row],[app_id]],Table5[app_id],Table5[category],"",0)</f>
        <v>Food Delivery</v>
      </c>
      <c r="E1062" t="s">
        <v>533</v>
      </c>
      <c r="F1062" t="s">
        <v>538</v>
      </c>
      <c r="G1062" t="s">
        <v>35</v>
      </c>
      <c r="H1062" t="s">
        <v>535</v>
      </c>
      <c r="I1062">
        <v>63</v>
      </c>
      <c r="J1062">
        <v>3.1</v>
      </c>
      <c r="K1062" t="s">
        <v>257</v>
      </c>
      <c r="L1062" t="s">
        <v>258</v>
      </c>
      <c r="M1062" t="s">
        <v>258</v>
      </c>
      <c r="N1062" s="5">
        <v>0</v>
      </c>
    </row>
    <row r="1063" spans="1:14" x14ac:dyDescent="0.25">
      <c r="A1063" t="s">
        <v>1604</v>
      </c>
      <c r="B1063" t="s">
        <v>164</v>
      </c>
      <c r="C1063" t="str">
        <f>_xlfn.XLOOKUP(Table6[[#This Row],[app_id]],Table5[app_id],Table5[app_name],"",0)</f>
        <v>BiteGo</v>
      </c>
      <c r="D1063" t="str">
        <f>_xlfn.XLOOKUP(Table6[[#This Row],[app_id]],Table5[app_id],Table5[category],"",0)</f>
        <v>Food Delivery</v>
      </c>
      <c r="E1063" t="s">
        <v>546</v>
      </c>
      <c r="F1063" t="s">
        <v>548</v>
      </c>
      <c r="G1063" t="s">
        <v>61</v>
      </c>
      <c r="H1063" t="s">
        <v>540</v>
      </c>
      <c r="I1063">
        <v>2</v>
      </c>
      <c r="J1063">
        <v>18.5</v>
      </c>
      <c r="K1063" t="s">
        <v>258</v>
      </c>
      <c r="L1063" t="s">
        <v>258</v>
      </c>
      <c r="M1063" t="s">
        <v>258</v>
      </c>
      <c r="N1063" s="5">
        <v>0</v>
      </c>
    </row>
    <row r="1064" spans="1:14" x14ac:dyDescent="0.25">
      <c r="A1064" t="s">
        <v>1605</v>
      </c>
      <c r="B1064" t="s">
        <v>166</v>
      </c>
      <c r="C1064" t="str">
        <f>_xlfn.XLOOKUP(Table6[[#This Row],[app_id]],Table5[app_id],Table5[app_name],"",0)</f>
        <v>OrderCloud</v>
      </c>
      <c r="D1064" t="str">
        <f>_xlfn.XLOOKUP(Table6[[#This Row],[app_id]],Table5[app_id],Table5[category],"",0)</f>
        <v>Food Delivery</v>
      </c>
      <c r="E1064" t="s">
        <v>533</v>
      </c>
      <c r="F1064" t="s">
        <v>534</v>
      </c>
      <c r="G1064" t="s">
        <v>35</v>
      </c>
      <c r="H1064" t="s">
        <v>535</v>
      </c>
      <c r="I1064">
        <v>15</v>
      </c>
      <c r="J1064">
        <v>15.4</v>
      </c>
      <c r="K1064" t="s">
        <v>258</v>
      </c>
      <c r="L1064" t="s">
        <v>258</v>
      </c>
      <c r="M1064" t="s">
        <v>257</v>
      </c>
      <c r="N1064" s="5">
        <v>0</v>
      </c>
    </row>
    <row r="1065" spans="1:14" x14ac:dyDescent="0.25">
      <c r="A1065" t="s">
        <v>1606</v>
      </c>
      <c r="B1065" t="s">
        <v>168</v>
      </c>
      <c r="C1065" t="str">
        <f>_xlfn.XLOOKUP(Table6[[#This Row],[app_id]],Table5[app_id],Table5[app_name],"",0)</f>
        <v>DinePlus</v>
      </c>
      <c r="D1065" t="str">
        <f>_xlfn.XLOOKUP(Table6[[#This Row],[app_id]],Table5[app_id],Table5[category],"",0)</f>
        <v>Food Delivery</v>
      </c>
      <c r="E1065" t="s">
        <v>546</v>
      </c>
      <c r="F1065" t="s">
        <v>538</v>
      </c>
      <c r="G1065" t="s">
        <v>23</v>
      </c>
      <c r="H1065" t="s">
        <v>535</v>
      </c>
      <c r="I1065">
        <v>53</v>
      </c>
      <c r="J1065">
        <v>23.7</v>
      </c>
      <c r="K1065" t="s">
        <v>257</v>
      </c>
      <c r="L1065" t="s">
        <v>258</v>
      </c>
      <c r="M1065" t="s">
        <v>257</v>
      </c>
      <c r="N1065" s="5">
        <v>9.61</v>
      </c>
    </row>
    <row r="1066" spans="1:14" x14ac:dyDescent="0.25">
      <c r="A1066" t="s">
        <v>1607</v>
      </c>
      <c r="B1066" t="s">
        <v>170</v>
      </c>
      <c r="C1066" t="str">
        <f>_xlfn.XLOOKUP(Table6[[#This Row],[app_id]],Table5[app_id],Table5[app_name],"",0)</f>
        <v>SnackX</v>
      </c>
      <c r="D1066" t="str">
        <f>_xlfn.XLOOKUP(Table6[[#This Row],[app_id]],Table5[app_id],Table5[category],"",0)</f>
        <v>Food Delivery</v>
      </c>
      <c r="E1066" t="s">
        <v>537</v>
      </c>
      <c r="F1066" t="s">
        <v>534</v>
      </c>
      <c r="G1066" t="s">
        <v>30</v>
      </c>
      <c r="H1066" t="s">
        <v>535</v>
      </c>
      <c r="I1066">
        <v>23</v>
      </c>
      <c r="J1066">
        <v>17.399999999999999</v>
      </c>
      <c r="K1066" t="s">
        <v>258</v>
      </c>
      <c r="L1066" t="s">
        <v>258</v>
      </c>
      <c r="M1066" t="s">
        <v>258</v>
      </c>
      <c r="N1066" s="5">
        <v>88.02</v>
      </c>
    </row>
    <row r="1067" spans="1:14" x14ac:dyDescent="0.25">
      <c r="A1067" t="s">
        <v>1608</v>
      </c>
      <c r="B1067" t="s">
        <v>172</v>
      </c>
      <c r="C1067" t="str">
        <f>_xlfn.XLOOKUP(Table6[[#This Row],[app_id]],Table5[app_id],Table5[app_name],"",0)</f>
        <v>FoodOne</v>
      </c>
      <c r="D1067" t="str">
        <f>_xlfn.XLOOKUP(Table6[[#This Row],[app_id]],Table5[app_id],Table5[category],"",0)</f>
        <v>Food Delivery</v>
      </c>
      <c r="E1067" t="s">
        <v>546</v>
      </c>
      <c r="F1067" t="s">
        <v>538</v>
      </c>
      <c r="G1067" t="s">
        <v>35</v>
      </c>
      <c r="H1067" t="s">
        <v>535</v>
      </c>
      <c r="I1067">
        <v>23</v>
      </c>
      <c r="J1067">
        <v>6.2</v>
      </c>
      <c r="K1067" t="s">
        <v>258</v>
      </c>
      <c r="L1067" t="s">
        <v>257</v>
      </c>
      <c r="M1067" t="s">
        <v>258</v>
      </c>
      <c r="N1067" s="5">
        <v>0</v>
      </c>
    </row>
    <row r="1068" spans="1:14" x14ac:dyDescent="0.25">
      <c r="A1068" t="s">
        <v>1609</v>
      </c>
      <c r="B1068" t="s">
        <v>174</v>
      </c>
      <c r="C1068" t="str">
        <f>_xlfn.XLOOKUP(Table6[[#This Row],[app_id]],Table5[app_id],Table5[app_name],"",0)</f>
        <v>MealMate</v>
      </c>
      <c r="D1068" t="str">
        <f>_xlfn.XLOOKUP(Table6[[#This Row],[app_id]],Table5[app_id],Table5[category],"",0)</f>
        <v>Food Delivery</v>
      </c>
      <c r="E1068" t="s">
        <v>533</v>
      </c>
      <c r="F1068" t="s">
        <v>538</v>
      </c>
      <c r="G1068" t="s">
        <v>69</v>
      </c>
      <c r="H1068" t="s">
        <v>535</v>
      </c>
      <c r="I1068">
        <v>25</v>
      </c>
      <c r="J1068">
        <v>18.600000000000001</v>
      </c>
      <c r="K1068" t="s">
        <v>257</v>
      </c>
      <c r="L1068" t="s">
        <v>257</v>
      </c>
      <c r="M1068" t="s">
        <v>258</v>
      </c>
      <c r="N1068" s="5">
        <v>0</v>
      </c>
    </row>
    <row r="1069" spans="1:14" x14ac:dyDescent="0.25">
      <c r="A1069" t="s">
        <v>1610</v>
      </c>
      <c r="B1069" t="s">
        <v>176</v>
      </c>
      <c r="C1069" t="str">
        <f>_xlfn.XLOOKUP(Table6[[#This Row],[app_id]],Table5[app_id],Table5[app_name],"",0)</f>
        <v>SnackHub</v>
      </c>
      <c r="D1069" t="str">
        <f>_xlfn.XLOOKUP(Table6[[#This Row],[app_id]],Table5[app_id],Table5[category],"",0)</f>
        <v>Food Delivery</v>
      </c>
      <c r="E1069" t="s">
        <v>533</v>
      </c>
      <c r="F1069" t="s">
        <v>534</v>
      </c>
      <c r="G1069" t="s">
        <v>18</v>
      </c>
      <c r="H1069" t="s">
        <v>535</v>
      </c>
      <c r="I1069">
        <v>86</v>
      </c>
      <c r="J1069">
        <v>16.600000000000001</v>
      </c>
      <c r="K1069" t="s">
        <v>257</v>
      </c>
      <c r="L1069" t="s">
        <v>257</v>
      </c>
      <c r="M1069" t="s">
        <v>258</v>
      </c>
      <c r="N1069" s="5">
        <v>0</v>
      </c>
    </row>
    <row r="1070" spans="1:14" x14ac:dyDescent="0.25">
      <c r="A1070" t="s">
        <v>1611</v>
      </c>
      <c r="B1070" t="s">
        <v>178</v>
      </c>
      <c r="C1070" t="str">
        <f>_xlfn.XLOOKUP(Table6[[#This Row],[app_id]],Table5[app_id],Table5[app_name],"",0)</f>
        <v>BiteCloud</v>
      </c>
      <c r="D1070" t="str">
        <f>_xlfn.XLOOKUP(Table6[[#This Row],[app_id]],Table5[app_id],Table5[category],"",0)</f>
        <v>Food Delivery</v>
      </c>
      <c r="E1070" t="s">
        <v>533</v>
      </c>
      <c r="F1070" t="s">
        <v>534</v>
      </c>
      <c r="G1070" t="s">
        <v>46</v>
      </c>
      <c r="H1070" t="s">
        <v>540</v>
      </c>
      <c r="I1070">
        <v>23</v>
      </c>
      <c r="J1070">
        <v>9.4</v>
      </c>
      <c r="K1070" t="s">
        <v>258</v>
      </c>
      <c r="L1070" t="s">
        <v>257</v>
      </c>
      <c r="M1070" t="s">
        <v>258</v>
      </c>
      <c r="N1070" s="5">
        <v>0</v>
      </c>
    </row>
    <row r="1071" spans="1:14" x14ac:dyDescent="0.25">
      <c r="A1071" t="s">
        <v>1612</v>
      </c>
      <c r="B1071" t="s">
        <v>180</v>
      </c>
      <c r="C1071" t="str">
        <f>_xlfn.XLOOKUP(Table6[[#This Row],[app_id]],Table5[app_id],Table5[app_name],"",0)</f>
        <v>PlatePlus</v>
      </c>
      <c r="D1071" t="str">
        <f>_xlfn.XLOOKUP(Table6[[#This Row],[app_id]],Table5[app_id],Table5[category],"",0)</f>
        <v>Food Delivery</v>
      </c>
      <c r="E1071" t="s">
        <v>546</v>
      </c>
      <c r="F1071" t="s">
        <v>534</v>
      </c>
      <c r="G1071" t="s">
        <v>35</v>
      </c>
      <c r="H1071" t="s">
        <v>535</v>
      </c>
      <c r="I1071">
        <v>78</v>
      </c>
      <c r="J1071">
        <v>5.4</v>
      </c>
      <c r="K1071" t="s">
        <v>257</v>
      </c>
      <c r="L1071" t="s">
        <v>257</v>
      </c>
      <c r="M1071" t="s">
        <v>258</v>
      </c>
      <c r="N1071" s="5">
        <v>0</v>
      </c>
    </row>
    <row r="1072" spans="1:14" x14ac:dyDescent="0.25">
      <c r="A1072" t="s">
        <v>1613</v>
      </c>
      <c r="B1072" t="s">
        <v>182</v>
      </c>
      <c r="C1072" t="str">
        <f>_xlfn.XLOOKUP(Table6[[#This Row],[app_id]],Table5[app_id],Table5[app_name],"",0)</f>
        <v>VoyageGo</v>
      </c>
      <c r="D1072" t="str">
        <f>_xlfn.XLOOKUP(Table6[[#This Row],[app_id]],Table5[app_id],Table5[category],"",0)</f>
        <v>Travel</v>
      </c>
      <c r="E1072" t="s">
        <v>537</v>
      </c>
      <c r="F1072" t="s">
        <v>538</v>
      </c>
      <c r="G1072" t="s">
        <v>18</v>
      </c>
      <c r="H1072" t="s">
        <v>535</v>
      </c>
      <c r="I1072">
        <v>81</v>
      </c>
      <c r="J1072">
        <v>6.5</v>
      </c>
      <c r="K1072" t="s">
        <v>257</v>
      </c>
      <c r="L1072" t="s">
        <v>257</v>
      </c>
      <c r="M1072" t="s">
        <v>258</v>
      </c>
      <c r="N1072" s="5">
        <v>31.14</v>
      </c>
    </row>
    <row r="1073" spans="1:14" x14ac:dyDescent="0.25">
      <c r="A1073" t="s">
        <v>1614</v>
      </c>
      <c r="B1073" t="s">
        <v>185</v>
      </c>
      <c r="C1073" t="str">
        <f>_xlfn.XLOOKUP(Table6[[#This Row],[app_id]],Table5[app_id],Table5[app_name],"",0)</f>
        <v>TripOne</v>
      </c>
      <c r="D1073" t="str">
        <f>_xlfn.XLOOKUP(Table6[[#This Row],[app_id]],Table5[app_id],Table5[category],"",0)</f>
        <v>Travel</v>
      </c>
      <c r="E1073" t="s">
        <v>533</v>
      </c>
      <c r="F1073" t="s">
        <v>548</v>
      </c>
      <c r="G1073" t="s">
        <v>30</v>
      </c>
      <c r="H1073" t="s">
        <v>535</v>
      </c>
      <c r="I1073">
        <v>85</v>
      </c>
      <c r="J1073">
        <v>8.6999999999999993</v>
      </c>
      <c r="K1073" t="s">
        <v>257</v>
      </c>
      <c r="L1073" t="s">
        <v>257</v>
      </c>
      <c r="M1073" t="s">
        <v>258</v>
      </c>
      <c r="N1073" s="5">
        <v>0</v>
      </c>
    </row>
    <row r="1074" spans="1:14" x14ac:dyDescent="0.25">
      <c r="A1074" t="s">
        <v>1615</v>
      </c>
      <c r="B1074" t="s">
        <v>187</v>
      </c>
      <c r="C1074" t="str">
        <f>_xlfn.XLOOKUP(Table6[[#This Row],[app_id]],Table5[app_id],Table5[app_name],"",0)</f>
        <v>FlyGo</v>
      </c>
      <c r="D1074" t="str">
        <f>_xlfn.XLOOKUP(Table6[[#This Row],[app_id]],Table5[app_id],Table5[category],"",0)</f>
        <v>Travel</v>
      </c>
      <c r="E1074" t="s">
        <v>537</v>
      </c>
      <c r="F1074" t="s">
        <v>534</v>
      </c>
      <c r="G1074" t="s">
        <v>61</v>
      </c>
      <c r="H1074" t="s">
        <v>535</v>
      </c>
      <c r="I1074">
        <v>19</v>
      </c>
      <c r="J1074">
        <v>15.7</v>
      </c>
      <c r="K1074" t="s">
        <v>258</v>
      </c>
      <c r="L1074" t="s">
        <v>258</v>
      </c>
      <c r="M1074" t="s">
        <v>258</v>
      </c>
      <c r="N1074" s="5">
        <v>0</v>
      </c>
    </row>
    <row r="1075" spans="1:14" x14ac:dyDescent="0.25">
      <c r="A1075" t="s">
        <v>1616</v>
      </c>
      <c r="B1075" t="s">
        <v>189</v>
      </c>
      <c r="C1075" t="str">
        <f>_xlfn.XLOOKUP(Table6[[#This Row],[app_id]],Table5[app_id],Table5[app_name],"",0)</f>
        <v>MapX</v>
      </c>
      <c r="D1075" t="str">
        <f>_xlfn.XLOOKUP(Table6[[#This Row],[app_id]],Table5[app_id],Table5[category],"",0)</f>
        <v>Travel</v>
      </c>
      <c r="E1075" t="s">
        <v>537</v>
      </c>
      <c r="F1075" t="s">
        <v>538</v>
      </c>
      <c r="G1075" t="s">
        <v>26</v>
      </c>
      <c r="H1075" t="s">
        <v>535</v>
      </c>
      <c r="I1075">
        <v>27</v>
      </c>
      <c r="J1075">
        <v>18.7</v>
      </c>
      <c r="K1075" t="s">
        <v>258</v>
      </c>
      <c r="L1075" t="s">
        <v>258</v>
      </c>
      <c r="M1075" t="s">
        <v>257</v>
      </c>
      <c r="N1075" s="5">
        <v>0</v>
      </c>
    </row>
    <row r="1076" spans="1:14" x14ac:dyDescent="0.25">
      <c r="A1076" t="s">
        <v>1617</v>
      </c>
      <c r="B1076" t="s">
        <v>191</v>
      </c>
      <c r="C1076" t="str">
        <f>_xlfn.XLOOKUP(Table6[[#This Row],[app_id]],Table5[app_id],Table5[app_name],"",0)</f>
        <v>StayX</v>
      </c>
      <c r="D1076" t="str">
        <f>_xlfn.XLOOKUP(Table6[[#This Row],[app_id]],Table5[app_id],Table5[category],"",0)</f>
        <v>Travel</v>
      </c>
      <c r="E1076" t="s">
        <v>533</v>
      </c>
      <c r="F1076" t="s">
        <v>538</v>
      </c>
      <c r="G1076" t="s">
        <v>18</v>
      </c>
      <c r="H1076" t="s">
        <v>535</v>
      </c>
      <c r="I1076">
        <v>80</v>
      </c>
      <c r="J1076">
        <v>5.8</v>
      </c>
      <c r="K1076" t="s">
        <v>257</v>
      </c>
      <c r="L1076" t="s">
        <v>258</v>
      </c>
      <c r="M1076" t="s">
        <v>258</v>
      </c>
      <c r="N1076" s="5">
        <v>0</v>
      </c>
    </row>
    <row r="1077" spans="1:14" x14ac:dyDescent="0.25">
      <c r="A1077" t="s">
        <v>1618</v>
      </c>
      <c r="B1077" t="s">
        <v>193</v>
      </c>
      <c r="C1077" t="str">
        <f>_xlfn.XLOOKUP(Table6[[#This Row],[app_id]],Table5[app_id],Table5[app_name],"",0)</f>
        <v>GoNow</v>
      </c>
      <c r="D1077" t="str">
        <f>_xlfn.XLOOKUP(Table6[[#This Row],[app_id]],Table5[app_id],Table5[category],"",0)</f>
        <v>Travel</v>
      </c>
      <c r="E1077" t="s">
        <v>533</v>
      </c>
      <c r="F1077" t="s">
        <v>534</v>
      </c>
      <c r="G1077" t="s">
        <v>30</v>
      </c>
      <c r="H1077" t="s">
        <v>535</v>
      </c>
      <c r="I1077">
        <v>78</v>
      </c>
      <c r="J1077">
        <v>11.8</v>
      </c>
      <c r="K1077" t="s">
        <v>257</v>
      </c>
      <c r="L1077" t="s">
        <v>257</v>
      </c>
      <c r="M1077" t="s">
        <v>258</v>
      </c>
      <c r="N1077" s="5">
        <v>0</v>
      </c>
    </row>
    <row r="1078" spans="1:14" x14ac:dyDescent="0.25">
      <c r="A1078" t="s">
        <v>1619</v>
      </c>
      <c r="B1078" t="s">
        <v>195</v>
      </c>
      <c r="C1078" t="str">
        <f>_xlfn.XLOOKUP(Table6[[#This Row],[app_id]],Table5[app_id],Table5[app_name],"",0)</f>
        <v>RouteGo</v>
      </c>
      <c r="D1078" t="str">
        <f>_xlfn.XLOOKUP(Table6[[#This Row],[app_id]],Table5[app_id],Table5[category],"",0)</f>
        <v>Travel</v>
      </c>
      <c r="E1078" t="s">
        <v>537</v>
      </c>
      <c r="F1078" t="s">
        <v>538</v>
      </c>
      <c r="G1078" t="s">
        <v>18</v>
      </c>
      <c r="H1078" t="s">
        <v>535</v>
      </c>
      <c r="I1078">
        <v>21</v>
      </c>
      <c r="J1078">
        <v>21.9</v>
      </c>
      <c r="K1078" t="s">
        <v>257</v>
      </c>
      <c r="L1078" t="s">
        <v>258</v>
      </c>
      <c r="M1078" t="s">
        <v>257</v>
      </c>
      <c r="N1078" s="5">
        <v>39.200000000000003</v>
      </c>
    </row>
    <row r="1079" spans="1:14" x14ac:dyDescent="0.25">
      <c r="A1079" t="s">
        <v>1620</v>
      </c>
      <c r="B1079" t="s">
        <v>197</v>
      </c>
      <c r="C1079" t="str">
        <f>_xlfn.XLOOKUP(Table6[[#This Row],[app_id]],Table5[app_id],Table5[app_name],"",0)</f>
        <v>TripGo</v>
      </c>
      <c r="D1079" t="str">
        <f>_xlfn.XLOOKUP(Table6[[#This Row],[app_id]],Table5[app_id],Table5[category],"",0)</f>
        <v>Travel</v>
      </c>
      <c r="E1079" t="s">
        <v>533</v>
      </c>
      <c r="F1079" t="s">
        <v>534</v>
      </c>
      <c r="G1079" t="s">
        <v>61</v>
      </c>
      <c r="H1079" t="s">
        <v>535</v>
      </c>
      <c r="I1079">
        <v>9</v>
      </c>
      <c r="J1079">
        <v>4.3</v>
      </c>
      <c r="K1079" t="s">
        <v>258</v>
      </c>
      <c r="L1079" t="s">
        <v>257</v>
      </c>
      <c r="M1079" t="s">
        <v>258</v>
      </c>
      <c r="N1079" s="5">
        <v>0</v>
      </c>
    </row>
    <row r="1080" spans="1:14" x14ac:dyDescent="0.25">
      <c r="A1080" t="s">
        <v>1621</v>
      </c>
      <c r="B1080" t="s">
        <v>199</v>
      </c>
      <c r="C1080" t="str">
        <f>_xlfn.XLOOKUP(Table6[[#This Row],[app_id]],Table5[app_id],Table5[app_name],"",0)</f>
        <v>Flyly</v>
      </c>
      <c r="D1080" t="str">
        <f>_xlfn.XLOOKUP(Table6[[#This Row],[app_id]],Table5[app_id],Table5[category],"",0)</f>
        <v>Travel</v>
      </c>
      <c r="E1080" t="s">
        <v>546</v>
      </c>
      <c r="F1080" t="s">
        <v>534</v>
      </c>
      <c r="G1080" t="s">
        <v>69</v>
      </c>
      <c r="H1080" t="s">
        <v>535</v>
      </c>
      <c r="I1080">
        <v>13</v>
      </c>
      <c r="J1080">
        <v>14.2</v>
      </c>
      <c r="K1080" t="s">
        <v>258</v>
      </c>
      <c r="L1080" t="s">
        <v>258</v>
      </c>
      <c r="M1080" t="s">
        <v>258</v>
      </c>
      <c r="N1080" s="5">
        <v>0</v>
      </c>
    </row>
    <row r="1081" spans="1:14" x14ac:dyDescent="0.25">
      <c r="A1081" t="s">
        <v>1622</v>
      </c>
      <c r="B1081" t="s">
        <v>201</v>
      </c>
      <c r="C1081" t="str">
        <f>_xlfn.XLOOKUP(Table6[[#This Row],[app_id]],Table5[app_id],Table5[app_name],"",0)</f>
        <v>TripPro</v>
      </c>
      <c r="D1081" t="str">
        <f>_xlfn.XLOOKUP(Table6[[#This Row],[app_id]],Table5[app_id],Table5[category],"",0)</f>
        <v>Travel</v>
      </c>
      <c r="E1081" t="s">
        <v>537</v>
      </c>
      <c r="F1081" t="s">
        <v>534</v>
      </c>
      <c r="G1081" t="s">
        <v>69</v>
      </c>
      <c r="H1081" t="s">
        <v>535</v>
      </c>
      <c r="I1081">
        <v>16</v>
      </c>
      <c r="J1081">
        <v>21.5</v>
      </c>
      <c r="K1081" t="s">
        <v>258</v>
      </c>
      <c r="L1081" t="s">
        <v>258</v>
      </c>
      <c r="M1081" t="s">
        <v>258</v>
      </c>
      <c r="N1081" s="5">
        <v>0</v>
      </c>
    </row>
    <row r="1082" spans="1:14" x14ac:dyDescent="0.25">
      <c r="A1082" t="s">
        <v>1623</v>
      </c>
      <c r="B1082" t="s">
        <v>203</v>
      </c>
      <c r="C1082" t="str">
        <f>_xlfn.XLOOKUP(Table6[[#This Row],[app_id]],Table5[app_id],Table5[app_name],"",0)</f>
        <v>Focusly</v>
      </c>
      <c r="D1082" t="str">
        <f>_xlfn.XLOOKUP(Table6[[#This Row],[app_id]],Table5[app_id],Table5[category],"",0)</f>
        <v>Productivity</v>
      </c>
      <c r="E1082" t="s">
        <v>537</v>
      </c>
      <c r="F1082" t="s">
        <v>548</v>
      </c>
      <c r="G1082" t="s">
        <v>46</v>
      </c>
      <c r="H1082" t="s">
        <v>535</v>
      </c>
      <c r="I1082">
        <v>21</v>
      </c>
      <c r="J1082">
        <v>22.8</v>
      </c>
      <c r="K1082" t="s">
        <v>258</v>
      </c>
      <c r="L1082" t="s">
        <v>257</v>
      </c>
      <c r="M1082" t="s">
        <v>258</v>
      </c>
      <c r="N1082" s="5">
        <v>0</v>
      </c>
    </row>
    <row r="1083" spans="1:14" x14ac:dyDescent="0.25">
      <c r="A1083" t="s">
        <v>1624</v>
      </c>
      <c r="B1083" t="s">
        <v>206</v>
      </c>
      <c r="C1083" t="str">
        <f>_xlfn.XLOOKUP(Table6[[#This Row],[app_id]],Table5[app_id],Table5[app_name],"",0)</f>
        <v>DeskX</v>
      </c>
      <c r="D1083" t="str">
        <f>_xlfn.XLOOKUP(Table6[[#This Row],[app_id]],Table5[app_id],Table5[category],"",0)</f>
        <v>Productivity</v>
      </c>
      <c r="E1083" t="s">
        <v>546</v>
      </c>
      <c r="F1083" t="s">
        <v>534</v>
      </c>
      <c r="G1083" t="s">
        <v>30</v>
      </c>
      <c r="H1083" t="s">
        <v>535</v>
      </c>
      <c r="I1083">
        <v>40</v>
      </c>
      <c r="J1083">
        <v>23.6</v>
      </c>
      <c r="K1083" t="s">
        <v>257</v>
      </c>
      <c r="L1083" t="s">
        <v>257</v>
      </c>
      <c r="M1083" t="s">
        <v>257</v>
      </c>
      <c r="N1083" s="5">
        <v>0</v>
      </c>
    </row>
    <row r="1084" spans="1:14" x14ac:dyDescent="0.25">
      <c r="A1084" t="s">
        <v>1625</v>
      </c>
      <c r="B1084" t="s">
        <v>208</v>
      </c>
      <c r="C1084" t="str">
        <f>_xlfn.XLOOKUP(Table6[[#This Row],[app_id]],Table5[app_id],Table5[app_name],"",0)</f>
        <v>DonePro</v>
      </c>
      <c r="D1084" t="str">
        <f>_xlfn.XLOOKUP(Table6[[#This Row],[app_id]],Table5[app_id],Table5[category],"",0)</f>
        <v>Productivity</v>
      </c>
      <c r="E1084" t="s">
        <v>546</v>
      </c>
      <c r="F1084" t="s">
        <v>534</v>
      </c>
      <c r="G1084" t="s">
        <v>30</v>
      </c>
      <c r="H1084" t="s">
        <v>535</v>
      </c>
      <c r="I1084">
        <v>28</v>
      </c>
      <c r="J1084">
        <v>8.9</v>
      </c>
      <c r="K1084" t="s">
        <v>258</v>
      </c>
      <c r="L1084" t="s">
        <v>257</v>
      </c>
      <c r="M1084" t="s">
        <v>258</v>
      </c>
      <c r="N1084" s="5">
        <v>0</v>
      </c>
    </row>
    <row r="1085" spans="1:14" x14ac:dyDescent="0.25">
      <c r="A1085" t="s">
        <v>1626</v>
      </c>
      <c r="B1085" t="s">
        <v>210</v>
      </c>
      <c r="C1085" t="str">
        <f>_xlfn.XLOOKUP(Table6[[#This Row],[app_id]],Table5[app_id],Table5[app_name],"",0)</f>
        <v>NotePlus</v>
      </c>
      <c r="D1085" t="str">
        <f>_xlfn.XLOOKUP(Table6[[#This Row],[app_id]],Table5[app_id],Table5[category],"",0)</f>
        <v>Productivity</v>
      </c>
      <c r="E1085" t="s">
        <v>557</v>
      </c>
      <c r="F1085" t="s">
        <v>538</v>
      </c>
      <c r="G1085" t="s">
        <v>35</v>
      </c>
      <c r="H1085" t="s">
        <v>535</v>
      </c>
      <c r="I1085">
        <v>62</v>
      </c>
      <c r="J1085">
        <v>15</v>
      </c>
      <c r="K1085" t="s">
        <v>257</v>
      </c>
      <c r="L1085" t="s">
        <v>258</v>
      </c>
      <c r="M1085" t="s">
        <v>258</v>
      </c>
      <c r="N1085" s="5">
        <v>0</v>
      </c>
    </row>
    <row r="1086" spans="1:14" x14ac:dyDescent="0.25">
      <c r="A1086" t="s">
        <v>1627</v>
      </c>
      <c r="B1086" t="s">
        <v>212</v>
      </c>
      <c r="C1086" t="str">
        <f>_xlfn.XLOOKUP(Table6[[#This Row],[app_id]],Table5[app_id],Table5[app_name],"",0)</f>
        <v>SyncPlus</v>
      </c>
      <c r="D1086" t="str">
        <f>_xlfn.XLOOKUP(Table6[[#This Row],[app_id]],Table5[app_id],Table5[category],"",0)</f>
        <v>Productivity</v>
      </c>
      <c r="E1086" t="s">
        <v>533</v>
      </c>
      <c r="F1086" t="s">
        <v>534</v>
      </c>
      <c r="G1086" t="s">
        <v>61</v>
      </c>
      <c r="H1086" t="s">
        <v>535</v>
      </c>
      <c r="I1086">
        <v>1</v>
      </c>
      <c r="J1086">
        <v>23.9</v>
      </c>
      <c r="K1086" t="s">
        <v>258</v>
      </c>
      <c r="L1086" t="s">
        <v>257</v>
      </c>
      <c r="M1086" t="s">
        <v>258</v>
      </c>
      <c r="N1086" s="5">
        <v>0</v>
      </c>
    </row>
    <row r="1087" spans="1:14" x14ac:dyDescent="0.25">
      <c r="A1087" t="s">
        <v>1628</v>
      </c>
      <c r="B1087" t="s">
        <v>214</v>
      </c>
      <c r="C1087" t="str">
        <f>_xlfn.XLOOKUP(Table6[[#This Row],[app_id]],Table5[app_id],Table5[app_name],"",0)</f>
        <v>NoteOne</v>
      </c>
      <c r="D1087" t="str">
        <f>_xlfn.XLOOKUP(Table6[[#This Row],[app_id]],Table5[app_id],Table5[category],"",0)</f>
        <v>Productivity</v>
      </c>
      <c r="E1087" t="s">
        <v>552</v>
      </c>
      <c r="F1087" t="s">
        <v>534</v>
      </c>
      <c r="G1087" t="s">
        <v>35</v>
      </c>
      <c r="H1087" t="s">
        <v>540</v>
      </c>
      <c r="I1087">
        <v>23</v>
      </c>
      <c r="J1087">
        <v>21.1</v>
      </c>
      <c r="K1087" t="s">
        <v>258</v>
      </c>
      <c r="L1087" t="s">
        <v>257</v>
      </c>
      <c r="M1087" t="s">
        <v>258</v>
      </c>
      <c r="N1087" s="5">
        <v>0</v>
      </c>
    </row>
    <row r="1088" spans="1:14" x14ac:dyDescent="0.25">
      <c r="A1088" t="s">
        <v>1629</v>
      </c>
      <c r="B1088" t="s">
        <v>216</v>
      </c>
      <c r="C1088" t="str">
        <f>_xlfn.XLOOKUP(Table6[[#This Row],[app_id]],Table5[app_id],Table5[app_name],"",0)</f>
        <v>NoteMate</v>
      </c>
      <c r="D1088" t="str">
        <f>_xlfn.XLOOKUP(Table6[[#This Row],[app_id]],Table5[app_id],Table5[category],"",0)</f>
        <v>Productivity</v>
      </c>
      <c r="E1088" t="s">
        <v>537</v>
      </c>
      <c r="F1088" t="s">
        <v>534</v>
      </c>
      <c r="G1088" t="s">
        <v>61</v>
      </c>
      <c r="H1088" t="s">
        <v>535</v>
      </c>
      <c r="I1088">
        <v>21</v>
      </c>
      <c r="J1088">
        <v>8.5</v>
      </c>
      <c r="K1088" t="s">
        <v>258</v>
      </c>
      <c r="L1088" t="s">
        <v>258</v>
      </c>
      <c r="M1088" t="s">
        <v>258</v>
      </c>
      <c r="N1088" s="5">
        <v>10.88</v>
      </c>
    </row>
    <row r="1089" spans="1:14" x14ac:dyDescent="0.25">
      <c r="A1089" t="s">
        <v>1630</v>
      </c>
      <c r="B1089" t="s">
        <v>218</v>
      </c>
      <c r="C1089" t="str">
        <f>_xlfn.XLOOKUP(Table6[[#This Row],[app_id]],Table5[app_id],Table5[app_name],"",0)</f>
        <v>PlanPlus</v>
      </c>
      <c r="D1089" t="str">
        <f>_xlfn.XLOOKUP(Table6[[#This Row],[app_id]],Table5[app_id],Table5[category],"",0)</f>
        <v>Productivity</v>
      </c>
      <c r="E1089" t="s">
        <v>533</v>
      </c>
      <c r="F1089" t="s">
        <v>538</v>
      </c>
      <c r="G1089" t="s">
        <v>26</v>
      </c>
      <c r="H1089" t="s">
        <v>535</v>
      </c>
      <c r="I1089">
        <v>23</v>
      </c>
      <c r="J1089">
        <v>3.1</v>
      </c>
      <c r="K1089" t="s">
        <v>258</v>
      </c>
      <c r="L1089" t="s">
        <v>258</v>
      </c>
      <c r="M1089" t="s">
        <v>258</v>
      </c>
      <c r="N1089" s="5">
        <v>0</v>
      </c>
    </row>
    <row r="1090" spans="1:14" x14ac:dyDescent="0.25">
      <c r="A1090" t="s">
        <v>1631</v>
      </c>
      <c r="B1090" t="s">
        <v>220</v>
      </c>
      <c r="C1090" t="str">
        <f>_xlfn.XLOOKUP(Table6[[#This Row],[app_id]],Table5[app_id],Table5[app_name],"",0)</f>
        <v>PlanMate</v>
      </c>
      <c r="D1090" t="str">
        <f>_xlfn.XLOOKUP(Table6[[#This Row],[app_id]],Table5[app_id],Table5[category],"",0)</f>
        <v>Productivity</v>
      </c>
      <c r="E1090" t="s">
        <v>533</v>
      </c>
      <c r="F1090" t="s">
        <v>534</v>
      </c>
      <c r="G1090" t="s">
        <v>35</v>
      </c>
      <c r="H1090" t="s">
        <v>535</v>
      </c>
      <c r="I1090">
        <v>24</v>
      </c>
      <c r="J1090">
        <v>20.3</v>
      </c>
      <c r="K1090" t="s">
        <v>257</v>
      </c>
      <c r="L1090" t="s">
        <v>257</v>
      </c>
      <c r="M1090" t="s">
        <v>258</v>
      </c>
      <c r="N1090" s="5">
        <v>0</v>
      </c>
    </row>
    <row r="1091" spans="1:14" x14ac:dyDescent="0.25">
      <c r="A1091" t="s">
        <v>1632</v>
      </c>
      <c r="B1091" t="s">
        <v>222</v>
      </c>
      <c r="C1091" t="str">
        <f>_xlfn.XLOOKUP(Table6[[#This Row],[app_id]],Table5[app_id],Table5[app_name],"",0)</f>
        <v>SyncPlus</v>
      </c>
      <c r="D1091" t="str">
        <f>_xlfn.XLOOKUP(Table6[[#This Row],[app_id]],Table5[app_id],Table5[category],"",0)</f>
        <v>Productivity</v>
      </c>
      <c r="E1091" t="s">
        <v>537</v>
      </c>
      <c r="F1091" t="s">
        <v>538</v>
      </c>
      <c r="G1091" t="s">
        <v>69</v>
      </c>
      <c r="H1091" t="s">
        <v>535</v>
      </c>
      <c r="I1091">
        <v>75</v>
      </c>
      <c r="J1091">
        <v>16.5</v>
      </c>
      <c r="K1091" t="s">
        <v>257</v>
      </c>
      <c r="L1091" t="s">
        <v>257</v>
      </c>
      <c r="M1091" t="s">
        <v>258</v>
      </c>
      <c r="N1091" s="5">
        <v>0</v>
      </c>
    </row>
    <row r="1092" spans="1:14" x14ac:dyDescent="0.25">
      <c r="A1092" t="s">
        <v>1633</v>
      </c>
      <c r="B1092" t="s">
        <v>223</v>
      </c>
      <c r="C1092" t="str">
        <f>_xlfn.XLOOKUP(Table6[[#This Row],[app_id]],Table5[app_id],Table5[app_name],"",0)</f>
        <v>ClinicPro</v>
      </c>
      <c r="D1092" t="str">
        <f>_xlfn.XLOOKUP(Table6[[#This Row],[app_id]],Table5[app_id],Table5[category],"",0)</f>
        <v>Health</v>
      </c>
      <c r="E1092" t="s">
        <v>546</v>
      </c>
      <c r="F1092" t="s">
        <v>534</v>
      </c>
      <c r="G1092" t="s">
        <v>18</v>
      </c>
      <c r="H1092" t="s">
        <v>535</v>
      </c>
      <c r="I1092">
        <v>26</v>
      </c>
      <c r="J1092">
        <v>5</v>
      </c>
      <c r="K1092" t="s">
        <v>258</v>
      </c>
      <c r="L1092" t="s">
        <v>258</v>
      </c>
      <c r="M1092" t="s">
        <v>258</v>
      </c>
      <c r="N1092" s="5">
        <v>0</v>
      </c>
    </row>
    <row r="1093" spans="1:14" x14ac:dyDescent="0.25">
      <c r="A1093" t="s">
        <v>1634</v>
      </c>
      <c r="B1093" t="s">
        <v>226</v>
      </c>
      <c r="C1093" t="str">
        <f>_xlfn.XLOOKUP(Table6[[#This Row],[app_id]],Table5[app_id],Table5[app_name],"",0)</f>
        <v>MindMate</v>
      </c>
      <c r="D1093" t="str">
        <f>_xlfn.XLOOKUP(Table6[[#This Row],[app_id]],Table5[app_id],Table5[category],"",0)</f>
        <v>Health</v>
      </c>
      <c r="E1093" t="s">
        <v>552</v>
      </c>
      <c r="F1093" t="s">
        <v>538</v>
      </c>
      <c r="G1093" t="s">
        <v>69</v>
      </c>
      <c r="H1093" t="s">
        <v>535</v>
      </c>
      <c r="I1093">
        <v>54</v>
      </c>
      <c r="J1093">
        <v>18</v>
      </c>
      <c r="K1093" t="s">
        <v>257</v>
      </c>
      <c r="L1093" t="s">
        <v>258</v>
      </c>
      <c r="M1093" t="s">
        <v>258</v>
      </c>
      <c r="N1093" s="5">
        <v>0</v>
      </c>
    </row>
    <row r="1094" spans="1:14" x14ac:dyDescent="0.25">
      <c r="A1094" t="s">
        <v>1635</v>
      </c>
      <c r="B1094" t="s">
        <v>228</v>
      </c>
      <c r="C1094" t="str">
        <f>_xlfn.XLOOKUP(Table6[[#This Row],[app_id]],Table5[app_id],Table5[app_name],"",0)</f>
        <v>ClinicOne</v>
      </c>
      <c r="D1094" t="str">
        <f>_xlfn.XLOOKUP(Table6[[#This Row],[app_id]],Table5[app_id],Table5[category],"",0)</f>
        <v>Health</v>
      </c>
      <c r="E1094" t="s">
        <v>533</v>
      </c>
      <c r="F1094" t="s">
        <v>538</v>
      </c>
      <c r="G1094" t="s">
        <v>26</v>
      </c>
      <c r="H1094" t="s">
        <v>535</v>
      </c>
      <c r="I1094">
        <v>41</v>
      </c>
      <c r="J1094">
        <v>23.4</v>
      </c>
      <c r="K1094" t="s">
        <v>257</v>
      </c>
      <c r="L1094" t="s">
        <v>257</v>
      </c>
      <c r="M1094" t="s">
        <v>258</v>
      </c>
      <c r="N1094" s="5">
        <v>35.17</v>
      </c>
    </row>
    <row r="1095" spans="1:14" x14ac:dyDescent="0.25">
      <c r="A1095" t="s">
        <v>1636</v>
      </c>
      <c r="B1095" t="s">
        <v>230</v>
      </c>
      <c r="C1095" t="str">
        <f>_xlfn.XLOOKUP(Table6[[#This Row],[app_id]],Table5[app_id],Table5[app_name],"",0)</f>
        <v>WellMate</v>
      </c>
      <c r="D1095" t="str">
        <f>_xlfn.XLOOKUP(Table6[[#This Row],[app_id]],Table5[app_id],Table5[category],"",0)</f>
        <v>Health</v>
      </c>
      <c r="E1095" t="s">
        <v>546</v>
      </c>
      <c r="F1095" t="s">
        <v>534</v>
      </c>
      <c r="G1095" t="s">
        <v>23</v>
      </c>
      <c r="H1095" t="s">
        <v>535</v>
      </c>
      <c r="I1095">
        <v>28</v>
      </c>
      <c r="J1095">
        <v>4.0999999999999996</v>
      </c>
      <c r="K1095" t="s">
        <v>258</v>
      </c>
      <c r="L1095" t="s">
        <v>258</v>
      </c>
      <c r="M1095" t="s">
        <v>258</v>
      </c>
      <c r="N1095" s="5">
        <v>0</v>
      </c>
    </row>
    <row r="1096" spans="1:14" x14ac:dyDescent="0.25">
      <c r="A1096" t="s">
        <v>1637</v>
      </c>
      <c r="B1096" t="s">
        <v>232</v>
      </c>
      <c r="C1096" t="str">
        <f>_xlfn.XLOOKUP(Table6[[#This Row],[app_id]],Table5[app_id],Table5[app_name],"",0)</f>
        <v>MediMate</v>
      </c>
      <c r="D1096" t="str">
        <f>_xlfn.XLOOKUP(Table6[[#This Row],[app_id]],Table5[app_id],Table5[category],"",0)</f>
        <v>Health</v>
      </c>
      <c r="E1096" t="s">
        <v>546</v>
      </c>
      <c r="F1096" t="s">
        <v>538</v>
      </c>
      <c r="G1096" t="s">
        <v>26</v>
      </c>
      <c r="H1096" t="s">
        <v>535</v>
      </c>
      <c r="I1096">
        <v>82</v>
      </c>
      <c r="J1096">
        <v>8.1999999999999993</v>
      </c>
      <c r="K1096" t="s">
        <v>257</v>
      </c>
      <c r="L1096" t="s">
        <v>257</v>
      </c>
      <c r="M1096" t="s">
        <v>258</v>
      </c>
      <c r="N1096" s="5">
        <v>0</v>
      </c>
    </row>
    <row r="1097" spans="1:14" x14ac:dyDescent="0.25">
      <c r="A1097" t="s">
        <v>1638</v>
      </c>
      <c r="B1097" t="s">
        <v>234</v>
      </c>
      <c r="C1097" t="str">
        <f>_xlfn.XLOOKUP(Table6[[#This Row],[app_id]],Table5[app_id],Table5[app_name],"",0)</f>
        <v>WellNow</v>
      </c>
      <c r="D1097" t="str">
        <f>_xlfn.XLOOKUP(Table6[[#This Row],[app_id]],Table5[app_id],Table5[category],"",0)</f>
        <v>Health</v>
      </c>
      <c r="E1097" t="s">
        <v>557</v>
      </c>
      <c r="F1097" t="s">
        <v>538</v>
      </c>
      <c r="G1097" t="s">
        <v>30</v>
      </c>
      <c r="H1097" t="s">
        <v>535</v>
      </c>
      <c r="I1097">
        <v>74</v>
      </c>
      <c r="J1097">
        <v>6.5</v>
      </c>
      <c r="K1097" t="s">
        <v>257</v>
      </c>
      <c r="L1097" t="s">
        <v>257</v>
      </c>
      <c r="M1097" t="s">
        <v>258</v>
      </c>
      <c r="N1097" s="5">
        <v>0</v>
      </c>
    </row>
    <row r="1098" spans="1:14" x14ac:dyDescent="0.25">
      <c r="A1098" t="s">
        <v>1639</v>
      </c>
      <c r="B1098" t="s">
        <v>236</v>
      </c>
      <c r="C1098" t="str">
        <f>_xlfn.XLOOKUP(Table6[[#This Row],[app_id]],Table5[app_id],Table5[app_name],"",0)</f>
        <v>CareCloud</v>
      </c>
      <c r="D1098" t="str">
        <f>_xlfn.XLOOKUP(Table6[[#This Row],[app_id]],Table5[app_id],Table5[category],"",0)</f>
        <v>Health</v>
      </c>
      <c r="E1098" t="s">
        <v>546</v>
      </c>
      <c r="F1098" t="s">
        <v>538</v>
      </c>
      <c r="G1098" t="s">
        <v>69</v>
      </c>
      <c r="H1098" t="s">
        <v>540</v>
      </c>
      <c r="I1098">
        <v>88</v>
      </c>
      <c r="J1098">
        <v>5.2</v>
      </c>
      <c r="K1098" t="s">
        <v>257</v>
      </c>
      <c r="L1098" t="s">
        <v>258</v>
      </c>
      <c r="M1098" t="s">
        <v>257</v>
      </c>
      <c r="N1098" s="5">
        <v>12.47</v>
      </c>
    </row>
    <row r="1099" spans="1:14" x14ac:dyDescent="0.25">
      <c r="A1099" t="s">
        <v>1640</v>
      </c>
      <c r="B1099" t="s">
        <v>238</v>
      </c>
      <c r="C1099" t="str">
        <f>_xlfn.XLOOKUP(Table6[[#This Row],[app_id]],Table5[app_id],Table5[app_name],"",0)</f>
        <v>MediNow</v>
      </c>
      <c r="D1099" t="str">
        <f>_xlfn.XLOOKUP(Table6[[#This Row],[app_id]],Table5[app_id],Table5[category],"",0)</f>
        <v>Health</v>
      </c>
      <c r="E1099" t="s">
        <v>537</v>
      </c>
      <c r="F1099" t="s">
        <v>548</v>
      </c>
      <c r="G1099" t="s">
        <v>69</v>
      </c>
      <c r="H1099" t="s">
        <v>535</v>
      </c>
      <c r="I1099">
        <v>81</v>
      </c>
      <c r="J1099">
        <v>23.4</v>
      </c>
      <c r="K1099" t="s">
        <v>257</v>
      </c>
      <c r="L1099" t="s">
        <v>257</v>
      </c>
      <c r="M1099" t="s">
        <v>258</v>
      </c>
      <c r="N1099" s="5">
        <v>0</v>
      </c>
    </row>
    <row r="1100" spans="1:14" x14ac:dyDescent="0.25">
      <c r="A1100" t="s">
        <v>1641</v>
      </c>
      <c r="B1100" t="s">
        <v>240</v>
      </c>
      <c r="C1100" t="str">
        <f>_xlfn.XLOOKUP(Table6[[#This Row],[app_id]],Table5[app_id],Table5[app_name],"",0)</f>
        <v>MindPlus</v>
      </c>
      <c r="D1100" t="str">
        <f>_xlfn.XLOOKUP(Table6[[#This Row],[app_id]],Table5[app_id],Table5[category],"",0)</f>
        <v>Health</v>
      </c>
      <c r="E1100" t="s">
        <v>537</v>
      </c>
      <c r="F1100" t="s">
        <v>538</v>
      </c>
      <c r="G1100" t="s">
        <v>26</v>
      </c>
      <c r="H1100" t="s">
        <v>535</v>
      </c>
      <c r="I1100">
        <v>83</v>
      </c>
      <c r="J1100">
        <v>5.9</v>
      </c>
      <c r="K1100" t="s">
        <v>257</v>
      </c>
      <c r="L1100" t="s">
        <v>257</v>
      </c>
      <c r="M1100" t="s">
        <v>258</v>
      </c>
      <c r="N1100" s="5">
        <v>0</v>
      </c>
    </row>
    <row r="1101" spans="1:14" x14ac:dyDescent="0.25">
      <c r="A1101" t="s">
        <v>1642</v>
      </c>
      <c r="B1101" t="s">
        <v>242</v>
      </c>
      <c r="C1101" t="str">
        <f>_xlfn.XLOOKUP(Table6[[#This Row],[app_id]],Table5[app_id],Table5[app_name],"",0)</f>
        <v>MediCloud</v>
      </c>
      <c r="D1101" t="str">
        <f>_xlfn.XLOOKUP(Table6[[#This Row],[app_id]],Table5[app_id],Table5[category],"",0)</f>
        <v>Health</v>
      </c>
      <c r="E1101" t="s">
        <v>537</v>
      </c>
      <c r="F1101" t="s">
        <v>538</v>
      </c>
      <c r="G1101" t="s">
        <v>30</v>
      </c>
      <c r="H1101" t="s">
        <v>535</v>
      </c>
      <c r="I1101">
        <v>47</v>
      </c>
      <c r="J1101">
        <v>4.5</v>
      </c>
      <c r="K1101" t="s">
        <v>257</v>
      </c>
      <c r="L1101" t="s">
        <v>258</v>
      </c>
      <c r="M1101" t="s">
        <v>258</v>
      </c>
      <c r="N1101" s="5">
        <v>0</v>
      </c>
    </row>
    <row r="1102" spans="1:14" x14ac:dyDescent="0.25">
      <c r="A1102" t="s">
        <v>1643</v>
      </c>
      <c r="B1102" t="s">
        <v>12</v>
      </c>
      <c r="C1102" t="str">
        <f>_xlfn.XLOOKUP(Table6[[#This Row],[app_id]],Table5[app_id],Table5[app_name],"",0)</f>
        <v>InvestPro</v>
      </c>
      <c r="D1102" t="str">
        <f>_xlfn.XLOOKUP(Table6[[#This Row],[app_id]],Table5[app_id],Table5[category],"",0)</f>
        <v>Finance</v>
      </c>
      <c r="E1102" t="s">
        <v>533</v>
      </c>
      <c r="F1102" t="s">
        <v>534</v>
      </c>
      <c r="G1102" t="s">
        <v>46</v>
      </c>
      <c r="H1102" t="s">
        <v>535</v>
      </c>
      <c r="I1102">
        <v>21</v>
      </c>
      <c r="J1102">
        <v>18.600000000000001</v>
      </c>
      <c r="K1102" t="s">
        <v>258</v>
      </c>
      <c r="L1102" t="s">
        <v>257</v>
      </c>
      <c r="M1102" t="s">
        <v>258</v>
      </c>
      <c r="N1102" s="5">
        <v>29.06</v>
      </c>
    </row>
    <row r="1103" spans="1:14" x14ac:dyDescent="0.25">
      <c r="A1103" t="s">
        <v>1644</v>
      </c>
      <c r="B1103" t="s">
        <v>19</v>
      </c>
      <c r="C1103" t="str">
        <f>_xlfn.XLOOKUP(Table6[[#This Row],[app_id]],Table5[app_id],Table5[app_name],"",0)</f>
        <v>BankPro</v>
      </c>
      <c r="D1103" t="str">
        <f>_xlfn.XLOOKUP(Table6[[#This Row],[app_id]],Table5[app_id],Table5[category],"",0)</f>
        <v>Finance</v>
      </c>
      <c r="E1103" t="s">
        <v>537</v>
      </c>
      <c r="F1103" t="s">
        <v>538</v>
      </c>
      <c r="G1103" t="s">
        <v>69</v>
      </c>
      <c r="H1103" t="s">
        <v>540</v>
      </c>
      <c r="I1103">
        <v>87</v>
      </c>
      <c r="J1103">
        <v>11.4</v>
      </c>
      <c r="K1103" t="s">
        <v>257</v>
      </c>
      <c r="L1103" t="s">
        <v>257</v>
      </c>
      <c r="M1103" t="s">
        <v>257</v>
      </c>
      <c r="N1103" s="5">
        <v>5.56</v>
      </c>
    </row>
    <row r="1104" spans="1:14" x14ac:dyDescent="0.25">
      <c r="A1104" t="s">
        <v>1645</v>
      </c>
      <c r="B1104" t="s">
        <v>24</v>
      </c>
      <c r="C1104" t="str">
        <f>_xlfn.XLOOKUP(Table6[[#This Row],[app_id]],Table5[app_id],Table5[app_name],"",0)</f>
        <v>BankX</v>
      </c>
      <c r="D1104" t="str">
        <f>_xlfn.XLOOKUP(Table6[[#This Row],[app_id]],Table5[app_id],Table5[category],"",0)</f>
        <v>Finance</v>
      </c>
      <c r="E1104" t="s">
        <v>533</v>
      </c>
      <c r="F1104" t="s">
        <v>538</v>
      </c>
      <c r="G1104" t="s">
        <v>26</v>
      </c>
      <c r="H1104" t="s">
        <v>535</v>
      </c>
      <c r="I1104">
        <v>21</v>
      </c>
      <c r="J1104">
        <v>16.5</v>
      </c>
      <c r="K1104" t="s">
        <v>257</v>
      </c>
      <c r="L1104" t="s">
        <v>258</v>
      </c>
      <c r="M1104" t="s">
        <v>258</v>
      </c>
      <c r="N1104" s="5">
        <v>0</v>
      </c>
    </row>
    <row r="1105" spans="1:14" x14ac:dyDescent="0.25">
      <c r="A1105" t="s">
        <v>1646</v>
      </c>
      <c r="B1105" t="s">
        <v>27</v>
      </c>
      <c r="C1105" t="str">
        <f>_xlfn.XLOOKUP(Table6[[#This Row],[app_id]],Table5[app_id],Table5[app_name],"",0)</f>
        <v>BankNow</v>
      </c>
      <c r="D1105" t="str">
        <f>_xlfn.XLOOKUP(Table6[[#This Row],[app_id]],Table5[app_id],Table5[category],"",0)</f>
        <v>Finance</v>
      </c>
      <c r="E1105" t="s">
        <v>557</v>
      </c>
      <c r="F1105" t="s">
        <v>538</v>
      </c>
      <c r="G1105" t="s">
        <v>30</v>
      </c>
      <c r="H1105" t="s">
        <v>535</v>
      </c>
      <c r="I1105">
        <v>67</v>
      </c>
      <c r="J1105">
        <v>23.3</v>
      </c>
      <c r="K1105" t="s">
        <v>257</v>
      </c>
      <c r="L1105" t="s">
        <v>257</v>
      </c>
      <c r="M1105" t="s">
        <v>258</v>
      </c>
      <c r="N1105" s="5">
        <v>0</v>
      </c>
    </row>
    <row r="1106" spans="1:14" x14ac:dyDescent="0.25">
      <c r="A1106" t="s">
        <v>1647</v>
      </c>
      <c r="B1106" t="s">
        <v>31</v>
      </c>
      <c r="C1106" t="str">
        <f>_xlfn.XLOOKUP(Table6[[#This Row],[app_id]],Table5[app_id],Table5[app_name],"",0)</f>
        <v>CreditHub</v>
      </c>
      <c r="D1106" t="str">
        <f>_xlfn.XLOOKUP(Table6[[#This Row],[app_id]],Table5[app_id],Table5[category],"",0)</f>
        <v>Finance</v>
      </c>
      <c r="E1106" t="s">
        <v>546</v>
      </c>
      <c r="F1106" t="s">
        <v>534</v>
      </c>
      <c r="G1106" t="s">
        <v>46</v>
      </c>
      <c r="H1106" t="s">
        <v>535</v>
      </c>
      <c r="I1106">
        <v>45</v>
      </c>
      <c r="J1106">
        <v>19</v>
      </c>
      <c r="K1106" t="s">
        <v>257</v>
      </c>
      <c r="L1106" t="s">
        <v>257</v>
      </c>
      <c r="M1106" t="s">
        <v>258</v>
      </c>
      <c r="N1106" s="5">
        <v>10.47</v>
      </c>
    </row>
    <row r="1107" spans="1:14" x14ac:dyDescent="0.25">
      <c r="A1107" t="s">
        <v>1648</v>
      </c>
      <c r="B1107" t="s">
        <v>36</v>
      </c>
      <c r="C1107" t="str">
        <f>_xlfn.XLOOKUP(Table6[[#This Row],[app_id]],Table5[app_id],Table5[app_name],"",0)</f>
        <v>PayPlus</v>
      </c>
      <c r="D1107" t="str">
        <f>_xlfn.XLOOKUP(Table6[[#This Row],[app_id]],Table5[app_id],Table5[category],"",0)</f>
        <v>Finance</v>
      </c>
      <c r="E1107" t="s">
        <v>537</v>
      </c>
      <c r="F1107" t="s">
        <v>534</v>
      </c>
      <c r="G1107" t="s">
        <v>23</v>
      </c>
      <c r="H1107" t="s">
        <v>540</v>
      </c>
      <c r="I1107">
        <v>48</v>
      </c>
      <c r="J1107">
        <v>12.1</v>
      </c>
      <c r="K1107" t="s">
        <v>257</v>
      </c>
      <c r="L1107" t="s">
        <v>257</v>
      </c>
      <c r="M1107" t="s">
        <v>257</v>
      </c>
      <c r="N1107" s="5">
        <v>0</v>
      </c>
    </row>
    <row r="1108" spans="1:14" x14ac:dyDescent="0.25">
      <c r="A1108" t="s">
        <v>1649</v>
      </c>
      <c r="B1108" t="s">
        <v>39</v>
      </c>
      <c r="C1108" t="str">
        <f>_xlfn.XLOOKUP(Table6[[#This Row],[app_id]],Table5[app_id],Table5[app_name],"",0)</f>
        <v>BankPlus</v>
      </c>
      <c r="D1108" t="str">
        <f>_xlfn.XLOOKUP(Table6[[#This Row],[app_id]],Table5[app_id],Table5[category],"",0)</f>
        <v>Finance</v>
      </c>
      <c r="E1108" t="s">
        <v>546</v>
      </c>
      <c r="F1108" t="s">
        <v>534</v>
      </c>
      <c r="G1108" t="s">
        <v>69</v>
      </c>
      <c r="H1108" t="s">
        <v>535</v>
      </c>
      <c r="I1108">
        <v>18</v>
      </c>
      <c r="J1108">
        <v>20.5</v>
      </c>
      <c r="K1108" t="s">
        <v>258</v>
      </c>
      <c r="L1108" t="s">
        <v>257</v>
      </c>
      <c r="M1108" t="s">
        <v>258</v>
      </c>
      <c r="N1108" s="5">
        <v>40.020000000000003</v>
      </c>
    </row>
    <row r="1109" spans="1:14" x14ac:dyDescent="0.25">
      <c r="A1109" t="s">
        <v>1650</v>
      </c>
      <c r="B1109" t="s">
        <v>42</v>
      </c>
      <c r="C1109" t="str">
        <f>_xlfn.XLOOKUP(Table6[[#This Row],[app_id]],Table5[app_id],Table5[app_name],"",0)</f>
        <v>CoinPlus</v>
      </c>
      <c r="D1109" t="str">
        <f>_xlfn.XLOOKUP(Table6[[#This Row],[app_id]],Table5[app_id],Table5[category],"",0)</f>
        <v>Finance</v>
      </c>
      <c r="E1109" t="s">
        <v>537</v>
      </c>
      <c r="F1109" t="s">
        <v>534</v>
      </c>
      <c r="G1109" t="s">
        <v>69</v>
      </c>
      <c r="H1109" t="s">
        <v>535</v>
      </c>
      <c r="I1109">
        <v>25</v>
      </c>
      <c r="J1109">
        <v>20.8</v>
      </c>
      <c r="K1109" t="s">
        <v>257</v>
      </c>
      <c r="L1109" t="s">
        <v>257</v>
      </c>
      <c r="M1109" t="s">
        <v>258</v>
      </c>
      <c r="N1109" s="5">
        <v>10.78</v>
      </c>
    </row>
    <row r="1110" spans="1:14" x14ac:dyDescent="0.25">
      <c r="A1110" t="s">
        <v>1651</v>
      </c>
      <c r="B1110" t="s">
        <v>47</v>
      </c>
      <c r="C1110" t="str">
        <f>_xlfn.XLOOKUP(Table6[[#This Row],[app_id]],Table5[app_id],Table5[app_name],"",0)</f>
        <v>CreditOne</v>
      </c>
      <c r="D1110" t="str">
        <f>_xlfn.XLOOKUP(Table6[[#This Row],[app_id]],Table5[app_id],Table5[category],"",0)</f>
        <v>Finance</v>
      </c>
      <c r="E1110" t="s">
        <v>552</v>
      </c>
      <c r="F1110" t="s">
        <v>534</v>
      </c>
      <c r="G1110" t="s">
        <v>23</v>
      </c>
      <c r="H1110" t="s">
        <v>535</v>
      </c>
      <c r="I1110">
        <v>47</v>
      </c>
      <c r="J1110">
        <v>23.1</v>
      </c>
      <c r="K1110" t="s">
        <v>257</v>
      </c>
      <c r="L1110" t="s">
        <v>258</v>
      </c>
      <c r="M1110" t="s">
        <v>257</v>
      </c>
      <c r="N1110" s="5">
        <v>0</v>
      </c>
    </row>
    <row r="1111" spans="1:14" x14ac:dyDescent="0.25">
      <c r="A1111" t="s">
        <v>1652</v>
      </c>
      <c r="B1111" t="s">
        <v>49</v>
      </c>
      <c r="C1111" t="str">
        <f>_xlfn.XLOOKUP(Table6[[#This Row],[app_id]],Table5[app_id],Table5[app_name],"",0)</f>
        <v>PayPro</v>
      </c>
      <c r="D1111" t="str">
        <f>_xlfn.XLOOKUP(Table6[[#This Row],[app_id]],Table5[app_id],Table5[category],"",0)</f>
        <v>Finance</v>
      </c>
      <c r="E1111" t="s">
        <v>546</v>
      </c>
      <c r="F1111" t="s">
        <v>534</v>
      </c>
      <c r="G1111" t="s">
        <v>46</v>
      </c>
      <c r="H1111" t="s">
        <v>540</v>
      </c>
      <c r="I1111">
        <v>94</v>
      </c>
      <c r="J1111">
        <v>10.9</v>
      </c>
      <c r="K1111" t="s">
        <v>257</v>
      </c>
      <c r="L1111" t="s">
        <v>257</v>
      </c>
      <c r="M1111" t="s">
        <v>258</v>
      </c>
      <c r="N1111" s="5">
        <v>14.07</v>
      </c>
    </row>
    <row r="1112" spans="1:14" x14ac:dyDescent="0.25">
      <c r="A1112" t="s">
        <v>1653</v>
      </c>
      <c r="B1112" t="s">
        <v>51</v>
      </c>
      <c r="C1112" t="str">
        <f>_xlfn.XLOOKUP(Table6[[#This Row],[app_id]],Table5[app_id],Table5[app_name],"",0)</f>
        <v>Creditly</v>
      </c>
      <c r="D1112" t="str">
        <f>_xlfn.XLOOKUP(Table6[[#This Row],[app_id]],Table5[app_id],Table5[category],"",0)</f>
        <v>Finance</v>
      </c>
      <c r="E1112" t="s">
        <v>546</v>
      </c>
      <c r="F1112" t="s">
        <v>538</v>
      </c>
      <c r="G1112" t="s">
        <v>61</v>
      </c>
      <c r="H1112" t="s">
        <v>535</v>
      </c>
      <c r="I1112">
        <v>2</v>
      </c>
      <c r="J1112">
        <v>19.2</v>
      </c>
      <c r="K1112" t="s">
        <v>258</v>
      </c>
      <c r="L1112" t="s">
        <v>258</v>
      </c>
      <c r="M1112" t="s">
        <v>257</v>
      </c>
      <c r="N1112" s="5">
        <v>0</v>
      </c>
    </row>
    <row r="1113" spans="1:14" x14ac:dyDescent="0.25">
      <c r="A1113" t="s">
        <v>1654</v>
      </c>
      <c r="B1113" t="s">
        <v>53</v>
      </c>
      <c r="C1113" t="str">
        <f>_xlfn.XLOOKUP(Table6[[#This Row],[app_id]],Table5[app_id],Table5[app_name],"",0)</f>
        <v>PayX</v>
      </c>
      <c r="D1113" t="str">
        <f>_xlfn.XLOOKUP(Table6[[#This Row],[app_id]],Table5[app_id],Table5[category],"",0)</f>
        <v>Finance</v>
      </c>
      <c r="E1113" t="s">
        <v>533</v>
      </c>
      <c r="F1113" t="s">
        <v>538</v>
      </c>
      <c r="G1113" t="s">
        <v>69</v>
      </c>
      <c r="H1113" t="s">
        <v>535</v>
      </c>
      <c r="I1113">
        <v>48</v>
      </c>
      <c r="J1113">
        <v>11.6</v>
      </c>
      <c r="K1113" t="s">
        <v>257</v>
      </c>
      <c r="L1113" t="s">
        <v>257</v>
      </c>
      <c r="M1113" t="s">
        <v>257</v>
      </c>
      <c r="N1113" s="5">
        <v>36.450000000000003</v>
      </c>
    </row>
    <row r="1114" spans="1:14" x14ac:dyDescent="0.25">
      <c r="A1114" t="s">
        <v>1655</v>
      </c>
      <c r="B1114" t="s">
        <v>56</v>
      </c>
      <c r="C1114" t="str">
        <f>_xlfn.XLOOKUP(Table6[[#This Row],[app_id]],Table5[app_id],Table5[app_name],"",0)</f>
        <v>DealGo</v>
      </c>
      <c r="D1114" t="str">
        <f>_xlfn.XLOOKUP(Table6[[#This Row],[app_id]],Table5[app_id],Table5[category],"",0)</f>
        <v>Shopping</v>
      </c>
      <c r="E1114" t="s">
        <v>533</v>
      </c>
      <c r="F1114" t="s">
        <v>534</v>
      </c>
      <c r="G1114" t="s">
        <v>18</v>
      </c>
      <c r="H1114" t="s">
        <v>535</v>
      </c>
      <c r="I1114">
        <v>40</v>
      </c>
      <c r="J1114">
        <v>23.9</v>
      </c>
      <c r="K1114" t="s">
        <v>257</v>
      </c>
      <c r="L1114" t="s">
        <v>258</v>
      </c>
      <c r="M1114" t="s">
        <v>257</v>
      </c>
      <c r="N1114" s="5">
        <v>0</v>
      </c>
    </row>
    <row r="1115" spans="1:14" x14ac:dyDescent="0.25">
      <c r="A1115" t="s">
        <v>1656</v>
      </c>
      <c r="B1115" t="s">
        <v>62</v>
      </c>
      <c r="C1115" t="str">
        <f>_xlfn.XLOOKUP(Table6[[#This Row],[app_id]],Table5[app_id],Table5[app_name],"",0)</f>
        <v>MallNow</v>
      </c>
      <c r="D1115" t="str">
        <f>_xlfn.XLOOKUP(Table6[[#This Row],[app_id]],Table5[app_id],Table5[category],"",0)</f>
        <v>Shopping</v>
      </c>
      <c r="E1115" t="s">
        <v>546</v>
      </c>
      <c r="F1115" t="s">
        <v>538</v>
      </c>
      <c r="G1115" t="s">
        <v>35</v>
      </c>
      <c r="H1115" t="s">
        <v>535</v>
      </c>
      <c r="I1115">
        <v>13</v>
      </c>
      <c r="J1115">
        <v>14.8</v>
      </c>
      <c r="K1115" t="s">
        <v>258</v>
      </c>
      <c r="L1115" t="s">
        <v>257</v>
      </c>
      <c r="M1115" t="s">
        <v>258</v>
      </c>
      <c r="N1115" s="5">
        <v>49.64</v>
      </c>
    </row>
    <row r="1116" spans="1:14" x14ac:dyDescent="0.25">
      <c r="A1116" t="s">
        <v>1657</v>
      </c>
      <c r="B1116" t="s">
        <v>65</v>
      </c>
      <c r="C1116" t="str">
        <f>_xlfn.XLOOKUP(Table6[[#This Row],[app_id]],Table5[app_id],Table5[app_name],"",0)</f>
        <v>DealPro</v>
      </c>
      <c r="D1116" t="str">
        <f>_xlfn.XLOOKUP(Table6[[#This Row],[app_id]],Table5[app_id],Table5[category],"",0)</f>
        <v>Shopping</v>
      </c>
      <c r="E1116" t="s">
        <v>537</v>
      </c>
      <c r="F1116" t="s">
        <v>538</v>
      </c>
      <c r="G1116" t="s">
        <v>46</v>
      </c>
      <c r="H1116" t="s">
        <v>535</v>
      </c>
      <c r="I1116">
        <v>18</v>
      </c>
      <c r="J1116">
        <v>5.8</v>
      </c>
      <c r="K1116" t="s">
        <v>257</v>
      </c>
      <c r="L1116" t="s">
        <v>257</v>
      </c>
      <c r="M1116" t="s">
        <v>258</v>
      </c>
      <c r="N1116" s="5">
        <v>0</v>
      </c>
    </row>
    <row r="1117" spans="1:14" x14ac:dyDescent="0.25">
      <c r="A1117" t="s">
        <v>1658</v>
      </c>
      <c r="B1117" t="s">
        <v>67</v>
      </c>
      <c r="C1117" t="str">
        <f>_xlfn.XLOOKUP(Table6[[#This Row],[app_id]],Table5[app_id],Table5[app_name],"",0)</f>
        <v>StyleNow</v>
      </c>
      <c r="D1117" t="str">
        <f>_xlfn.XLOOKUP(Table6[[#This Row],[app_id]],Table5[app_id],Table5[category],"",0)</f>
        <v>Shopping</v>
      </c>
      <c r="E1117" t="s">
        <v>537</v>
      </c>
      <c r="F1117" t="s">
        <v>538</v>
      </c>
      <c r="G1117" t="s">
        <v>46</v>
      </c>
      <c r="H1117" t="s">
        <v>535</v>
      </c>
      <c r="I1117">
        <v>84</v>
      </c>
      <c r="J1117">
        <v>13.3</v>
      </c>
      <c r="K1117" t="s">
        <v>257</v>
      </c>
      <c r="L1117" t="s">
        <v>257</v>
      </c>
      <c r="M1117" t="s">
        <v>257</v>
      </c>
      <c r="N1117" s="5">
        <v>0</v>
      </c>
    </row>
    <row r="1118" spans="1:14" x14ac:dyDescent="0.25">
      <c r="A1118" t="s">
        <v>1659</v>
      </c>
      <c r="B1118" t="s">
        <v>70</v>
      </c>
      <c r="C1118" t="str">
        <f>_xlfn.XLOOKUP(Table6[[#This Row],[app_id]],Table5[app_id],Table5[app_name],"",0)</f>
        <v>DealCloud</v>
      </c>
      <c r="D1118" t="str">
        <f>_xlfn.XLOOKUP(Table6[[#This Row],[app_id]],Table5[app_id],Table5[category],"",0)</f>
        <v>Shopping</v>
      </c>
      <c r="E1118" t="s">
        <v>537</v>
      </c>
      <c r="F1118" t="s">
        <v>534</v>
      </c>
      <c r="G1118" t="s">
        <v>46</v>
      </c>
      <c r="H1118" t="s">
        <v>535</v>
      </c>
      <c r="I1118">
        <v>49</v>
      </c>
      <c r="J1118">
        <v>5.6</v>
      </c>
      <c r="K1118" t="s">
        <v>257</v>
      </c>
      <c r="L1118" t="s">
        <v>257</v>
      </c>
      <c r="M1118" t="s">
        <v>258</v>
      </c>
      <c r="N1118" s="5">
        <v>32.57</v>
      </c>
    </row>
    <row r="1119" spans="1:14" x14ac:dyDescent="0.25">
      <c r="A1119" t="s">
        <v>1660</v>
      </c>
      <c r="B1119" t="s">
        <v>72</v>
      </c>
      <c r="C1119" t="str">
        <f>_xlfn.XLOOKUP(Table6[[#This Row],[app_id]],Table5[app_id],Table5[app_name],"",0)</f>
        <v>CartCloud</v>
      </c>
      <c r="D1119" t="str">
        <f>_xlfn.XLOOKUP(Table6[[#This Row],[app_id]],Table5[app_id],Table5[category],"",0)</f>
        <v>Shopping</v>
      </c>
      <c r="E1119" t="s">
        <v>546</v>
      </c>
      <c r="F1119" t="s">
        <v>534</v>
      </c>
      <c r="G1119" t="s">
        <v>18</v>
      </c>
      <c r="H1119" t="s">
        <v>535</v>
      </c>
      <c r="I1119">
        <v>14</v>
      </c>
      <c r="J1119">
        <v>12.1</v>
      </c>
      <c r="K1119" t="s">
        <v>258</v>
      </c>
      <c r="L1119" t="s">
        <v>257</v>
      </c>
      <c r="M1119" t="s">
        <v>257</v>
      </c>
      <c r="N1119" s="5">
        <v>0</v>
      </c>
    </row>
    <row r="1120" spans="1:14" x14ac:dyDescent="0.25">
      <c r="A1120" t="s">
        <v>1661</v>
      </c>
      <c r="B1120" t="s">
        <v>74</v>
      </c>
      <c r="C1120" t="str">
        <f>_xlfn.XLOOKUP(Table6[[#This Row],[app_id]],Table5[app_id],Table5[app_name],"",0)</f>
        <v>CartMate</v>
      </c>
      <c r="D1120" t="str">
        <f>_xlfn.XLOOKUP(Table6[[#This Row],[app_id]],Table5[app_id],Table5[category],"",0)</f>
        <v>Shopping</v>
      </c>
      <c r="E1120" t="s">
        <v>533</v>
      </c>
      <c r="F1120" t="s">
        <v>628</v>
      </c>
      <c r="G1120" t="s">
        <v>35</v>
      </c>
      <c r="H1120" t="s">
        <v>535</v>
      </c>
      <c r="I1120">
        <v>20</v>
      </c>
      <c r="J1120">
        <v>8.4</v>
      </c>
      <c r="K1120" t="s">
        <v>258</v>
      </c>
      <c r="L1120" t="s">
        <v>257</v>
      </c>
      <c r="M1120" t="s">
        <v>258</v>
      </c>
      <c r="N1120" s="5">
        <v>27.07</v>
      </c>
    </row>
    <row r="1121" spans="1:14" x14ac:dyDescent="0.25">
      <c r="A1121" t="s">
        <v>1662</v>
      </c>
      <c r="B1121" t="s">
        <v>76</v>
      </c>
      <c r="C1121" t="str">
        <f>_xlfn.XLOOKUP(Table6[[#This Row],[app_id]],Table5[app_id],Table5[app_name],"",0)</f>
        <v>BazaarOne</v>
      </c>
      <c r="D1121" t="str">
        <f>_xlfn.XLOOKUP(Table6[[#This Row],[app_id]],Table5[app_id],Table5[category],"",0)</f>
        <v>Shopping</v>
      </c>
      <c r="E1121" t="s">
        <v>533</v>
      </c>
      <c r="F1121" t="s">
        <v>534</v>
      </c>
      <c r="G1121" t="s">
        <v>46</v>
      </c>
      <c r="H1121" t="s">
        <v>535</v>
      </c>
      <c r="I1121">
        <v>22</v>
      </c>
      <c r="J1121">
        <v>7.6</v>
      </c>
      <c r="K1121" t="s">
        <v>258</v>
      </c>
      <c r="L1121" t="s">
        <v>258</v>
      </c>
      <c r="M1121" t="s">
        <v>257</v>
      </c>
      <c r="N1121" s="5">
        <v>0</v>
      </c>
    </row>
    <row r="1122" spans="1:14" x14ac:dyDescent="0.25">
      <c r="A1122" t="s">
        <v>1663</v>
      </c>
      <c r="B1122" t="s">
        <v>78</v>
      </c>
      <c r="C1122" t="str">
        <f>_xlfn.XLOOKUP(Table6[[#This Row],[app_id]],Table5[app_id],Table5[app_name],"",0)</f>
        <v>StyleOne</v>
      </c>
      <c r="D1122" t="str">
        <f>_xlfn.XLOOKUP(Table6[[#This Row],[app_id]],Table5[app_id],Table5[category],"",0)</f>
        <v>Shopping</v>
      </c>
      <c r="E1122" t="s">
        <v>533</v>
      </c>
      <c r="F1122" t="s">
        <v>538</v>
      </c>
      <c r="G1122" t="s">
        <v>46</v>
      </c>
      <c r="H1122" t="s">
        <v>535</v>
      </c>
      <c r="I1122">
        <v>71</v>
      </c>
      <c r="J1122">
        <v>6.2</v>
      </c>
      <c r="K1122" t="s">
        <v>257</v>
      </c>
      <c r="L1122" t="s">
        <v>257</v>
      </c>
      <c r="M1122" t="s">
        <v>258</v>
      </c>
      <c r="N1122" s="5">
        <v>45.1</v>
      </c>
    </row>
    <row r="1123" spans="1:14" x14ac:dyDescent="0.25">
      <c r="A1123" t="s">
        <v>1664</v>
      </c>
      <c r="B1123" t="s">
        <v>80</v>
      </c>
      <c r="C1123" t="str">
        <f>_xlfn.XLOOKUP(Table6[[#This Row],[app_id]],Table5[app_id],Table5[app_name],"",0)</f>
        <v>Cartly</v>
      </c>
      <c r="D1123" t="str">
        <f>_xlfn.XLOOKUP(Table6[[#This Row],[app_id]],Table5[app_id],Table5[category],"",0)</f>
        <v>Shopping</v>
      </c>
      <c r="E1123" t="s">
        <v>533</v>
      </c>
      <c r="F1123" t="s">
        <v>538</v>
      </c>
      <c r="G1123" t="s">
        <v>61</v>
      </c>
      <c r="H1123" t="s">
        <v>535</v>
      </c>
      <c r="I1123">
        <v>19</v>
      </c>
      <c r="J1123">
        <v>11.4</v>
      </c>
      <c r="K1123" t="s">
        <v>258</v>
      </c>
      <c r="L1123" t="s">
        <v>258</v>
      </c>
      <c r="M1123" t="s">
        <v>258</v>
      </c>
      <c r="N1123" s="5">
        <v>95.74</v>
      </c>
    </row>
    <row r="1124" spans="1:14" x14ac:dyDescent="0.25">
      <c r="A1124" t="s">
        <v>1665</v>
      </c>
      <c r="B1124" t="s">
        <v>83</v>
      </c>
      <c r="C1124" t="str">
        <f>_xlfn.XLOOKUP(Table6[[#This Row],[app_id]],Table5[app_id],Table5[app_name],"",0)</f>
        <v>BazaarCloud</v>
      </c>
      <c r="D1124" t="str">
        <f>_xlfn.XLOOKUP(Table6[[#This Row],[app_id]],Table5[app_id],Table5[category],"",0)</f>
        <v>Shopping</v>
      </c>
      <c r="E1124" t="s">
        <v>533</v>
      </c>
      <c r="F1124" t="s">
        <v>534</v>
      </c>
      <c r="G1124" t="s">
        <v>30</v>
      </c>
      <c r="H1124" t="s">
        <v>535</v>
      </c>
      <c r="I1124">
        <v>44</v>
      </c>
      <c r="J1124">
        <v>18.2</v>
      </c>
      <c r="K1124" t="s">
        <v>257</v>
      </c>
      <c r="L1124" t="s">
        <v>257</v>
      </c>
      <c r="M1124" t="s">
        <v>258</v>
      </c>
      <c r="N1124" s="5">
        <v>0</v>
      </c>
    </row>
    <row r="1125" spans="1:14" x14ac:dyDescent="0.25">
      <c r="A1125" t="s">
        <v>1666</v>
      </c>
      <c r="B1125" t="s">
        <v>85</v>
      </c>
      <c r="C1125" t="str">
        <f>_xlfn.XLOOKUP(Table6[[#This Row],[app_id]],Table5[app_id],Table5[app_name],"",0)</f>
        <v>CartPro</v>
      </c>
      <c r="D1125" t="str">
        <f>_xlfn.XLOOKUP(Table6[[#This Row],[app_id]],Table5[app_id],Table5[category],"",0)</f>
        <v>Shopping</v>
      </c>
      <c r="E1125" t="s">
        <v>552</v>
      </c>
      <c r="F1125" t="s">
        <v>534</v>
      </c>
      <c r="G1125" t="s">
        <v>18</v>
      </c>
      <c r="H1125" t="s">
        <v>540</v>
      </c>
      <c r="I1125">
        <v>21</v>
      </c>
      <c r="J1125">
        <v>6.9</v>
      </c>
      <c r="K1125" t="s">
        <v>258</v>
      </c>
      <c r="L1125" t="s">
        <v>257</v>
      </c>
      <c r="M1125" t="s">
        <v>258</v>
      </c>
      <c r="N1125" s="5">
        <v>0</v>
      </c>
    </row>
    <row r="1126" spans="1:14" x14ac:dyDescent="0.25">
      <c r="A1126" t="s">
        <v>1667</v>
      </c>
      <c r="B1126" t="s">
        <v>87</v>
      </c>
      <c r="C1126" t="str">
        <f>_xlfn.XLOOKUP(Table6[[#This Row],[app_id]],Table5[app_id],Table5[app_name],"",0)</f>
        <v>RunPlus</v>
      </c>
      <c r="D1126" t="str">
        <f>_xlfn.XLOOKUP(Table6[[#This Row],[app_id]],Table5[app_id],Table5[category],"",0)</f>
        <v>Fitness</v>
      </c>
      <c r="E1126" t="s">
        <v>546</v>
      </c>
      <c r="F1126" t="s">
        <v>538</v>
      </c>
      <c r="G1126" t="s">
        <v>46</v>
      </c>
      <c r="H1126" t="s">
        <v>535</v>
      </c>
      <c r="I1126">
        <v>68</v>
      </c>
      <c r="J1126">
        <v>36.6</v>
      </c>
      <c r="K1126" t="s">
        <v>257</v>
      </c>
      <c r="L1126" t="s">
        <v>257</v>
      </c>
      <c r="M1126" t="s">
        <v>258</v>
      </c>
      <c r="N1126" s="5">
        <v>0</v>
      </c>
    </row>
    <row r="1127" spans="1:14" x14ac:dyDescent="0.25">
      <c r="A1127" t="s">
        <v>1668</v>
      </c>
      <c r="B1127" t="s">
        <v>90</v>
      </c>
      <c r="C1127" t="str">
        <f>_xlfn.XLOOKUP(Table6[[#This Row],[app_id]],Table5[app_id],Table5[app_name],"",0)</f>
        <v>TrainCloud</v>
      </c>
      <c r="D1127" t="str">
        <f>_xlfn.XLOOKUP(Table6[[#This Row],[app_id]],Table5[app_id],Table5[category],"",0)</f>
        <v>Fitness</v>
      </c>
      <c r="E1127" t="s">
        <v>533</v>
      </c>
      <c r="F1127" t="s">
        <v>538</v>
      </c>
      <c r="G1127" t="s">
        <v>69</v>
      </c>
      <c r="H1127" t="s">
        <v>535</v>
      </c>
      <c r="I1127">
        <v>22</v>
      </c>
      <c r="J1127">
        <v>26.3</v>
      </c>
      <c r="K1127" t="s">
        <v>258</v>
      </c>
      <c r="L1127" t="s">
        <v>257</v>
      </c>
      <c r="M1127" t="s">
        <v>258</v>
      </c>
      <c r="N1127" s="5">
        <v>0</v>
      </c>
    </row>
    <row r="1128" spans="1:14" x14ac:dyDescent="0.25">
      <c r="A1128" t="s">
        <v>1669</v>
      </c>
      <c r="B1128" t="s">
        <v>92</v>
      </c>
      <c r="C1128" t="str">
        <f>_xlfn.XLOOKUP(Table6[[#This Row],[app_id]],Table5[app_id],Table5[app_name],"",0)</f>
        <v>Trainly</v>
      </c>
      <c r="D1128" t="str">
        <f>_xlfn.XLOOKUP(Table6[[#This Row],[app_id]],Table5[app_id],Table5[category],"",0)</f>
        <v>Fitness</v>
      </c>
      <c r="E1128" t="s">
        <v>533</v>
      </c>
      <c r="F1128" t="s">
        <v>534</v>
      </c>
      <c r="G1128" t="s">
        <v>46</v>
      </c>
      <c r="H1128" t="s">
        <v>540</v>
      </c>
      <c r="I1128">
        <v>77</v>
      </c>
      <c r="J1128">
        <v>25.6</v>
      </c>
      <c r="K1128" t="s">
        <v>257</v>
      </c>
      <c r="L1128" t="s">
        <v>257</v>
      </c>
      <c r="M1128" t="s">
        <v>258</v>
      </c>
      <c r="N1128" s="5">
        <v>0</v>
      </c>
    </row>
    <row r="1129" spans="1:14" x14ac:dyDescent="0.25">
      <c r="A1129" t="s">
        <v>1670</v>
      </c>
      <c r="B1129" t="s">
        <v>94</v>
      </c>
      <c r="C1129" t="str">
        <f>_xlfn.XLOOKUP(Table6[[#This Row],[app_id]],Table5[app_id],Table5[app_name],"",0)</f>
        <v>LiftCloud</v>
      </c>
      <c r="D1129" t="str">
        <f>_xlfn.XLOOKUP(Table6[[#This Row],[app_id]],Table5[app_id],Table5[category],"",0)</f>
        <v>Fitness</v>
      </c>
      <c r="E1129" t="s">
        <v>533</v>
      </c>
      <c r="F1129" t="s">
        <v>538</v>
      </c>
      <c r="G1129" t="s">
        <v>30</v>
      </c>
      <c r="H1129" t="s">
        <v>535</v>
      </c>
      <c r="I1129">
        <v>8</v>
      </c>
      <c r="J1129">
        <v>33.200000000000003</v>
      </c>
      <c r="K1129" t="s">
        <v>258</v>
      </c>
      <c r="L1129" t="s">
        <v>258</v>
      </c>
      <c r="M1129" t="s">
        <v>257</v>
      </c>
      <c r="N1129" s="5">
        <v>0</v>
      </c>
    </row>
    <row r="1130" spans="1:14" x14ac:dyDescent="0.25">
      <c r="A1130" t="s">
        <v>1671</v>
      </c>
      <c r="B1130" t="s">
        <v>96</v>
      </c>
      <c r="C1130" t="str">
        <f>_xlfn.XLOOKUP(Table6[[#This Row],[app_id]],Table5[app_id],Table5[app_name],"",0)</f>
        <v>MoveNow</v>
      </c>
      <c r="D1130" t="str">
        <f>_xlfn.XLOOKUP(Table6[[#This Row],[app_id]],Table5[app_id],Table5[category],"",0)</f>
        <v>Fitness</v>
      </c>
      <c r="E1130" t="s">
        <v>546</v>
      </c>
      <c r="F1130" t="s">
        <v>534</v>
      </c>
      <c r="G1130" t="s">
        <v>18</v>
      </c>
      <c r="H1130" t="s">
        <v>535</v>
      </c>
      <c r="I1130">
        <v>84</v>
      </c>
      <c r="J1130">
        <v>35.299999999999997</v>
      </c>
      <c r="K1130" t="s">
        <v>257</v>
      </c>
      <c r="L1130" t="s">
        <v>257</v>
      </c>
      <c r="M1130" t="s">
        <v>258</v>
      </c>
      <c r="N1130" s="5">
        <v>68.72</v>
      </c>
    </row>
    <row r="1131" spans="1:14" x14ac:dyDescent="0.25">
      <c r="A1131" t="s">
        <v>1672</v>
      </c>
      <c r="B1131" t="s">
        <v>98</v>
      </c>
      <c r="C1131" t="str">
        <f>_xlfn.XLOOKUP(Table6[[#This Row],[app_id]],Table5[app_id],Table5[app_name],"",0)</f>
        <v>ActiveMate</v>
      </c>
      <c r="D1131" t="str">
        <f>_xlfn.XLOOKUP(Table6[[#This Row],[app_id]],Table5[app_id],Table5[category],"",0)</f>
        <v>Fitness</v>
      </c>
      <c r="E1131" t="s">
        <v>533</v>
      </c>
      <c r="F1131" t="s">
        <v>538</v>
      </c>
      <c r="G1131" t="s">
        <v>69</v>
      </c>
      <c r="H1131" t="s">
        <v>535</v>
      </c>
      <c r="I1131">
        <v>28</v>
      </c>
      <c r="J1131">
        <v>31.7</v>
      </c>
      <c r="K1131" t="s">
        <v>258</v>
      </c>
      <c r="L1131" t="s">
        <v>257</v>
      </c>
      <c r="M1131" t="s">
        <v>258</v>
      </c>
      <c r="N1131" s="5">
        <v>0</v>
      </c>
    </row>
    <row r="1132" spans="1:14" x14ac:dyDescent="0.25">
      <c r="A1132" t="s">
        <v>1673</v>
      </c>
      <c r="B1132" t="s">
        <v>100</v>
      </c>
      <c r="C1132" t="str">
        <f>_xlfn.XLOOKUP(Table6[[#This Row],[app_id]],Table5[app_id],Table5[app_name],"",0)</f>
        <v>RunGo</v>
      </c>
      <c r="D1132" t="str">
        <f>_xlfn.XLOOKUP(Table6[[#This Row],[app_id]],Table5[app_id],Table5[category],"",0)</f>
        <v>Fitness</v>
      </c>
      <c r="E1132" t="s">
        <v>533</v>
      </c>
      <c r="F1132" t="s">
        <v>538</v>
      </c>
      <c r="G1132" t="s">
        <v>46</v>
      </c>
      <c r="H1132" t="s">
        <v>535</v>
      </c>
      <c r="I1132">
        <v>22</v>
      </c>
      <c r="J1132">
        <v>17.3</v>
      </c>
      <c r="K1132" t="s">
        <v>258</v>
      </c>
      <c r="L1132" t="s">
        <v>257</v>
      </c>
      <c r="M1132" t="s">
        <v>258</v>
      </c>
      <c r="N1132" s="5">
        <v>0</v>
      </c>
    </row>
    <row r="1133" spans="1:14" x14ac:dyDescent="0.25">
      <c r="A1133" t="s">
        <v>1674</v>
      </c>
      <c r="B1133" t="s">
        <v>102</v>
      </c>
      <c r="C1133" t="str">
        <f>_xlfn.XLOOKUP(Table6[[#This Row],[app_id]],Table5[app_id],Table5[app_name],"",0)</f>
        <v>LiftPro</v>
      </c>
      <c r="D1133" t="str">
        <f>_xlfn.XLOOKUP(Table6[[#This Row],[app_id]],Table5[app_id],Table5[category],"",0)</f>
        <v>Fitness</v>
      </c>
      <c r="E1133" t="s">
        <v>533</v>
      </c>
      <c r="F1133" t="s">
        <v>534</v>
      </c>
      <c r="G1133" t="s">
        <v>23</v>
      </c>
      <c r="H1133" t="s">
        <v>535</v>
      </c>
      <c r="I1133">
        <v>23</v>
      </c>
      <c r="J1133">
        <v>38.9</v>
      </c>
      <c r="K1133" t="s">
        <v>258</v>
      </c>
      <c r="L1133" t="s">
        <v>257</v>
      </c>
      <c r="M1133" t="s">
        <v>258</v>
      </c>
      <c r="N1133" s="5">
        <v>0</v>
      </c>
    </row>
    <row r="1134" spans="1:14" x14ac:dyDescent="0.25">
      <c r="A1134" t="s">
        <v>1675</v>
      </c>
      <c r="B1134" t="s">
        <v>104</v>
      </c>
      <c r="C1134" t="str">
        <f>_xlfn.XLOOKUP(Table6[[#This Row],[app_id]],Table5[app_id],Table5[app_name],"",0)</f>
        <v>LiftPro</v>
      </c>
      <c r="D1134" t="str">
        <f>_xlfn.XLOOKUP(Table6[[#This Row],[app_id]],Table5[app_id],Table5[category],"",0)</f>
        <v>Fitness</v>
      </c>
      <c r="E1134" t="s">
        <v>546</v>
      </c>
      <c r="F1134" t="s">
        <v>538</v>
      </c>
      <c r="G1134" t="s">
        <v>69</v>
      </c>
      <c r="H1134" t="s">
        <v>535</v>
      </c>
      <c r="I1134">
        <v>67</v>
      </c>
      <c r="J1134">
        <v>14.9</v>
      </c>
      <c r="K1134" t="s">
        <v>257</v>
      </c>
      <c r="L1134" t="s">
        <v>257</v>
      </c>
      <c r="M1134" t="s">
        <v>258</v>
      </c>
      <c r="N1134" s="5">
        <v>0</v>
      </c>
    </row>
    <row r="1135" spans="1:14" x14ac:dyDescent="0.25">
      <c r="A1135" t="s">
        <v>1676</v>
      </c>
      <c r="B1135" t="s">
        <v>105</v>
      </c>
      <c r="C1135" t="str">
        <f>_xlfn.XLOOKUP(Table6[[#This Row],[app_id]],Table5[app_id],Table5[app_name],"",0)</f>
        <v>Liftly</v>
      </c>
      <c r="D1135" t="str">
        <f>_xlfn.XLOOKUP(Table6[[#This Row],[app_id]],Table5[app_id],Table5[category],"",0)</f>
        <v>Fitness</v>
      </c>
      <c r="E1135" t="s">
        <v>546</v>
      </c>
      <c r="F1135" t="s">
        <v>534</v>
      </c>
      <c r="G1135" t="s">
        <v>69</v>
      </c>
      <c r="H1135" t="s">
        <v>535</v>
      </c>
      <c r="I1135">
        <v>33</v>
      </c>
      <c r="J1135">
        <v>10.8</v>
      </c>
      <c r="K1135" t="s">
        <v>257</v>
      </c>
      <c r="L1135" t="s">
        <v>257</v>
      </c>
      <c r="M1135" t="s">
        <v>258</v>
      </c>
      <c r="N1135" s="5">
        <v>0</v>
      </c>
    </row>
    <row r="1136" spans="1:14" x14ac:dyDescent="0.25">
      <c r="A1136" t="s">
        <v>1677</v>
      </c>
      <c r="B1136" t="s">
        <v>107</v>
      </c>
      <c r="C1136" t="str">
        <f>_xlfn.XLOOKUP(Table6[[#This Row],[app_id]],Table5[app_id],Table5[app_name],"",0)</f>
        <v>YogaHub</v>
      </c>
      <c r="D1136" t="str">
        <f>_xlfn.XLOOKUP(Table6[[#This Row],[app_id]],Table5[app_id],Table5[category],"",0)</f>
        <v>Fitness</v>
      </c>
      <c r="E1136" t="s">
        <v>546</v>
      </c>
      <c r="F1136" t="s">
        <v>534</v>
      </c>
      <c r="G1136" t="s">
        <v>35</v>
      </c>
      <c r="H1136" t="s">
        <v>535</v>
      </c>
      <c r="I1136">
        <v>13</v>
      </c>
      <c r="J1136">
        <v>25.5</v>
      </c>
      <c r="K1136" t="s">
        <v>258</v>
      </c>
      <c r="L1136" t="s">
        <v>257</v>
      </c>
      <c r="M1136" t="s">
        <v>258</v>
      </c>
      <c r="N1136" s="5">
        <v>0</v>
      </c>
    </row>
    <row r="1137" spans="1:14" x14ac:dyDescent="0.25">
      <c r="A1137" t="s">
        <v>1678</v>
      </c>
      <c r="B1137" t="s">
        <v>109</v>
      </c>
      <c r="C1137" t="str">
        <f>_xlfn.XLOOKUP(Table6[[#This Row],[app_id]],Table5[app_id],Table5[app_name],"",0)</f>
        <v>MoveGo</v>
      </c>
      <c r="D1137" t="str">
        <f>_xlfn.XLOOKUP(Table6[[#This Row],[app_id]],Table5[app_id],Table5[category],"",0)</f>
        <v>Fitness</v>
      </c>
      <c r="E1137" t="s">
        <v>546</v>
      </c>
      <c r="F1137" t="s">
        <v>548</v>
      </c>
      <c r="G1137" t="s">
        <v>23</v>
      </c>
      <c r="H1137" t="s">
        <v>535</v>
      </c>
      <c r="I1137">
        <v>71</v>
      </c>
      <c r="J1137">
        <v>26.7</v>
      </c>
      <c r="K1137" t="s">
        <v>257</v>
      </c>
      <c r="L1137" t="s">
        <v>257</v>
      </c>
      <c r="M1137" t="s">
        <v>258</v>
      </c>
      <c r="N1137" s="5">
        <v>0</v>
      </c>
    </row>
    <row r="1138" spans="1:14" x14ac:dyDescent="0.25">
      <c r="A1138" t="s">
        <v>1679</v>
      </c>
      <c r="B1138" t="s">
        <v>111</v>
      </c>
      <c r="C1138" t="str">
        <f>_xlfn.XLOOKUP(Table6[[#This Row],[app_id]],Table5[app_id],Table5[app_name],"",0)</f>
        <v>BrightNow</v>
      </c>
      <c r="D1138" t="str">
        <f>_xlfn.XLOOKUP(Table6[[#This Row],[app_id]],Table5[app_id],Table5[category],"",0)</f>
        <v>Education</v>
      </c>
      <c r="E1138" t="s">
        <v>552</v>
      </c>
      <c r="F1138" t="s">
        <v>534</v>
      </c>
      <c r="G1138" t="s">
        <v>23</v>
      </c>
      <c r="H1138" t="s">
        <v>535</v>
      </c>
      <c r="I1138">
        <v>20</v>
      </c>
      <c r="J1138">
        <v>35.799999999999997</v>
      </c>
      <c r="K1138" t="s">
        <v>257</v>
      </c>
      <c r="L1138" t="s">
        <v>258</v>
      </c>
      <c r="M1138" t="s">
        <v>258</v>
      </c>
      <c r="N1138" s="5">
        <v>30.07</v>
      </c>
    </row>
    <row r="1139" spans="1:14" x14ac:dyDescent="0.25">
      <c r="A1139" t="s">
        <v>1680</v>
      </c>
      <c r="B1139" t="s">
        <v>114</v>
      </c>
      <c r="C1139" t="str">
        <f>_xlfn.XLOOKUP(Table6[[#This Row],[app_id]],Table5[app_id],Table5[app_name],"",0)</f>
        <v>StudyCloud</v>
      </c>
      <c r="D1139" t="str">
        <f>_xlfn.XLOOKUP(Table6[[#This Row],[app_id]],Table5[app_id],Table5[category],"",0)</f>
        <v>Education</v>
      </c>
      <c r="E1139" t="s">
        <v>533</v>
      </c>
      <c r="F1139" t="s">
        <v>534</v>
      </c>
      <c r="G1139" t="s">
        <v>30</v>
      </c>
      <c r="H1139" t="s">
        <v>540</v>
      </c>
      <c r="I1139">
        <v>17</v>
      </c>
      <c r="J1139">
        <v>13.1</v>
      </c>
      <c r="K1139" t="s">
        <v>257</v>
      </c>
      <c r="L1139" t="s">
        <v>257</v>
      </c>
      <c r="M1139" t="s">
        <v>257</v>
      </c>
      <c r="N1139" s="5">
        <v>0</v>
      </c>
    </row>
    <row r="1140" spans="1:14" x14ac:dyDescent="0.25">
      <c r="A1140" t="s">
        <v>1681</v>
      </c>
      <c r="B1140" t="s">
        <v>116</v>
      </c>
      <c r="C1140" t="str">
        <f>_xlfn.XLOOKUP(Table6[[#This Row],[app_id]],Table5[app_id],Table5[app_name],"",0)</f>
        <v>SkillNow</v>
      </c>
      <c r="D1140" t="str">
        <f>_xlfn.XLOOKUP(Table6[[#This Row],[app_id]],Table5[app_id],Table5[category],"",0)</f>
        <v>Education</v>
      </c>
      <c r="E1140" t="s">
        <v>533</v>
      </c>
      <c r="F1140" t="s">
        <v>538</v>
      </c>
      <c r="G1140" t="s">
        <v>26</v>
      </c>
      <c r="H1140" t="s">
        <v>540</v>
      </c>
      <c r="I1140">
        <v>90</v>
      </c>
      <c r="J1140">
        <v>21.2</v>
      </c>
      <c r="K1140" t="s">
        <v>257</v>
      </c>
      <c r="L1140" t="s">
        <v>257</v>
      </c>
      <c r="M1140" t="s">
        <v>258</v>
      </c>
      <c r="N1140" s="5">
        <v>0</v>
      </c>
    </row>
    <row r="1141" spans="1:14" x14ac:dyDescent="0.25">
      <c r="A1141" t="s">
        <v>1682</v>
      </c>
      <c r="B1141" t="s">
        <v>118</v>
      </c>
      <c r="C1141" t="str">
        <f>_xlfn.XLOOKUP(Table6[[#This Row],[app_id]],Table5[app_id],Table5[app_name],"",0)</f>
        <v>LearnMate</v>
      </c>
      <c r="D1141" t="str">
        <f>_xlfn.XLOOKUP(Table6[[#This Row],[app_id]],Table5[app_id],Table5[category],"",0)</f>
        <v>Education</v>
      </c>
      <c r="E1141" t="s">
        <v>533</v>
      </c>
      <c r="F1141" t="s">
        <v>534</v>
      </c>
      <c r="G1141" t="s">
        <v>35</v>
      </c>
      <c r="H1141" t="s">
        <v>535</v>
      </c>
      <c r="I1141">
        <v>1</v>
      </c>
      <c r="J1141">
        <v>41.4</v>
      </c>
      <c r="K1141" t="s">
        <v>258</v>
      </c>
      <c r="L1141" t="s">
        <v>258</v>
      </c>
      <c r="M1141" t="s">
        <v>258</v>
      </c>
      <c r="N1141" s="5">
        <v>18.04</v>
      </c>
    </row>
    <row r="1142" spans="1:14" x14ac:dyDescent="0.25">
      <c r="A1142" t="s">
        <v>1683</v>
      </c>
      <c r="B1142" t="s">
        <v>120</v>
      </c>
      <c r="C1142" t="str">
        <f>_xlfn.XLOOKUP(Table6[[#This Row],[app_id]],Table5[app_id],Table5[app_name],"",0)</f>
        <v>QuestNow</v>
      </c>
      <c r="D1142" t="str">
        <f>_xlfn.XLOOKUP(Table6[[#This Row],[app_id]],Table5[app_id],Table5[category],"",0)</f>
        <v>Education</v>
      </c>
      <c r="E1142" t="s">
        <v>546</v>
      </c>
      <c r="F1142" t="s">
        <v>538</v>
      </c>
      <c r="G1142" t="s">
        <v>23</v>
      </c>
      <c r="H1142" t="s">
        <v>540</v>
      </c>
      <c r="I1142">
        <v>10</v>
      </c>
      <c r="J1142">
        <v>10.199999999999999</v>
      </c>
      <c r="K1142" t="s">
        <v>258</v>
      </c>
      <c r="L1142" t="s">
        <v>257</v>
      </c>
      <c r="M1142" t="s">
        <v>258</v>
      </c>
      <c r="N1142" s="5">
        <v>0</v>
      </c>
    </row>
    <row r="1143" spans="1:14" x14ac:dyDescent="0.25">
      <c r="A1143" t="s">
        <v>1684</v>
      </c>
      <c r="B1143" t="s">
        <v>122</v>
      </c>
      <c r="C1143" t="str">
        <f>_xlfn.XLOOKUP(Table6[[#This Row],[app_id]],Table5[app_id],Table5[app_name],"",0)</f>
        <v>SkillHub</v>
      </c>
      <c r="D1143" t="str">
        <f>_xlfn.XLOOKUP(Table6[[#This Row],[app_id]],Table5[app_id],Table5[category],"",0)</f>
        <v>Education</v>
      </c>
      <c r="E1143" t="s">
        <v>557</v>
      </c>
      <c r="F1143" t="s">
        <v>534</v>
      </c>
      <c r="G1143" t="s">
        <v>61</v>
      </c>
      <c r="H1143" t="s">
        <v>535</v>
      </c>
      <c r="I1143">
        <v>2</v>
      </c>
      <c r="J1143">
        <v>8.1</v>
      </c>
      <c r="K1143" t="s">
        <v>258</v>
      </c>
      <c r="L1143" t="s">
        <v>258</v>
      </c>
      <c r="M1143" t="s">
        <v>258</v>
      </c>
      <c r="N1143" s="5">
        <v>6.56</v>
      </c>
    </row>
    <row r="1144" spans="1:14" x14ac:dyDescent="0.25">
      <c r="A1144" t="s">
        <v>1685</v>
      </c>
      <c r="B1144" t="s">
        <v>124</v>
      </c>
      <c r="C1144" t="str">
        <f>_xlfn.XLOOKUP(Table6[[#This Row],[app_id]],Table5[app_id],Table5[app_name],"",0)</f>
        <v>TutorCloud</v>
      </c>
      <c r="D1144" t="str">
        <f>_xlfn.XLOOKUP(Table6[[#This Row],[app_id]],Table5[app_id],Table5[category],"",0)</f>
        <v>Education</v>
      </c>
      <c r="E1144" t="s">
        <v>546</v>
      </c>
      <c r="F1144" t="s">
        <v>534</v>
      </c>
      <c r="G1144" t="s">
        <v>26</v>
      </c>
      <c r="H1144" t="s">
        <v>535</v>
      </c>
      <c r="I1144">
        <v>27</v>
      </c>
      <c r="J1144">
        <v>23.3</v>
      </c>
      <c r="K1144" t="s">
        <v>258</v>
      </c>
      <c r="L1144" t="s">
        <v>258</v>
      </c>
      <c r="M1144" t="s">
        <v>258</v>
      </c>
      <c r="N1144" s="5">
        <v>46</v>
      </c>
    </row>
    <row r="1145" spans="1:14" x14ac:dyDescent="0.25">
      <c r="A1145" t="s">
        <v>1686</v>
      </c>
      <c r="B1145" t="s">
        <v>126</v>
      </c>
      <c r="C1145" t="str">
        <f>_xlfn.XLOOKUP(Table6[[#This Row],[app_id]],Table5[app_id],Table5[app_name],"",0)</f>
        <v>SkillOne</v>
      </c>
      <c r="D1145" t="str">
        <f>_xlfn.XLOOKUP(Table6[[#This Row],[app_id]],Table5[app_id],Table5[category],"",0)</f>
        <v>Education</v>
      </c>
      <c r="E1145" t="s">
        <v>533</v>
      </c>
      <c r="F1145" t="s">
        <v>534</v>
      </c>
      <c r="G1145" t="s">
        <v>26</v>
      </c>
      <c r="H1145" t="s">
        <v>535</v>
      </c>
      <c r="I1145">
        <v>19</v>
      </c>
      <c r="J1145">
        <v>17.5</v>
      </c>
      <c r="K1145" t="s">
        <v>258</v>
      </c>
      <c r="L1145" t="s">
        <v>258</v>
      </c>
      <c r="M1145" t="s">
        <v>258</v>
      </c>
      <c r="N1145" s="5">
        <v>0</v>
      </c>
    </row>
    <row r="1146" spans="1:14" x14ac:dyDescent="0.25">
      <c r="A1146" t="s">
        <v>1687</v>
      </c>
      <c r="B1146" t="s">
        <v>128</v>
      </c>
      <c r="C1146" t="str">
        <f>_xlfn.XLOOKUP(Table6[[#This Row],[app_id]],Table5[app_id],Table5[app_name],"",0)</f>
        <v>LearnOne</v>
      </c>
      <c r="D1146" t="str">
        <f>_xlfn.XLOOKUP(Table6[[#This Row],[app_id]],Table5[app_id],Table5[category],"",0)</f>
        <v>Education</v>
      </c>
      <c r="E1146" t="s">
        <v>537</v>
      </c>
      <c r="F1146" t="s">
        <v>538</v>
      </c>
      <c r="G1146" t="s">
        <v>61</v>
      </c>
      <c r="H1146" t="s">
        <v>535</v>
      </c>
      <c r="I1146">
        <v>24</v>
      </c>
      <c r="J1146">
        <v>9.8000000000000007</v>
      </c>
      <c r="K1146" t="s">
        <v>258</v>
      </c>
      <c r="L1146" t="s">
        <v>258</v>
      </c>
      <c r="M1146" t="s">
        <v>258</v>
      </c>
      <c r="N1146" s="5">
        <v>0</v>
      </c>
    </row>
    <row r="1147" spans="1:14" x14ac:dyDescent="0.25">
      <c r="A1147" t="s">
        <v>1688</v>
      </c>
      <c r="B1147" t="s">
        <v>130</v>
      </c>
      <c r="C1147" t="str">
        <f>_xlfn.XLOOKUP(Table6[[#This Row],[app_id]],Table5[app_id],Table5[app_name],"",0)</f>
        <v>LearnPlus</v>
      </c>
      <c r="D1147" t="str">
        <f>_xlfn.XLOOKUP(Table6[[#This Row],[app_id]],Table5[app_id],Table5[category],"",0)</f>
        <v>Education</v>
      </c>
      <c r="E1147" t="s">
        <v>533</v>
      </c>
      <c r="F1147" t="s">
        <v>538</v>
      </c>
      <c r="G1147" t="s">
        <v>18</v>
      </c>
      <c r="H1147" t="s">
        <v>535</v>
      </c>
      <c r="I1147">
        <v>2</v>
      </c>
      <c r="J1147">
        <v>12.9</v>
      </c>
      <c r="K1147" t="s">
        <v>258</v>
      </c>
      <c r="L1147" t="s">
        <v>257</v>
      </c>
      <c r="M1147" t="s">
        <v>258</v>
      </c>
      <c r="N1147" s="5">
        <v>22.91</v>
      </c>
    </row>
    <row r="1148" spans="1:14" x14ac:dyDescent="0.25">
      <c r="A1148" t="s">
        <v>1689</v>
      </c>
      <c r="B1148" t="s">
        <v>132</v>
      </c>
      <c r="C1148" t="str">
        <f>_xlfn.XLOOKUP(Table6[[#This Row],[app_id]],Table5[app_id],Table5[app_name],"",0)</f>
        <v>StudyPlus</v>
      </c>
      <c r="D1148" t="str">
        <f>_xlfn.XLOOKUP(Table6[[#This Row],[app_id]],Table5[app_id],Table5[category],"",0)</f>
        <v>Education</v>
      </c>
      <c r="E1148" t="s">
        <v>546</v>
      </c>
      <c r="F1148" t="s">
        <v>548</v>
      </c>
      <c r="G1148" t="s">
        <v>26</v>
      </c>
      <c r="H1148" t="s">
        <v>535</v>
      </c>
      <c r="I1148">
        <v>56</v>
      </c>
      <c r="J1148">
        <v>29.1</v>
      </c>
      <c r="K1148" t="s">
        <v>257</v>
      </c>
      <c r="L1148" t="s">
        <v>257</v>
      </c>
      <c r="M1148" t="s">
        <v>258</v>
      </c>
      <c r="N1148" s="5">
        <v>0</v>
      </c>
    </row>
    <row r="1149" spans="1:14" x14ac:dyDescent="0.25">
      <c r="A1149" t="s">
        <v>1690</v>
      </c>
      <c r="B1149" t="s">
        <v>134</v>
      </c>
      <c r="C1149" t="str">
        <f>_xlfn.XLOOKUP(Table6[[#This Row],[app_id]],Table5[app_id],Table5[app_name],"",0)</f>
        <v>StudyX</v>
      </c>
      <c r="D1149" t="str">
        <f>_xlfn.XLOOKUP(Table6[[#This Row],[app_id]],Table5[app_id],Table5[category],"",0)</f>
        <v>Education</v>
      </c>
      <c r="E1149" t="s">
        <v>533</v>
      </c>
      <c r="F1149" t="s">
        <v>538</v>
      </c>
      <c r="G1149" t="s">
        <v>18</v>
      </c>
      <c r="H1149" t="s">
        <v>535</v>
      </c>
      <c r="I1149">
        <v>7</v>
      </c>
      <c r="J1149">
        <v>33.1</v>
      </c>
      <c r="K1149" t="s">
        <v>258</v>
      </c>
      <c r="L1149" t="s">
        <v>257</v>
      </c>
      <c r="M1149" t="s">
        <v>258</v>
      </c>
      <c r="N1149" s="5">
        <v>0</v>
      </c>
    </row>
    <row r="1150" spans="1:14" x14ac:dyDescent="0.25">
      <c r="A1150" t="s">
        <v>1691</v>
      </c>
      <c r="B1150" t="s">
        <v>136</v>
      </c>
      <c r="C1150" t="str">
        <f>_xlfn.XLOOKUP(Table6[[#This Row],[app_id]],Table5[app_id],Table5[app_name],"",0)</f>
        <v>PlayPlus</v>
      </c>
      <c r="D1150" t="str">
        <f>_xlfn.XLOOKUP(Table6[[#This Row],[app_id]],Table5[app_id],Table5[category],"",0)</f>
        <v>Entertainment</v>
      </c>
      <c r="E1150" t="s">
        <v>546</v>
      </c>
      <c r="F1150" t="s">
        <v>538</v>
      </c>
      <c r="G1150" t="s">
        <v>30</v>
      </c>
      <c r="H1150" t="s">
        <v>535</v>
      </c>
      <c r="I1150">
        <v>27</v>
      </c>
      <c r="J1150">
        <v>11.3</v>
      </c>
      <c r="K1150" t="s">
        <v>258</v>
      </c>
      <c r="L1150" t="s">
        <v>257</v>
      </c>
      <c r="M1150" t="s">
        <v>258</v>
      </c>
      <c r="N1150" s="5">
        <v>0</v>
      </c>
    </row>
    <row r="1151" spans="1:14" x14ac:dyDescent="0.25">
      <c r="A1151" t="s">
        <v>1692</v>
      </c>
      <c r="B1151" t="s">
        <v>139</v>
      </c>
      <c r="C1151" t="str">
        <f>_xlfn.XLOOKUP(Table6[[#This Row],[app_id]],Table5[app_id],Table5[app_name],"",0)</f>
        <v>ShowMate</v>
      </c>
      <c r="D1151" t="str">
        <f>_xlfn.XLOOKUP(Table6[[#This Row],[app_id]],Table5[app_id],Table5[category],"",0)</f>
        <v>Entertainment</v>
      </c>
      <c r="E1151" t="s">
        <v>533</v>
      </c>
      <c r="F1151" t="s">
        <v>534</v>
      </c>
      <c r="G1151" t="s">
        <v>46</v>
      </c>
      <c r="H1151" t="s">
        <v>535</v>
      </c>
      <c r="I1151">
        <v>25</v>
      </c>
      <c r="J1151">
        <v>33.9</v>
      </c>
      <c r="K1151" t="s">
        <v>257</v>
      </c>
      <c r="L1151" t="s">
        <v>258</v>
      </c>
      <c r="M1151" t="s">
        <v>257</v>
      </c>
      <c r="N1151" s="5">
        <v>0</v>
      </c>
    </row>
    <row r="1152" spans="1:14" x14ac:dyDescent="0.25">
      <c r="A1152" t="s">
        <v>1693</v>
      </c>
      <c r="B1152" t="s">
        <v>141</v>
      </c>
      <c r="C1152" t="str">
        <f>_xlfn.XLOOKUP(Table6[[#This Row],[app_id]],Table5[app_id],Table5[app_name],"",0)</f>
        <v>VibeX</v>
      </c>
      <c r="D1152" t="str">
        <f>_xlfn.XLOOKUP(Table6[[#This Row],[app_id]],Table5[app_id],Table5[category],"",0)</f>
        <v>Entertainment</v>
      </c>
      <c r="E1152" t="s">
        <v>533</v>
      </c>
      <c r="F1152" t="s">
        <v>538</v>
      </c>
      <c r="G1152" t="s">
        <v>26</v>
      </c>
      <c r="H1152" t="s">
        <v>540</v>
      </c>
      <c r="I1152">
        <v>15</v>
      </c>
      <c r="J1152">
        <v>31.4</v>
      </c>
      <c r="K1152" t="s">
        <v>257</v>
      </c>
      <c r="L1152" t="s">
        <v>257</v>
      </c>
      <c r="M1152" t="s">
        <v>258</v>
      </c>
      <c r="N1152" s="5">
        <v>72.650000000000006</v>
      </c>
    </row>
    <row r="1153" spans="1:14" x14ac:dyDescent="0.25">
      <c r="A1153" t="s">
        <v>1694</v>
      </c>
      <c r="B1153" t="s">
        <v>143</v>
      </c>
      <c r="C1153" t="str">
        <f>_xlfn.XLOOKUP(Table6[[#This Row],[app_id]],Table5[app_id],Table5[app_name],"",0)</f>
        <v>BuzzNow</v>
      </c>
      <c r="D1153" t="str">
        <f>_xlfn.XLOOKUP(Table6[[#This Row],[app_id]],Table5[app_id],Table5[category],"",0)</f>
        <v>Entertainment</v>
      </c>
      <c r="E1153" t="s">
        <v>537</v>
      </c>
      <c r="F1153" t="s">
        <v>538</v>
      </c>
      <c r="G1153" t="s">
        <v>26</v>
      </c>
      <c r="H1153" t="s">
        <v>535</v>
      </c>
      <c r="I1153">
        <v>8</v>
      </c>
      <c r="J1153">
        <v>29.1</v>
      </c>
      <c r="K1153" t="s">
        <v>258</v>
      </c>
      <c r="L1153" t="s">
        <v>258</v>
      </c>
      <c r="M1153" t="s">
        <v>258</v>
      </c>
      <c r="N1153" s="5">
        <v>0</v>
      </c>
    </row>
    <row r="1154" spans="1:14" x14ac:dyDescent="0.25">
      <c r="A1154" t="s">
        <v>1695</v>
      </c>
      <c r="B1154" t="s">
        <v>145</v>
      </c>
      <c r="C1154" t="str">
        <f>_xlfn.XLOOKUP(Table6[[#This Row],[app_id]],Table5[app_id],Table5[app_name],"",0)</f>
        <v>StreamPlus</v>
      </c>
      <c r="D1154" t="str">
        <f>_xlfn.XLOOKUP(Table6[[#This Row],[app_id]],Table5[app_id],Table5[category],"",0)</f>
        <v>Entertainment</v>
      </c>
      <c r="E1154" t="s">
        <v>546</v>
      </c>
      <c r="F1154" t="s">
        <v>538</v>
      </c>
      <c r="G1154" t="s">
        <v>26</v>
      </c>
      <c r="H1154" t="s">
        <v>535</v>
      </c>
      <c r="I1154">
        <v>80</v>
      </c>
      <c r="J1154">
        <v>30.7</v>
      </c>
      <c r="K1154" t="s">
        <v>257</v>
      </c>
      <c r="L1154" t="s">
        <v>258</v>
      </c>
      <c r="M1154" t="s">
        <v>257</v>
      </c>
      <c r="N1154" s="5">
        <v>0</v>
      </c>
    </row>
    <row r="1155" spans="1:14" x14ac:dyDescent="0.25">
      <c r="A1155" t="s">
        <v>1696</v>
      </c>
      <c r="B1155" t="s">
        <v>147</v>
      </c>
      <c r="C1155" t="str">
        <f>_xlfn.XLOOKUP(Table6[[#This Row],[app_id]],Table5[app_id],Table5[app_name],"",0)</f>
        <v>Showly</v>
      </c>
      <c r="D1155" t="str">
        <f>_xlfn.XLOOKUP(Table6[[#This Row],[app_id]],Table5[app_id],Table5[category],"",0)</f>
        <v>Entertainment</v>
      </c>
      <c r="E1155" t="s">
        <v>533</v>
      </c>
      <c r="F1155" t="s">
        <v>534</v>
      </c>
      <c r="G1155" t="s">
        <v>46</v>
      </c>
      <c r="H1155" t="s">
        <v>535</v>
      </c>
      <c r="I1155">
        <v>54</v>
      </c>
      <c r="J1155">
        <v>12.9</v>
      </c>
      <c r="K1155" t="s">
        <v>257</v>
      </c>
      <c r="L1155" t="s">
        <v>257</v>
      </c>
      <c r="M1155" t="s">
        <v>258</v>
      </c>
      <c r="N1155" s="5">
        <v>23.55</v>
      </c>
    </row>
    <row r="1156" spans="1:14" x14ac:dyDescent="0.25">
      <c r="A1156" t="s">
        <v>1697</v>
      </c>
      <c r="B1156" t="s">
        <v>149</v>
      </c>
      <c r="C1156" t="str">
        <f>_xlfn.XLOOKUP(Table6[[#This Row],[app_id]],Table5[app_id],Table5[app_name],"",0)</f>
        <v>BuzzOne</v>
      </c>
      <c r="D1156" t="str">
        <f>_xlfn.XLOOKUP(Table6[[#This Row],[app_id]],Table5[app_id],Table5[category],"",0)</f>
        <v>Entertainment</v>
      </c>
      <c r="E1156" t="s">
        <v>533</v>
      </c>
      <c r="F1156" t="s">
        <v>534</v>
      </c>
      <c r="G1156" t="s">
        <v>69</v>
      </c>
      <c r="H1156" t="s">
        <v>535</v>
      </c>
      <c r="I1156">
        <v>41</v>
      </c>
      <c r="J1156">
        <v>15.4</v>
      </c>
      <c r="K1156" t="s">
        <v>257</v>
      </c>
      <c r="L1156" t="s">
        <v>257</v>
      </c>
      <c r="M1156" t="s">
        <v>257</v>
      </c>
      <c r="N1156" s="5">
        <v>0</v>
      </c>
    </row>
    <row r="1157" spans="1:14" x14ac:dyDescent="0.25">
      <c r="A1157" t="s">
        <v>1698</v>
      </c>
      <c r="B1157" t="s">
        <v>151</v>
      </c>
      <c r="C1157" t="str">
        <f>_xlfn.XLOOKUP(Table6[[#This Row],[app_id]],Table5[app_id],Table5[app_name],"",0)</f>
        <v>PlayHub</v>
      </c>
      <c r="D1157" t="str">
        <f>_xlfn.XLOOKUP(Table6[[#This Row],[app_id]],Table5[app_id],Table5[category],"",0)</f>
        <v>Entertainment</v>
      </c>
      <c r="E1157" t="s">
        <v>533</v>
      </c>
      <c r="F1157" t="s">
        <v>534</v>
      </c>
      <c r="G1157" t="s">
        <v>69</v>
      </c>
      <c r="H1157" t="s">
        <v>535</v>
      </c>
      <c r="I1157">
        <v>19</v>
      </c>
      <c r="J1157">
        <v>16.8</v>
      </c>
      <c r="K1157" t="s">
        <v>258</v>
      </c>
      <c r="L1157" t="s">
        <v>258</v>
      </c>
      <c r="M1157" t="s">
        <v>258</v>
      </c>
      <c r="N1157" s="5">
        <v>0</v>
      </c>
    </row>
    <row r="1158" spans="1:14" x14ac:dyDescent="0.25">
      <c r="A1158" t="s">
        <v>1699</v>
      </c>
      <c r="B1158" t="s">
        <v>153</v>
      </c>
      <c r="C1158" t="str">
        <f>_xlfn.XLOOKUP(Table6[[#This Row],[app_id]],Table5[app_id],Table5[app_name],"",0)</f>
        <v>CinemaGo</v>
      </c>
      <c r="D1158" t="str">
        <f>_xlfn.XLOOKUP(Table6[[#This Row],[app_id]],Table5[app_id],Table5[category],"",0)</f>
        <v>Entertainment</v>
      </c>
      <c r="E1158" t="s">
        <v>533</v>
      </c>
      <c r="F1158" t="s">
        <v>538</v>
      </c>
      <c r="G1158" t="s">
        <v>46</v>
      </c>
      <c r="H1158" t="s">
        <v>540</v>
      </c>
      <c r="I1158">
        <v>9</v>
      </c>
      <c r="J1158">
        <v>31.7</v>
      </c>
      <c r="K1158" t="s">
        <v>258</v>
      </c>
      <c r="L1158" t="s">
        <v>257</v>
      </c>
      <c r="M1158" t="s">
        <v>258</v>
      </c>
      <c r="N1158" s="5">
        <v>0</v>
      </c>
    </row>
    <row r="1159" spans="1:14" x14ac:dyDescent="0.25">
      <c r="A1159" t="s">
        <v>1700</v>
      </c>
      <c r="B1159" t="s">
        <v>155</v>
      </c>
      <c r="C1159" t="str">
        <f>_xlfn.XLOOKUP(Table6[[#This Row],[app_id]],Table5[app_id],Table5[app_name],"",0)</f>
        <v>LaughX</v>
      </c>
      <c r="D1159" t="str">
        <f>_xlfn.XLOOKUP(Table6[[#This Row],[app_id]],Table5[app_id],Table5[category],"",0)</f>
        <v>Entertainment</v>
      </c>
      <c r="E1159" t="s">
        <v>533</v>
      </c>
      <c r="F1159" t="s">
        <v>538</v>
      </c>
      <c r="G1159" t="s">
        <v>61</v>
      </c>
      <c r="H1159" t="s">
        <v>535</v>
      </c>
      <c r="I1159">
        <v>14</v>
      </c>
      <c r="J1159">
        <v>31.2</v>
      </c>
      <c r="K1159" t="s">
        <v>258</v>
      </c>
      <c r="L1159" t="s">
        <v>257</v>
      </c>
      <c r="M1159" t="s">
        <v>258</v>
      </c>
      <c r="N1159" s="5">
        <v>0</v>
      </c>
    </row>
    <row r="1160" spans="1:14" x14ac:dyDescent="0.25">
      <c r="A1160" t="s">
        <v>1701</v>
      </c>
      <c r="B1160" t="s">
        <v>157</v>
      </c>
      <c r="C1160" t="str">
        <f>_xlfn.XLOOKUP(Table6[[#This Row],[app_id]],Table5[app_id],Table5[app_name],"",0)</f>
        <v>CinemaHub</v>
      </c>
      <c r="D1160" t="str">
        <f>_xlfn.XLOOKUP(Table6[[#This Row],[app_id]],Table5[app_id],Table5[category],"",0)</f>
        <v>Entertainment</v>
      </c>
      <c r="E1160" t="s">
        <v>533</v>
      </c>
      <c r="F1160" t="s">
        <v>534</v>
      </c>
      <c r="G1160" t="s">
        <v>35</v>
      </c>
      <c r="H1160" t="s">
        <v>535</v>
      </c>
      <c r="I1160">
        <v>16</v>
      </c>
      <c r="J1160">
        <v>30.5</v>
      </c>
      <c r="K1160" t="s">
        <v>258</v>
      </c>
      <c r="L1160" t="s">
        <v>257</v>
      </c>
      <c r="M1160" t="s">
        <v>258</v>
      </c>
      <c r="N1160" s="5">
        <v>0</v>
      </c>
    </row>
    <row r="1161" spans="1:14" x14ac:dyDescent="0.25">
      <c r="A1161" t="s">
        <v>1702</v>
      </c>
      <c r="B1161" t="s">
        <v>159</v>
      </c>
      <c r="C1161" t="str">
        <f>_xlfn.XLOOKUP(Table6[[#This Row],[app_id]],Table5[app_id],Table5[app_name],"",0)</f>
        <v>ShowPro</v>
      </c>
      <c r="D1161" t="str">
        <f>_xlfn.XLOOKUP(Table6[[#This Row],[app_id]],Table5[app_id],Table5[category],"",0)</f>
        <v>Entertainment</v>
      </c>
      <c r="E1161" t="s">
        <v>533</v>
      </c>
      <c r="F1161" t="s">
        <v>534</v>
      </c>
      <c r="G1161" t="s">
        <v>30</v>
      </c>
      <c r="H1161" t="s">
        <v>535</v>
      </c>
      <c r="I1161">
        <v>14</v>
      </c>
      <c r="J1161">
        <v>16</v>
      </c>
      <c r="K1161" t="s">
        <v>258</v>
      </c>
      <c r="L1161" t="s">
        <v>258</v>
      </c>
      <c r="M1161" t="s">
        <v>258</v>
      </c>
      <c r="N1161" s="5">
        <v>0</v>
      </c>
    </row>
    <row r="1162" spans="1:14" x14ac:dyDescent="0.25">
      <c r="A1162" t="s">
        <v>1703</v>
      </c>
      <c r="B1162" t="s">
        <v>161</v>
      </c>
      <c r="C1162" t="str">
        <f>_xlfn.XLOOKUP(Table6[[#This Row],[app_id]],Table5[app_id],Table5[app_name],"",0)</f>
        <v>FoodPlus</v>
      </c>
      <c r="D1162" t="str">
        <f>_xlfn.XLOOKUP(Table6[[#This Row],[app_id]],Table5[app_id],Table5[category],"",0)</f>
        <v>Food Delivery</v>
      </c>
      <c r="E1162" t="s">
        <v>533</v>
      </c>
      <c r="F1162" t="s">
        <v>534</v>
      </c>
      <c r="G1162" t="s">
        <v>30</v>
      </c>
      <c r="H1162" t="s">
        <v>535</v>
      </c>
      <c r="I1162">
        <v>56</v>
      </c>
      <c r="J1162">
        <v>16</v>
      </c>
      <c r="K1162" t="s">
        <v>257</v>
      </c>
      <c r="L1162" t="s">
        <v>257</v>
      </c>
      <c r="M1162" t="s">
        <v>258</v>
      </c>
      <c r="N1162" s="5">
        <v>0</v>
      </c>
    </row>
    <row r="1163" spans="1:14" x14ac:dyDescent="0.25">
      <c r="A1163" t="s">
        <v>1704</v>
      </c>
      <c r="B1163" t="s">
        <v>164</v>
      </c>
      <c r="C1163" t="str">
        <f>_xlfn.XLOOKUP(Table6[[#This Row],[app_id]],Table5[app_id],Table5[app_name],"",0)</f>
        <v>BiteGo</v>
      </c>
      <c r="D1163" t="str">
        <f>_xlfn.XLOOKUP(Table6[[#This Row],[app_id]],Table5[app_id],Table5[category],"",0)</f>
        <v>Food Delivery</v>
      </c>
      <c r="E1163" t="s">
        <v>533</v>
      </c>
      <c r="F1163" t="s">
        <v>534</v>
      </c>
      <c r="G1163" t="s">
        <v>69</v>
      </c>
      <c r="H1163" t="s">
        <v>535</v>
      </c>
      <c r="I1163">
        <v>4</v>
      </c>
      <c r="J1163">
        <v>22.4</v>
      </c>
      <c r="K1163" t="s">
        <v>258</v>
      </c>
      <c r="L1163" t="s">
        <v>258</v>
      </c>
      <c r="M1163" t="s">
        <v>258</v>
      </c>
      <c r="N1163" s="5">
        <v>0</v>
      </c>
    </row>
    <row r="1164" spans="1:14" x14ac:dyDescent="0.25">
      <c r="A1164" t="s">
        <v>1705</v>
      </c>
      <c r="B1164" t="s">
        <v>166</v>
      </c>
      <c r="C1164" t="str">
        <f>_xlfn.XLOOKUP(Table6[[#This Row],[app_id]],Table5[app_id],Table5[app_name],"",0)</f>
        <v>OrderCloud</v>
      </c>
      <c r="D1164" t="str">
        <f>_xlfn.XLOOKUP(Table6[[#This Row],[app_id]],Table5[app_id],Table5[category],"",0)</f>
        <v>Food Delivery</v>
      </c>
      <c r="E1164" t="s">
        <v>537</v>
      </c>
      <c r="F1164" t="s">
        <v>538</v>
      </c>
      <c r="G1164" t="s">
        <v>61</v>
      </c>
      <c r="H1164" t="s">
        <v>535</v>
      </c>
      <c r="I1164">
        <v>7</v>
      </c>
      <c r="J1164">
        <v>14</v>
      </c>
      <c r="K1164" t="s">
        <v>258</v>
      </c>
      <c r="L1164" t="s">
        <v>258</v>
      </c>
      <c r="M1164" t="s">
        <v>257</v>
      </c>
      <c r="N1164" s="5">
        <v>0</v>
      </c>
    </row>
    <row r="1165" spans="1:14" x14ac:dyDescent="0.25">
      <c r="A1165" t="s">
        <v>1706</v>
      </c>
      <c r="B1165" t="s">
        <v>168</v>
      </c>
      <c r="C1165" t="str">
        <f>_xlfn.XLOOKUP(Table6[[#This Row],[app_id]],Table5[app_id],Table5[app_name],"",0)</f>
        <v>DinePlus</v>
      </c>
      <c r="D1165" t="str">
        <f>_xlfn.XLOOKUP(Table6[[#This Row],[app_id]],Table5[app_id],Table5[category],"",0)</f>
        <v>Food Delivery</v>
      </c>
      <c r="E1165" t="s">
        <v>557</v>
      </c>
      <c r="F1165" t="s">
        <v>548</v>
      </c>
      <c r="G1165" t="s">
        <v>46</v>
      </c>
      <c r="H1165" t="s">
        <v>540</v>
      </c>
      <c r="I1165">
        <v>21</v>
      </c>
      <c r="J1165">
        <v>13.4</v>
      </c>
      <c r="K1165" t="s">
        <v>258</v>
      </c>
      <c r="L1165" t="s">
        <v>258</v>
      </c>
      <c r="M1165" t="s">
        <v>258</v>
      </c>
      <c r="N1165" s="5">
        <v>0</v>
      </c>
    </row>
    <row r="1166" spans="1:14" x14ac:dyDescent="0.25">
      <c r="A1166" t="s">
        <v>1707</v>
      </c>
      <c r="B1166" t="s">
        <v>170</v>
      </c>
      <c r="C1166" t="str">
        <f>_xlfn.XLOOKUP(Table6[[#This Row],[app_id]],Table5[app_id],Table5[app_name],"",0)</f>
        <v>SnackX</v>
      </c>
      <c r="D1166" t="str">
        <f>_xlfn.XLOOKUP(Table6[[#This Row],[app_id]],Table5[app_id],Table5[category],"",0)</f>
        <v>Food Delivery</v>
      </c>
      <c r="E1166" t="s">
        <v>533</v>
      </c>
      <c r="F1166" t="s">
        <v>538</v>
      </c>
      <c r="G1166" t="s">
        <v>18</v>
      </c>
      <c r="H1166" t="s">
        <v>535</v>
      </c>
      <c r="I1166">
        <v>3</v>
      </c>
      <c r="J1166">
        <v>5.4</v>
      </c>
      <c r="K1166" t="s">
        <v>258</v>
      </c>
      <c r="L1166" t="s">
        <v>258</v>
      </c>
      <c r="M1166" t="s">
        <v>258</v>
      </c>
      <c r="N1166" s="5">
        <v>0</v>
      </c>
    </row>
    <row r="1167" spans="1:14" x14ac:dyDescent="0.25">
      <c r="A1167" t="s">
        <v>1708</v>
      </c>
      <c r="B1167" t="s">
        <v>172</v>
      </c>
      <c r="C1167" t="str">
        <f>_xlfn.XLOOKUP(Table6[[#This Row],[app_id]],Table5[app_id],Table5[app_name],"",0)</f>
        <v>FoodOne</v>
      </c>
      <c r="D1167" t="str">
        <f>_xlfn.XLOOKUP(Table6[[#This Row],[app_id]],Table5[app_id],Table5[category],"",0)</f>
        <v>Food Delivery</v>
      </c>
      <c r="E1167" t="s">
        <v>533</v>
      </c>
      <c r="F1167" t="s">
        <v>538</v>
      </c>
      <c r="G1167" t="s">
        <v>61</v>
      </c>
      <c r="H1167" t="s">
        <v>535</v>
      </c>
      <c r="I1167">
        <v>17</v>
      </c>
      <c r="J1167">
        <v>9.3000000000000007</v>
      </c>
      <c r="K1167" t="s">
        <v>258</v>
      </c>
      <c r="L1167" t="s">
        <v>258</v>
      </c>
      <c r="M1167" t="s">
        <v>258</v>
      </c>
      <c r="N1167" s="5">
        <v>0</v>
      </c>
    </row>
    <row r="1168" spans="1:14" x14ac:dyDescent="0.25">
      <c r="A1168" t="s">
        <v>1709</v>
      </c>
      <c r="B1168" t="s">
        <v>174</v>
      </c>
      <c r="C1168" t="str">
        <f>_xlfn.XLOOKUP(Table6[[#This Row],[app_id]],Table5[app_id],Table5[app_name],"",0)</f>
        <v>MealMate</v>
      </c>
      <c r="D1168" t="str">
        <f>_xlfn.XLOOKUP(Table6[[#This Row],[app_id]],Table5[app_id],Table5[category],"",0)</f>
        <v>Food Delivery</v>
      </c>
      <c r="E1168" t="s">
        <v>546</v>
      </c>
      <c r="F1168" t="s">
        <v>538</v>
      </c>
      <c r="G1168" t="s">
        <v>23</v>
      </c>
      <c r="H1168" t="s">
        <v>535</v>
      </c>
      <c r="I1168">
        <v>64</v>
      </c>
      <c r="J1168">
        <v>22.4</v>
      </c>
      <c r="K1168" t="s">
        <v>257</v>
      </c>
      <c r="L1168" t="s">
        <v>257</v>
      </c>
      <c r="M1168" t="s">
        <v>258</v>
      </c>
      <c r="N1168" s="5">
        <v>0</v>
      </c>
    </row>
    <row r="1169" spans="1:14" x14ac:dyDescent="0.25">
      <c r="A1169" t="s">
        <v>1710</v>
      </c>
      <c r="B1169" t="s">
        <v>176</v>
      </c>
      <c r="C1169" t="str">
        <f>_xlfn.XLOOKUP(Table6[[#This Row],[app_id]],Table5[app_id],Table5[app_name],"",0)</f>
        <v>SnackHub</v>
      </c>
      <c r="D1169" t="str">
        <f>_xlfn.XLOOKUP(Table6[[#This Row],[app_id]],Table5[app_id],Table5[category],"",0)</f>
        <v>Food Delivery</v>
      </c>
      <c r="E1169" t="s">
        <v>546</v>
      </c>
      <c r="F1169" t="s">
        <v>548</v>
      </c>
      <c r="G1169" t="s">
        <v>46</v>
      </c>
      <c r="H1169" t="s">
        <v>535</v>
      </c>
      <c r="I1169">
        <v>49</v>
      </c>
      <c r="J1169">
        <v>9.6</v>
      </c>
      <c r="K1169" t="s">
        <v>257</v>
      </c>
      <c r="L1169" t="s">
        <v>258</v>
      </c>
      <c r="M1169" t="s">
        <v>258</v>
      </c>
      <c r="N1169" s="5">
        <v>0</v>
      </c>
    </row>
    <row r="1170" spans="1:14" x14ac:dyDescent="0.25">
      <c r="A1170" t="s">
        <v>1711</v>
      </c>
      <c r="B1170" t="s">
        <v>178</v>
      </c>
      <c r="C1170" t="str">
        <f>_xlfn.XLOOKUP(Table6[[#This Row],[app_id]],Table5[app_id],Table5[app_name],"",0)</f>
        <v>BiteCloud</v>
      </c>
      <c r="D1170" t="str">
        <f>_xlfn.XLOOKUP(Table6[[#This Row],[app_id]],Table5[app_id],Table5[category],"",0)</f>
        <v>Food Delivery</v>
      </c>
      <c r="E1170" t="s">
        <v>546</v>
      </c>
      <c r="F1170" t="s">
        <v>538</v>
      </c>
      <c r="G1170" t="s">
        <v>35</v>
      </c>
      <c r="H1170" t="s">
        <v>535</v>
      </c>
      <c r="I1170">
        <v>15</v>
      </c>
      <c r="J1170">
        <v>15</v>
      </c>
      <c r="K1170" t="s">
        <v>258</v>
      </c>
      <c r="L1170" t="s">
        <v>257</v>
      </c>
      <c r="M1170" t="s">
        <v>258</v>
      </c>
      <c r="N1170" s="5">
        <v>0</v>
      </c>
    </row>
    <row r="1171" spans="1:14" x14ac:dyDescent="0.25">
      <c r="A1171" t="s">
        <v>1712</v>
      </c>
      <c r="B1171" t="s">
        <v>180</v>
      </c>
      <c r="C1171" t="str">
        <f>_xlfn.XLOOKUP(Table6[[#This Row],[app_id]],Table5[app_id],Table5[app_name],"",0)</f>
        <v>PlatePlus</v>
      </c>
      <c r="D1171" t="str">
        <f>_xlfn.XLOOKUP(Table6[[#This Row],[app_id]],Table5[app_id],Table5[category],"",0)</f>
        <v>Food Delivery</v>
      </c>
      <c r="E1171" t="s">
        <v>546</v>
      </c>
      <c r="F1171" t="s">
        <v>534</v>
      </c>
      <c r="G1171" t="s">
        <v>46</v>
      </c>
      <c r="H1171" t="s">
        <v>535</v>
      </c>
      <c r="I1171">
        <v>4</v>
      </c>
      <c r="J1171">
        <v>15.2</v>
      </c>
      <c r="K1171" t="s">
        <v>258</v>
      </c>
      <c r="L1171" t="s">
        <v>258</v>
      </c>
      <c r="M1171" t="s">
        <v>258</v>
      </c>
      <c r="N1171" s="5">
        <v>0</v>
      </c>
    </row>
    <row r="1172" spans="1:14" x14ac:dyDescent="0.25">
      <c r="A1172" t="s">
        <v>1713</v>
      </c>
      <c r="B1172" t="s">
        <v>182</v>
      </c>
      <c r="C1172" t="str">
        <f>_xlfn.XLOOKUP(Table6[[#This Row],[app_id]],Table5[app_id],Table5[app_name],"",0)</f>
        <v>VoyageGo</v>
      </c>
      <c r="D1172" t="str">
        <f>_xlfn.XLOOKUP(Table6[[#This Row],[app_id]],Table5[app_id],Table5[category],"",0)</f>
        <v>Travel</v>
      </c>
      <c r="E1172" t="s">
        <v>537</v>
      </c>
      <c r="F1172" t="s">
        <v>534</v>
      </c>
      <c r="G1172" t="s">
        <v>26</v>
      </c>
      <c r="H1172" t="s">
        <v>535</v>
      </c>
      <c r="I1172">
        <v>22</v>
      </c>
      <c r="J1172">
        <v>6.7</v>
      </c>
      <c r="K1172" t="s">
        <v>258</v>
      </c>
      <c r="L1172" t="s">
        <v>258</v>
      </c>
      <c r="M1172" t="s">
        <v>258</v>
      </c>
      <c r="N1172" s="5">
        <v>0</v>
      </c>
    </row>
    <row r="1173" spans="1:14" x14ac:dyDescent="0.25">
      <c r="A1173" t="s">
        <v>1714</v>
      </c>
      <c r="B1173" t="s">
        <v>185</v>
      </c>
      <c r="C1173" t="str">
        <f>_xlfn.XLOOKUP(Table6[[#This Row],[app_id]],Table5[app_id],Table5[app_name],"",0)</f>
        <v>TripOne</v>
      </c>
      <c r="D1173" t="str">
        <f>_xlfn.XLOOKUP(Table6[[#This Row],[app_id]],Table5[app_id],Table5[category],"",0)</f>
        <v>Travel</v>
      </c>
      <c r="E1173" t="s">
        <v>533</v>
      </c>
      <c r="F1173" t="s">
        <v>534</v>
      </c>
      <c r="G1173" t="s">
        <v>69</v>
      </c>
      <c r="H1173" t="s">
        <v>535</v>
      </c>
      <c r="I1173">
        <v>22</v>
      </c>
      <c r="J1173">
        <v>14.2</v>
      </c>
      <c r="K1173" t="s">
        <v>258</v>
      </c>
      <c r="L1173" t="s">
        <v>258</v>
      </c>
      <c r="M1173" t="s">
        <v>257</v>
      </c>
      <c r="N1173" s="5">
        <v>0</v>
      </c>
    </row>
    <row r="1174" spans="1:14" x14ac:dyDescent="0.25">
      <c r="A1174" t="s">
        <v>1715</v>
      </c>
      <c r="B1174" t="s">
        <v>187</v>
      </c>
      <c r="C1174" t="str">
        <f>_xlfn.XLOOKUP(Table6[[#This Row],[app_id]],Table5[app_id],Table5[app_name],"",0)</f>
        <v>FlyGo</v>
      </c>
      <c r="D1174" t="str">
        <f>_xlfn.XLOOKUP(Table6[[#This Row],[app_id]],Table5[app_id],Table5[category],"",0)</f>
        <v>Travel</v>
      </c>
      <c r="E1174" t="s">
        <v>537</v>
      </c>
      <c r="F1174" t="s">
        <v>534</v>
      </c>
      <c r="G1174" t="s">
        <v>35</v>
      </c>
      <c r="H1174" t="s">
        <v>535</v>
      </c>
      <c r="I1174">
        <v>88</v>
      </c>
      <c r="J1174">
        <v>3.8</v>
      </c>
      <c r="K1174" t="s">
        <v>257</v>
      </c>
      <c r="L1174" t="s">
        <v>257</v>
      </c>
      <c r="M1174" t="s">
        <v>258</v>
      </c>
      <c r="N1174" s="5">
        <v>20.76</v>
      </c>
    </row>
    <row r="1175" spans="1:14" x14ac:dyDescent="0.25">
      <c r="A1175" t="s">
        <v>1716</v>
      </c>
      <c r="B1175" t="s">
        <v>189</v>
      </c>
      <c r="C1175" t="str">
        <f>_xlfn.XLOOKUP(Table6[[#This Row],[app_id]],Table5[app_id],Table5[app_name],"",0)</f>
        <v>MapX</v>
      </c>
      <c r="D1175" t="str">
        <f>_xlfn.XLOOKUP(Table6[[#This Row],[app_id]],Table5[app_id],Table5[category],"",0)</f>
        <v>Travel</v>
      </c>
      <c r="E1175" t="s">
        <v>533</v>
      </c>
      <c r="F1175" t="s">
        <v>538</v>
      </c>
      <c r="G1175" t="s">
        <v>30</v>
      </c>
      <c r="H1175" t="s">
        <v>535</v>
      </c>
      <c r="I1175">
        <v>24</v>
      </c>
      <c r="J1175">
        <v>16.3</v>
      </c>
      <c r="K1175" t="s">
        <v>258</v>
      </c>
      <c r="L1175" t="s">
        <v>258</v>
      </c>
      <c r="M1175" t="s">
        <v>258</v>
      </c>
      <c r="N1175" s="5">
        <v>0</v>
      </c>
    </row>
    <row r="1176" spans="1:14" x14ac:dyDescent="0.25">
      <c r="A1176" t="s">
        <v>1717</v>
      </c>
      <c r="B1176" t="s">
        <v>191</v>
      </c>
      <c r="C1176" t="str">
        <f>_xlfn.XLOOKUP(Table6[[#This Row],[app_id]],Table5[app_id],Table5[app_name],"",0)</f>
        <v>StayX</v>
      </c>
      <c r="D1176" t="str">
        <f>_xlfn.XLOOKUP(Table6[[#This Row],[app_id]],Table5[app_id],Table5[category],"",0)</f>
        <v>Travel</v>
      </c>
      <c r="E1176" t="s">
        <v>546</v>
      </c>
      <c r="F1176" t="s">
        <v>538</v>
      </c>
      <c r="G1176" t="s">
        <v>30</v>
      </c>
      <c r="H1176" t="s">
        <v>535</v>
      </c>
      <c r="I1176">
        <v>22</v>
      </c>
      <c r="J1176">
        <v>6.1</v>
      </c>
      <c r="K1176" t="s">
        <v>257</v>
      </c>
      <c r="L1176" t="s">
        <v>257</v>
      </c>
      <c r="M1176" t="s">
        <v>258</v>
      </c>
      <c r="N1176" s="5">
        <v>0</v>
      </c>
    </row>
    <row r="1177" spans="1:14" x14ac:dyDescent="0.25">
      <c r="A1177" t="s">
        <v>1718</v>
      </c>
      <c r="B1177" t="s">
        <v>193</v>
      </c>
      <c r="C1177" t="str">
        <f>_xlfn.XLOOKUP(Table6[[#This Row],[app_id]],Table5[app_id],Table5[app_name],"",0)</f>
        <v>GoNow</v>
      </c>
      <c r="D1177" t="str">
        <f>_xlfn.XLOOKUP(Table6[[#This Row],[app_id]],Table5[app_id],Table5[category],"",0)</f>
        <v>Travel</v>
      </c>
      <c r="E1177" t="s">
        <v>546</v>
      </c>
      <c r="F1177" t="s">
        <v>534</v>
      </c>
      <c r="G1177" t="s">
        <v>46</v>
      </c>
      <c r="H1177" t="s">
        <v>535</v>
      </c>
      <c r="I1177">
        <v>11</v>
      </c>
      <c r="J1177">
        <v>9.9</v>
      </c>
      <c r="K1177" t="s">
        <v>258</v>
      </c>
      <c r="L1177" t="s">
        <v>257</v>
      </c>
      <c r="M1177" t="s">
        <v>258</v>
      </c>
      <c r="N1177" s="5">
        <v>86.01</v>
      </c>
    </row>
    <row r="1178" spans="1:14" x14ac:dyDescent="0.25">
      <c r="A1178" t="s">
        <v>1719</v>
      </c>
      <c r="B1178" t="s">
        <v>195</v>
      </c>
      <c r="C1178" t="str">
        <f>_xlfn.XLOOKUP(Table6[[#This Row],[app_id]],Table5[app_id],Table5[app_name],"",0)</f>
        <v>RouteGo</v>
      </c>
      <c r="D1178" t="str">
        <f>_xlfn.XLOOKUP(Table6[[#This Row],[app_id]],Table5[app_id],Table5[category],"",0)</f>
        <v>Travel</v>
      </c>
      <c r="E1178" t="s">
        <v>533</v>
      </c>
      <c r="F1178" t="s">
        <v>534</v>
      </c>
      <c r="G1178" t="s">
        <v>35</v>
      </c>
      <c r="H1178" t="s">
        <v>535</v>
      </c>
      <c r="I1178">
        <v>21</v>
      </c>
      <c r="J1178">
        <v>19.2</v>
      </c>
      <c r="K1178" t="s">
        <v>257</v>
      </c>
      <c r="L1178" t="s">
        <v>258</v>
      </c>
      <c r="M1178" t="s">
        <v>258</v>
      </c>
      <c r="N1178" s="5">
        <v>0</v>
      </c>
    </row>
    <row r="1179" spans="1:14" x14ac:dyDescent="0.25">
      <c r="A1179" t="s">
        <v>1720</v>
      </c>
      <c r="B1179" t="s">
        <v>197</v>
      </c>
      <c r="C1179" t="str">
        <f>_xlfn.XLOOKUP(Table6[[#This Row],[app_id]],Table5[app_id],Table5[app_name],"",0)</f>
        <v>TripGo</v>
      </c>
      <c r="D1179" t="str">
        <f>_xlfn.XLOOKUP(Table6[[#This Row],[app_id]],Table5[app_id],Table5[category],"",0)</f>
        <v>Travel</v>
      </c>
      <c r="E1179" t="s">
        <v>546</v>
      </c>
      <c r="F1179" t="s">
        <v>538</v>
      </c>
      <c r="G1179" t="s">
        <v>35</v>
      </c>
      <c r="H1179" t="s">
        <v>535</v>
      </c>
      <c r="I1179">
        <v>18</v>
      </c>
      <c r="J1179">
        <v>19.8</v>
      </c>
      <c r="K1179" t="s">
        <v>258</v>
      </c>
      <c r="L1179" t="s">
        <v>258</v>
      </c>
      <c r="M1179" t="s">
        <v>257</v>
      </c>
      <c r="N1179" s="5">
        <v>0</v>
      </c>
    </row>
    <row r="1180" spans="1:14" x14ac:dyDescent="0.25">
      <c r="A1180" t="s">
        <v>1721</v>
      </c>
      <c r="B1180" t="s">
        <v>199</v>
      </c>
      <c r="C1180" t="str">
        <f>_xlfn.XLOOKUP(Table6[[#This Row],[app_id]],Table5[app_id],Table5[app_name],"",0)</f>
        <v>Flyly</v>
      </c>
      <c r="D1180" t="str">
        <f>_xlfn.XLOOKUP(Table6[[#This Row],[app_id]],Table5[app_id],Table5[category],"",0)</f>
        <v>Travel</v>
      </c>
      <c r="E1180" t="s">
        <v>533</v>
      </c>
      <c r="F1180" t="s">
        <v>534</v>
      </c>
      <c r="G1180" t="s">
        <v>69</v>
      </c>
      <c r="H1180" t="s">
        <v>535</v>
      </c>
      <c r="I1180">
        <v>14</v>
      </c>
      <c r="J1180">
        <v>19.8</v>
      </c>
      <c r="K1180" t="s">
        <v>258</v>
      </c>
      <c r="L1180" t="s">
        <v>258</v>
      </c>
      <c r="M1180" t="s">
        <v>258</v>
      </c>
      <c r="N1180" s="5">
        <v>0</v>
      </c>
    </row>
    <row r="1181" spans="1:14" x14ac:dyDescent="0.25">
      <c r="A1181" t="s">
        <v>1722</v>
      </c>
      <c r="B1181" t="s">
        <v>201</v>
      </c>
      <c r="C1181" t="str">
        <f>_xlfn.XLOOKUP(Table6[[#This Row],[app_id]],Table5[app_id],Table5[app_name],"",0)</f>
        <v>TripPro</v>
      </c>
      <c r="D1181" t="str">
        <f>_xlfn.XLOOKUP(Table6[[#This Row],[app_id]],Table5[app_id],Table5[category],"",0)</f>
        <v>Travel</v>
      </c>
      <c r="E1181" t="s">
        <v>546</v>
      </c>
      <c r="F1181" t="s">
        <v>534</v>
      </c>
      <c r="G1181" t="s">
        <v>46</v>
      </c>
      <c r="H1181" t="s">
        <v>535</v>
      </c>
      <c r="I1181">
        <v>4</v>
      </c>
      <c r="J1181">
        <v>19</v>
      </c>
      <c r="K1181" t="s">
        <v>258</v>
      </c>
      <c r="L1181" t="s">
        <v>258</v>
      </c>
      <c r="M1181" t="s">
        <v>258</v>
      </c>
      <c r="N1181" s="5">
        <v>0</v>
      </c>
    </row>
    <row r="1182" spans="1:14" x14ac:dyDescent="0.25">
      <c r="A1182" t="s">
        <v>1723</v>
      </c>
      <c r="B1182" t="s">
        <v>203</v>
      </c>
      <c r="C1182" t="str">
        <f>_xlfn.XLOOKUP(Table6[[#This Row],[app_id]],Table5[app_id],Table5[app_name],"",0)</f>
        <v>Focusly</v>
      </c>
      <c r="D1182" t="str">
        <f>_xlfn.XLOOKUP(Table6[[#This Row],[app_id]],Table5[app_id],Table5[category],"",0)</f>
        <v>Productivity</v>
      </c>
      <c r="E1182" t="s">
        <v>533</v>
      </c>
      <c r="F1182" t="s">
        <v>628</v>
      </c>
      <c r="G1182" t="s">
        <v>18</v>
      </c>
      <c r="H1182" t="s">
        <v>535</v>
      </c>
      <c r="I1182">
        <v>8</v>
      </c>
      <c r="J1182">
        <v>19.8</v>
      </c>
      <c r="K1182" t="s">
        <v>258</v>
      </c>
      <c r="L1182" t="s">
        <v>258</v>
      </c>
      <c r="M1182" t="s">
        <v>258</v>
      </c>
      <c r="N1182" s="5">
        <v>42.61</v>
      </c>
    </row>
    <row r="1183" spans="1:14" x14ac:dyDescent="0.25">
      <c r="A1183" t="s">
        <v>1724</v>
      </c>
      <c r="B1183" t="s">
        <v>206</v>
      </c>
      <c r="C1183" t="str">
        <f>_xlfn.XLOOKUP(Table6[[#This Row],[app_id]],Table5[app_id],Table5[app_name],"",0)</f>
        <v>DeskX</v>
      </c>
      <c r="D1183" t="str">
        <f>_xlfn.XLOOKUP(Table6[[#This Row],[app_id]],Table5[app_id],Table5[category],"",0)</f>
        <v>Productivity</v>
      </c>
      <c r="E1183" t="s">
        <v>533</v>
      </c>
      <c r="F1183" t="s">
        <v>534</v>
      </c>
      <c r="G1183" t="s">
        <v>26</v>
      </c>
      <c r="H1183" t="s">
        <v>535</v>
      </c>
      <c r="I1183">
        <v>77</v>
      </c>
      <c r="J1183">
        <v>12.1</v>
      </c>
      <c r="K1183" t="s">
        <v>257</v>
      </c>
      <c r="L1183" t="s">
        <v>257</v>
      </c>
      <c r="M1183" t="s">
        <v>258</v>
      </c>
      <c r="N1183" s="5">
        <v>0</v>
      </c>
    </row>
    <row r="1184" spans="1:14" x14ac:dyDescent="0.25">
      <c r="A1184" t="s">
        <v>1725</v>
      </c>
      <c r="B1184" t="s">
        <v>208</v>
      </c>
      <c r="C1184" t="str">
        <f>_xlfn.XLOOKUP(Table6[[#This Row],[app_id]],Table5[app_id],Table5[app_name],"",0)</f>
        <v>DonePro</v>
      </c>
      <c r="D1184" t="str">
        <f>_xlfn.XLOOKUP(Table6[[#This Row],[app_id]],Table5[app_id],Table5[category],"",0)</f>
        <v>Productivity</v>
      </c>
      <c r="E1184" t="s">
        <v>533</v>
      </c>
      <c r="F1184" t="s">
        <v>534</v>
      </c>
      <c r="G1184" t="s">
        <v>23</v>
      </c>
      <c r="H1184" t="s">
        <v>535</v>
      </c>
      <c r="I1184">
        <v>57</v>
      </c>
      <c r="J1184">
        <v>5.7</v>
      </c>
      <c r="K1184" t="s">
        <v>257</v>
      </c>
      <c r="L1184" t="s">
        <v>257</v>
      </c>
      <c r="M1184" t="s">
        <v>258</v>
      </c>
      <c r="N1184" s="5">
        <v>0</v>
      </c>
    </row>
    <row r="1185" spans="1:14" x14ac:dyDescent="0.25">
      <c r="A1185" t="s">
        <v>1726</v>
      </c>
      <c r="B1185" t="s">
        <v>210</v>
      </c>
      <c r="C1185" t="str">
        <f>_xlfn.XLOOKUP(Table6[[#This Row],[app_id]],Table5[app_id],Table5[app_name],"",0)</f>
        <v>NotePlus</v>
      </c>
      <c r="D1185" t="str">
        <f>_xlfn.XLOOKUP(Table6[[#This Row],[app_id]],Table5[app_id],Table5[category],"",0)</f>
        <v>Productivity</v>
      </c>
      <c r="E1185" t="s">
        <v>546</v>
      </c>
      <c r="F1185" t="s">
        <v>538</v>
      </c>
      <c r="G1185" t="s">
        <v>69</v>
      </c>
      <c r="H1185" t="s">
        <v>535</v>
      </c>
      <c r="I1185">
        <v>47</v>
      </c>
      <c r="J1185">
        <v>18.2</v>
      </c>
      <c r="K1185" t="s">
        <v>257</v>
      </c>
      <c r="L1185" t="s">
        <v>257</v>
      </c>
      <c r="M1185" t="s">
        <v>258</v>
      </c>
      <c r="N1185" s="5">
        <v>0</v>
      </c>
    </row>
    <row r="1186" spans="1:14" x14ac:dyDescent="0.25">
      <c r="A1186" t="s">
        <v>1727</v>
      </c>
      <c r="B1186" t="s">
        <v>212</v>
      </c>
      <c r="C1186" t="str">
        <f>_xlfn.XLOOKUP(Table6[[#This Row],[app_id]],Table5[app_id],Table5[app_name],"",0)</f>
        <v>SyncPlus</v>
      </c>
      <c r="D1186" t="str">
        <f>_xlfn.XLOOKUP(Table6[[#This Row],[app_id]],Table5[app_id],Table5[category],"",0)</f>
        <v>Productivity</v>
      </c>
      <c r="E1186" t="s">
        <v>557</v>
      </c>
      <c r="F1186" t="s">
        <v>538</v>
      </c>
      <c r="G1186" t="s">
        <v>23</v>
      </c>
      <c r="H1186" t="s">
        <v>535</v>
      </c>
      <c r="I1186">
        <v>19</v>
      </c>
      <c r="J1186">
        <v>15.3</v>
      </c>
      <c r="K1186" t="s">
        <v>257</v>
      </c>
      <c r="L1186" t="s">
        <v>257</v>
      </c>
      <c r="M1186" t="s">
        <v>257</v>
      </c>
      <c r="N1186" s="5">
        <v>0</v>
      </c>
    </row>
    <row r="1187" spans="1:14" x14ac:dyDescent="0.25">
      <c r="A1187" t="s">
        <v>1728</v>
      </c>
      <c r="B1187" t="s">
        <v>214</v>
      </c>
      <c r="C1187" t="str">
        <f>_xlfn.XLOOKUP(Table6[[#This Row],[app_id]],Table5[app_id],Table5[app_name],"",0)</f>
        <v>NoteOne</v>
      </c>
      <c r="D1187" t="str">
        <f>_xlfn.XLOOKUP(Table6[[#This Row],[app_id]],Table5[app_id],Table5[category],"",0)</f>
        <v>Productivity</v>
      </c>
      <c r="E1187" t="s">
        <v>533</v>
      </c>
      <c r="F1187" t="s">
        <v>534</v>
      </c>
      <c r="G1187" t="s">
        <v>69</v>
      </c>
      <c r="H1187" t="s">
        <v>535</v>
      </c>
      <c r="I1187">
        <v>16</v>
      </c>
      <c r="J1187">
        <v>18.5</v>
      </c>
      <c r="K1187" t="s">
        <v>257</v>
      </c>
      <c r="L1187" t="s">
        <v>257</v>
      </c>
      <c r="M1187" t="s">
        <v>258</v>
      </c>
      <c r="N1187" s="5">
        <v>18.559999999999999</v>
      </c>
    </row>
    <row r="1188" spans="1:14" x14ac:dyDescent="0.25">
      <c r="A1188" t="s">
        <v>1729</v>
      </c>
      <c r="B1188" t="s">
        <v>216</v>
      </c>
      <c r="C1188" t="str">
        <f>_xlfn.XLOOKUP(Table6[[#This Row],[app_id]],Table5[app_id],Table5[app_name],"",0)</f>
        <v>NoteMate</v>
      </c>
      <c r="D1188" t="str">
        <f>_xlfn.XLOOKUP(Table6[[#This Row],[app_id]],Table5[app_id],Table5[category],"",0)</f>
        <v>Productivity</v>
      </c>
      <c r="E1188" t="s">
        <v>533</v>
      </c>
      <c r="F1188" t="s">
        <v>538</v>
      </c>
      <c r="G1188" t="s">
        <v>61</v>
      </c>
      <c r="H1188" t="s">
        <v>535</v>
      </c>
      <c r="I1188">
        <v>5</v>
      </c>
      <c r="J1188">
        <v>10.7</v>
      </c>
      <c r="K1188" t="s">
        <v>258</v>
      </c>
      <c r="L1188" t="s">
        <v>257</v>
      </c>
      <c r="M1188" t="s">
        <v>258</v>
      </c>
      <c r="N1188" s="5">
        <v>57.82</v>
      </c>
    </row>
    <row r="1189" spans="1:14" x14ac:dyDescent="0.25">
      <c r="A1189" t="s">
        <v>1730</v>
      </c>
      <c r="B1189" t="s">
        <v>218</v>
      </c>
      <c r="C1189" t="str">
        <f>_xlfn.XLOOKUP(Table6[[#This Row],[app_id]],Table5[app_id],Table5[app_name],"",0)</f>
        <v>PlanPlus</v>
      </c>
      <c r="D1189" t="str">
        <f>_xlfn.XLOOKUP(Table6[[#This Row],[app_id]],Table5[app_id],Table5[category],"",0)</f>
        <v>Productivity</v>
      </c>
      <c r="E1189" t="s">
        <v>533</v>
      </c>
      <c r="F1189" t="s">
        <v>548</v>
      </c>
      <c r="G1189" t="s">
        <v>35</v>
      </c>
      <c r="H1189" t="s">
        <v>535</v>
      </c>
      <c r="I1189">
        <v>15</v>
      </c>
      <c r="J1189">
        <v>22.5</v>
      </c>
      <c r="K1189" t="s">
        <v>258</v>
      </c>
      <c r="L1189" t="s">
        <v>258</v>
      </c>
      <c r="M1189" t="s">
        <v>257</v>
      </c>
      <c r="N1189" s="5">
        <v>0</v>
      </c>
    </row>
    <row r="1190" spans="1:14" x14ac:dyDescent="0.25">
      <c r="A1190" t="s">
        <v>1731</v>
      </c>
      <c r="B1190" t="s">
        <v>220</v>
      </c>
      <c r="C1190" t="str">
        <f>_xlfn.XLOOKUP(Table6[[#This Row],[app_id]],Table5[app_id],Table5[app_name],"",0)</f>
        <v>PlanMate</v>
      </c>
      <c r="D1190" t="str">
        <f>_xlfn.XLOOKUP(Table6[[#This Row],[app_id]],Table5[app_id],Table5[category],"",0)</f>
        <v>Productivity</v>
      </c>
      <c r="E1190" t="s">
        <v>533</v>
      </c>
      <c r="F1190" t="s">
        <v>534</v>
      </c>
      <c r="G1190" t="s">
        <v>61</v>
      </c>
      <c r="H1190" t="s">
        <v>535</v>
      </c>
      <c r="I1190">
        <v>30</v>
      </c>
      <c r="J1190">
        <v>17</v>
      </c>
      <c r="K1190" t="s">
        <v>257</v>
      </c>
      <c r="L1190" t="s">
        <v>257</v>
      </c>
      <c r="M1190" t="s">
        <v>258</v>
      </c>
      <c r="N1190" s="5">
        <v>0</v>
      </c>
    </row>
    <row r="1191" spans="1:14" x14ac:dyDescent="0.25">
      <c r="A1191" t="s">
        <v>1732</v>
      </c>
      <c r="B1191" t="s">
        <v>222</v>
      </c>
      <c r="C1191" t="str">
        <f>_xlfn.XLOOKUP(Table6[[#This Row],[app_id]],Table5[app_id],Table5[app_name],"",0)</f>
        <v>SyncPlus</v>
      </c>
      <c r="D1191" t="str">
        <f>_xlfn.XLOOKUP(Table6[[#This Row],[app_id]],Table5[app_id],Table5[category],"",0)</f>
        <v>Productivity</v>
      </c>
      <c r="E1191" t="s">
        <v>533</v>
      </c>
      <c r="F1191" t="s">
        <v>538</v>
      </c>
      <c r="G1191" t="s">
        <v>30</v>
      </c>
      <c r="H1191" t="s">
        <v>535</v>
      </c>
      <c r="I1191">
        <v>42</v>
      </c>
      <c r="J1191">
        <v>16.399999999999999</v>
      </c>
      <c r="K1191" t="s">
        <v>257</v>
      </c>
      <c r="L1191" t="s">
        <v>257</v>
      </c>
      <c r="M1191" t="s">
        <v>258</v>
      </c>
      <c r="N1191" s="5">
        <v>0</v>
      </c>
    </row>
    <row r="1192" spans="1:14" x14ac:dyDescent="0.25">
      <c r="A1192" t="s">
        <v>1733</v>
      </c>
      <c r="B1192" t="s">
        <v>223</v>
      </c>
      <c r="C1192" t="str">
        <f>_xlfn.XLOOKUP(Table6[[#This Row],[app_id]],Table5[app_id],Table5[app_name],"",0)</f>
        <v>ClinicPro</v>
      </c>
      <c r="D1192" t="str">
        <f>_xlfn.XLOOKUP(Table6[[#This Row],[app_id]],Table5[app_id],Table5[category],"",0)</f>
        <v>Health</v>
      </c>
      <c r="E1192" t="s">
        <v>552</v>
      </c>
      <c r="F1192" t="s">
        <v>538</v>
      </c>
      <c r="G1192" t="s">
        <v>46</v>
      </c>
      <c r="H1192" t="s">
        <v>535</v>
      </c>
      <c r="I1192">
        <v>72</v>
      </c>
      <c r="J1192">
        <v>16.2</v>
      </c>
      <c r="K1192" t="s">
        <v>257</v>
      </c>
      <c r="L1192" t="s">
        <v>257</v>
      </c>
      <c r="M1192" t="s">
        <v>258</v>
      </c>
      <c r="N1192" s="5">
        <v>0</v>
      </c>
    </row>
    <row r="1193" spans="1:14" x14ac:dyDescent="0.25">
      <c r="A1193" t="s">
        <v>1734</v>
      </c>
      <c r="B1193" t="s">
        <v>226</v>
      </c>
      <c r="C1193" t="str">
        <f>_xlfn.XLOOKUP(Table6[[#This Row],[app_id]],Table5[app_id],Table5[app_name],"",0)</f>
        <v>MindMate</v>
      </c>
      <c r="D1193" t="str">
        <f>_xlfn.XLOOKUP(Table6[[#This Row],[app_id]],Table5[app_id],Table5[category],"",0)</f>
        <v>Health</v>
      </c>
      <c r="E1193" t="s">
        <v>546</v>
      </c>
      <c r="F1193" t="s">
        <v>534</v>
      </c>
      <c r="G1193" t="s">
        <v>26</v>
      </c>
      <c r="H1193" t="s">
        <v>535</v>
      </c>
      <c r="I1193">
        <v>30</v>
      </c>
      <c r="J1193">
        <v>23.4</v>
      </c>
      <c r="K1193" t="s">
        <v>257</v>
      </c>
      <c r="L1193" t="s">
        <v>257</v>
      </c>
      <c r="M1193" t="s">
        <v>258</v>
      </c>
      <c r="N1193" s="5">
        <v>23.79</v>
      </c>
    </row>
    <row r="1194" spans="1:14" x14ac:dyDescent="0.25">
      <c r="A1194" t="s">
        <v>1735</v>
      </c>
      <c r="B1194" t="s">
        <v>228</v>
      </c>
      <c r="C1194" t="str">
        <f>_xlfn.XLOOKUP(Table6[[#This Row],[app_id]],Table5[app_id],Table5[app_name],"",0)</f>
        <v>ClinicOne</v>
      </c>
      <c r="D1194" t="str">
        <f>_xlfn.XLOOKUP(Table6[[#This Row],[app_id]],Table5[app_id],Table5[category],"",0)</f>
        <v>Health</v>
      </c>
      <c r="E1194" t="s">
        <v>546</v>
      </c>
      <c r="F1194" t="s">
        <v>534</v>
      </c>
      <c r="G1194" t="s">
        <v>35</v>
      </c>
      <c r="H1194" t="s">
        <v>535</v>
      </c>
      <c r="I1194">
        <v>12</v>
      </c>
      <c r="J1194">
        <v>15</v>
      </c>
      <c r="K1194" t="s">
        <v>258</v>
      </c>
      <c r="L1194" t="s">
        <v>258</v>
      </c>
      <c r="M1194" t="s">
        <v>257</v>
      </c>
      <c r="N1194" s="5">
        <v>0</v>
      </c>
    </row>
    <row r="1195" spans="1:14" x14ac:dyDescent="0.25">
      <c r="A1195" t="s">
        <v>1736</v>
      </c>
      <c r="B1195" t="s">
        <v>230</v>
      </c>
      <c r="C1195" t="str">
        <f>_xlfn.XLOOKUP(Table6[[#This Row],[app_id]],Table5[app_id],Table5[app_name],"",0)</f>
        <v>WellMate</v>
      </c>
      <c r="D1195" t="str">
        <f>_xlfn.XLOOKUP(Table6[[#This Row],[app_id]],Table5[app_id],Table5[category],"",0)</f>
        <v>Health</v>
      </c>
      <c r="E1195" t="s">
        <v>546</v>
      </c>
      <c r="F1195" t="s">
        <v>538</v>
      </c>
      <c r="G1195" t="s">
        <v>30</v>
      </c>
      <c r="H1195" t="s">
        <v>535</v>
      </c>
      <c r="I1195">
        <v>84</v>
      </c>
      <c r="J1195">
        <v>9.5</v>
      </c>
      <c r="K1195" t="s">
        <v>257</v>
      </c>
      <c r="L1195" t="s">
        <v>257</v>
      </c>
      <c r="M1195" t="s">
        <v>258</v>
      </c>
      <c r="N1195" s="5">
        <v>0</v>
      </c>
    </row>
    <row r="1196" spans="1:14" x14ac:dyDescent="0.25">
      <c r="A1196" t="s">
        <v>1737</v>
      </c>
      <c r="B1196" t="s">
        <v>232</v>
      </c>
      <c r="C1196" t="str">
        <f>_xlfn.XLOOKUP(Table6[[#This Row],[app_id]],Table5[app_id],Table5[app_name],"",0)</f>
        <v>MediMate</v>
      </c>
      <c r="D1196" t="str">
        <f>_xlfn.XLOOKUP(Table6[[#This Row],[app_id]],Table5[app_id],Table5[category],"",0)</f>
        <v>Health</v>
      </c>
      <c r="E1196" t="s">
        <v>537</v>
      </c>
      <c r="F1196" t="s">
        <v>548</v>
      </c>
      <c r="G1196" t="s">
        <v>23</v>
      </c>
      <c r="H1196" t="s">
        <v>535</v>
      </c>
      <c r="I1196">
        <v>58</v>
      </c>
      <c r="J1196">
        <v>21.4</v>
      </c>
      <c r="K1196" t="s">
        <v>257</v>
      </c>
      <c r="L1196" t="s">
        <v>257</v>
      </c>
      <c r="M1196" t="s">
        <v>257</v>
      </c>
      <c r="N1196" s="5">
        <v>0</v>
      </c>
    </row>
    <row r="1197" spans="1:14" x14ac:dyDescent="0.25">
      <c r="A1197" t="s">
        <v>1738</v>
      </c>
      <c r="B1197" t="s">
        <v>234</v>
      </c>
      <c r="C1197" t="str">
        <f>_xlfn.XLOOKUP(Table6[[#This Row],[app_id]],Table5[app_id],Table5[app_name],"",0)</f>
        <v>WellNow</v>
      </c>
      <c r="D1197" t="str">
        <f>_xlfn.XLOOKUP(Table6[[#This Row],[app_id]],Table5[app_id],Table5[category],"",0)</f>
        <v>Health</v>
      </c>
      <c r="E1197" t="s">
        <v>537</v>
      </c>
      <c r="F1197" t="s">
        <v>548</v>
      </c>
      <c r="G1197" t="s">
        <v>18</v>
      </c>
      <c r="H1197" t="s">
        <v>535</v>
      </c>
      <c r="I1197">
        <v>18</v>
      </c>
      <c r="J1197">
        <v>4.8</v>
      </c>
      <c r="K1197" t="s">
        <v>258</v>
      </c>
      <c r="L1197" t="s">
        <v>257</v>
      </c>
      <c r="M1197" t="s">
        <v>258</v>
      </c>
      <c r="N1197" s="5">
        <v>0</v>
      </c>
    </row>
    <row r="1198" spans="1:14" x14ac:dyDescent="0.25">
      <c r="A1198" t="s">
        <v>1739</v>
      </c>
      <c r="B1198" t="s">
        <v>236</v>
      </c>
      <c r="C1198" t="str">
        <f>_xlfn.XLOOKUP(Table6[[#This Row],[app_id]],Table5[app_id],Table5[app_name],"",0)</f>
        <v>CareCloud</v>
      </c>
      <c r="D1198" t="str">
        <f>_xlfn.XLOOKUP(Table6[[#This Row],[app_id]],Table5[app_id],Table5[category],"",0)</f>
        <v>Health</v>
      </c>
      <c r="E1198" t="s">
        <v>557</v>
      </c>
      <c r="F1198" t="s">
        <v>538</v>
      </c>
      <c r="G1198" t="s">
        <v>46</v>
      </c>
      <c r="H1198" t="s">
        <v>535</v>
      </c>
      <c r="I1198">
        <v>76</v>
      </c>
      <c r="J1198">
        <v>6.7</v>
      </c>
      <c r="K1198" t="s">
        <v>257</v>
      </c>
      <c r="L1198" t="s">
        <v>257</v>
      </c>
      <c r="M1198" t="s">
        <v>258</v>
      </c>
      <c r="N1198" s="5">
        <v>0</v>
      </c>
    </row>
    <row r="1199" spans="1:14" x14ac:dyDescent="0.25">
      <c r="A1199" t="s">
        <v>1740</v>
      </c>
      <c r="B1199" t="s">
        <v>238</v>
      </c>
      <c r="C1199" t="str">
        <f>_xlfn.XLOOKUP(Table6[[#This Row],[app_id]],Table5[app_id],Table5[app_name],"",0)</f>
        <v>MediNow</v>
      </c>
      <c r="D1199" t="str">
        <f>_xlfn.XLOOKUP(Table6[[#This Row],[app_id]],Table5[app_id],Table5[category],"",0)</f>
        <v>Health</v>
      </c>
      <c r="E1199" t="s">
        <v>557</v>
      </c>
      <c r="F1199" t="s">
        <v>628</v>
      </c>
      <c r="G1199" t="s">
        <v>61</v>
      </c>
      <c r="H1199" t="s">
        <v>535</v>
      </c>
      <c r="I1199">
        <v>94</v>
      </c>
      <c r="J1199">
        <v>18.5</v>
      </c>
      <c r="K1199" t="s">
        <v>257</v>
      </c>
      <c r="L1199" t="s">
        <v>257</v>
      </c>
      <c r="M1199" t="s">
        <v>258</v>
      </c>
      <c r="N1199" s="5">
        <v>0</v>
      </c>
    </row>
    <row r="1200" spans="1:14" x14ac:dyDescent="0.25">
      <c r="A1200" t="s">
        <v>1741</v>
      </c>
      <c r="B1200" t="s">
        <v>240</v>
      </c>
      <c r="C1200" t="str">
        <f>_xlfn.XLOOKUP(Table6[[#This Row],[app_id]],Table5[app_id],Table5[app_name],"",0)</f>
        <v>MindPlus</v>
      </c>
      <c r="D1200" t="str">
        <f>_xlfn.XLOOKUP(Table6[[#This Row],[app_id]],Table5[app_id],Table5[category],"",0)</f>
        <v>Health</v>
      </c>
      <c r="E1200" t="s">
        <v>537</v>
      </c>
      <c r="F1200" t="s">
        <v>534</v>
      </c>
      <c r="G1200" t="s">
        <v>23</v>
      </c>
      <c r="H1200" t="s">
        <v>540</v>
      </c>
      <c r="I1200">
        <v>16</v>
      </c>
      <c r="J1200">
        <v>14</v>
      </c>
      <c r="K1200" t="s">
        <v>258</v>
      </c>
      <c r="L1200" t="s">
        <v>258</v>
      </c>
      <c r="M1200" t="s">
        <v>257</v>
      </c>
      <c r="N1200" s="5">
        <v>0</v>
      </c>
    </row>
    <row r="1201" spans="1:14" x14ac:dyDescent="0.25">
      <c r="A1201" t="s">
        <v>1742</v>
      </c>
      <c r="B1201" t="s">
        <v>242</v>
      </c>
      <c r="C1201" t="str">
        <f>_xlfn.XLOOKUP(Table6[[#This Row],[app_id]],Table5[app_id],Table5[app_name],"",0)</f>
        <v>MediCloud</v>
      </c>
      <c r="D1201" t="str">
        <f>_xlfn.XLOOKUP(Table6[[#This Row],[app_id]],Table5[app_id],Table5[category],"",0)</f>
        <v>Health</v>
      </c>
      <c r="E1201" t="s">
        <v>546</v>
      </c>
      <c r="F1201" t="s">
        <v>538</v>
      </c>
      <c r="G1201" t="s">
        <v>18</v>
      </c>
      <c r="H1201" t="s">
        <v>535</v>
      </c>
      <c r="I1201">
        <v>1</v>
      </c>
      <c r="J1201">
        <v>11.8</v>
      </c>
      <c r="K1201" t="s">
        <v>258</v>
      </c>
      <c r="L1201" t="s">
        <v>258</v>
      </c>
      <c r="M1201" t="s">
        <v>257</v>
      </c>
      <c r="N1201" s="5">
        <v>0</v>
      </c>
    </row>
    <row r="1202" spans="1:14" x14ac:dyDescent="0.25">
      <c r="A1202" t="s">
        <v>1743</v>
      </c>
      <c r="B1202" t="s">
        <v>12</v>
      </c>
      <c r="C1202" t="str">
        <f>_xlfn.XLOOKUP(Table6[[#This Row],[app_id]],Table5[app_id],Table5[app_name],"",0)</f>
        <v>InvestPro</v>
      </c>
      <c r="D1202" t="str">
        <f>_xlfn.XLOOKUP(Table6[[#This Row],[app_id]],Table5[app_id],Table5[category],"",0)</f>
        <v>Finance</v>
      </c>
      <c r="E1202" t="s">
        <v>546</v>
      </c>
      <c r="F1202" t="s">
        <v>548</v>
      </c>
      <c r="G1202" t="s">
        <v>23</v>
      </c>
      <c r="H1202" t="s">
        <v>535</v>
      </c>
      <c r="I1202">
        <v>24</v>
      </c>
      <c r="J1202">
        <v>12.7</v>
      </c>
      <c r="K1202" t="s">
        <v>258</v>
      </c>
      <c r="L1202" t="s">
        <v>258</v>
      </c>
      <c r="M1202" t="s">
        <v>257</v>
      </c>
      <c r="N1202" s="5">
        <v>0</v>
      </c>
    </row>
    <row r="1203" spans="1:14" x14ac:dyDescent="0.25">
      <c r="A1203" t="s">
        <v>1744</v>
      </c>
      <c r="B1203" t="s">
        <v>19</v>
      </c>
      <c r="C1203" t="str">
        <f>_xlfn.XLOOKUP(Table6[[#This Row],[app_id]],Table5[app_id],Table5[app_name],"",0)</f>
        <v>BankPro</v>
      </c>
      <c r="D1203" t="str">
        <f>_xlfn.XLOOKUP(Table6[[#This Row],[app_id]],Table5[app_id],Table5[category],"",0)</f>
        <v>Finance</v>
      </c>
      <c r="E1203" t="s">
        <v>537</v>
      </c>
      <c r="F1203" t="s">
        <v>538</v>
      </c>
      <c r="G1203" t="s">
        <v>69</v>
      </c>
      <c r="H1203" t="s">
        <v>535</v>
      </c>
      <c r="I1203">
        <v>15</v>
      </c>
      <c r="J1203">
        <v>23.9</v>
      </c>
      <c r="K1203" t="s">
        <v>258</v>
      </c>
      <c r="L1203" t="s">
        <v>258</v>
      </c>
      <c r="M1203" t="s">
        <v>257</v>
      </c>
      <c r="N1203" s="5">
        <v>0</v>
      </c>
    </row>
    <row r="1204" spans="1:14" x14ac:dyDescent="0.25">
      <c r="A1204" t="s">
        <v>1745</v>
      </c>
      <c r="B1204" t="s">
        <v>24</v>
      </c>
      <c r="C1204" t="str">
        <f>_xlfn.XLOOKUP(Table6[[#This Row],[app_id]],Table5[app_id],Table5[app_name],"",0)</f>
        <v>BankX</v>
      </c>
      <c r="D1204" t="str">
        <f>_xlfn.XLOOKUP(Table6[[#This Row],[app_id]],Table5[app_id],Table5[category],"",0)</f>
        <v>Finance</v>
      </c>
      <c r="E1204" t="s">
        <v>557</v>
      </c>
      <c r="F1204" t="s">
        <v>538</v>
      </c>
      <c r="G1204" t="s">
        <v>23</v>
      </c>
      <c r="H1204" t="s">
        <v>535</v>
      </c>
      <c r="I1204">
        <v>1</v>
      </c>
      <c r="J1204">
        <v>12.2</v>
      </c>
      <c r="K1204" t="s">
        <v>258</v>
      </c>
      <c r="L1204" t="s">
        <v>257</v>
      </c>
      <c r="M1204" t="s">
        <v>258</v>
      </c>
      <c r="N1204" s="5">
        <v>0</v>
      </c>
    </row>
    <row r="1205" spans="1:14" x14ac:dyDescent="0.25">
      <c r="A1205" t="s">
        <v>1746</v>
      </c>
      <c r="B1205" t="s">
        <v>27</v>
      </c>
      <c r="C1205" t="str">
        <f>_xlfn.XLOOKUP(Table6[[#This Row],[app_id]],Table5[app_id],Table5[app_name],"",0)</f>
        <v>BankNow</v>
      </c>
      <c r="D1205" t="str">
        <f>_xlfn.XLOOKUP(Table6[[#This Row],[app_id]],Table5[app_id],Table5[category],"",0)</f>
        <v>Finance</v>
      </c>
      <c r="E1205" t="s">
        <v>537</v>
      </c>
      <c r="F1205" t="s">
        <v>534</v>
      </c>
      <c r="G1205" t="s">
        <v>30</v>
      </c>
      <c r="H1205" t="s">
        <v>535</v>
      </c>
      <c r="I1205">
        <v>9</v>
      </c>
      <c r="J1205">
        <v>22.5</v>
      </c>
      <c r="K1205" t="s">
        <v>258</v>
      </c>
      <c r="L1205" t="s">
        <v>258</v>
      </c>
      <c r="M1205" t="s">
        <v>258</v>
      </c>
      <c r="N1205" s="5">
        <v>0</v>
      </c>
    </row>
    <row r="1206" spans="1:14" x14ac:dyDescent="0.25">
      <c r="A1206" t="s">
        <v>1747</v>
      </c>
      <c r="B1206" t="s">
        <v>31</v>
      </c>
      <c r="C1206" t="str">
        <f>_xlfn.XLOOKUP(Table6[[#This Row],[app_id]],Table5[app_id],Table5[app_name],"",0)</f>
        <v>CreditHub</v>
      </c>
      <c r="D1206" t="str">
        <f>_xlfn.XLOOKUP(Table6[[#This Row],[app_id]],Table5[app_id],Table5[category],"",0)</f>
        <v>Finance</v>
      </c>
      <c r="E1206" t="s">
        <v>533</v>
      </c>
      <c r="F1206" t="s">
        <v>548</v>
      </c>
      <c r="G1206" t="s">
        <v>23</v>
      </c>
      <c r="H1206" t="s">
        <v>535</v>
      </c>
      <c r="I1206">
        <v>16</v>
      </c>
      <c r="J1206">
        <v>11.2</v>
      </c>
      <c r="K1206" t="s">
        <v>258</v>
      </c>
      <c r="L1206" t="s">
        <v>257</v>
      </c>
      <c r="M1206" t="s">
        <v>258</v>
      </c>
      <c r="N1206" s="5">
        <v>0</v>
      </c>
    </row>
    <row r="1207" spans="1:14" x14ac:dyDescent="0.25">
      <c r="A1207" t="s">
        <v>1748</v>
      </c>
      <c r="B1207" t="s">
        <v>36</v>
      </c>
      <c r="C1207" t="str">
        <f>_xlfn.XLOOKUP(Table6[[#This Row],[app_id]],Table5[app_id],Table5[app_name],"",0)</f>
        <v>PayPlus</v>
      </c>
      <c r="D1207" t="str">
        <f>_xlfn.XLOOKUP(Table6[[#This Row],[app_id]],Table5[app_id],Table5[category],"",0)</f>
        <v>Finance</v>
      </c>
      <c r="E1207" t="s">
        <v>533</v>
      </c>
      <c r="F1207" t="s">
        <v>534</v>
      </c>
      <c r="G1207" t="s">
        <v>61</v>
      </c>
      <c r="H1207" t="s">
        <v>535</v>
      </c>
      <c r="I1207">
        <v>29</v>
      </c>
      <c r="J1207">
        <v>17.2</v>
      </c>
      <c r="K1207" t="s">
        <v>257</v>
      </c>
      <c r="L1207" t="s">
        <v>257</v>
      </c>
      <c r="M1207" t="s">
        <v>258</v>
      </c>
      <c r="N1207" s="5">
        <v>44.77</v>
      </c>
    </row>
    <row r="1208" spans="1:14" x14ac:dyDescent="0.25">
      <c r="A1208" t="s">
        <v>1749</v>
      </c>
      <c r="B1208" t="s">
        <v>39</v>
      </c>
      <c r="C1208" t="str">
        <f>_xlfn.XLOOKUP(Table6[[#This Row],[app_id]],Table5[app_id],Table5[app_name],"",0)</f>
        <v>BankPlus</v>
      </c>
      <c r="D1208" t="str">
        <f>_xlfn.XLOOKUP(Table6[[#This Row],[app_id]],Table5[app_id],Table5[category],"",0)</f>
        <v>Finance</v>
      </c>
      <c r="E1208" t="s">
        <v>546</v>
      </c>
      <c r="F1208" t="s">
        <v>538</v>
      </c>
      <c r="G1208" t="s">
        <v>26</v>
      </c>
      <c r="H1208" t="s">
        <v>535</v>
      </c>
      <c r="I1208">
        <v>31</v>
      </c>
      <c r="J1208">
        <v>5.2</v>
      </c>
      <c r="K1208" t="s">
        <v>257</v>
      </c>
      <c r="L1208" t="s">
        <v>258</v>
      </c>
      <c r="M1208" t="s">
        <v>258</v>
      </c>
      <c r="N1208" s="5">
        <v>0</v>
      </c>
    </row>
    <row r="1209" spans="1:14" x14ac:dyDescent="0.25">
      <c r="A1209" t="s">
        <v>1750</v>
      </c>
      <c r="B1209" t="s">
        <v>42</v>
      </c>
      <c r="C1209" t="str">
        <f>_xlfn.XLOOKUP(Table6[[#This Row],[app_id]],Table5[app_id],Table5[app_name],"",0)</f>
        <v>CoinPlus</v>
      </c>
      <c r="D1209" t="str">
        <f>_xlfn.XLOOKUP(Table6[[#This Row],[app_id]],Table5[app_id],Table5[category],"",0)</f>
        <v>Finance</v>
      </c>
      <c r="E1209" t="s">
        <v>546</v>
      </c>
      <c r="F1209" t="s">
        <v>534</v>
      </c>
      <c r="G1209" t="s">
        <v>61</v>
      </c>
      <c r="H1209" t="s">
        <v>535</v>
      </c>
      <c r="I1209">
        <v>14</v>
      </c>
      <c r="J1209">
        <v>11.9</v>
      </c>
      <c r="K1209" t="s">
        <v>258</v>
      </c>
      <c r="L1209" t="s">
        <v>258</v>
      </c>
      <c r="M1209" t="s">
        <v>257</v>
      </c>
      <c r="N1209" s="5">
        <v>0</v>
      </c>
    </row>
    <row r="1210" spans="1:14" x14ac:dyDescent="0.25">
      <c r="A1210" t="s">
        <v>1751</v>
      </c>
      <c r="B1210" t="s">
        <v>47</v>
      </c>
      <c r="C1210" t="str">
        <f>_xlfn.XLOOKUP(Table6[[#This Row],[app_id]],Table5[app_id],Table5[app_name],"",0)</f>
        <v>CreditOne</v>
      </c>
      <c r="D1210" t="str">
        <f>_xlfn.XLOOKUP(Table6[[#This Row],[app_id]],Table5[app_id],Table5[category],"",0)</f>
        <v>Finance</v>
      </c>
      <c r="E1210" t="s">
        <v>537</v>
      </c>
      <c r="F1210" t="s">
        <v>534</v>
      </c>
      <c r="G1210" t="s">
        <v>46</v>
      </c>
      <c r="H1210" t="s">
        <v>540</v>
      </c>
      <c r="I1210">
        <v>2</v>
      </c>
      <c r="J1210">
        <v>20.399999999999999</v>
      </c>
      <c r="K1210" t="s">
        <v>258</v>
      </c>
      <c r="L1210" t="s">
        <v>257</v>
      </c>
      <c r="M1210" t="s">
        <v>258</v>
      </c>
      <c r="N1210" s="5">
        <v>0</v>
      </c>
    </row>
    <row r="1211" spans="1:14" x14ac:dyDescent="0.25">
      <c r="A1211" t="s">
        <v>1752</v>
      </c>
      <c r="B1211" t="s">
        <v>49</v>
      </c>
      <c r="C1211" t="str">
        <f>_xlfn.XLOOKUP(Table6[[#This Row],[app_id]],Table5[app_id],Table5[app_name],"",0)</f>
        <v>PayPro</v>
      </c>
      <c r="D1211" t="str">
        <f>_xlfn.XLOOKUP(Table6[[#This Row],[app_id]],Table5[app_id],Table5[category],"",0)</f>
        <v>Finance</v>
      </c>
      <c r="E1211" t="s">
        <v>533</v>
      </c>
      <c r="F1211" t="s">
        <v>538</v>
      </c>
      <c r="G1211" t="s">
        <v>30</v>
      </c>
      <c r="H1211" t="s">
        <v>540</v>
      </c>
      <c r="I1211">
        <v>40</v>
      </c>
      <c r="J1211">
        <v>4.0999999999999996</v>
      </c>
      <c r="K1211" t="s">
        <v>257</v>
      </c>
      <c r="L1211" t="s">
        <v>257</v>
      </c>
      <c r="M1211" t="s">
        <v>258</v>
      </c>
      <c r="N1211" s="5">
        <v>30.16</v>
      </c>
    </row>
    <row r="1212" spans="1:14" x14ac:dyDescent="0.25">
      <c r="A1212" t="s">
        <v>1753</v>
      </c>
      <c r="B1212" t="s">
        <v>51</v>
      </c>
      <c r="C1212" t="str">
        <f>_xlfn.XLOOKUP(Table6[[#This Row],[app_id]],Table5[app_id],Table5[app_name],"",0)</f>
        <v>Creditly</v>
      </c>
      <c r="D1212" t="str">
        <f>_xlfn.XLOOKUP(Table6[[#This Row],[app_id]],Table5[app_id],Table5[category],"",0)</f>
        <v>Finance</v>
      </c>
      <c r="E1212" t="s">
        <v>533</v>
      </c>
      <c r="F1212" t="s">
        <v>548</v>
      </c>
      <c r="G1212" t="s">
        <v>61</v>
      </c>
      <c r="H1212" t="s">
        <v>535</v>
      </c>
      <c r="I1212">
        <v>67</v>
      </c>
      <c r="J1212">
        <v>18.5</v>
      </c>
      <c r="K1212" t="s">
        <v>257</v>
      </c>
      <c r="L1212" t="s">
        <v>257</v>
      </c>
      <c r="M1212" t="s">
        <v>258</v>
      </c>
      <c r="N1212" s="5">
        <v>0</v>
      </c>
    </row>
    <row r="1213" spans="1:14" x14ac:dyDescent="0.25">
      <c r="A1213" t="s">
        <v>1754</v>
      </c>
      <c r="B1213" t="s">
        <v>53</v>
      </c>
      <c r="C1213" t="str">
        <f>_xlfn.XLOOKUP(Table6[[#This Row],[app_id]],Table5[app_id],Table5[app_name],"",0)</f>
        <v>PayX</v>
      </c>
      <c r="D1213" t="str">
        <f>_xlfn.XLOOKUP(Table6[[#This Row],[app_id]],Table5[app_id],Table5[category],"",0)</f>
        <v>Finance</v>
      </c>
      <c r="E1213" t="s">
        <v>546</v>
      </c>
      <c r="F1213" t="s">
        <v>538</v>
      </c>
      <c r="G1213" t="s">
        <v>18</v>
      </c>
      <c r="H1213" t="s">
        <v>535</v>
      </c>
      <c r="I1213">
        <v>15</v>
      </c>
      <c r="J1213">
        <v>23.1</v>
      </c>
      <c r="K1213" t="s">
        <v>258</v>
      </c>
      <c r="L1213" t="s">
        <v>258</v>
      </c>
      <c r="M1213" t="s">
        <v>258</v>
      </c>
      <c r="N1213" s="5">
        <v>0</v>
      </c>
    </row>
    <row r="1214" spans="1:14" x14ac:dyDescent="0.25">
      <c r="A1214" t="s">
        <v>1755</v>
      </c>
      <c r="B1214" t="s">
        <v>56</v>
      </c>
      <c r="C1214" t="str">
        <f>_xlfn.XLOOKUP(Table6[[#This Row],[app_id]],Table5[app_id],Table5[app_name],"",0)</f>
        <v>DealGo</v>
      </c>
      <c r="D1214" t="str">
        <f>_xlfn.XLOOKUP(Table6[[#This Row],[app_id]],Table5[app_id],Table5[category],"",0)</f>
        <v>Shopping</v>
      </c>
      <c r="E1214" t="s">
        <v>552</v>
      </c>
      <c r="F1214" t="s">
        <v>534</v>
      </c>
      <c r="G1214" t="s">
        <v>61</v>
      </c>
      <c r="H1214" t="s">
        <v>540</v>
      </c>
      <c r="I1214">
        <v>24</v>
      </c>
      <c r="J1214">
        <v>19.8</v>
      </c>
      <c r="K1214" t="s">
        <v>258</v>
      </c>
      <c r="L1214" t="s">
        <v>257</v>
      </c>
      <c r="M1214" t="s">
        <v>258</v>
      </c>
      <c r="N1214" s="5">
        <v>13.4</v>
      </c>
    </row>
    <row r="1215" spans="1:14" x14ac:dyDescent="0.25">
      <c r="A1215" t="s">
        <v>1756</v>
      </c>
      <c r="B1215" t="s">
        <v>62</v>
      </c>
      <c r="C1215" t="str">
        <f>_xlfn.XLOOKUP(Table6[[#This Row],[app_id]],Table5[app_id],Table5[app_name],"",0)</f>
        <v>MallNow</v>
      </c>
      <c r="D1215" t="str">
        <f>_xlfn.XLOOKUP(Table6[[#This Row],[app_id]],Table5[app_id],Table5[category],"",0)</f>
        <v>Shopping</v>
      </c>
      <c r="E1215" t="s">
        <v>533</v>
      </c>
      <c r="F1215" t="s">
        <v>538</v>
      </c>
      <c r="G1215" t="s">
        <v>26</v>
      </c>
      <c r="H1215" t="s">
        <v>535</v>
      </c>
      <c r="I1215">
        <v>30</v>
      </c>
      <c r="J1215">
        <v>3.1</v>
      </c>
      <c r="K1215" t="s">
        <v>257</v>
      </c>
      <c r="L1215" t="s">
        <v>257</v>
      </c>
      <c r="M1215" t="s">
        <v>258</v>
      </c>
      <c r="N1215" s="5">
        <v>0</v>
      </c>
    </row>
    <row r="1216" spans="1:14" x14ac:dyDescent="0.25">
      <c r="A1216" t="s">
        <v>1757</v>
      </c>
      <c r="B1216" t="s">
        <v>65</v>
      </c>
      <c r="C1216" t="str">
        <f>_xlfn.XLOOKUP(Table6[[#This Row],[app_id]],Table5[app_id],Table5[app_name],"",0)</f>
        <v>DealPro</v>
      </c>
      <c r="D1216" t="str">
        <f>_xlfn.XLOOKUP(Table6[[#This Row],[app_id]],Table5[app_id],Table5[category],"",0)</f>
        <v>Shopping</v>
      </c>
      <c r="E1216" t="s">
        <v>546</v>
      </c>
      <c r="F1216" t="s">
        <v>534</v>
      </c>
      <c r="G1216" t="s">
        <v>23</v>
      </c>
      <c r="H1216" t="s">
        <v>535</v>
      </c>
      <c r="I1216">
        <v>12</v>
      </c>
      <c r="J1216">
        <v>17.2</v>
      </c>
      <c r="K1216" t="s">
        <v>258</v>
      </c>
      <c r="L1216" t="s">
        <v>257</v>
      </c>
      <c r="M1216" t="s">
        <v>258</v>
      </c>
      <c r="N1216" s="5">
        <v>0</v>
      </c>
    </row>
    <row r="1217" spans="1:14" x14ac:dyDescent="0.25">
      <c r="A1217" t="s">
        <v>1758</v>
      </c>
      <c r="B1217" t="s">
        <v>67</v>
      </c>
      <c r="C1217" t="str">
        <f>_xlfn.XLOOKUP(Table6[[#This Row],[app_id]],Table5[app_id],Table5[app_name],"",0)</f>
        <v>StyleNow</v>
      </c>
      <c r="D1217" t="str">
        <f>_xlfn.XLOOKUP(Table6[[#This Row],[app_id]],Table5[app_id],Table5[category],"",0)</f>
        <v>Shopping</v>
      </c>
      <c r="E1217" t="s">
        <v>552</v>
      </c>
      <c r="F1217" t="s">
        <v>538</v>
      </c>
      <c r="G1217" t="s">
        <v>69</v>
      </c>
      <c r="H1217" t="s">
        <v>535</v>
      </c>
      <c r="I1217">
        <v>83</v>
      </c>
      <c r="J1217">
        <v>7</v>
      </c>
      <c r="K1217" t="s">
        <v>257</v>
      </c>
      <c r="L1217" t="s">
        <v>257</v>
      </c>
      <c r="M1217" t="s">
        <v>258</v>
      </c>
      <c r="N1217" s="5">
        <v>0</v>
      </c>
    </row>
    <row r="1218" spans="1:14" x14ac:dyDescent="0.25">
      <c r="A1218" t="s">
        <v>1759</v>
      </c>
      <c r="B1218" t="s">
        <v>70</v>
      </c>
      <c r="C1218" t="str">
        <f>_xlfn.XLOOKUP(Table6[[#This Row],[app_id]],Table5[app_id],Table5[app_name],"",0)</f>
        <v>DealCloud</v>
      </c>
      <c r="D1218" t="str">
        <f>_xlfn.XLOOKUP(Table6[[#This Row],[app_id]],Table5[app_id],Table5[category],"",0)</f>
        <v>Shopping</v>
      </c>
      <c r="E1218" t="s">
        <v>546</v>
      </c>
      <c r="F1218" t="s">
        <v>534</v>
      </c>
      <c r="G1218" t="s">
        <v>30</v>
      </c>
      <c r="H1218" t="s">
        <v>535</v>
      </c>
      <c r="I1218">
        <v>21</v>
      </c>
      <c r="J1218">
        <v>20</v>
      </c>
      <c r="K1218" t="s">
        <v>258</v>
      </c>
      <c r="L1218" t="s">
        <v>257</v>
      </c>
      <c r="M1218" t="s">
        <v>258</v>
      </c>
      <c r="N1218" s="5">
        <v>72.819999999999993</v>
      </c>
    </row>
    <row r="1219" spans="1:14" x14ac:dyDescent="0.25">
      <c r="A1219" t="s">
        <v>1760</v>
      </c>
      <c r="B1219" t="s">
        <v>72</v>
      </c>
      <c r="C1219" t="str">
        <f>_xlfn.XLOOKUP(Table6[[#This Row],[app_id]],Table5[app_id],Table5[app_name],"",0)</f>
        <v>CartCloud</v>
      </c>
      <c r="D1219" t="str">
        <f>_xlfn.XLOOKUP(Table6[[#This Row],[app_id]],Table5[app_id],Table5[category],"",0)</f>
        <v>Shopping</v>
      </c>
      <c r="E1219" t="s">
        <v>533</v>
      </c>
      <c r="F1219" t="s">
        <v>538</v>
      </c>
      <c r="G1219" t="s">
        <v>35</v>
      </c>
      <c r="H1219" t="s">
        <v>535</v>
      </c>
      <c r="I1219">
        <v>12</v>
      </c>
      <c r="J1219">
        <v>4.9000000000000004</v>
      </c>
      <c r="K1219" t="s">
        <v>258</v>
      </c>
      <c r="L1219" t="s">
        <v>258</v>
      </c>
      <c r="M1219" t="s">
        <v>258</v>
      </c>
      <c r="N1219" s="5">
        <v>0</v>
      </c>
    </row>
    <row r="1220" spans="1:14" x14ac:dyDescent="0.25">
      <c r="A1220" t="s">
        <v>1761</v>
      </c>
      <c r="B1220" t="s">
        <v>74</v>
      </c>
      <c r="C1220" t="str">
        <f>_xlfn.XLOOKUP(Table6[[#This Row],[app_id]],Table5[app_id],Table5[app_name],"",0)</f>
        <v>CartMate</v>
      </c>
      <c r="D1220" t="str">
        <f>_xlfn.XLOOKUP(Table6[[#This Row],[app_id]],Table5[app_id],Table5[category],"",0)</f>
        <v>Shopping</v>
      </c>
      <c r="E1220" t="s">
        <v>546</v>
      </c>
      <c r="F1220" t="s">
        <v>628</v>
      </c>
      <c r="G1220" t="s">
        <v>23</v>
      </c>
      <c r="H1220" t="s">
        <v>535</v>
      </c>
      <c r="I1220">
        <v>13</v>
      </c>
      <c r="J1220">
        <v>12.5</v>
      </c>
      <c r="K1220" t="s">
        <v>258</v>
      </c>
      <c r="L1220" t="s">
        <v>258</v>
      </c>
      <c r="M1220" t="s">
        <v>258</v>
      </c>
      <c r="N1220" s="5">
        <v>0</v>
      </c>
    </row>
    <row r="1221" spans="1:14" x14ac:dyDescent="0.25">
      <c r="A1221" t="s">
        <v>1762</v>
      </c>
      <c r="B1221" t="s">
        <v>76</v>
      </c>
      <c r="C1221" t="str">
        <f>_xlfn.XLOOKUP(Table6[[#This Row],[app_id]],Table5[app_id],Table5[app_name],"",0)</f>
        <v>BazaarOne</v>
      </c>
      <c r="D1221" t="str">
        <f>_xlfn.XLOOKUP(Table6[[#This Row],[app_id]],Table5[app_id],Table5[category],"",0)</f>
        <v>Shopping</v>
      </c>
      <c r="E1221" t="s">
        <v>537</v>
      </c>
      <c r="F1221" t="s">
        <v>548</v>
      </c>
      <c r="G1221" t="s">
        <v>23</v>
      </c>
      <c r="H1221" t="s">
        <v>535</v>
      </c>
      <c r="I1221">
        <v>9</v>
      </c>
      <c r="J1221">
        <v>21.8</v>
      </c>
      <c r="K1221" t="s">
        <v>258</v>
      </c>
      <c r="L1221" t="s">
        <v>258</v>
      </c>
      <c r="M1221" t="s">
        <v>257</v>
      </c>
      <c r="N1221" s="5">
        <v>0</v>
      </c>
    </row>
    <row r="1222" spans="1:14" x14ac:dyDescent="0.25">
      <c r="A1222" t="s">
        <v>1763</v>
      </c>
      <c r="B1222" t="s">
        <v>78</v>
      </c>
      <c r="C1222" t="str">
        <f>_xlfn.XLOOKUP(Table6[[#This Row],[app_id]],Table5[app_id],Table5[app_name],"",0)</f>
        <v>StyleOne</v>
      </c>
      <c r="D1222" t="str">
        <f>_xlfn.XLOOKUP(Table6[[#This Row],[app_id]],Table5[app_id],Table5[category],"",0)</f>
        <v>Shopping</v>
      </c>
      <c r="E1222" t="s">
        <v>546</v>
      </c>
      <c r="F1222" t="s">
        <v>534</v>
      </c>
      <c r="G1222" t="s">
        <v>69</v>
      </c>
      <c r="H1222" t="s">
        <v>540</v>
      </c>
      <c r="I1222">
        <v>15</v>
      </c>
      <c r="J1222">
        <v>13.6</v>
      </c>
      <c r="K1222" t="s">
        <v>257</v>
      </c>
      <c r="L1222" t="s">
        <v>258</v>
      </c>
      <c r="M1222" t="s">
        <v>258</v>
      </c>
      <c r="N1222" s="5">
        <v>0</v>
      </c>
    </row>
    <row r="1223" spans="1:14" x14ac:dyDescent="0.25">
      <c r="A1223" t="s">
        <v>1764</v>
      </c>
      <c r="B1223" t="s">
        <v>80</v>
      </c>
      <c r="C1223" t="str">
        <f>_xlfn.XLOOKUP(Table6[[#This Row],[app_id]],Table5[app_id],Table5[app_name],"",0)</f>
        <v>Cartly</v>
      </c>
      <c r="D1223" t="str">
        <f>_xlfn.XLOOKUP(Table6[[#This Row],[app_id]],Table5[app_id],Table5[category],"",0)</f>
        <v>Shopping</v>
      </c>
      <c r="E1223" t="s">
        <v>546</v>
      </c>
      <c r="F1223" t="s">
        <v>538</v>
      </c>
      <c r="G1223" t="s">
        <v>18</v>
      </c>
      <c r="H1223" t="s">
        <v>535</v>
      </c>
      <c r="I1223">
        <v>4</v>
      </c>
      <c r="J1223">
        <v>21</v>
      </c>
      <c r="K1223" t="s">
        <v>258</v>
      </c>
      <c r="L1223" t="s">
        <v>257</v>
      </c>
      <c r="M1223" t="s">
        <v>258</v>
      </c>
      <c r="N1223" s="5">
        <v>0</v>
      </c>
    </row>
    <row r="1224" spans="1:14" x14ac:dyDescent="0.25">
      <c r="A1224" t="s">
        <v>1765</v>
      </c>
      <c r="B1224" t="s">
        <v>83</v>
      </c>
      <c r="C1224" t="str">
        <f>_xlfn.XLOOKUP(Table6[[#This Row],[app_id]],Table5[app_id],Table5[app_name],"",0)</f>
        <v>BazaarCloud</v>
      </c>
      <c r="D1224" t="str">
        <f>_xlfn.XLOOKUP(Table6[[#This Row],[app_id]],Table5[app_id],Table5[category],"",0)</f>
        <v>Shopping</v>
      </c>
      <c r="E1224" t="s">
        <v>552</v>
      </c>
      <c r="F1224" t="s">
        <v>538</v>
      </c>
      <c r="G1224" t="s">
        <v>18</v>
      </c>
      <c r="H1224" t="s">
        <v>535</v>
      </c>
      <c r="I1224">
        <v>14</v>
      </c>
      <c r="J1224">
        <v>21.3</v>
      </c>
      <c r="K1224" t="s">
        <v>258</v>
      </c>
      <c r="L1224" t="s">
        <v>258</v>
      </c>
      <c r="M1224" t="s">
        <v>257</v>
      </c>
      <c r="N1224" s="5">
        <v>0</v>
      </c>
    </row>
    <row r="1225" spans="1:14" x14ac:dyDescent="0.25">
      <c r="A1225" t="s">
        <v>1766</v>
      </c>
      <c r="B1225" t="s">
        <v>85</v>
      </c>
      <c r="C1225" t="str">
        <f>_xlfn.XLOOKUP(Table6[[#This Row],[app_id]],Table5[app_id],Table5[app_name],"",0)</f>
        <v>CartPro</v>
      </c>
      <c r="D1225" t="str">
        <f>_xlfn.XLOOKUP(Table6[[#This Row],[app_id]],Table5[app_id],Table5[category],"",0)</f>
        <v>Shopping</v>
      </c>
      <c r="E1225" t="s">
        <v>537</v>
      </c>
      <c r="F1225" t="s">
        <v>538</v>
      </c>
      <c r="G1225" t="s">
        <v>61</v>
      </c>
      <c r="H1225" t="s">
        <v>535</v>
      </c>
      <c r="I1225">
        <v>84</v>
      </c>
      <c r="J1225">
        <v>16.3</v>
      </c>
      <c r="K1225" t="s">
        <v>257</v>
      </c>
      <c r="L1225" t="s">
        <v>257</v>
      </c>
      <c r="M1225" t="s">
        <v>258</v>
      </c>
      <c r="N1225" s="5">
        <v>0</v>
      </c>
    </row>
    <row r="1226" spans="1:14" x14ac:dyDescent="0.25">
      <c r="A1226" t="s">
        <v>1767</v>
      </c>
      <c r="B1226" t="s">
        <v>87</v>
      </c>
      <c r="C1226" t="str">
        <f>_xlfn.XLOOKUP(Table6[[#This Row],[app_id]],Table5[app_id],Table5[app_name],"",0)</f>
        <v>RunPlus</v>
      </c>
      <c r="D1226" t="str">
        <f>_xlfn.XLOOKUP(Table6[[#This Row],[app_id]],Table5[app_id],Table5[category],"",0)</f>
        <v>Fitness</v>
      </c>
      <c r="E1226" t="s">
        <v>537</v>
      </c>
      <c r="F1226" t="s">
        <v>538</v>
      </c>
      <c r="G1226" t="s">
        <v>46</v>
      </c>
      <c r="H1226" t="s">
        <v>535</v>
      </c>
      <c r="I1226">
        <v>2</v>
      </c>
      <c r="J1226">
        <v>18</v>
      </c>
      <c r="K1226" t="s">
        <v>258</v>
      </c>
      <c r="L1226" t="s">
        <v>257</v>
      </c>
      <c r="M1226" t="s">
        <v>258</v>
      </c>
      <c r="N1226" s="5">
        <v>0</v>
      </c>
    </row>
    <row r="1227" spans="1:14" x14ac:dyDescent="0.25">
      <c r="A1227" t="s">
        <v>1768</v>
      </c>
      <c r="B1227" t="s">
        <v>90</v>
      </c>
      <c r="C1227" t="str">
        <f>_xlfn.XLOOKUP(Table6[[#This Row],[app_id]],Table5[app_id],Table5[app_name],"",0)</f>
        <v>TrainCloud</v>
      </c>
      <c r="D1227" t="str">
        <f>_xlfn.XLOOKUP(Table6[[#This Row],[app_id]],Table5[app_id],Table5[category],"",0)</f>
        <v>Fitness</v>
      </c>
      <c r="E1227" t="s">
        <v>533</v>
      </c>
      <c r="F1227" t="s">
        <v>534</v>
      </c>
      <c r="G1227" t="s">
        <v>61</v>
      </c>
      <c r="H1227" t="s">
        <v>540</v>
      </c>
      <c r="I1227">
        <v>60</v>
      </c>
      <c r="J1227">
        <v>24.2</v>
      </c>
      <c r="K1227" t="s">
        <v>257</v>
      </c>
      <c r="L1227" t="s">
        <v>258</v>
      </c>
      <c r="M1227" t="s">
        <v>257</v>
      </c>
      <c r="N1227" s="5">
        <v>18</v>
      </c>
    </row>
    <row r="1228" spans="1:14" x14ac:dyDescent="0.25">
      <c r="A1228" t="s">
        <v>1769</v>
      </c>
      <c r="B1228" t="s">
        <v>92</v>
      </c>
      <c r="C1228" t="str">
        <f>_xlfn.XLOOKUP(Table6[[#This Row],[app_id]],Table5[app_id],Table5[app_name],"",0)</f>
        <v>Trainly</v>
      </c>
      <c r="D1228" t="str">
        <f>_xlfn.XLOOKUP(Table6[[#This Row],[app_id]],Table5[app_id],Table5[category],"",0)</f>
        <v>Fitness</v>
      </c>
      <c r="E1228" t="s">
        <v>533</v>
      </c>
      <c r="F1228" t="s">
        <v>538</v>
      </c>
      <c r="G1228" t="s">
        <v>30</v>
      </c>
      <c r="H1228" t="s">
        <v>535</v>
      </c>
      <c r="I1228">
        <v>69</v>
      </c>
      <c r="J1228">
        <v>16.899999999999999</v>
      </c>
      <c r="K1228" t="s">
        <v>257</v>
      </c>
      <c r="L1228" t="s">
        <v>258</v>
      </c>
      <c r="M1228" t="s">
        <v>257</v>
      </c>
      <c r="N1228" s="5">
        <v>0</v>
      </c>
    </row>
    <row r="1229" spans="1:14" x14ac:dyDescent="0.25">
      <c r="A1229" t="s">
        <v>1770</v>
      </c>
      <c r="B1229" t="s">
        <v>94</v>
      </c>
      <c r="C1229" t="str">
        <f>_xlfn.XLOOKUP(Table6[[#This Row],[app_id]],Table5[app_id],Table5[app_name],"",0)</f>
        <v>LiftCloud</v>
      </c>
      <c r="D1229" t="str">
        <f>_xlfn.XLOOKUP(Table6[[#This Row],[app_id]],Table5[app_id],Table5[category],"",0)</f>
        <v>Fitness</v>
      </c>
      <c r="E1229" t="s">
        <v>557</v>
      </c>
      <c r="F1229" t="s">
        <v>538</v>
      </c>
      <c r="G1229" t="s">
        <v>30</v>
      </c>
      <c r="H1229" t="s">
        <v>535</v>
      </c>
      <c r="I1229">
        <v>60</v>
      </c>
      <c r="J1229">
        <v>18.600000000000001</v>
      </c>
      <c r="K1229" t="s">
        <v>257</v>
      </c>
      <c r="L1229" t="s">
        <v>257</v>
      </c>
      <c r="M1229" t="s">
        <v>258</v>
      </c>
      <c r="N1229" s="5">
        <v>3</v>
      </c>
    </row>
    <row r="1230" spans="1:14" x14ac:dyDescent="0.25">
      <c r="A1230" t="s">
        <v>1771</v>
      </c>
      <c r="B1230" t="s">
        <v>96</v>
      </c>
      <c r="C1230" t="str">
        <f>_xlfn.XLOOKUP(Table6[[#This Row],[app_id]],Table5[app_id],Table5[app_name],"",0)</f>
        <v>MoveNow</v>
      </c>
      <c r="D1230" t="str">
        <f>_xlfn.XLOOKUP(Table6[[#This Row],[app_id]],Table5[app_id],Table5[category],"",0)</f>
        <v>Fitness</v>
      </c>
      <c r="E1230" t="s">
        <v>557</v>
      </c>
      <c r="F1230" t="s">
        <v>538</v>
      </c>
      <c r="G1230" t="s">
        <v>35</v>
      </c>
      <c r="H1230" t="s">
        <v>535</v>
      </c>
      <c r="I1230">
        <v>32</v>
      </c>
      <c r="J1230">
        <v>39.299999999999997</v>
      </c>
      <c r="K1230" t="s">
        <v>257</v>
      </c>
      <c r="L1230" t="s">
        <v>257</v>
      </c>
      <c r="M1230" t="s">
        <v>258</v>
      </c>
      <c r="N1230" s="5">
        <v>16.899999999999999</v>
      </c>
    </row>
    <row r="1231" spans="1:14" x14ac:dyDescent="0.25">
      <c r="A1231" t="s">
        <v>1772</v>
      </c>
      <c r="B1231" t="s">
        <v>98</v>
      </c>
      <c r="C1231" t="str">
        <f>_xlfn.XLOOKUP(Table6[[#This Row],[app_id]],Table5[app_id],Table5[app_name],"",0)</f>
        <v>ActiveMate</v>
      </c>
      <c r="D1231" t="str">
        <f>_xlfn.XLOOKUP(Table6[[#This Row],[app_id]],Table5[app_id],Table5[category],"",0)</f>
        <v>Fitness</v>
      </c>
      <c r="E1231" t="s">
        <v>537</v>
      </c>
      <c r="F1231" t="s">
        <v>534</v>
      </c>
      <c r="G1231" t="s">
        <v>46</v>
      </c>
      <c r="H1231" t="s">
        <v>535</v>
      </c>
      <c r="I1231">
        <v>44</v>
      </c>
      <c r="J1231">
        <v>29.1</v>
      </c>
      <c r="K1231" t="s">
        <v>257</v>
      </c>
      <c r="L1231" t="s">
        <v>257</v>
      </c>
      <c r="M1231" t="s">
        <v>258</v>
      </c>
      <c r="N1231" s="5">
        <v>0</v>
      </c>
    </row>
    <row r="1232" spans="1:14" x14ac:dyDescent="0.25">
      <c r="A1232" t="s">
        <v>1773</v>
      </c>
      <c r="B1232" t="s">
        <v>100</v>
      </c>
      <c r="C1232" t="str">
        <f>_xlfn.XLOOKUP(Table6[[#This Row],[app_id]],Table5[app_id],Table5[app_name],"",0)</f>
        <v>RunGo</v>
      </c>
      <c r="D1232" t="str">
        <f>_xlfn.XLOOKUP(Table6[[#This Row],[app_id]],Table5[app_id],Table5[category],"",0)</f>
        <v>Fitness</v>
      </c>
      <c r="E1232" t="s">
        <v>546</v>
      </c>
      <c r="F1232" t="s">
        <v>534</v>
      </c>
      <c r="G1232" t="s">
        <v>69</v>
      </c>
      <c r="H1232" t="s">
        <v>535</v>
      </c>
      <c r="I1232">
        <v>29</v>
      </c>
      <c r="J1232">
        <v>37.5</v>
      </c>
      <c r="K1232" t="s">
        <v>257</v>
      </c>
      <c r="L1232" t="s">
        <v>258</v>
      </c>
      <c r="M1232" t="s">
        <v>257</v>
      </c>
      <c r="N1232" s="5">
        <v>0</v>
      </c>
    </row>
    <row r="1233" spans="1:14" x14ac:dyDescent="0.25">
      <c r="A1233" t="s">
        <v>1774</v>
      </c>
      <c r="B1233" t="s">
        <v>102</v>
      </c>
      <c r="C1233" t="str">
        <f>_xlfn.XLOOKUP(Table6[[#This Row],[app_id]],Table5[app_id],Table5[app_name],"",0)</f>
        <v>LiftPro</v>
      </c>
      <c r="D1233" t="str">
        <f>_xlfn.XLOOKUP(Table6[[#This Row],[app_id]],Table5[app_id],Table5[category],"",0)</f>
        <v>Fitness</v>
      </c>
      <c r="E1233" t="s">
        <v>546</v>
      </c>
      <c r="F1233" t="s">
        <v>538</v>
      </c>
      <c r="G1233" t="s">
        <v>69</v>
      </c>
      <c r="H1233" t="s">
        <v>535</v>
      </c>
      <c r="I1233">
        <v>44</v>
      </c>
      <c r="J1233">
        <v>33.5</v>
      </c>
      <c r="K1233" t="s">
        <v>257</v>
      </c>
      <c r="L1233" t="s">
        <v>257</v>
      </c>
      <c r="M1233" t="s">
        <v>258</v>
      </c>
      <c r="N1233" s="5">
        <v>0</v>
      </c>
    </row>
    <row r="1234" spans="1:14" x14ac:dyDescent="0.25">
      <c r="A1234" t="s">
        <v>1775</v>
      </c>
      <c r="B1234" t="s">
        <v>104</v>
      </c>
      <c r="C1234" t="str">
        <f>_xlfn.XLOOKUP(Table6[[#This Row],[app_id]],Table5[app_id],Table5[app_name],"",0)</f>
        <v>LiftPro</v>
      </c>
      <c r="D1234" t="str">
        <f>_xlfn.XLOOKUP(Table6[[#This Row],[app_id]],Table5[app_id],Table5[category],"",0)</f>
        <v>Fitness</v>
      </c>
      <c r="E1234" t="s">
        <v>533</v>
      </c>
      <c r="F1234" t="s">
        <v>538</v>
      </c>
      <c r="G1234" t="s">
        <v>26</v>
      </c>
      <c r="H1234" t="s">
        <v>535</v>
      </c>
      <c r="I1234">
        <v>10</v>
      </c>
      <c r="J1234">
        <v>19.600000000000001</v>
      </c>
      <c r="K1234" t="s">
        <v>258</v>
      </c>
      <c r="L1234" t="s">
        <v>258</v>
      </c>
      <c r="M1234" t="s">
        <v>257</v>
      </c>
      <c r="N1234" s="5">
        <v>0</v>
      </c>
    </row>
    <row r="1235" spans="1:14" x14ac:dyDescent="0.25">
      <c r="A1235" t="s">
        <v>1776</v>
      </c>
      <c r="B1235" t="s">
        <v>105</v>
      </c>
      <c r="C1235" t="str">
        <f>_xlfn.XLOOKUP(Table6[[#This Row],[app_id]],Table5[app_id],Table5[app_name],"",0)</f>
        <v>Liftly</v>
      </c>
      <c r="D1235" t="str">
        <f>_xlfn.XLOOKUP(Table6[[#This Row],[app_id]],Table5[app_id],Table5[category],"",0)</f>
        <v>Fitness</v>
      </c>
      <c r="E1235" t="s">
        <v>546</v>
      </c>
      <c r="F1235" t="s">
        <v>538</v>
      </c>
      <c r="G1235" t="s">
        <v>30</v>
      </c>
      <c r="H1235" t="s">
        <v>535</v>
      </c>
      <c r="I1235">
        <v>13</v>
      </c>
      <c r="J1235">
        <v>17.899999999999999</v>
      </c>
      <c r="K1235" t="s">
        <v>258</v>
      </c>
      <c r="L1235" t="s">
        <v>258</v>
      </c>
      <c r="M1235" t="s">
        <v>258</v>
      </c>
      <c r="N1235" s="5">
        <v>0</v>
      </c>
    </row>
    <row r="1236" spans="1:14" x14ac:dyDescent="0.25">
      <c r="A1236" t="s">
        <v>1777</v>
      </c>
      <c r="B1236" t="s">
        <v>107</v>
      </c>
      <c r="C1236" t="str">
        <f>_xlfn.XLOOKUP(Table6[[#This Row],[app_id]],Table5[app_id],Table5[app_name],"",0)</f>
        <v>YogaHub</v>
      </c>
      <c r="D1236" t="str">
        <f>_xlfn.XLOOKUP(Table6[[#This Row],[app_id]],Table5[app_id],Table5[category],"",0)</f>
        <v>Fitness</v>
      </c>
      <c r="E1236" t="s">
        <v>533</v>
      </c>
      <c r="F1236" t="s">
        <v>538</v>
      </c>
      <c r="G1236" t="s">
        <v>35</v>
      </c>
      <c r="H1236" t="s">
        <v>535</v>
      </c>
      <c r="I1236">
        <v>9</v>
      </c>
      <c r="J1236">
        <v>32.1</v>
      </c>
      <c r="K1236" t="s">
        <v>258</v>
      </c>
      <c r="L1236" t="s">
        <v>257</v>
      </c>
      <c r="M1236" t="s">
        <v>258</v>
      </c>
      <c r="N1236" s="5">
        <v>0</v>
      </c>
    </row>
    <row r="1237" spans="1:14" x14ac:dyDescent="0.25">
      <c r="A1237" t="s">
        <v>1778</v>
      </c>
      <c r="B1237" t="s">
        <v>109</v>
      </c>
      <c r="C1237" t="str">
        <f>_xlfn.XLOOKUP(Table6[[#This Row],[app_id]],Table5[app_id],Table5[app_name],"",0)</f>
        <v>MoveGo</v>
      </c>
      <c r="D1237" t="str">
        <f>_xlfn.XLOOKUP(Table6[[#This Row],[app_id]],Table5[app_id],Table5[category],"",0)</f>
        <v>Fitness</v>
      </c>
      <c r="E1237" t="s">
        <v>546</v>
      </c>
      <c r="F1237" t="s">
        <v>538</v>
      </c>
      <c r="G1237" t="s">
        <v>23</v>
      </c>
      <c r="H1237" t="s">
        <v>540</v>
      </c>
      <c r="I1237">
        <v>21</v>
      </c>
      <c r="J1237">
        <v>17.5</v>
      </c>
      <c r="K1237" t="s">
        <v>258</v>
      </c>
      <c r="L1237" t="s">
        <v>258</v>
      </c>
      <c r="M1237" t="s">
        <v>257</v>
      </c>
      <c r="N1237" s="5">
        <v>0</v>
      </c>
    </row>
    <row r="1238" spans="1:14" x14ac:dyDescent="0.25">
      <c r="A1238" t="s">
        <v>1779</v>
      </c>
      <c r="B1238" t="s">
        <v>111</v>
      </c>
      <c r="C1238" t="str">
        <f>_xlfn.XLOOKUP(Table6[[#This Row],[app_id]],Table5[app_id],Table5[app_name],"",0)</f>
        <v>BrightNow</v>
      </c>
      <c r="D1238" t="str">
        <f>_xlfn.XLOOKUP(Table6[[#This Row],[app_id]],Table5[app_id],Table5[category],"",0)</f>
        <v>Education</v>
      </c>
      <c r="E1238" t="s">
        <v>546</v>
      </c>
      <c r="F1238" t="s">
        <v>538</v>
      </c>
      <c r="G1238" t="s">
        <v>35</v>
      </c>
      <c r="H1238" t="s">
        <v>535</v>
      </c>
      <c r="I1238">
        <v>23</v>
      </c>
      <c r="J1238">
        <v>40</v>
      </c>
      <c r="K1238" t="s">
        <v>258</v>
      </c>
      <c r="L1238" t="s">
        <v>257</v>
      </c>
      <c r="M1238" t="s">
        <v>258</v>
      </c>
      <c r="N1238" s="5">
        <v>0</v>
      </c>
    </row>
    <row r="1239" spans="1:14" x14ac:dyDescent="0.25">
      <c r="A1239" t="s">
        <v>1780</v>
      </c>
      <c r="B1239" t="s">
        <v>114</v>
      </c>
      <c r="C1239" t="str">
        <f>_xlfn.XLOOKUP(Table6[[#This Row],[app_id]],Table5[app_id],Table5[app_name],"",0)</f>
        <v>StudyCloud</v>
      </c>
      <c r="D1239" t="str">
        <f>_xlfn.XLOOKUP(Table6[[#This Row],[app_id]],Table5[app_id],Table5[category],"",0)</f>
        <v>Education</v>
      </c>
      <c r="E1239" t="s">
        <v>533</v>
      </c>
      <c r="F1239" t="s">
        <v>538</v>
      </c>
      <c r="G1239" t="s">
        <v>18</v>
      </c>
      <c r="H1239" t="s">
        <v>540</v>
      </c>
      <c r="I1239">
        <v>15</v>
      </c>
      <c r="J1239">
        <v>36.799999999999997</v>
      </c>
      <c r="K1239" t="s">
        <v>258</v>
      </c>
      <c r="L1239" t="s">
        <v>258</v>
      </c>
      <c r="M1239" t="s">
        <v>258</v>
      </c>
      <c r="N1239" s="5">
        <v>0</v>
      </c>
    </row>
    <row r="1240" spans="1:14" x14ac:dyDescent="0.25">
      <c r="A1240" t="s">
        <v>1781</v>
      </c>
      <c r="B1240" t="s">
        <v>116</v>
      </c>
      <c r="C1240" t="str">
        <f>_xlfn.XLOOKUP(Table6[[#This Row],[app_id]],Table5[app_id],Table5[app_name],"",0)</f>
        <v>SkillNow</v>
      </c>
      <c r="D1240" t="str">
        <f>_xlfn.XLOOKUP(Table6[[#This Row],[app_id]],Table5[app_id],Table5[category],"",0)</f>
        <v>Education</v>
      </c>
      <c r="E1240" t="s">
        <v>546</v>
      </c>
      <c r="F1240" t="s">
        <v>538</v>
      </c>
      <c r="G1240" t="s">
        <v>18</v>
      </c>
      <c r="H1240" t="s">
        <v>535</v>
      </c>
      <c r="I1240">
        <v>4</v>
      </c>
      <c r="J1240">
        <v>36.1</v>
      </c>
      <c r="K1240" t="s">
        <v>258</v>
      </c>
      <c r="L1240" t="s">
        <v>258</v>
      </c>
      <c r="M1240" t="s">
        <v>258</v>
      </c>
      <c r="N1240" s="5">
        <v>0</v>
      </c>
    </row>
    <row r="1241" spans="1:14" x14ac:dyDescent="0.25">
      <c r="A1241" t="s">
        <v>1782</v>
      </c>
      <c r="B1241" t="s">
        <v>118</v>
      </c>
      <c r="C1241" t="str">
        <f>_xlfn.XLOOKUP(Table6[[#This Row],[app_id]],Table5[app_id],Table5[app_name],"",0)</f>
        <v>LearnMate</v>
      </c>
      <c r="D1241" t="str">
        <f>_xlfn.XLOOKUP(Table6[[#This Row],[app_id]],Table5[app_id],Table5[category],"",0)</f>
        <v>Education</v>
      </c>
      <c r="E1241" t="s">
        <v>557</v>
      </c>
      <c r="F1241" t="s">
        <v>628</v>
      </c>
      <c r="G1241" t="s">
        <v>61</v>
      </c>
      <c r="H1241" t="s">
        <v>535</v>
      </c>
      <c r="I1241">
        <v>38</v>
      </c>
      <c r="J1241">
        <v>21.5</v>
      </c>
      <c r="K1241" t="s">
        <v>257</v>
      </c>
      <c r="L1241" t="s">
        <v>257</v>
      </c>
      <c r="M1241" t="s">
        <v>258</v>
      </c>
      <c r="N1241" s="5">
        <v>25.71</v>
      </c>
    </row>
    <row r="1242" spans="1:14" x14ac:dyDescent="0.25">
      <c r="A1242" t="s">
        <v>1783</v>
      </c>
      <c r="B1242" t="s">
        <v>120</v>
      </c>
      <c r="C1242" t="str">
        <f>_xlfn.XLOOKUP(Table6[[#This Row],[app_id]],Table5[app_id],Table5[app_name],"",0)</f>
        <v>QuestNow</v>
      </c>
      <c r="D1242" t="str">
        <f>_xlfn.XLOOKUP(Table6[[#This Row],[app_id]],Table5[app_id],Table5[category],"",0)</f>
        <v>Education</v>
      </c>
      <c r="E1242" t="s">
        <v>533</v>
      </c>
      <c r="F1242" t="s">
        <v>538</v>
      </c>
      <c r="G1242" t="s">
        <v>23</v>
      </c>
      <c r="H1242" t="s">
        <v>535</v>
      </c>
      <c r="I1242">
        <v>47</v>
      </c>
      <c r="J1242">
        <v>17.3</v>
      </c>
      <c r="K1242" t="s">
        <v>257</v>
      </c>
      <c r="L1242" t="s">
        <v>258</v>
      </c>
      <c r="M1242" t="s">
        <v>258</v>
      </c>
      <c r="N1242" s="5">
        <v>0</v>
      </c>
    </row>
    <row r="1243" spans="1:14" x14ac:dyDescent="0.25">
      <c r="A1243" t="s">
        <v>1784</v>
      </c>
      <c r="B1243" t="s">
        <v>122</v>
      </c>
      <c r="C1243" t="str">
        <f>_xlfn.XLOOKUP(Table6[[#This Row],[app_id]],Table5[app_id],Table5[app_name],"",0)</f>
        <v>SkillHub</v>
      </c>
      <c r="D1243" t="str">
        <f>_xlfn.XLOOKUP(Table6[[#This Row],[app_id]],Table5[app_id],Table5[category],"",0)</f>
        <v>Education</v>
      </c>
      <c r="E1243" t="s">
        <v>533</v>
      </c>
      <c r="F1243" t="s">
        <v>538</v>
      </c>
      <c r="G1243" t="s">
        <v>69</v>
      </c>
      <c r="H1243" t="s">
        <v>535</v>
      </c>
      <c r="I1243">
        <v>58</v>
      </c>
      <c r="J1243">
        <v>25.2</v>
      </c>
      <c r="K1243" t="s">
        <v>257</v>
      </c>
      <c r="L1243" t="s">
        <v>257</v>
      </c>
      <c r="M1243" t="s">
        <v>257</v>
      </c>
      <c r="N1243" s="5">
        <v>24.68</v>
      </c>
    </row>
    <row r="1244" spans="1:14" x14ac:dyDescent="0.25">
      <c r="A1244" t="s">
        <v>1785</v>
      </c>
      <c r="B1244" t="s">
        <v>124</v>
      </c>
      <c r="C1244" t="str">
        <f>_xlfn.XLOOKUP(Table6[[#This Row],[app_id]],Table5[app_id],Table5[app_name],"",0)</f>
        <v>TutorCloud</v>
      </c>
      <c r="D1244" t="str">
        <f>_xlfn.XLOOKUP(Table6[[#This Row],[app_id]],Table5[app_id],Table5[category],"",0)</f>
        <v>Education</v>
      </c>
      <c r="E1244" t="s">
        <v>546</v>
      </c>
      <c r="F1244" t="s">
        <v>538</v>
      </c>
      <c r="G1244" t="s">
        <v>35</v>
      </c>
      <c r="H1244" t="s">
        <v>535</v>
      </c>
      <c r="I1244">
        <v>19</v>
      </c>
      <c r="J1244">
        <v>18.5</v>
      </c>
      <c r="K1244" t="s">
        <v>257</v>
      </c>
      <c r="L1244" t="s">
        <v>258</v>
      </c>
      <c r="M1244" t="s">
        <v>258</v>
      </c>
      <c r="N1244" s="5">
        <v>11.93</v>
      </c>
    </row>
    <row r="1245" spans="1:14" x14ac:dyDescent="0.25">
      <c r="A1245" t="s">
        <v>1786</v>
      </c>
      <c r="B1245" t="s">
        <v>126</v>
      </c>
      <c r="C1245" t="str">
        <f>_xlfn.XLOOKUP(Table6[[#This Row],[app_id]],Table5[app_id],Table5[app_name],"",0)</f>
        <v>SkillOne</v>
      </c>
      <c r="D1245" t="str">
        <f>_xlfn.XLOOKUP(Table6[[#This Row],[app_id]],Table5[app_id],Table5[category],"",0)</f>
        <v>Education</v>
      </c>
      <c r="E1245" t="s">
        <v>533</v>
      </c>
      <c r="F1245" t="s">
        <v>538</v>
      </c>
      <c r="G1245" t="s">
        <v>23</v>
      </c>
      <c r="H1245" t="s">
        <v>535</v>
      </c>
      <c r="I1245">
        <v>30</v>
      </c>
      <c r="J1245">
        <v>11.1</v>
      </c>
      <c r="K1245" t="s">
        <v>257</v>
      </c>
      <c r="L1245" t="s">
        <v>257</v>
      </c>
      <c r="M1245" t="s">
        <v>258</v>
      </c>
      <c r="N1245" s="5">
        <v>0</v>
      </c>
    </row>
    <row r="1246" spans="1:14" x14ac:dyDescent="0.25">
      <c r="A1246" t="s">
        <v>1787</v>
      </c>
      <c r="B1246" t="s">
        <v>128</v>
      </c>
      <c r="C1246" t="str">
        <f>_xlfn.XLOOKUP(Table6[[#This Row],[app_id]],Table5[app_id],Table5[app_name],"",0)</f>
        <v>LearnOne</v>
      </c>
      <c r="D1246" t="str">
        <f>_xlfn.XLOOKUP(Table6[[#This Row],[app_id]],Table5[app_id],Table5[category],"",0)</f>
        <v>Education</v>
      </c>
      <c r="E1246" t="s">
        <v>533</v>
      </c>
      <c r="F1246" t="s">
        <v>534</v>
      </c>
      <c r="G1246" t="s">
        <v>30</v>
      </c>
      <c r="H1246" t="s">
        <v>535</v>
      </c>
      <c r="I1246">
        <v>5</v>
      </c>
      <c r="J1246">
        <v>18.899999999999999</v>
      </c>
      <c r="K1246" t="s">
        <v>258</v>
      </c>
      <c r="L1246" t="s">
        <v>257</v>
      </c>
      <c r="M1246" t="s">
        <v>258</v>
      </c>
      <c r="N1246" s="5">
        <v>30.56</v>
      </c>
    </row>
    <row r="1247" spans="1:14" x14ac:dyDescent="0.25">
      <c r="A1247" t="s">
        <v>1788</v>
      </c>
      <c r="B1247" t="s">
        <v>130</v>
      </c>
      <c r="C1247" t="str">
        <f>_xlfn.XLOOKUP(Table6[[#This Row],[app_id]],Table5[app_id],Table5[app_name],"",0)</f>
        <v>LearnPlus</v>
      </c>
      <c r="D1247" t="str">
        <f>_xlfn.XLOOKUP(Table6[[#This Row],[app_id]],Table5[app_id],Table5[category],"",0)</f>
        <v>Education</v>
      </c>
      <c r="E1247" t="s">
        <v>546</v>
      </c>
      <c r="F1247" t="s">
        <v>534</v>
      </c>
      <c r="G1247" t="s">
        <v>26</v>
      </c>
      <c r="H1247" t="s">
        <v>535</v>
      </c>
      <c r="I1247">
        <v>26</v>
      </c>
      <c r="J1247">
        <v>12.4</v>
      </c>
      <c r="K1247" t="s">
        <v>258</v>
      </c>
      <c r="L1247" t="s">
        <v>258</v>
      </c>
      <c r="M1247" t="s">
        <v>258</v>
      </c>
      <c r="N1247" s="5">
        <v>41.54</v>
      </c>
    </row>
    <row r="1248" spans="1:14" x14ac:dyDescent="0.25">
      <c r="A1248" t="s">
        <v>1789</v>
      </c>
      <c r="B1248" t="s">
        <v>132</v>
      </c>
      <c r="C1248" t="str">
        <f>_xlfn.XLOOKUP(Table6[[#This Row],[app_id]],Table5[app_id],Table5[app_name],"",0)</f>
        <v>StudyPlus</v>
      </c>
      <c r="D1248" t="str">
        <f>_xlfn.XLOOKUP(Table6[[#This Row],[app_id]],Table5[app_id],Table5[category],"",0)</f>
        <v>Education</v>
      </c>
      <c r="E1248" t="s">
        <v>537</v>
      </c>
      <c r="F1248" t="s">
        <v>538</v>
      </c>
      <c r="G1248" t="s">
        <v>61</v>
      </c>
      <c r="H1248" t="s">
        <v>535</v>
      </c>
      <c r="I1248">
        <v>26</v>
      </c>
      <c r="J1248">
        <v>38</v>
      </c>
      <c r="K1248" t="s">
        <v>258</v>
      </c>
      <c r="L1248" t="s">
        <v>257</v>
      </c>
      <c r="M1248" t="s">
        <v>258</v>
      </c>
      <c r="N1248" s="5">
        <v>0</v>
      </c>
    </row>
    <row r="1249" spans="1:14" x14ac:dyDescent="0.25">
      <c r="A1249" t="s">
        <v>1790</v>
      </c>
      <c r="B1249" t="s">
        <v>134</v>
      </c>
      <c r="C1249" t="str">
        <f>_xlfn.XLOOKUP(Table6[[#This Row],[app_id]],Table5[app_id],Table5[app_name],"",0)</f>
        <v>StudyX</v>
      </c>
      <c r="D1249" t="str">
        <f>_xlfn.XLOOKUP(Table6[[#This Row],[app_id]],Table5[app_id],Table5[category],"",0)</f>
        <v>Education</v>
      </c>
      <c r="E1249" t="s">
        <v>552</v>
      </c>
      <c r="F1249" t="s">
        <v>534</v>
      </c>
      <c r="G1249" t="s">
        <v>30</v>
      </c>
      <c r="H1249" t="s">
        <v>540</v>
      </c>
      <c r="I1249">
        <v>15</v>
      </c>
      <c r="J1249">
        <v>11.7</v>
      </c>
      <c r="K1249" t="s">
        <v>258</v>
      </c>
      <c r="L1249" t="s">
        <v>258</v>
      </c>
      <c r="M1249" t="s">
        <v>258</v>
      </c>
      <c r="N1249" s="5">
        <v>66.34</v>
      </c>
    </row>
    <row r="1250" spans="1:14" x14ac:dyDescent="0.25">
      <c r="A1250" t="s">
        <v>1791</v>
      </c>
      <c r="B1250" t="s">
        <v>136</v>
      </c>
      <c r="C1250" t="str">
        <f>_xlfn.XLOOKUP(Table6[[#This Row],[app_id]],Table5[app_id],Table5[app_name],"",0)</f>
        <v>PlayPlus</v>
      </c>
      <c r="D1250" t="str">
        <f>_xlfn.XLOOKUP(Table6[[#This Row],[app_id]],Table5[app_id],Table5[category],"",0)</f>
        <v>Entertainment</v>
      </c>
      <c r="E1250" t="s">
        <v>546</v>
      </c>
      <c r="F1250" t="s">
        <v>534</v>
      </c>
      <c r="G1250" t="s">
        <v>23</v>
      </c>
      <c r="H1250" t="s">
        <v>535</v>
      </c>
      <c r="I1250">
        <v>60</v>
      </c>
      <c r="J1250">
        <v>19.8</v>
      </c>
      <c r="K1250" t="s">
        <v>257</v>
      </c>
      <c r="L1250" t="s">
        <v>258</v>
      </c>
      <c r="M1250" t="s">
        <v>258</v>
      </c>
      <c r="N1250" s="5">
        <v>0</v>
      </c>
    </row>
    <row r="1251" spans="1:14" x14ac:dyDescent="0.25">
      <c r="A1251" t="s">
        <v>1792</v>
      </c>
      <c r="B1251" t="s">
        <v>139</v>
      </c>
      <c r="C1251" t="str">
        <f>_xlfn.XLOOKUP(Table6[[#This Row],[app_id]],Table5[app_id],Table5[app_name],"",0)</f>
        <v>ShowMate</v>
      </c>
      <c r="D1251" t="str">
        <f>_xlfn.XLOOKUP(Table6[[#This Row],[app_id]],Table5[app_id],Table5[category],"",0)</f>
        <v>Entertainment</v>
      </c>
      <c r="E1251" t="s">
        <v>533</v>
      </c>
      <c r="F1251" t="s">
        <v>538</v>
      </c>
      <c r="G1251" t="s">
        <v>35</v>
      </c>
      <c r="H1251" t="s">
        <v>535</v>
      </c>
      <c r="I1251">
        <v>36</v>
      </c>
      <c r="J1251">
        <v>41.2</v>
      </c>
      <c r="K1251" t="s">
        <v>257</v>
      </c>
      <c r="L1251" t="s">
        <v>257</v>
      </c>
      <c r="M1251" t="s">
        <v>258</v>
      </c>
      <c r="N1251" s="5">
        <v>0</v>
      </c>
    </row>
    <row r="1252" spans="1:14" x14ac:dyDescent="0.25">
      <c r="A1252" t="s">
        <v>1793</v>
      </c>
      <c r="B1252" t="s">
        <v>141</v>
      </c>
      <c r="C1252" t="str">
        <f>_xlfn.XLOOKUP(Table6[[#This Row],[app_id]],Table5[app_id],Table5[app_name],"",0)</f>
        <v>VibeX</v>
      </c>
      <c r="D1252" t="str">
        <f>_xlfn.XLOOKUP(Table6[[#This Row],[app_id]],Table5[app_id],Table5[category],"",0)</f>
        <v>Entertainment</v>
      </c>
      <c r="E1252" t="s">
        <v>557</v>
      </c>
      <c r="F1252" t="s">
        <v>534</v>
      </c>
      <c r="G1252" t="s">
        <v>35</v>
      </c>
      <c r="H1252" t="s">
        <v>535</v>
      </c>
      <c r="I1252">
        <v>40</v>
      </c>
      <c r="J1252">
        <v>18.399999999999999</v>
      </c>
      <c r="K1252" t="s">
        <v>257</v>
      </c>
      <c r="L1252" t="s">
        <v>257</v>
      </c>
      <c r="M1252" t="s">
        <v>258</v>
      </c>
      <c r="N1252" s="5">
        <v>22.64</v>
      </c>
    </row>
    <row r="1253" spans="1:14" x14ac:dyDescent="0.25">
      <c r="A1253" t="s">
        <v>1794</v>
      </c>
      <c r="B1253" t="s">
        <v>143</v>
      </c>
      <c r="C1253" t="str">
        <f>_xlfn.XLOOKUP(Table6[[#This Row],[app_id]],Table5[app_id],Table5[app_name],"",0)</f>
        <v>BuzzNow</v>
      </c>
      <c r="D1253" t="str">
        <f>_xlfn.XLOOKUP(Table6[[#This Row],[app_id]],Table5[app_id],Table5[category],"",0)</f>
        <v>Entertainment</v>
      </c>
      <c r="E1253" t="s">
        <v>537</v>
      </c>
      <c r="F1253" t="s">
        <v>538</v>
      </c>
      <c r="G1253" t="s">
        <v>61</v>
      </c>
      <c r="H1253" t="s">
        <v>535</v>
      </c>
      <c r="I1253">
        <v>95</v>
      </c>
      <c r="J1253">
        <v>35.1</v>
      </c>
      <c r="K1253" t="s">
        <v>257</v>
      </c>
      <c r="L1253" t="s">
        <v>257</v>
      </c>
      <c r="M1253" t="s">
        <v>257</v>
      </c>
      <c r="N1253" s="5">
        <v>0</v>
      </c>
    </row>
    <row r="1254" spans="1:14" x14ac:dyDescent="0.25">
      <c r="A1254" t="s">
        <v>1795</v>
      </c>
      <c r="B1254" t="s">
        <v>145</v>
      </c>
      <c r="C1254" t="str">
        <f>_xlfn.XLOOKUP(Table6[[#This Row],[app_id]],Table5[app_id],Table5[app_name],"",0)</f>
        <v>StreamPlus</v>
      </c>
      <c r="D1254" t="str">
        <f>_xlfn.XLOOKUP(Table6[[#This Row],[app_id]],Table5[app_id],Table5[category],"",0)</f>
        <v>Entertainment</v>
      </c>
      <c r="E1254" t="s">
        <v>546</v>
      </c>
      <c r="F1254" t="s">
        <v>534</v>
      </c>
      <c r="G1254" t="s">
        <v>35</v>
      </c>
      <c r="H1254" t="s">
        <v>540</v>
      </c>
      <c r="I1254">
        <v>26</v>
      </c>
      <c r="J1254">
        <v>14.9</v>
      </c>
      <c r="K1254" t="s">
        <v>258</v>
      </c>
      <c r="L1254" t="s">
        <v>257</v>
      </c>
      <c r="M1254" t="s">
        <v>258</v>
      </c>
      <c r="N1254" s="5">
        <v>0</v>
      </c>
    </row>
    <row r="1255" spans="1:14" x14ac:dyDescent="0.25">
      <c r="A1255" t="s">
        <v>1796</v>
      </c>
      <c r="B1255" t="s">
        <v>147</v>
      </c>
      <c r="C1255" t="str">
        <f>_xlfn.XLOOKUP(Table6[[#This Row],[app_id]],Table5[app_id],Table5[app_name],"",0)</f>
        <v>Showly</v>
      </c>
      <c r="D1255" t="str">
        <f>_xlfn.XLOOKUP(Table6[[#This Row],[app_id]],Table5[app_id],Table5[category],"",0)</f>
        <v>Entertainment</v>
      </c>
      <c r="E1255" t="s">
        <v>533</v>
      </c>
      <c r="F1255" t="s">
        <v>534</v>
      </c>
      <c r="G1255" t="s">
        <v>69</v>
      </c>
      <c r="H1255" t="s">
        <v>535</v>
      </c>
      <c r="I1255">
        <v>62</v>
      </c>
      <c r="J1255">
        <v>12.3</v>
      </c>
      <c r="K1255" t="s">
        <v>257</v>
      </c>
      <c r="L1255" t="s">
        <v>257</v>
      </c>
      <c r="M1255" t="s">
        <v>258</v>
      </c>
      <c r="N1255" s="5">
        <v>0</v>
      </c>
    </row>
    <row r="1256" spans="1:14" x14ac:dyDescent="0.25">
      <c r="A1256" t="s">
        <v>1797</v>
      </c>
      <c r="B1256" t="s">
        <v>149</v>
      </c>
      <c r="C1256" t="str">
        <f>_xlfn.XLOOKUP(Table6[[#This Row],[app_id]],Table5[app_id],Table5[app_name],"",0)</f>
        <v>BuzzOne</v>
      </c>
      <c r="D1256" t="str">
        <f>_xlfn.XLOOKUP(Table6[[#This Row],[app_id]],Table5[app_id],Table5[category],"",0)</f>
        <v>Entertainment</v>
      </c>
      <c r="E1256" t="s">
        <v>546</v>
      </c>
      <c r="F1256" t="s">
        <v>534</v>
      </c>
      <c r="G1256" t="s">
        <v>18</v>
      </c>
      <c r="H1256" t="s">
        <v>535</v>
      </c>
      <c r="I1256">
        <v>19</v>
      </c>
      <c r="J1256">
        <v>14.9</v>
      </c>
      <c r="K1256" t="s">
        <v>258</v>
      </c>
      <c r="L1256" t="s">
        <v>258</v>
      </c>
      <c r="M1256" t="s">
        <v>257</v>
      </c>
      <c r="N1256" s="5">
        <v>0</v>
      </c>
    </row>
    <row r="1257" spans="1:14" x14ac:dyDescent="0.25">
      <c r="A1257" t="s">
        <v>1798</v>
      </c>
      <c r="B1257" t="s">
        <v>151</v>
      </c>
      <c r="C1257" t="str">
        <f>_xlfn.XLOOKUP(Table6[[#This Row],[app_id]],Table5[app_id],Table5[app_name],"",0)</f>
        <v>PlayHub</v>
      </c>
      <c r="D1257" t="str">
        <f>_xlfn.XLOOKUP(Table6[[#This Row],[app_id]],Table5[app_id],Table5[category],"",0)</f>
        <v>Entertainment</v>
      </c>
      <c r="E1257" t="s">
        <v>546</v>
      </c>
      <c r="F1257" t="s">
        <v>534</v>
      </c>
      <c r="G1257" t="s">
        <v>35</v>
      </c>
      <c r="H1257" t="s">
        <v>535</v>
      </c>
      <c r="I1257">
        <v>14</v>
      </c>
      <c r="J1257">
        <v>17.100000000000001</v>
      </c>
      <c r="K1257" t="s">
        <v>257</v>
      </c>
      <c r="L1257" t="s">
        <v>257</v>
      </c>
      <c r="M1257" t="s">
        <v>258</v>
      </c>
      <c r="N1257" s="5">
        <v>13.53</v>
      </c>
    </row>
    <row r="1258" spans="1:14" x14ac:dyDescent="0.25">
      <c r="A1258" t="s">
        <v>1799</v>
      </c>
      <c r="B1258" t="s">
        <v>153</v>
      </c>
      <c r="C1258" t="str">
        <f>_xlfn.XLOOKUP(Table6[[#This Row],[app_id]],Table5[app_id],Table5[app_name],"",0)</f>
        <v>CinemaGo</v>
      </c>
      <c r="D1258" t="str">
        <f>_xlfn.XLOOKUP(Table6[[#This Row],[app_id]],Table5[app_id],Table5[category],"",0)</f>
        <v>Entertainment</v>
      </c>
      <c r="E1258" t="s">
        <v>533</v>
      </c>
      <c r="F1258" t="s">
        <v>538</v>
      </c>
      <c r="G1258" t="s">
        <v>18</v>
      </c>
      <c r="H1258" t="s">
        <v>535</v>
      </c>
      <c r="I1258">
        <v>8</v>
      </c>
      <c r="J1258">
        <v>31.4</v>
      </c>
      <c r="K1258" t="s">
        <v>258</v>
      </c>
      <c r="L1258" t="s">
        <v>258</v>
      </c>
      <c r="M1258" t="s">
        <v>258</v>
      </c>
      <c r="N1258" s="5">
        <v>0</v>
      </c>
    </row>
    <row r="1259" spans="1:14" x14ac:dyDescent="0.25">
      <c r="A1259" t="s">
        <v>1800</v>
      </c>
      <c r="B1259" t="s">
        <v>155</v>
      </c>
      <c r="C1259" t="str">
        <f>_xlfn.XLOOKUP(Table6[[#This Row],[app_id]],Table5[app_id],Table5[app_name],"",0)</f>
        <v>LaughX</v>
      </c>
      <c r="D1259" t="str">
        <f>_xlfn.XLOOKUP(Table6[[#This Row],[app_id]],Table5[app_id],Table5[category],"",0)</f>
        <v>Entertainment</v>
      </c>
      <c r="E1259" t="s">
        <v>537</v>
      </c>
      <c r="F1259" t="s">
        <v>538</v>
      </c>
      <c r="G1259" t="s">
        <v>69</v>
      </c>
      <c r="H1259" t="s">
        <v>535</v>
      </c>
      <c r="I1259">
        <v>38</v>
      </c>
      <c r="J1259">
        <v>35.200000000000003</v>
      </c>
      <c r="K1259" t="s">
        <v>257</v>
      </c>
      <c r="L1259" t="s">
        <v>257</v>
      </c>
      <c r="M1259" t="s">
        <v>258</v>
      </c>
      <c r="N1259" s="5">
        <v>0</v>
      </c>
    </row>
    <row r="1260" spans="1:14" x14ac:dyDescent="0.25">
      <c r="A1260" t="s">
        <v>1801</v>
      </c>
      <c r="B1260" t="s">
        <v>157</v>
      </c>
      <c r="C1260" t="str">
        <f>_xlfn.XLOOKUP(Table6[[#This Row],[app_id]],Table5[app_id],Table5[app_name],"",0)</f>
        <v>CinemaHub</v>
      </c>
      <c r="D1260" t="str">
        <f>_xlfn.XLOOKUP(Table6[[#This Row],[app_id]],Table5[app_id],Table5[category],"",0)</f>
        <v>Entertainment</v>
      </c>
      <c r="E1260" t="s">
        <v>546</v>
      </c>
      <c r="F1260" t="s">
        <v>538</v>
      </c>
      <c r="G1260" t="s">
        <v>46</v>
      </c>
      <c r="H1260" t="s">
        <v>535</v>
      </c>
      <c r="I1260">
        <v>86</v>
      </c>
      <c r="J1260">
        <v>8.4</v>
      </c>
      <c r="K1260" t="s">
        <v>257</v>
      </c>
      <c r="L1260" t="s">
        <v>258</v>
      </c>
      <c r="M1260" t="s">
        <v>258</v>
      </c>
      <c r="N1260" s="5">
        <v>0</v>
      </c>
    </row>
    <row r="1261" spans="1:14" x14ac:dyDescent="0.25">
      <c r="A1261" t="s">
        <v>1802</v>
      </c>
      <c r="B1261" t="s">
        <v>159</v>
      </c>
      <c r="C1261" t="str">
        <f>_xlfn.XLOOKUP(Table6[[#This Row],[app_id]],Table5[app_id],Table5[app_name],"",0)</f>
        <v>ShowPro</v>
      </c>
      <c r="D1261" t="str">
        <f>_xlfn.XLOOKUP(Table6[[#This Row],[app_id]],Table5[app_id],Table5[category],"",0)</f>
        <v>Entertainment</v>
      </c>
      <c r="E1261" t="s">
        <v>533</v>
      </c>
      <c r="F1261" t="s">
        <v>538</v>
      </c>
      <c r="G1261" t="s">
        <v>69</v>
      </c>
      <c r="H1261" t="s">
        <v>535</v>
      </c>
      <c r="I1261">
        <v>26</v>
      </c>
      <c r="J1261">
        <v>40.200000000000003</v>
      </c>
      <c r="K1261" t="s">
        <v>258</v>
      </c>
      <c r="L1261" t="s">
        <v>257</v>
      </c>
      <c r="M1261" t="s">
        <v>258</v>
      </c>
      <c r="N1261" s="5">
        <v>0</v>
      </c>
    </row>
    <row r="1262" spans="1:14" x14ac:dyDescent="0.25">
      <c r="A1262" t="s">
        <v>1803</v>
      </c>
      <c r="B1262" t="s">
        <v>161</v>
      </c>
      <c r="C1262" t="str">
        <f>_xlfn.XLOOKUP(Table6[[#This Row],[app_id]],Table5[app_id],Table5[app_name],"",0)</f>
        <v>FoodPlus</v>
      </c>
      <c r="D1262" t="str">
        <f>_xlfn.XLOOKUP(Table6[[#This Row],[app_id]],Table5[app_id],Table5[category],"",0)</f>
        <v>Food Delivery</v>
      </c>
      <c r="E1262" t="s">
        <v>537</v>
      </c>
      <c r="F1262" t="s">
        <v>534</v>
      </c>
      <c r="G1262" t="s">
        <v>46</v>
      </c>
      <c r="H1262" t="s">
        <v>540</v>
      </c>
      <c r="I1262">
        <v>49</v>
      </c>
      <c r="J1262">
        <v>19.100000000000001</v>
      </c>
      <c r="K1262" t="s">
        <v>257</v>
      </c>
      <c r="L1262" t="s">
        <v>257</v>
      </c>
      <c r="M1262" t="s">
        <v>258</v>
      </c>
      <c r="N1262" s="5">
        <v>0</v>
      </c>
    </row>
    <row r="1263" spans="1:14" x14ac:dyDescent="0.25">
      <c r="A1263" t="s">
        <v>1804</v>
      </c>
      <c r="B1263" t="s">
        <v>164</v>
      </c>
      <c r="C1263" t="str">
        <f>_xlfn.XLOOKUP(Table6[[#This Row],[app_id]],Table5[app_id],Table5[app_name],"",0)</f>
        <v>BiteGo</v>
      </c>
      <c r="D1263" t="str">
        <f>_xlfn.XLOOKUP(Table6[[#This Row],[app_id]],Table5[app_id],Table5[category],"",0)</f>
        <v>Food Delivery</v>
      </c>
      <c r="E1263" t="s">
        <v>533</v>
      </c>
      <c r="F1263" t="s">
        <v>534</v>
      </c>
      <c r="G1263" t="s">
        <v>35</v>
      </c>
      <c r="H1263" t="s">
        <v>535</v>
      </c>
      <c r="I1263">
        <v>53</v>
      </c>
      <c r="J1263">
        <v>8.1999999999999993</v>
      </c>
      <c r="K1263" t="s">
        <v>257</v>
      </c>
      <c r="L1263" t="s">
        <v>258</v>
      </c>
      <c r="M1263" t="s">
        <v>257</v>
      </c>
      <c r="N1263" s="5">
        <v>0</v>
      </c>
    </row>
    <row r="1264" spans="1:14" x14ac:dyDescent="0.25">
      <c r="A1264" t="s">
        <v>1805</v>
      </c>
      <c r="B1264" t="s">
        <v>166</v>
      </c>
      <c r="C1264" t="str">
        <f>_xlfn.XLOOKUP(Table6[[#This Row],[app_id]],Table5[app_id],Table5[app_name],"",0)</f>
        <v>OrderCloud</v>
      </c>
      <c r="D1264" t="str">
        <f>_xlfn.XLOOKUP(Table6[[#This Row],[app_id]],Table5[app_id],Table5[category],"",0)</f>
        <v>Food Delivery</v>
      </c>
      <c r="E1264" t="s">
        <v>552</v>
      </c>
      <c r="F1264" t="s">
        <v>534</v>
      </c>
      <c r="G1264" t="s">
        <v>35</v>
      </c>
      <c r="H1264" t="s">
        <v>535</v>
      </c>
      <c r="I1264">
        <v>13</v>
      </c>
      <c r="J1264">
        <v>20.7</v>
      </c>
      <c r="K1264" t="s">
        <v>258</v>
      </c>
      <c r="L1264" t="s">
        <v>258</v>
      </c>
      <c r="M1264" t="s">
        <v>257</v>
      </c>
      <c r="N1264" s="5">
        <v>23.65</v>
      </c>
    </row>
    <row r="1265" spans="1:14" x14ac:dyDescent="0.25">
      <c r="A1265" t="s">
        <v>1806</v>
      </c>
      <c r="B1265" t="s">
        <v>168</v>
      </c>
      <c r="C1265" t="str">
        <f>_xlfn.XLOOKUP(Table6[[#This Row],[app_id]],Table5[app_id],Table5[app_name],"",0)</f>
        <v>DinePlus</v>
      </c>
      <c r="D1265" t="str">
        <f>_xlfn.XLOOKUP(Table6[[#This Row],[app_id]],Table5[app_id],Table5[category],"",0)</f>
        <v>Food Delivery</v>
      </c>
      <c r="E1265" t="s">
        <v>533</v>
      </c>
      <c r="F1265" t="s">
        <v>548</v>
      </c>
      <c r="G1265" t="s">
        <v>30</v>
      </c>
      <c r="H1265" t="s">
        <v>535</v>
      </c>
      <c r="I1265">
        <v>95</v>
      </c>
      <c r="J1265">
        <v>6.1</v>
      </c>
      <c r="K1265" t="s">
        <v>257</v>
      </c>
      <c r="L1265" t="s">
        <v>258</v>
      </c>
      <c r="M1265" t="s">
        <v>258</v>
      </c>
      <c r="N1265" s="5">
        <v>0</v>
      </c>
    </row>
    <row r="1266" spans="1:14" x14ac:dyDescent="0.25">
      <c r="A1266" t="s">
        <v>1807</v>
      </c>
      <c r="B1266" t="s">
        <v>170</v>
      </c>
      <c r="C1266" t="str">
        <f>_xlfn.XLOOKUP(Table6[[#This Row],[app_id]],Table5[app_id],Table5[app_name],"",0)</f>
        <v>SnackX</v>
      </c>
      <c r="D1266" t="str">
        <f>_xlfn.XLOOKUP(Table6[[#This Row],[app_id]],Table5[app_id],Table5[category],"",0)</f>
        <v>Food Delivery</v>
      </c>
      <c r="E1266" t="s">
        <v>546</v>
      </c>
      <c r="F1266" t="s">
        <v>538</v>
      </c>
      <c r="G1266" t="s">
        <v>23</v>
      </c>
      <c r="H1266" t="s">
        <v>540</v>
      </c>
      <c r="I1266">
        <v>16</v>
      </c>
      <c r="J1266">
        <v>5.0999999999999996</v>
      </c>
      <c r="K1266" t="s">
        <v>258</v>
      </c>
      <c r="L1266" t="s">
        <v>258</v>
      </c>
      <c r="M1266" t="s">
        <v>258</v>
      </c>
      <c r="N1266" s="5">
        <v>0</v>
      </c>
    </row>
    <row r="1267" spans="1:14" x14ac:dyDescent="0.25">
      <c r="A1267" t="s">
        <v>1808</v>
      </c>
      <c r="B1267" t="s">
        <v>172</v>
      </c>
      <c r="C1267" t="str">
        <f>_xlfn.XLOOKUP(Table6[[#This Row],[app_id]],Table5[app_id],Table5[app_name],"",0)</f>
        <v>FoodOne</v>
      </c>
      <c r="D1267" t="str">
        <f>_xlfn.XLOOKUP(Table6[[#This Row],[app_id]],Table5[app_id],Table5[category],"",0)</f>
        <v>Food Delivery</v>
      </c>
      <c r="E1267" t="s">
        <v>546</v>
      </c>
      <c r="F1267" t="s">
        <v>538</v>
      </c>
      <c r="G1267" t="s">
        <v>46</v>
      </c>
      <c r="H1267" t="s">
        <v>535</v>
      </c>
      <c r="I1267">
        <v>91</v>
      </c>
      <c r="J1267">
        <v>8.4</v>
      </c>
      <c r="K1267" t="s">
        <v>257</v>
      </c>
      <c r="L1267" t="s">
        <v>258</v>
      </c>
      <c r="M1267" t="s">
        <v>258</v>
      </c>
      <c r="N1267" s="5">
        <v>0</v>
      </c>
    </row>
    <row r="1268" spans="1:14" x14ac:dyDescent="0.25">
      <c r="A1268" t="s">
        <v>1809</v>
      </c>
      <c r="B1268" t="s">
        <v>174</v>
      </c>
      <c r="C1268" t="str">
        <f>_xlfn.XLOOKUP(Table6[[#This Row],[app_id]],Table5[app_id],Table5[app_name],"",0)</f>
        <v>MealMate</v>
      </c>
      <c r="D1268" t="str">
        <f>_xlfn.XLOOKUP(Table6[[#This Row],[app_id]],Table5[app_id],Table5[category],"",0)</f>
        <v>Food Delivery</v>
      </c>
      <c r="E1268" t="s">
        <v>546</v>
      </c>
      <c r="F1268" t="s">
        <v>538</v>
      </c>
      <c r="G1268" t="s">
        <v>69</v>
      </c>
      <c r="H1268" t="s">
        <v>535</v>
      </c>
      <c r="I1268">
        <v>10</v>
      </c>
      <c r="J1268">
        <v>11.7</v>
      </c>
      <c r="K1268" t="s">
        <v>258</v>
      </c>
      <c r="L1268" t="s">
        <v>258</v>
      </c>
      <c r="M1268" t="s">
        <v>258</v>
      </c>
      <c r="N1268" s="5">
        <v>19.309999999999999</v>
      </c>
    </row>
    <row r="1269" spans="1:14" x14ac:dyDescent="0.25">
      <c r="A1269" t="s">
        <v>1810</v>
      </c>
      <c r="B1269" t="s">
        <v>176</v>
      </c>
      <c r="C1269" t="str">
        <f>_xlfn.XLOOKUP(Table6[[#This Row],[app_id]],Table5[app_id],Table5[app_name],"",0)</f>
        <v>SnackHub</v>
      </c>
      <c r="D1269" t="str">
        <f>_xlfn.XLOOKUP(Table6[[#This Row],[app_id]],Table5[app_id],Table5[category],"",0)</f>
        <v>Food Delivery</v>
      </c>
      <c r="E1269" t="s">
        <v>533</v>
      </c>
      <c r="F1269" t="s">
        <v>534</v>
      </c>
      <c r="G1269" t="s">
        <v>18</v>
      </c>
      <c r="H1269" t="s">
        <v>540</v>
      </c>
      <c r="I1269">
        <v>1</v>
      </c>
      <c r="J1269">
        <v>18.8</v>
      </c>
      <c r="K1269" t="s">
        <v>258</v>
      </c>
      <c r="L1269" t="s">
        <v>258</v>
      </c>
      <c r="M1269" t="s">
        <v>258</v>
      </c>
      <c r="N1269" s="5">
        <v>0</v>
      </c>
    </row>
    <row r="1270" spans="1:14" x14ac:dyDescent="0.25">
      <c r="A1270" t="s">
        <v>1811</v>
      </c>
      <c r="B1270" t="s">
        <v>178</v>
      </c>
      <c r="C1270" t="str">
        <f>_xlfn.XLOOKUP(Table6[[#This Row],[app_id]],Table5[app_id],Table5[app_name],"",0)</f>
        <v>BiteCloud</v>
      </c>
      <c r="D1270" t="str">
        <f>_xlfn.XLOOKUP(Table6[[#This Row],[app_id]],Table5[app_id],Table5[category],"",0)</f>
        <v>Food Delivery</v>
      </c>
      <c r="E1270" t="s">
        <v>546</v>
      </c>
      <c r="F1270" t="s">
        <v>538</v>
      </c>
      <c r="G1270" t="s">
        <v>35</v>
      </c>
      <c r="H1270" t="s">
        <v>535</v>
      </c>
      <c r="I1270">
        <v>33</v>
      </c>
      <c r="J1270">
        <v>6.7</v>
      </c>
      <c r="K1270" t="s">
        <v>257</v>
      </c>
      <c r="L1270" t="s">
        <v>258</v>
      </c>
      <c r="M1270" t="s">
        <v>258</v>
      </c>
      <c r="N1270" s="5">
        <v>0</v>
      </c>
    </row>
    <row r="1271" spans="1:14" x14ac:dyDescent="0.25">
      <c r="A1271" t="s">
        <v>1812</v>
      </c>
      <c r="B1271" t="s">
        <v>180</v>
      </c>
      <c r="C1271" t="str">
        <f>_xlfn.XLOOKUP(Table6[[#This Row],[app_id]],Table5[app_id],Table5[app_name],"",0)</f>
        <v>PlatePlus</v>
      </c>
      <c r="D1271" t="str">
        <f>_xlfn.XLOOKUP(Table6[[#This Row],[app_id]],Table5[app_id],Table5[category],"",0)</f>
        <v>Food Delivery</v>
      </c>
      <c r="E1271" t="s">
        <v>537</v>
      </c>
      <c r="F1271" t="s">
        <v>538</v>
      </c>
      <c r="G1271" t="s">
        <v>23</v>
      </c>
      <c r="H1271" t="s">
        <v>535</v>
      </c>
      <c r="I1271">
        <v>26</v>
      </c>
      <c r="J1271">
        <v>9</v>
      </c>
      <c r="K1271" t="s">
        <v>258</v>
      </c>
      <c r="L1271" t="s">
        <v>257</v>
      </c>
      <c r="M1271" t="s">
        <v>258</v>
      </c>
      <c r="N1271" s="5">
        <v>0</v>
      </c>
    </row>
    <row r="1272" spans="1:14" x14ac:dyDescent="0.25">
      <c r="A1272" t="s">
        <v>1813</v>
      </c>
      <c r="B1272" t="s">
        <v>182</v>
      </c>
      <c r="C1272" t="str">
        <f>_xlfn.XLOOKUP(Table6[[#This Row],[app_id]],Table5[app_id],Table5[app_name],"",0)</f>
        <v>VoyageGo</v>
      </c>
      <c r="D1272" t="str">
        <f>_xlfn.XLOOKUP(Table6[[#This Row],[app_id]],Table5[app_id],Table5[category],"",0)</f>
        <v>Travel</v>
      </c>
      <c r="E1272" t="s">
        <v>533</v>
      </c>
      <c r="F1272" t="s">
        <v>628</v>
      </c>
      <c r="G1272" t="s">
        <v>69</v>
      </c>
      <c r="H1272" t="s">
        <v>540</v>
      </c>
      <c r="I1272">
        <v>13</v>
      </c>
      <c r="J1272">
        <v>23.1</v>
      </c>
      <c r="K1272" t="s">
        <v>258</v>
      </c>
      <c r="L1272" t="s">
        <v>258</v>
      </c>
      <c r="M1272" t="s">
        <v>257</v>
      </c>
      <c r="N1272" s="5">
        <v>0</v>
      </c>
    </row>
    <row r="1273" spans="1:14" x14ac:dyDescent="0.25">
      <c r="A1273" t="s">
        <v>1814</v>
      </c>
      <c r="B1273" t="s">
        <v>185</v>
      </c>
      <c r="C1273" t="str">
        <f>_xlfn.XLOOKUP(Table6[[#This Row],[app_id]],Table5[app_id],Table5[app_name],"",0)</f>
        <v>TripOne</v>
      </c>
      <c r="D1273" t="str">
        <f>_xlfn.XLOOKUP(Table6[[#This Row],[app_id]],Table5[app_id],Table5[category],"",0)</f>
        <v>Travel</v>
      </c>
      <c r="E1273" t="s">
        <v>537</v>
      </c>
      <c r="F1273" t="s">
        <v>534</v>
      </c>
      <c r="G1273" t="s">
        <v>69</v>
      </c>
      <c r="H1273" t="s">
        <v>540</v>
      </c>
      <c r="I1273">
        <v>20</v>
      </c>
      <c r="J1273">
        <v>4.5</v>
      </c>
      <c r="K1273" t="s">
        <v>258</v>
      </c>
      <c r="L1273" t="s">
        <v>257</v>
      </c>
      <c r="M1273" t="s">
        <v>258</v>
      </c>
      <c r="N1273" s="5">
        <v>46.68</v>
      </c>
    </row>
    <row r="1274" spans="1:14" x14ac:dyDescent="0.25">
      <c r="A1274" t="s">
        <v>1815</v>
      </c>
      <c r="B1274" t="s">
        <v>187</v>
      </c>
      <c r="C1274" t="str">
        <f>_xlfn.XLOOKUP(Table6[[#This Row],[app_id]],Table5[app_id],Table5[app_name],"",0)</f>
        <v>FlyGo</v>
      </c>
      <c r="D1274" t="str">
        <f>_xlfn.XLOOKUP(Table6[[#This Row],[app_id]],Table5[app_id],Table5[category],"",0)</f>
        <v>Travel</v>
      </c>
      <c r="E1274" t="s">
        <v>546</v>
      </c>
      <c r="F1274" t="s">
        <v>534</v>
      </c>
      <c r="G1274" t="s">
        <v>46</v>
      </c>
      <c r="H1274" t="s">
        <v>535</v>
      </c>
      <c r="I1274">
        <v>10</v>
      </c>
      <c r="J1274">
        <v>16</v>
      </c>
      <c r="K1274" t="s">
        <v>258</v>
      </c>
      <c r="L1274" t="s">
        <v>258</v>
      </c>
      <c r="M1274" t="s">
        <v>257</v>
      </c>
      <c r="N1274" s="5">
        <v>0</v>
      </c>
    </row>
    <row r="1275" spans="1:14" x14ac:dyDescent="0.25">
      <c r="A1275" t="s">
        <v>1816</v>
      </c>
      <c r="B1275" t="s">
        <v>189</v>
      </c>
      <c r="C1275" t="str">
        <f>_xlfn.XLOOKUP(Table6[[#This Row],[app_id]],Table5[app_id],Table5[app_name],"",0)</f>
        <v>MapX</v>
      </c>
      <c r="D1275" t="str">
        <f>_xlfn.XLOOKUP(Table6[[#This Row],[app_id]],Table5[app_id],Table5[category],"",0)</f>
        <v>Travel</v>
      </c>
      <c r="E1275" t="s">
        <v>533</v>
      </c>
      <c r="F1275" t="s">
        <v>538</v>
      </c>
      <c r="G1275" t="s">
        <v>61</v>
      </c>
      <c r="H1275" t="s">
        <v>535</v>
      </c>
      <c r="I1275">
        <v>2</v>
      </c>
      <c r="J1275">
        <v>10.5</v>
      </c>
      <c r="K1275" t="s">
        <v>258</v>
      </c>
      <c r="L1275" t="s">
        <v>258</v>
      </c>
      <c r="M1275" t="s">
        <v>257</v>
      </c>
      <c r="N1275" s="5">
        <v>49.15</v>
      </c>
    </row>
    <row r="1276" spans="1:14" x14ac:dyDescent="0.25">
      <c r="A1276" t="s">
        <v>1817</v>
      </c>
      <c r="B1276" t="s">
        <v>191</v>
      </c>
      <c r="C1276" t="str">
        <f>_xlfn.XLOOKUP(Table6[[#This Row],[app_id]],Table5[app_id],Table5[app_name],"",0)</f>
        <v>StayX</v>
      </c>
      <c r="D1276" t="str">
        <f>_xlfn.XLOOKUP(Table6[[#This Row],[app_id]],Table5[app_id],Table5[category],"",0)</f>
        <v>Travel</v>
      </c>
      <c r="E1276" t="s">
        <v>546</v>
      </c>
      <c r="F1276" t="s">
        <v>534</v>
      </c>
      <c r="G1276" t="s">
        <v>18</v>
      </c>
      <c r="H1276" t="s">
        <v>535</v>
      </c>
      <c r="I1276">
        <v>27</v>
      </c>
      <c r="J1276">
        <v>17.100000000000001</v>
      </c>
      <c r="K1276" t="s">
        <v>258</v>
      </c>
      <c r="L1276" t="s">
        <v>258</v>
      </c>
      <c r="M1276" t="s">
        <v>257</v>
      </c>
      <c r="N1276" s="5">
        <v>0</v>
      </c>
    </row>
    <row r="1277" spans="1:14" x14ac:dyDescent="0.25">
      <c r="A1277" t="s">
        <v>1818</v>
      </c>
      <c r="B1277" t="s">
        <v>193</v>
      </c>
      <c r="C1277" t="str">
        <f>_xlfn.XLOOKUP(Table6[[#This Row],[app_id]],Table5[app_id],Table5[app_name],"",0)</f>
        <v>GoNow</v>
      </c>
      <c r="D1277" t="str">
        <f>_xlfn.XLOOKUP(Table6[[#This Row],[app_id]],Table5[app_id],Table5[category],"",0)</f>
        <v>Travel</v>
      </c>
      <c r="E1277" t="s">
        <v>546</v>
      </c>
      <c r="F1277" t="s">
        <v>538</v>
      </c>
      <c r="G1277" t="s">
        <v>23</v>
      </c>
      <c r="H1277" t="s">
        <v>535</v>
      </c>
      <c r="I1277">
        <v>53</v>
      </c>
      <c r="J1277">
        <v>8.1</v>
      </c>
      <c r="K1277" t="s">
        <v>257</v>
      </c>
      <c r="L1277" t="s">
        <v>257</v>
      </c>
      <c r="M1277" t="s">
        <v>258</v>
      </c>
      <c r="N1277" s="5">
        <v>0</v>
      </c>
    </row>
    <row r="1278" spans="1:14" x14ac:dyDescent="0.25">
      <c r="A1278" t="s">
        <v>1819</v>
      </c>
      <c r="B1278" t="s">
        <v>195</v>
      </c>
      <c r="C1278" t="str">
        <f>_xlfn.XLOOKUP(Table6[[#This Row],[app_id]],Table5[app_id],Table5[app_name],"",0)</f>
        <v>RouteGo</v>
      </c>
      <c r="D1278" t="str">
        <f>_xlfn.XLOOKUP(Table6[[#This Row],[app_id]],Table5[app_id],Table5[category],"",0)</f>
        <v>Travel</v>
      </c>
      <c r="E1278" t="s">
        <v>537</v>
      </c>
      <c r="F1278" t="s">
        <v>538</v>
      </c>
      <c r="G1278" t="s">
        <v>30</v>
      </c>
      <c r="H1278" t="s">
        <v>535</v>
      </c>
      <c r="I1278">
        <v>4</v>
      </c>
      <c r="J1278">
        <v>5.7</v>
      </c>
      <c r="K1278" t="s">
        <v>258</v>
      </c>
      <c r="L1278" t="s">
        <v>258</v>
      </c>
      <c r="M1278" t="s">
        <v>258</v>
      </c>
      <c r="N1278" s="5">
        <v>16.86</v>
      </c>
    </row>
    <row r="1279" spans="1:14" x14ac:dyDescent="0.25">
      <c r="A1279" t="s">
        <v>1820</v>
      </c>
      <c r="B1279" t="s">
        <v>197</v>
      </c>
      <c r="C1279" t="str">
        <f>_xlfn.XLOOKUP(Table6[[#This Row],[app_id]],Table5[app_id],Table5[app_name],"",0)</f>
        <v>TripGo</v>
      </c>
      <c r="D1279" t="str">
        <f>_xlfn.XLOOKUP(Table6[[#This Row],[app_id]],Table5[app_id],Table5[category],"",0)</f>
        <v>Travel</v>
      </c>
      <c r="E1279" t="s">
        <v>546</v>
      </c>
      <c r="F1279" t="s">
        <v>548</v>
      </c>
      <c r="G1279" t="s">
        <v>23</v>
      </c>
      <c r="H1279" t="s">
        <v>535</v>
      </c>
      <c r="I1279">
        <v>41</v>
      </c>
      <c r="J1279">
        <v>5.7</v>
      </c>
      <c r="K1279" t="s">
        <v>257</v>
      </c>
      <c r="L1279" t="s">
        <v>257</v>
      </c>
      <c r="M1279" t="s">
        <v>258</v>
      </c>
      <c r="N1279" s="5">
        <v>0</v>
      </c>
    </row>
    <row r="1280" spans="1:14" x14ac:dyDescent="0.25">
      <c r="A1280" t="s">
        <v>1821</v>
      </c>
      <c r="B1280" t="s">
        <v>199</v>
      </c>
      <c r="C1280" t="str">
        <f>_xlfn.XLOOKUP(Table6[[#This Row],[app_id]],Table5[app_id],Table5[app_name],"",0)</f>
        <v>Flyly</v>
      </c>
      <c r="D1280" t="str">
        <f>_xlfn.XLOOKUP(Table6[[#This Row],[app_id]],Table5[app_id],Table5[category],"",0)</f>
        <v>Travel</v>
      </c>
      <c r="E1280" t="s">
        <v>546</v>
      </c>
      <c r="F1280" t="s">
        <v>534</v>
      </c>
      <c r="G1280" t="s">
        <v>18</v>
      </c>
      <c r="H1280" t="s">
        <v>535</v>
      </c>
      <c r="I1280">
        <v>19</v>
      </c>
      <c r="J1280">
        <v>17.5</v>
      </c>
      <c r="K1280" t="s">
        <v>258</v>
      </c>
      <c r="L1280" t="s">
        <v>258</v>
      </c>
      <c r="M1280" t="s">
        <v>257</v>
      </c>
      <c r="N1280" s="5">
        <v>0</v>
      </c>
    </row>
    <row r="1281" spans="1:14" x14ac:dyDescent="0.25">
      <c r="A1281" t="s">
        <v>1822</v>
      </c>
      <c r="B1281" t="s">
        <v>201</v>
      </c>
      <c r="C1281" t="str">
        <f>_xlfn.XLOOKUP(Table6[[#This Row],[app_id]],Table5[app_id],Table5[app_name],"",0)</f>
        <v>TripPro</v>
      </c>
      <c r="D1281" t="str">
        <f>_xlfn.XLOOKUP(Table6[[#This Row],[app_id]],Table5[app_id],Table5[category],"",0)</f>
        <v>Travel</v>
      </c>
      <c r="E1281" t="s">
        <v>537</v>
      </c>
      <c r="F1281" t="s">
        <v>534</v>
      </c>
      <c r="G1281" t="s">
        <v>23</v>
      </c>
      <c r="H1281" t="s">
        <v>535</v>
      </c>
      <c r="I1281">
        <v>1</v>
      </c>
      <c r="J1281">
        <v>11.3</v>
      </c>
      <c r="K1281" t="s">
        <v>258</v>
      </c>
      <c r="L1281" t="s">
        <v>258</v>
      </c>
      <c r="M1281" t="s">
        <v>258</v>
      </c>
      <c r="N1281" s="5">
        <v>0</v>
      </c>
    </row>
    <row r="1282" spans="1:14" x14ac:dyDescent="0.25">
      <c r="A1282" t="s">
        <v>1823</v>
      </c>
      <c r="B1282" t="s">
        <v>203</v>
      </c>
      <c r="C1282" t="str">
        <f>_xlfn.XLOOKUP(Table6[[#This Row],[app_id]],Table5[app_id],Table5[app_name],"",0)</f>
        <v>Focusly</v>
      </c>
      <c r="D1282" t="str">
        <f>_xlfn.XLOOKUP(Table6[[#This Row],[app_id]],Table5[app_id],Table5[category],"",0)</f>
        <v>Productivity</v>
      </c>
      <c r="E1282" t="s">
        <v>533</v>
      </c>
      <c r="F1282" t="s">
        <v>534</v>
      </c>
      <c r="G1282" t="s">
        <v>69</v>
      </c>
      <c r="H1282" t="s">
        <v>535</v>
      </c>
      <c r="I1282">
        <v>63</v>
      </c>
      <c r="J1282">
        <v>10.7</v>
      </c>
      <c r="K1282" t="s">
        <v>257</v>
      </c>
      <c r="L1282" t="s">
        <v>258</v>
      </c>
      <c r="M1282" t="s">
        <v>258</v>
      </c>
      <c r="N1282" s="5">
        <v>0</v>
      </c>
    </row>
    <row r="1283" spans="1:14" x14ac:dyDescent="0.25">
      <c r="A1283" t="s">
        <v>1824</v>
      </c>
      <c r="B1283" t="s">
        <v>206</v>
      </c>
      <c r="C1283" t="str">
        <f>_xlfn.XLOOKUP(Table6[[#This Row],[app_id]],Table5[app_id],Table5[app_name],"",0)</f>
        <v>DeskX</v>
      </c>
      <c r="D1283" t="str">
        <f>_xlfn.XLOOKUP(Table6[[#This Row],[app_id]],Table5[app_id],Table5[category],"",0)</f>
        <v>Productivity</v>
      </c>
      <c r="E1283" t="s">
        <v>533</v>
      </c>
      <c r="F1283" t="s">
        <v>538</v>
      </c>
      <c r="G1283" t="s">
        <v>35</v>
      </c>
      <c r="H1283" t="s">
        <v>540</v>
      </c>
      <c r="I1283">
        <v>5</v>
      </c>
      <c r="J1283">
        <v>17</v>
      </c>
      <c r="K1283" t="s">
        <v>258</v>
      </c>
      <c r="L1283" t="s">
        <v>257</v>
      </c>
      <c r="M1283" t="s">
        <v>258</v>
      </c>
      <c r="N1283" s="5">
        <v>19.86</v>
      </c>
    </row>
    <row r="1284" spans="1:14" x14ac:dyDescent="0.25">
      <c r="A1284" t="s">
        <v>1825</v>
      </c>
      <c r="B1284" t="s">
        <v>208</v>
      </c>
      <c r="C1284" t="str">
        <f>_xlfn.XLOOKUP(Table6[[#This Row],[app_id]],Table5[app_id],Table5[app_name],"",0)</f>
        <v>DonePro</v>
      </c>
      <c r="D1284" t="str">
        <f>_xlfn.XLOOKUP(Table6[[#This Row],[app_id]],Table5[app_id],Table5[category],"",0)</f>
        <v>Productivity</v>
      </c>
      <c r="E1284" t="s">
        <v>533</v>
      </c>
      <c r="F1284" t="s">
        <v>538</v>
      </c>
      <c r="G1284" t="s">
        <v>61</v>
      </c>
      <c r="H1284" t="s">
        <v>540</v>
      </c>
      <c r="I1284">
        <v>2</v>
      </c>
      <c r="J1284">
        <v>10.3</v>
      </c>
      <c r="K1284" t="s">
        <v>258</v>
      </c>
      <c r="L1284" t="s">
        <v>257</v>
      </c>
      <c r="M1284" t="s">
        <v>258</v>
      </c>
      <c r="N1284" s="5">
        <v>0</v>
      </c>
    </row>
    <row r="1285" spans="1:14" x14ac:dyDescent="0.25">
      <c r="A1285" t="s">
        <v>1826</v>
      </c>
      <c r="B1285" t="s">
        <v>210</v>
      </c>
      <c r="C1285" t="str">
        <f>_xlfn.XLOOKUP(Table6[[#This Row],[app_id]],Table5[app_id],Table5[app_name],"",0)</f>
        <v>NotePlus</v>
      </c>
      <c r="D1285" t="str">
        <f>_xlfn.XLOOKUP(Table6[[#This Row],[app_id]],Table5[app_id],Table5[category],"",0)</f>
        <v>Productivity</v>
      </c>
      <c r="E1285" t="s">
        <v>533</v>
      </c>
      <c r="F1285" t="s">
        <v>538</v>
      </c>
      <c r="G1285" t="s">
        <v>35</v>
      </c>
      <c r="H1285" t="s">
        <v>535</v>
      </c>
      <c r="I1285">
        <v>77</v>
      </c>
      <c r="J1285">
        <v>5.7</v>
      </c>
      <c r="K1285" t="s">
        <v>257</v>
      </c>
      <c r="L1285" t="s">
        <v>257</v>
      </c>
      <c r="M1285" t="s">
        <v>258</v>
      </c>
      <c r="N1285" s="5">
        <v>0</v>
      </c>
    </row>
    <row r="1286" spans="1:14" x14ac:dyDescent="0.25">
      <c r="A1286" t="s">
        <v>1827</v>
      </c>
      <c r="B1286" t="s">
        <v>212</v>
      </c>
      <c r="C1286" t="str">
        <f>_xlfn.XLOOKUP(Table6[[#This Row],[app_id]],Table5[app_id],Table5[app_name],"",0)</f>
        <v>SyncPlus</v>
      </c>
      <c r="D1286" t="str">
        <f>_xlfn.XLOOKUP(Table6[[#This Row],[app_id]],Table5[app_id],Table5[category],"",0)</f>
        <v>Productivity</v>
      </c>
      <c r="E1286" t="s">
        <v>546</v>
      </c>
      <c r="F1286" t="s">
        <v>538</v>
      </c>
      <c r="G1286" t="s">
        <v>69</v>
      </c>
      <c r="H1286" t="s">
        <v>535</v>
      </c>
      <c r="I1286">
        <v>88</v>
      </c>
      <c r="J1286">
        <v>3.6</v>
      </c>
      <c r="K1286" t="s">
        <v>257</v>
      </c>
      <c r="L1286" t="s">
        <v>257</v>
      </c>
      <c r="M1286" t="s">
        <v>257</v>
      </c>
      <c r="N1286" s="5">
        <v>0</v>
      </c>
    </row>
    <row r="1287" spans="1:14" x14ac:dyDescent="0.25">
      <c r="A1287" t="s">
        <v>1828</v>
      </c>
      <c r="B1287" t="s">
        <v>214</v>
      </c>
      <c r="C1287" t="str">
        <f>_xlfn.XLOOKUP(Table6[[#This Row],[app_id]],Table5[app_id],Table5[app_name],"",0)</f>
        <v>NoteOne</v>
      </c>
      <c r="D1287" t="str">
        <f>_xlfn.XLOOKUP(Table6[[#This Row],[app_id]],Table5[app_id],Table5[category],"",0)</f>
        <v>Productivity</v>
      </c>
      <c r="E1287" t="s">
        <v>537</v>
      </c>
      <c r="F1287" t="s">
        <v>534</v>
      </c>
      <c r="G1287" t="s">
        <v>18</v>
      </c>
      <c r="H1287" t="s">
        <v>540</v>
      </c>
      <c r="I1287">
        <v>9</v>
      </c>
      <c r="J1287">
        <v>9.9</v>
      </c>
      <c r="K1287" t="s">
        <v>258</v>
      </c>
      <c r="L1287" t="s">
        <v>257</v>
      </c>
      <c r="M1287" t="s">
        <v>258</v>
      </c>
      <c r="N1287" s="5">
        <v>68.67</v>
      </c>
    </row>
    <row r="1288" spans="1:14" x14ac:dyDescent="0.25">
      <c r="A1288" t="s">
        <v>1829</v>
      </c>
      <c r="B1288" t="s">
        <v>216</v>
      </c>
      <c r="C1288" t="str">
        <f>_xlfn.XLOOKUP(Table6[[#This Row],[app_id]],Table5[app_id],Table5[app_name],"",0)</f>
        <v>NoteMate</v>
      </c>
      <c r="D1288" t="str">
        <f>_xlfn.XLOOKUP(Table6[[#This Row],[app_id]],Table5[app_id],Table5[category],"",0)</f>
        <v>Productivity</v>
      </c>
      <c r="E1288" t="s">
        <v>533</v>
      </c>
      <c r="F1288" t="s">
        <v>534</v>
      </c>
      <c r="G1288" t="s">
        <v>35</v>
      </c>
      <c r="H1288" t="s">
        <v>535</v>
      </c>
      <c r="I1288">
        <v>14</v>
      </c>
      <c r="J1288">
        <v>3.3</v>
      </c>
      <c r="K1288" t="s">
        <v>258</v>
      </c>
      <c r="L1288" t="s">
        <v>257</v>
      </c>
      <c r="M1288" t="s">
        <v>258</v>
      </c>
      <c r="N1288" s="5">
        <v>0</v>
      </c>
    </row>
    <row r="1289" spans="1:14" x14ac:dyDescent="0.25">
      <c r="A1289" t="s">
        <v>1830</v>
      </c>
      <c r="B1289" t="s">
        <v>218</v>
      </c>
      <c r="C1289" t="str">
        <f>_xlfn.XLOOKUP(Table6[[#This Row],[app_id]],Table5[app_id],Table5[app_name],"",0)</f>
        <v>PlanPlus</v>
      </c>
      <c r="D1289" t="str">
        <f>_xlfn.XLOOKUP(Table6[[#This Row],[app_id]],Table5[app_id],Table5[category],"",0)</f>
        <v>Productivity</v>
      </c>
      <c r="E1289" t="s">
        <v>537</v>
      </c>
      <c r="F1289" t="s">
        <v>538</v>
      </c>
      <c r="G1289" t="s">
        <v>18</v>
      </c>
      <c r="H1289" t="s">
        <v>535</v>
      </c>
      <c r="I1289">
        <v>25</v>
      </c>
      <c r="J1289">
        <v>11.3</v>
      </c>
      <c r="K1289" t="s">
        <v>258</v>
      </c>
      <c r="L1289" t="s">
        <v>258</v>
      </c>
      <c r="M1289" t="s">
        <v>257</v>
      </c>
      <c r="N1289" s="5">
        <v>0</v>
      </c>
    </row>
    <row r="1290" spans="1:14" x14ac:dyDescent="0.25">
      <c r="A1290" t="s">
        <v>1831</v>
      </c>
      <c r="B1290" t="s">
        <v>220</v>
      </c>
      <c r="C1290" t="str">
        <f>_xlfn.XLOOKUP(Table6[[#This Row],[app_id]],Table5[app_id],Table5[app_name],"",0)</f>
        <v>PlanMate</v>
      </c>
      <c r="D1290" t="str">
        <f>_xlfn.XLOOKUP(Table6[[#This Row],[app_id]],Table5[app_id],Table5[category],"",0)</f>
        <v>Productivity</v>
      </c>
      <c r="E1290" t="s">
        <v>557</v>
      </c>
      <c r="F1290" t="s">
        <v>628</v>
      </c>
      <c r="G1290" t="s">
        <v>26</v>
      </c>
      <c r="H1290" t="s">
        <v>535</v>
      </c>
      <c r="I1290">
        <v>11</v>
      </c>
      <c r="J1290">
        <v>12.9</v>
      </c>
      <c r="K1290" t="s">
        <v>258</v>
      </c>
      <c r="L1290" t="s">
        <v>257</v>
      </c>
      <c r="M1290" t="s">
        <v>258</v>
      </c>
      <c r="N1290" s="5">
        <v>0</v>
      </c>
    </row>
    <row r="1291" spans="1:14" x14ac:dyDescent="0.25">
      <c r="A1291" t="s">
        <v>1832</v>
      </c>
      <c r="B1291" t="s">
        <v>222</v>
      </c>
      <c r="C1291" t="str">
        <f>_xlfn.XLOOKUP(Table6[[#This Row],[app_id]],Table5[app_id],Table5[app_name],"",0)</f>
        <v>SyncPlus</v>
      </c>
      <c r="D1291" t="str">
        <f>_xlfn.XLOOKUP(Table6[[#This Row],[app_id]],Table5[app_id],Table5[category],"",0)</f>
        <v>Productivity</v>
      </c>
      <c r="E1291" t="s">
        <v>552</v>
      </c>
      <c r="F1291" t="s">
        <v>538</v>
      </c>
      <c r="G1291" t="s">
        <v>30</v>
      </c>
      <c r="H1291" t="s">
        <v>535</v>
      </c>
      <c r="I1291">
        <v>67</v>
      </c>
      <c r="J1291">
        <v>9.3000000000000007</v>
      </c>
      <c r="K1291" t="s">
        <v>257</v>
      </c>
      <c r="L1291" t="s">
        <v>257</v>
      </c>
      <c r="M1291" t="s">
        <v>258</v>
      </c>
      <c r="N1291" s="5">
        <v>0</v>
      </c>
    </row>
    <row r="1292" spans="1:14" x14ac:dyDescent="0.25">
      <c r="A1292" t="s">
        <v>1833</v>
      </c>
      <c r="B1292" t="s">
        <v>223</v>
      </c>
      <c r="C1292" t="str">
        <f>_xlfn.XLOOKUP(Table6[[#This Row],[app_id]],Table5[app_id],Table5[app_name],"",0)</f>
        <v>ClinicPro</v>
      </c>
      <c r="D1292" t="str">
        <f>_xlfn.XLOOKUP(Table6[[#This Row],[app_id]],Table5[app_id],Table5[category],"",0)</f>
        <v>Health</v>
      </c>
      <c r="E1292" t="s">
        <v>557</v>
      </c>
      <c r="F1292" t="s">
        <v>534</v>
      </c>
      <c r="G1292" t="s">
        <v>69</v>
      </c>
      <c r="H1292" t="s">
        <v>535</v>
      </c>
      <c r="I1292">
        <v>72</v>
      </c>
      <c r="J1292">
        <v>11.6</v>
      </c>
      <c r="K1292" t="s">
        <v>257</v>
      </c>
      <c r="L1292" t="s">
        <v>257</v>
      </c>
      <c r="M1292" t="s">
        <v>258</v>
      </c>
      <c r="N1292" s="5">
        <v>0</v>
      </c>
    </row>
    <row r="1293" spans="1:14" x14ac:dyDescent="0.25">
      <c r="A1293" t="s">
        <v>1834</v>
      </c>
      <c r="B1293" t="s">
        <v>226</v>
      </c>
      <c r="C1293" t="str">
        <f>_xlfn.XLOOKUP(Table6[[#This Row],[app_id]],Table5[app_id],Table5[app_name],"",0)</f>
        <v>MindMate</v>
      </c>
      <c r="D1293" t="str">
        <f>_xlfn.XLOOKUP(Table6[[#This Row],[app_id]],Table5[app_id],Table5[category],"",0)</f>
        <v>Health</v>
      </c>
      <c r="E1293" t="s">
        <v>533</v>
      </c>
      <c r="F1293" t="s">
        <v>538</v>
      </c>
      <c r="G1293" t="s">
        <v>18</v>
      </c>
      <c r="H1293" t="s">
        <v>535</v>
      </c>
      <c r="I1293">
        <v>24</v>
      </c>
      <c r="J1293">
        <v>15.6</v>
      </c>
      <c r="K1293" t="s">
        <v>257</v>
      </c>
      <c r="L1293" t="s">
        <v>258</v>
      </c>
      <c r="M1293" t="s">
        <v>258</v>
      </c>
      <c r="N1293" s="5">
        <v>0</v>
      </c>
    </row>
    <row r="1294" spans="1:14" x14ac:dyDescent="0.25">
      <c r="A1294" t="s">
        <v>1835</v>
      </c>
      <c r="B1294" t="s">
        <v>228</v>
      </c>
      <c r="C1294" t="str">
        <f>_xlfn.XLOOKUP(Table6[[#This Row],[app_id]],Table5[app_id],Table5[app_name],"",0)</f>
        <v>ClinicOne</v>
      </c>
      <c r="D1294" t="str">
        <f>_xlfn.XLOOKUP(Table6[[#This Row],[app_id]],Table5[app_id],Table5[category],"",0)</f>
        <v>Health</v>
      </c>
      <c r="E1294" t="s">
        <v>537</v>
      </c>
      <c r="F1294" t="s">
        <v>538</v>
      </c>
      <c r="G1294" t="s">
        <v>61</v>
      </c>
      <c r="H1294" t="s">
        <v>535</v>
      </c>
      <c r="I1294">
        <v>32</v>
      </c>
      <c r="J1294">
        <v>9.8000000000000007</v>
      </c>
      <c r="K1294" t="s">
        <v>257</v>
      </c>
      <c r="L1294" t="s">
        <v>258</v>
      </c>
      <c r="M1294" t="s">
        <v>258</v>
      </c>
      <c r="N1294" s="5">
        <v>0</v>
      </c>
    </row>
    <row r="1295" spans="1:14" x14ac:dyDescent="0.25">
      <c r="A1295" t="s">
        <v>1836</v>
      </c>
      <c r="B1295" t="s">
        <v>230</v>
      </c>
      <c r="C1295" t="str">
        <f>_xlfn.XLOOKUP(Table6[[#This Row],[app_id]],Table5[app_id],Table5[app_name],"",0)</f>
        <v>WellMate</v>
      </c>
      <c r="D1295" t="str">
        <f>_xlfn.XLOOKUP(Table6[[#This Row],[app_id]],Table5[app_id],Table5[category],"",0)</f>
        <v>Health</v>
      </c>
      <c r="E1295" t="s">
        <v>537</v>
      </c>
      <c r="F1295" t="s">
        <v>538</v>
      </c>
      <c r="G1295" t="s">
        <v>61</v>
      </c>
      <c r="H1295" t="s">
        <v>535</v>
      </c>
      <c r="I1295">
        <v>65</v>
      </c>
      <c r="J1295">
        <v>12.8</v>
      </c>
      <c r="K1295" t="s">
        <v>257</v>
      </c>
      <c r="L1295" t="s">
        <v>257</v>
      </c>
      <c r="M1295" t="s">
        <v>258</v>
      </c>
      <c r="N1295" s="5">
        <v>0</v>
      </c>
    </row>
    <row r="1296" spans="1:14" x14ac:dyDescent="0.25">
      <c r="A1296" t="s">
        <v>1837</v>
      </c>
      <c r="B1296" t="s">
        <v>232</v>
      </c>
      <c r="C1296" t="str">
        <f>_xlfn.XLOOKUP(Table6[[#This Row],[app_id]],Table5[app_id],Table5[app_name],"",0)</f>
        <v>MediMate</v>
      </c>
      <c r="D1296" t="str">
        <f>_xlfn.XLOOKUP(Table6[[#This Row],[app_id]],Table5[app_id],Table5[category],"",0)</f>
        <v>Health</v>
      </c>
      <c r="E1296" t="s">
        <v>533</v>
      </c>
      <c r="F1296" t="s">
        <v>538</v>
      </c>
      <c r="G1296" t="s">
        <v>69</v>
      </c>
      <c r="H1296" t="s">
        <v>535</v>
      </c>
      <c r="I1296">
        <v>15</v>
      </c>
      <c r="J1296">
        <v>8.3000000000000007</v>
      </c>
      <c r="K1296" t="s">
        <v>258</v>
      </c>
      <c r="L1296" t="s">
        <v>258</v>
      </c>
      <c r="M1296" t="s">
        <v>257</v>
      </c>
      <c r="N1296" s="5">
        <v>0</v>
      </c>
    </row>
    <row r="1297" spans="1:14" x14ac:dyDescent="0.25">
      <c r="A1297" t="s">
        <v>1838</v>
      </c>
      <c r="B1297" t="s">
        <v>234</v>
      </c>
      <c r="C1297" t="str">
        <f>_xlfn.XLOOKUP(Table6[[#This Row],[app_id]],Table5[app_id],Table5[app_name],"",0)</f>
        <v>WellNow</v>
      </c>
      <c r="D1297" t="str">
        <f>_xlfn.XLOOKUP(Table6[[#This Row],[app_id]],Table5[app_id],Table5[category],"",0)</f>
        <v>Health</v>
      </c>
      <c r="E1297" t="s">
        <v>537</v>
      </c>
      <c r="F1297" t="s">
        <v>534</v>
      </c>
      <c r="G1297" t="s">
        <v>61</v>
      </c>
      <c r="H1297" t="s">
        <v>535</v>
      </c>
      <c r="I1297">
        <v>15</v>
      </c>
      <c r="J1297">
        <v>23.2</v>
      </c>
      <c r="K1297" t="s">
        <v>257</v>
      </c>
      <c r="L1297" t="s">
        <v>257</v>
      </c>
      <c r="M1297" t="s">
        <v>258</v>
      </c>
      <c r="N1297" s="5">
        <v>0</v>
      </c>
    </row>
    <row r="1298" spans="1:14" x14ac:dyDescent="0.25">
      <c r="A1298" t="s">
        <v>1839</v>
      </c>
      <c r="B1298" t="s">
        <v>236</v>
      </c>
      <c r="C1298" t="str">
        <f>_xlfn.XLOOKUP(Table6[[#This Row],[app_id]],Table5[app_id],Table5[app_name],"",0)</f>
        <v>CareCloud</v>
      </c>
      <c r="D1298" t="str">
        <f>_xlfn.XLOOKUP(Table6[[#This Row],[app_id]],Table5[app_id],Table5[category],"",0)</f>
        <v>Health</v>
      </c>
      <c r="E1298" t="s">
        <v>533</v>
      </c>
      <c r="F1298" t="s">
        <v>628</v>
      </c>
      <c r="G1298" t="s">
        <v>23</v>
      </c>
      <c r="H1298" t="s">
        <v>540</v>
      </c>
      <c r="I1298">
        <v>18</v>
      </c>
      <c r="J1298">
        <v>22.1</v>
      </c>
      <c r="K1298" t="s">
        <v>257</v>
      </c>
      <c r="L1298" t="s">
        <v>257</v>
      </c>
      <c r="M1298" t="s">
        <v>258</v>
      </c>
      <c r="N1298" s="5">
        <v>0</v>
      </c>
    </row>
    <row r="1299" spans="1:14" x14ac:dyDescent="0.25">
      <c r="A1299" t="s">
        <v>1840</v>
      </c>
      <c r="B1299" t="s">
        <v>238</v>
      </c>
      <c r="C1299" t="str">
        <f>_xlfn.XLOOKUP(Table6[[#This Row],[app_id]],Table5[app_id],Table5[app_name],"",0)</f>
        <v>MediNow</v>
      </c>
      <c r="D1299" t="str">
        <f>_xlfn.XLOOKUP(Table6[[#This Row],[app_id]],Table5[app_id],Table5[category],"",0)</f>
        <v>Health</v>
      </c>
      <c r="E1299" t="s">
        <v>533</v>
      </c>
      <c r="F1299" t="s">
        <v>628</v>
      </c>
      <c r="G1299" t="s">
        <v>18</v>
      </c>
      <c r="H1299" t="s">
        <v>535</v>
      </c>
      <c r="I1299">
        <v>53</v>
      </c>
      <c r="J1299">
        <v>17.8</v>
      </c>
      <c r="K1299" t="s">
        <v>257</v>
      </c>
      <c r="L1299" t="s">
        <v>258</v>
      </c>
      <c r="M1299" t="s">
        <v>258</v>
      </c>
      <c r="N1299" s="5">
        <v>0</v>
      </c>
    </row>
    <row r="1300" spans="1:14" x14ac:dyDescent="0.25">
      <c r="A1300" t="s">
        <v>1841</v>
      </c>
      <c r="B1300" t="s">
        <v>240</v>
      </c>
      <c r="C1300" t="str">
        <f>_xlfn.XLOOKUP(Table6[[#This Row],[app_id]],Table5[app_id],Table5[app_name],"",0)</f>
        <v>MindPlus</v>
      </c>
      <c r="D1300" t="str">
        <f>_xlfn.XLOOKUP(Table6[[#This Row],[app_id]],Table5[app_id],Table5[category],"",0)</f>
        <v>Health</v>
      </c>
      <c r="E1300" t="s">
        <v>533</v>
      </c>
      <c r="F1300" t="s">
        <v>538</v>
      </c>
      <c r="G1300" t="s">
        <v>18</v>
      </c>
      <c r="H1300" t="s">
        <v>535</v>
      </c>
      <c r="I1300">
        <v>58</v>
      </c>
      <c r="J1300">
        <v>21</v>
      </c>
      <c r="K1300" t="s">
        <v>257</v>
      </c>
      <c r="L1300" t="s">
        <v>257</v>
      </c>
      <c r="M1300" t="s">
        <v>258</v>
      </c>
      <c r="N1300" s="5">
        <v>0</v>
      </c>
    </row>
    <row r="1301" spans="1:14" x14ac:dyDescent="0.25">
      <c r="A1301" t="s">
        <v>1842</v>
      </c>
      <c r="B1301" t="s">
        <v>242</v>
      </c>
      <c r="C1301" t="str">
        <f>_xlfn.XLOOKUP(Table6[[#This Row],[app_id]],Table5[app_id],Table5[app_name],"",0)</f>
        <v>MediCloud</v>
      </c>
      <c r="D1301" t="str">
        <f>_xlfn.XLOOKUP(Table6[[#This Row],[app_id]],Table5[app_id],Table5[category],"",0)</f>
        <v>Health</v>
      </c>
      <c r="E1301" t="s">
        <v>537</v>
      </c>
      <c r="F1301" t="s">
        <v>538</v>
      </c>
      <c r="G1301" t="s">
        <v>18</v>
      </c>
      <c r="H1301" t="s">
        <v>535</v>
      </c>
      <c r="I1301">
        <v>13</v>
      </c>
      <c r="J1301">
        <v>5.4</v>
      </c>
      <c r="K1301" t="s">
        <v>258</v>
      </c>
      <c r="L1301" t="s">
        <v>258</v>
      </c>
      <c r="M1301" t="s">
        <v>257</v>
      </c>
      <c r="N1301" s="5">
        <v>0</v>
      </c>
    </row>
    <row r="1302" spans="1:14" x14ac:dyDescent="0.25">
      <c r="A1302" t="s">
        <v>1843</v>
      </c>
      <c r="B1302" t="s">
        <v>12</v>
      </c>
      <c r="C1302" t="str">
        <f>_xlfn.XLOOKUP(Table6[[#This Row],[app_id]],Table5[app_id],Table5[app_name],"",0)</f>
        <v>InvestPro</v>
      </c>
      <c r="D1302" t="str">
        <f>_xlfn.XLOOKUP(Table6[[#This Row],[app_id]],Table5[app_id],Table5[category],"",0)</f>
        <v>Finance</v>
      </c>
      <c r="E1302" t="s">
        <v>533</v>
      </c>
      <c r="F1302" t="s">
        <v>538</v>
      </c>
      <c r="G1302" t="s">
        <v>30</v>
      </c>
      <c r="H1302" t="s">
        <v>535</v>
      </c>
      <c r="I1302">
        <v>27</v>
      </c>
      <c r="J1302">
        <v>11.4</v>
      </c>
      <c r="K1302" t="s">
        <v>258</v>
      </c>
      <c r="L1302" t="s">
        <v>258</v>
      </c>
      <c r="M1302" t="s">
        <v>258</v>
      </c>
      <c r="N1302" s="5">
        <v>0</v>
      </c>
    </row>
    <row r="1303" spans="1:14" x14ac:dyDescent="0.25">
      <c r="A1303" t="s">
        <v>1844</v>
      </c>
      <c r="B1303" t="s">
        <v>19</v>
      </c>
      <c r="C1303" t="str">
        <f>_xlfn.XLOOKUP(Table6[[#This Row],[app_id]],Table5[app_id],Table5[app_name],"",0)</f>
        <v>BankPro</v>
      </c>
      <c r="D1303" t="str">
        <f>_xlfn.XLOOKUP(Table6[[#This Row],[app_id]],Table5[app_id],Table5[category],"",0)</f>
        <v>Finance</v>
      </c>
      <c r="E1303" t="s">
        <v>546</v>
      </c>
      <c r="F1303" t="s">
        <v>534</v>
      </c>
      <c r="G1303" t="s">
        <v>46</v>
      </c>
      <c r="H1303" t="s">
        <v>535</v>
      </c>
      <c r="I1303">
        <v>2</v>
      </c>
      <c r="J1303">
        <v>17.899999999999999</v>
      </c>
      <c r="K1303" t="s">
        <v>258</v>
      </c>
      <c r="L1303" t="s">
        <v>257</v>
      </c>
      <c r="M1303" t="s">
        <v>258</v>
      </c>
      <c r="N1303" s="5">
        <v>0</v>
      </c>
    </row>
    <row r="1304" spans="1:14" x14ac:dyDescent="0.25">
      <c r="A1304" t="s">
        <v>1845</v>
      </c>
      <c r="B1304" t="s">
        <v>24</v>
      </c>
      <c r="C1304" t="str">
        <f>_xlfn.XLOOKUP(Table6[[#This Row],[app_id]],Table5[app_id],Table5[app_name],"",0)</f>
        <v>BankX</v>
      </c>
      <c r="D1304" t="str">
        <f>_xlfn.XLOOKUP(Table6[[#This Row],[app_id]],Table5[app_id],Table5[category],"",0)</f>
        <v>Finance</v>
      </c>
      <c r="E1304" t="s">
        <v>546</v>
      </c>
      <c r="F1304" t="s">
        <v>538</v>
      </c>
      <c r="G1304" t="s">
        <v>35</v>
      </c>
      <c r="H1304" t="s">
        <v>535</v>
      </c>
      <c r="I1304">
        <v>51</v>
      </c>
      <c r="J1304">
        <v>11.3</v>
      </c>
      <c r="K1304" t="s">
        <v>257</v>
      </c>
      <c r="L1304" t="s">
        <v>258</v>
      </c>
      <c r="M1304" t="s">
        <v>258</v>
      </c>
      <c r="N1304" s="5">
        <v>0</v>
      </c>
    </row>
    <row r="1305" spans="1:14" x14ac:dyDescent="0.25">
      <c r="A1305" t="s">
        <v>1846</v>
      </c>
      <c r="B1305" t="s">
        <v>27</v>
      </c>
      <c r="C1305" t="str">
        <f>_xlfn.XLOOKUP(Table6[[#This Row],[app_id]],Table5[app_id],Table5[app_name],"",0)</f>
        <v>BankNow</v>
      </c>
      <c r="D1305" t="str">
        <f>_xlfn.XLOOKUP(Table6[[#This Row],[app_id]],Table5[app_id],Table5[category],"",0)</f>
        <v>Finance</v>
      </c>
      <c r="E1305" t="s">
        <v>537</v>
      </c>
      <c r="F1305" t="s">
        <v>534</v>
      </c>
      <c r="G1305" t="s">
        <v>69</v>
      </c>
      <c r="H1305" t="s">
        <v>535</v>
      </c>
      <c r="I1305">
        <v>46</v>
      </c>
      <c r="J1305">
        <v>6.8</v>
      </c>
      <c r="K1305" t="s">
        <v>257</v>
      </c>
      <c r="L1305" t="s">
        <v>257</v>
      </c>
      <c r="M1305" t="s">
        <v>258</v>
      </c>
      <c r="N1305" s="5">
        <v>0</v>
      </c>
    </row>
    <row r="1306" spans="1:14" x14ac:dyDescent="0.25">
      <c r="A1306" t="s">
        <v>1847</v>
      </c>
      <c r="B1306" t="s">
        <v>31</v>
      </c>
      <c r="C1306" t="str">
        <f>_xlfn.XLOOKUP(Table6[[#This Row],[app_id]],Table5[app_id],Table5[app_name],"",0)</f>
        <v>CreditHub</v>
      </c>
      <c r="D1306" t="str">
        <f>_xlfn.XLOOKUP(Table6[[#This Row],[app_id]],Table5[app_id],Table5[category],"",0)</f>
        <v>Finance</v>
      </c>
      <c r="E1306" t="s">
        <v>546</v>
      </c>
      <c r="F1306" t="s">
        <v>538</v>
      </c>
      <c r="G1306" t="s">
        <v>69</v>
      </c>
      <c r="H1306" t="s">
        <v>535</v>
      </c>
      <c r="I1306">
        <v>12</v>
      </c>
      <c r="J1306">
        <v>8</v>
      </c>
      <c r="K1306" t="s">
        <v>258</v>
      </c>
      <c r="L1306" t="s">
        <v>258</v>
      </c>
      <c r="M1306" t="s">
        <v>258</v>
      </c>
      <c r="N1306" s="5">
        <v>0</v>
      </c>
    </row>
    <row r="1307" spans="1:14" x14ac:dyDescent="0.25">
      <c r="A1307" t="s">
        <v>1848</v>
      </c>
      <c r="B1307" t="s">
        <v>36</v>
      </c>
      <c r="C1307" t="str">
        <f>_xlfn.XLOOKUP(Table6[[#This Row],[app_id]],Table5[app_id],Table5[app_name],"",0)</f>
        <v>PayPlus</v>
      </c>
      <c r="D1307" t="str">
        <f>_xlfn.XLOOKUP(Table6[[#This Row],[app_id]],Table5[app_id],Table5[category],"",0)</f>
        <v>Finance</v>
      </c>
      <c r="E1307" t="s">
        <v>537</v>
      </c>
      <c r="F1307" t="s">
        <v>538</v>
      </c>
      <c r="G1307" t="s">
        <v>69</v>
      </c>
      <c r="H1307" t="s">
        <v>540</v>
      </c>
      <c r="I1307">
        <v>23</v>
      </c>
      <c r="J1307">
        <v>3.3</v>
      </c>
      <c r="K1307" t="s">
        <v>257</v>
      </c>
      <c r="L1307" t="s">
        <v>258</v>
      </c>
      <c r="M1307" t="s">
        <v>258</v>
      </c>
      <c r="N1307" s="5">
        <v>52.62</v>
      </c>
    </row>
    <row r="1308" spans="1:14" x14ac:dyDescent="0.25">
      <c r="A1308" t="s">
        <v>1849</v>
      </c>
      <c r="B1308" t="s">
        <v>39</v>
      </c>
      <c r="C1308" t="str">
        <f>_xlfn.XLOOKUP(Table6[[#This Row],[app_id]],Table5[app_id],Table5[app_name],"",0)</f>
        <v>BankPlus</v>
      </c>
      <c r="D1308" t="str">
        <f>_xlfn.XLOOKUP(Table6[[#This Row],[app_id]],Table5[app_id],Table5[category],"",0)</f>
        <v>Finance</v>
      </c>
      <c r="E1308" t="s">
        <v>552</v>
      </c>
      <c r="F1308" t="s">
        <v>534</v>
      </c>
      <c r="G1308" t="s">
        <v>35</v>
      </c>
      <c r="H1308" t="s">
        <v>535</v>
      </c>
      <c r="I1308">
        <v>12</v>
      </c>
      <c r="J1308">
        <v>22.9</v>
      </c>
      <c r="K1308" t="s">
        <v>258</v>
      </c>
      <c r="L1308" t="s">
        <v>258</v>
      </c>
      <c r="M1308" t="s">
        <v>257</v>
      </c>
      <c r="N1308" s="5">
        <v>61.81</v>
      </c>
    </row>
    <row r="1309" spans="1:14" x14ac:dyDescent="0.25">
      <c r="A1309" t="s">
        <v>1850</v>
      </c>
      <c r="B1309" t="s">
        <v>42</v>
      </c>
      <c r="C1309" t="str">
        <f>_xlfn.XLOOKUP(Table6[[#This Row],[app_id]],Table5[app_id],Table5[app_name],"",0)</f>
        <v>CoinPlus</v>
      </c>
      <c r="D1309" t="str">
        <f>_xlfn.XLOOKUP(Table6[[#This Row],[app_id]],Table5[app_id],Table5[category],"",0)</f>
        <v>Finance</v>
      </c>
      <c r="E1309" t="s">
        <v>533</v>
      </c>
      <c r="F1309" t="s">
        <v>534</v>
      </c>
      <c r="G1309" t="s">
        <v>35</v>
      </c>
      <c r="H1309" t="s">
        <v>535</v>
      </c>
      <c r="I1309">
        <v>37</v>
      </c>
      <c r="J1309">
        <v>3.4</v>
      </c>
      <c r="K1309" t="s">
        <v>257</v>
      </c>
      <c r="L1309" t="s">
        <v>257</v>
      </c>
      <c r="M1309" t="s">
        <v>258</v>
      </c>
      <c r="N1309" s="5">
        <v>0</v>
      </c>
    </row>
    <row r="1310" spans="1:14" x14ac:dyDescent="0.25">
      <c r="A1310" t="s">
        <v>1851</v>
      </c>
      <c r="B1310" t="s">
        <v>47</v>
      </c>
      <c r="C1310" t="str">
        <f>_xlfn.XLOOKUP(Table6[[#This Row],[app_id]],Table5[app_id],Table5[app_name],"",0)</f>
        <v>CreditOne</v>
      </c>
      <c r="D1310" t="str">
        <f>_xlfn.XLOOKUP(Table6[[#This Row],[app_id]],Table5[app_id],Table5[category],"",0)</f>
        <v>Finance</v>
      </c>
      <c r="E1310" t="s">
        <v>533</v>
      </c>
      <c r="F1310" t="s">
        <v>548</v>
      </c>
      <c r="G1310" t="s">
        <v>26</v>
      </c>
      <c r="H1310" t="s">
        <v>535</v>
      </c>
      <c r="I1310">
        <v>17</v>
      </c>
      <c r="J1310">
        <v>18.8</v>
      </c>
      <c r="K1310" t="s">
        <v>257</v>
      </c>
      <c r="L1310" t="s">
        <v>257</v>
      </c>
      <c r="M1310" t="s">
        <v>258</v>
      </c>
      <c r="N1310" s="5">
        <v>0</v>
      </c>
    </row>
    <row r="1311" spans="1:14" x14ac:dyDescent="0.25">
      <c r="A1311" t="s">
        <v>1852</v>
      </c>
      <c r="B1311" t="s">
        <v>49</v>
      </c>
      <c r="C1311" t="str">
        <f>_xlfn.XLOOKUP(Table6[[#This Row],[app_id]],Table5[app_id],Table5[app_name],"",0)</f>
        <v>PayPro</v>
      </c>
      <c r="D1311" t="str">
        <f>_xlfn.XLOOKUP(Table6[[#This Row],[app_id]],Table5[app_id],Table5[category],"",0)</f>
        <v>Finance</v>
      </c>
      <c r="E1311" t="s">
        <v>533</v>
      </c>
      <c r="F1311" t="s">
        <v>534</v>
      </c>
      <c r="G1311" t="s">
        <v>23</v>
      </c>
      <c r="H1311" t="s">
        <v>535</v>
      </c>
      <c r="I1311">
        <v>56</v>
      </c>
      <c r="J1311">
        <v>20.3</v>
      </c>
      <c r="K1311" t="s">
        <v>257</v>
      </c>
      <c r="L1311" t="s">
        <v>257</v>
      </c>
      <c r="M1311" t="s">
        <v>258</v>
      </c>
      <c r="N1311" s="5">
        <v>0</v>
      </c>
    </row>
    <row r="1312" spans="1:14" x14ac:dyDescent="0.25">
      <c r="A1312" t="s">
        <v>1853</v>
      </c>
      <c r="B1312" t="s">
        <v>51</v>
      </c>
      <c r="C1312" t="str">
        <f>_xlfn.XLOOKUP(Table6[[#This Row],[app_id]],Table5[app_id],Table5[app_name],"",0)</f>
        <v>Creditly</v>
      </c>
      <c r="D1312" t="str">
        <f>_xlfn.XLOOKUP(Table6[[#This Row],[app_id]],Table5[app_id],Table5[category],"",0)</f>
        <v>Finance</v>
      </c>
      <c r="E1312" t="s">
        <v>557</v>
      </c>
      <c r="F1312" t="s">
        <v>548</v>
      </c>
      <c r="G1312" t="s">
        <v>30</v>
      </c>
      <c r="H1312" t="s">
        <v>535</v>
      </c>
      <c r="I1312">
        <v>27</v>
      </c>
      <c r="J1312">
        <v>18.5</v>
      </c>
      <c r="K1312" t="s">
        <v>258</v>
      </c>
      <c r="L1312" t="s">
        <v>257</v>
      </c>
      <c r="M1312" t="s">
        <v>258</v>
      </c>
      <c r="N1312" s="5">
        <v>0</v>
      </c>
    </row>
    <row r="1313" spans="1:14" x14ac:dyDescent="0.25">
      <c r="A1313" t="s">
        <v>1854</v>
      </c>
      <c r="B1313" t="s">
        <v>53</v>
      </c>
      <c r="C1313" t="str">
        <f>_xlfn.XLOOKUP(Table6[[#This Row],[app_id]],Table5[app_id],Table5[app_name],"",0)</f>
        <v>PayX</v>
      </c>
      <c r="D1313" t="str">
        <f>_xlfn.XLOOKUP(Table6[[#This Row],[app_id]],Table5[app_id],Table5[category],"",0)</f>
        <v>Finance</v>
      </c>
      <c r="E1313" t="s">
        <v>546</v>
      </c>
      <c r="F1313" t="s">
        <v>538</v>
      </c>
      <c r="G1313" t="s">
        <v>69</v>
      </c>
      <c r="H1313" t="s">
        <v>540</v>
      </c>
      <c r="I1313">
        <v>48</v>
      </c>
      <c r="J1313">
        <v>22.4</v>
      </c>
      <c r="K1313" t="s">
        <v>257</v>
      </c>
      <c r="L1313" t="s">
        <v>258</v>
      </c>
      <c r="M1313" t="s">
        <v>257</v>
      </c>
      <c r="N1313" s="5">
        <v>0</v>
      </c>
    </row>
    <row r="1314" spans="1:14" x14ac:dyDescent="0.25">
      <c r="A1314" t="s">
        <v>1855</v>
      </c>
      <c r="B1314" t="s">
        <v>56</v>
      </c>
      <c r="C1314" t="str">
        <f>_xlfn.XLOOKUP(Table6[[#This Row],[app_id]],Table5[app_id],Table5[app_name],"",0)</f>
        <v>DealGo</v>
      </c>
      <c r="D1314" t="str">
        <f>_xlfn.XLOOKUP(Table6[[#This Row],[app_id]],Table5[app_id],Table5[category],"",0)</f>
        <v>Shopping</v>
      </c>
      <c r="E1314" t="s">
        <v>533</v>
      </c>
      <c r="F1314" t="s">
        <v>538</v>
      </c>
      <c r="G1314" t="s">
        <v>26</v>
      </c>
      <c r="H1314" t="s">
        <v>535</v>
      </c>
      <c r="I1314">
        <v>2</v>
      </c>
      <c r="J1314">
        <v>18.8</v>
      </c>
      <c r="K1314" t="s">
        <v>258</v>
      </c>
      <c r="L1314" t="s">
        <v>257</v>
      </c>
      <c r="M1314" t="s">
        <v>258</v>
      </c>
      <c r="N1314" s="5">
        <v>15.19</v>
      </c>
    </row>
    <row r="1315" spans="1:14" x14ac:dyDescent="0.25">
      <c r="A1315" t="s">
        <v>1856</v>
      </c>
      <c r="B1315" t="s">
        <v>62</v>
      </c>
      <c r="C1315" t="str">
        <f>_xlfn.XLOOKUP(Table6[[#This Row],[app_id]],Table5[app_id],Table5[app_name],"",0)</f>
        <v>MallNow</v>
      </c>
      <c r="D1315" t="str">
        <f>_xlfn.XLOOKUP(Table6[[#This Row],[app_id]],Table5[app_id],Table5[category],"",0)</f>
        <v>Shopping</v>
      </c>
      <c r="E1315" t="s">
        <v>546</v>
      </c>
      <c r="F1315" t="s">
        <v>538</v>
      </c>
      <c r="G1315" t="s">
        <v>46</v>
      </c>
      <c r="H1315" t="s">
        <v>535</v>
      </c>
      <c r="I1315">
        <v>92</v>
      </c>
      <c r="J1315">
        <v>18</v>
      </c>
      <c r="K1315" t="s">
        <v>257</v>
      </c>
      <c r="L1315" t="s">
        <v>257</v>
      </c>
      <c r="M1315" t="s">
        <v>258</v>
      </c>
      <c r="N1315" s="5">
        <v>25.9</v>
      </c>
    </row>
    <row r="1316" spans="1:14" x14ac:dyDescent="0.25">
      <c r="A1316" t="s">
        <v>1857</v>
      </c>
      <c r="B1316" t="s">
        <v>65</v>
      </c>
      <c r="C1316" t="str">
        <f>_xlfn.XLOOKUP(Table6[[#This Row],[app_id]],Table5[app_id],Table5[app_name],"",0)</f>
        <v>DealPro</v>
      </c>
      <c r="D1316" t="str">
        <f>_xlfn.XLOOKUP(Table6[[#This Row],[app_id]],Table5[app_id],Table5[category],"",0)</f>
        <v>Shopping</v>
      </c>
      <c r="E1316" t="s">
        <v>546</v>
      </c>
      <c r="F1316" t="s">
        <v>534</v>
      </c>
      <c r="G1316" t="s">
        <v>30</v>
      </c>
      <c r="H1316" t="s">
        <v>535</v>
      </c>
      <c r="I1316">
        <v>19</v>
      </c>
      <c r="J1316">
        <v>22.4</v>
      </c>
      <c r="K1316" t="s">
        <v>258</v>
      </c>
      <c r="L1316" t="s">
        <v>257</v>
      </c>
      <c r="M1316" t="s">
        <v>257</v>
      </c>
      <c r="N1316" s="5">
        <v>54.2</v>
      </c>
    </row>
    <row r="1317" spans="1:14" x14ac:dyDescent="0.25">
      <c r="A1317" t="s">
        <v>1858</v>
      </c>
      <c r="B1317" t="s">
        <v>67</v>
      </c>
      <c r="C1317" t="str">
        <f>_xlfn.XLOOKUP(Table6[[#This Row],[app_id]],Table5[app_id],Table5[app_name],"",0)</f>
        <v>StyleNow</v>
      </c>
      <c r="D1317" t="str">
        <f>_xlfn.XLOOKUP(Table6[[#This Row],[app_id]],Table5[app_id],Table5[category],"",0)</f>
        <v>Shopping</v>
      </c>
      <c r="E1317" t="s">
        <v>546</v>
      </c>
      <c r="F1317" t="s">
        <v>538</v>
      </c>
      <c r="G1317" t="s">
        <v>30</v>
      </c>
      <c r="H1317" t="s">
        <v>535</v>
      </c>
      <c r="I1317">
        <v>5</v>
      </c>
      <c r="J1317">
        <v>9.6999999999999993</v>
      </c>
      <c r="K1317" t="s">
        <v>258</v>
      </c>
      <c r="L1317" t="s">
        <v>257</v>
      </c>
      <c r="M1317" t="s">
        <v>258</v>
      </c>
      <c r="N1317" s="5">
        <v>45.89</v>
      </c>
    </row>
    <row r="1318" spans="1:14" x14ac:dyDescent="0.25">
      <c r="A1318" t="s">
        <v>1859</v>
      </c>
      <c r="B1318" t="s">
        <v>70</v>
      </c>
      <c r="C1318" t="str">
        <f>_xlfn.XLOOKUP(Table6[[#This Row],[app_id]],Table5[app_id],Table5[app_name],"",0)</f>
        <v>DealCloud</v>
      </c>
      <c r="D1318" t="str">
        <f>_xlfn.XLOOKUP(Table6[[#This Row],[app_id]],Table5[app_id],Table5[category],"",0)</f>
        <v>Shopping</v>
      </c>
      <c r="E1318" t="s">
        <v>557</v>
      </c>
      <c r="F1318" t="s">
        <v>538</v>
      </c>
      <c r="G1318" t="s">
        <v>26</v>
      </c>
      <c r="H1318" t="s">
        <v>535</v>
      </c>
      <c r="I1318">
        <v>18</v>
      </c>
      <c r="J1318">
        <v>23.5</v>
      </c>
      <c r="K1318" t="s">
        <v>258</v>
      </c>
      <c r="L1318" t="s">
        <v>257</v>
      </c>
      <c r="M1318" t="s">
        <v>257</v>
      </c>
      <c r="N1318" s="5">
        <v>0</v>
      </c>
    </row>
    <row r="1319" spans="1:14" x14ac:dyDescent="0.25">
      <c r="A1319" t="s">
        <v>1860</v>
      </c>
      <c r="B1319" t="s">
        <v>72</v>
      </c>
      <c r="C1319" t="str">
        <f>_xlfn.XLOOKUP(Table6[[#This Row],[app_id]],Table5[app_id],Table5[app_name],"",0)</f>
        <v>CartCloud</v>
      </c>
      <c r="D1319" t="str">
        <f>_xlfn.XLOOKUP(Table6[[#This Row],[app_id]],Table5[app_id],Table5[category],"",0)</f>
        <v>Shopping</v>
      </c>
      <c r="E1319" t="s">
        <v>552</v>
      </c>
      <c r="F1319" t="s">
        <v>538</v>
      </c>
      <c r="G1319" t="s">
        <v>26</v>
      </c>
      <c r="H1319" t="s">
        <v>535</v>
      </c>
      <c r="I1319">
        <v>42</v>
      </c>
      <c r="J1319">
        <v>8.1999999999999993</v>
      </c>
      <c r="K1319" t="s">
        <v>257</v>
      </c>
      <c r="L1319" t="s">
        <v>257</v>
      </c>
      <c r="M1319" t="s">
        <v>258</v>
      </c>
      <c r="N1319" s="5">
        <v>0</v>
      </c>
    </row>
    <row r="1320" spans="1:14" x14ac:dyDescent="0.25">
      <c r="A1320" t="s">
        <v>1861</v>
      </c>
      <c r="B1320" t="s">
        <v>74</v>
      </c>
      <c r="C1320" t="str">
        <f>_xlfn.XLOOKUP(Table6[[#This Row],[app_id]],Table5[app_id],Table5[app_name],"",0)</f>
        <v>CartMate</v>
      </c>
      <c r="D1320" t="str">
        <f>_xlfn.XLOOKUP(Table6[[#This Row],[app_id]],Table5[app_id],Table5[category],"",0)</f>
        <v>Shopping</v>
      </c>
      <c r="E1320" t="s">
        <v>533</v>
      </c>
      <c r="F1320" t="s">
        <v>538</v>
      </c>
      <c r="G1320" t="s">
        <v>23</v>
      </c>
      <c r="H1320" t="s">
        <v>535</v>
      </c>
      <c r="I1320">
        <v>27</v>
      </c>
      <c r="J1320">
        <v>9.8000000000000007</v>
      </c>
      <c r="K1320" t="s">
        <v>258</v>
      </c>
      <c r="L1320" t="s">
        <v>257</v>
      </c>
      <c r="M1320" t="s">
        <v>258</v>
      </c>
      <c r="N1320" s="5">
        <v>0</v>
      </c>
    </row>
    <row r="1321" spans="1:14" x14ac:dyDescent="0.25">
      <c r="A1321" t="s">
        <v>1862</v>
      </c>
      <c r="B1321" t="s">
        <v>76</v>
      </c>
      <c r="C1321" t="str">
        <f>_xlfn.XLOOKUP(Table6[[#This Row],[app_id]],Table5[app_id],Table5[app_name],"",0)</f>
        <v>BazaarOne</v>
      </c>
      <c r="D1321" t="str">
        <f>_xlfn.XLOOKUP(Table6[[#This Row],[app_id]],Table5[app_id],Table5[category],"",0)</f>
        <v>Shopping</v>
      </c>
      <c r="E1321" t="s">
        <v>533</v>
      </c>
      <c r="F1321" t="s">
        <v>538</v>
      </c>
      <c r="G1321" t="s">
        <v>69</v>
      </c>
      <c r="H1321" t="s">
        <v>535</v>
      </c>
      <c r="I1321">
        <v>77</v>
      </c>
      <c r="J1321">
        <v>8</v>
      </c>
      <c r="K1321" t="s">
        <v>257</v>
      </c>
      <c r="L1321" t="s">
        <v>257</v>
      </c>
      <c r="M1321" t="s">
        <v>257</v>
      </c>
      <c r="N1321" s="5">
        <v>0</v>
      </c>
    </row>
    <row r="1322" spans="1:14" x14ac:dyDescent="0.25">
      <c r="A1322" t="s">
        <v>1863</v>
      </c>
      <c r="B1322" t="s">
        <v>78</v>
      </c>
      <c r="C1322" t="str">
        <f>_xlfn.XLOOKUP(Table6[[#This Row],[app_id]],Table5[app_id],Table5[app_name],"",0)</f>
        <v>StyleOne</v>
      </c>
      <c r="D1322" t="str">
        <f>_xlfn.XLOOKUP(Table6[[#This Row],[app_id]],Table5[app_id],Table5[category],"",0)</f>
        <v>Shopping</v>
      </c>
      <c r="E1322" t="s">
        <v>533</v>
      </c>
      <c r="F1322" t="s">
        <v>538</v>
      </c>
      <c r="G1322" t="s">
        <v>30</v>
      </c>
      <c r="H1322" t="s">
        <v>535</v>
      </c>
      <c r="I1322">
        <v>15</v>
      </c>
      <c r="J1322">
        <v>22</v>
      </c>
      <c r="K1322" t="s">
        <v>258</v>
      </c>
      <c r="L1322" t="s">
        <v>257</v>
      </c>
      <c r="M1322" t="s">
        <v>258</v>
      </c>
      <c r="N1322" s="5">
        <v>0</v>
      </c>
    </row>
    <row r="1323" spans="1:14" x14ac:dyDescent="0.25">
      <c r="A1323" t="s">
        <v>1864</v>
      </c>
      <c r="B1323" t="s">
        <v>80</v>
      </c>
      <c r="C1323" t="str">
        <f>_xlfn.XLOOKUP(Table6[[#This Row],[app_id]],Table5[app_id],Table5[app_name],"",0)</f>
        <v>Cartly</v>
      </c>
      <c r="D1323" t="str">
        <f>_xlfn.XLOOKUP(Table6[[#This Row],[app_id]],Table5[app_id],Table5[category],"",0)</f>
        <v>Shopping</v>
      </c>
      <c r="E1323" t="s">
        <v>537</v>
      </c>
      <c r="F1323" t="s">
        <v>548</v>
      </c>
      <c r="G1323" t="s">
        <v>26</v>
      </c>
      <c r="H1323" t="s">
        <v>535</v>
      </c>
      <c r="I1323">
        <v>14</v>
      </c>
      <c r="J1323">
        <v>22.7</v>
      </c>
      <c r="K1323" t="s">
        <v>258</v>
      </c>
      <c r="L1323" t="s">
        <v>258</v>
      </c>
      <c r="M1323" t="s">
        <v>258</v>
      </c>
      <c r="N1323" s="5">
        <v>0</v>
      </c>
    </row>
    <row r="1324" spans="1:14" x14ac:dyDescent="0.25">
      <c r="A1324" t="s">
        <v>1865</v>
      </c>
      <c r="B1324" t="s">
        <v>83</v>
      </c>
      <c r="C1324" t="str">
        <f>_xlfn.XLOOKUP(Table6[[#This Row],[app_id]],Table5[app_id],Table5[app_name],"",0)</f>
        <v>BazaarCloud</v>
      </c>
      <c r="D1324" t="str">
        <f>_xlfn.XLOOKUP(Table6[[#This Row],[app_id]],Table5[app_id],Table5[category],"",0)</f>
        <v>Shopping</v>
      </c>
      <c r="E1324" t="s">
        <v>533</v>
      </c>
      <c r="F1324" t="s">
        <v>534</v>
      </c>
      <c r="G1324" t="s">
        <v>69</v>
      </c>
      <c r="H1324" t="s">
        <v>540</v>
      </c>
      <c r="I1324">
        <v>12</v>
      </c>
      <c r="J1324">
        <v>4</v>
      </c>
      <c r="K1324" t="s">
        <v>258</v>
      </c>
      <c r="L1324" t="s">
        <v>258</v>
      </c>
      <c r="M1324" t="s">
        <v>257</v>
      </c>
      <c r="N1324" s="5">
        <v>68.260000000000005</v>
      </c>
    </row>
    <row r="1325" spans="1:14" x14ac:dyDescent="0.25">
      <c r="A1325" t="s">
        <v>1866</v>
      </c>
      <c r="B1325" t="s">
        <v>85</v>
      </c>
      <c r="C1325" t="str">
        <f>_xlfn.XLOOKUP(Table6[[#This Row],[app_id]],Table5[app_id],Table5[app_name],"",0)</f>
        <v>CartPro</v>
      </c>
      <c r="D1325" t="str">
        <f>_xlfn.XLOOKUP(Table6[[#This Row],[app_id]],Table5[app_id],Table5[category],"",0)</f>
        <v>Shopping</v>
      </c>
      <c r="E1325" t="s">
        <v>557</v>
      </c>
      <c r="F1325" t="s">
        <v>534</v>
      </c>
      <c r="G1325" t="s">
        <v>46</v>
      </c>
      <c r="H1325" t="s">
        <v>535</v>
      </c>
      <c r="I1325">
        <v>71</v>
      </c>
      <c r="J1325">
        <v>23.8</v>
      </c>
      <c r="K1325" t="s">
        <v>257</v>
      </c>
      <c r="L1325" t="s">
        <v>258</v>
      </c>
      <c r="M1325" t="s">
        <v>257</v>
      </c>
      <c r="N1325" s="5">
        <v>0</v>
      </c>
    </row>
    <row r="1326" spans="1:14" x14ac:dyDescent="0.25">
      <c r="A1326" t="s">
        <v>1867</v>
      </c>
      <c r="B1326" t="s">
        <v>87</v>
      </c>
      <c r="C1326" t="str">
        <f>_xlfn.XLOOKUP(Table6[[#This Row],[app_id]],Table5[app_id],Table5[app_name],"",0)</f>
        <v>RunPlus</v>
      </c>
      <c r="D1326" t="str">
        <f>_xlfn.XLOOKUP(Table6[[#This Row],[app_id]],Table5[app_id],Table5[category],"",0)</f>
        <v>Fitness</v>
      </c>
      <c r="E1326" t="s">
        <v>546</v>
      </c>
      <c r="F1326" t="s">
        <v>538</v>
      </c>
      <c r="G1326" t="s">
        <v>35</v>
      </c>
      <c r="H1326" t="s">
        <v>535</v>
      </c>
      <c r="I1326">
        <v>28</v>
      </c>
      <c r="J1326">
        <v>23.5</v>
      </c>
      <c r="K1326" t="s">
        <v>258</v>
      </c>
      <c r="L1326" t="s">
        <v>258</v>
      </c>
      <c r="M1326" t="s">
        <v>258</v>
      </c>
      <c r="N1326" s="5">
        <v>0</v>
      </c>
    </row>
    <row r="1327" spans="1:14" x14ac:dyDescent="0.25">
      <c r="A1327" t="s">
        <v>1868</v>
      </c>
      <c r="B1327" t="s">
        <v>90</v>
      </c>
      <c r="C1327" t="str">
        <f>_xlfn.XLOOKUP(Table6[[#This Row],[app_id]],Table5[app_id],Table5[app_name],"",0)</f>
        <v>TrainCloud</v>
      </c>
      <c r="D1327" t="str">
        <f>_xlfn.XLOOKUP(Table6[[#This Row],[app_id]],Table5[app_id],Table5[category],"",0)</f>
        <v>Fitness</v>
      </c>
      <c r="E1327" t="s">
        <v>533</v>
      </c>
      <c r="F1327" t="s">
        <v>534</v>
      </c>
      <c r="G1327" t="s">
        <v>61</v>
      </c>
      <c r="H1327" t="s">
        <v>535</v>
      </c>
      <c r="I1327">
        <v>9</v>
      </c>
      <c r="J1327">
        <v>39.6</v>
      </c>
      <c r="K1327" t="s">
        <v>258</v>
      </c>
      <c r="L1327" t="s">
        <v>257</v>
      </c>
      <c r="M1327" t="s">
        <v>258</v>
      </c>
      <c r="N1327" s="5">
        <v>0</v>
      </c>
    </row>
    <row r="1328" spans="1:14" x14ac:dyDescent="0.25">
      <c r="A1328" t="s">
        <v>1869</v>
      </c>
      <c r="B1328" t="s">
        <v>92</v>
      </c>
      <c r="C1328" t="str">
        <f>_xlfn.XLOOKUP(Table6[[#This Row],[app_id]],Table5[app_id],Table5[app_name],"",0)</f>
        <v>Trainly</v>
      </c>
      <c r="D1328" t="str">
        <f>_xlfn.XLOOKUP(Table6[[#This Row],[app_id]],Table5[app_id],Table5[category],"",0)</f>
        <v>Fitness</v>
      </c>
      <c r="E1328" t="s">
        <v>552</v>
      </c>
      <c r="F1328" t="s">
        <v>534</v>
      </c>
      <c r="G1328" t="s">
        <v>30</v>
      </c>
      <c r="H1328" t="s">
        <v>535</v>
      </c>
      <c r="I1328">
        <v>83</v>
      </c>
      <c r="J1328">
        <v>8.4</v>
      </c>
      <c r="K1328" t="s">
        <v>257</v>
      </c>
      <c r="L1328" t="s">
        <v>257</v>
      </c>
      <c r="M1328" t="s">
        <v>258</v>
      </c>
      <c r="N1328" s="5">
        <v>0</v>
      </c>
    </row>
    <row r="1329" spans="1:14" x14ac:dyDescent="0.25">
      <c r="A1329" t="s">
        <v>1870</v>
      </c>
      <c r="B1329" t="s">
        <v>94</v>
      </c>
      <c r="C1329" t="str">
        <f>_xlfn.XLOOKUP(Table6[[#This Row],[app_id]],Table5[app_id],Table5[app_name],"",0)</f>
        <v>LiftCloud</v>
      </c>
      <c r="D1329" t="str">
        <f>_xlfn.XLOOKUP(Table6[[#This Row],[app_id]],Table5[app_id],Table5[category],"",0)</f>
        <v>Fitness</v>
      </c>
      <c r="E1329" t="s">
        <v>533</v>
      </c>
      <c r="F1329" t="s">
        <v>538</v>
      </c>
      <c r="G1329" t="s">
        <v>18</v>
      </c>
      <c r="H1329" t="s">
        <v>535</v>
      </c>
      <c r="I1329">
        <v>18</v>
      </c>
      <c r="J1329">
        <v>22</v>
      </c>
      <c r="K1329" t="s">
        <v>258</v>
      </c>
      <c r="L1329" t="s">
        <v>258</v>
      </c>
      <c r="M1329" t="s">
        <v>258</v>
      </c>
      <c r="N1329" s="5">
        <v>0</v>
      </c>
    </row>
    <row r="1330" spans="1:14" x14ac:dyDescent="0.25">
      <c r="A1330" t="s">
        <v>1871</v>
      </c>
      <c r="B1330" t="s">
        <v>96</v>
      </c>
      <c r="C1330" t="str">
        <f>_xlfn.XLOOKUP(Table6[[#This Row],[app_id]],Table5[app_id],Table5[app_name],"",0)</f>
        <v>MoveNow</v>
      </c>
      <c r="D1330" t="str">
        <f>_xlfn.XLOOKUP(Table6[[#This Row],[app_id]],Table5[app_id],Table5[category],"",0)</f>
        <v>Fitness</v>
      </c>
      <c r="E1330" t="s">
        <v>546</v>
      </c>
      <c r="F1330" t="s">
        <v>538</v>
      </c>
      <c r="G1330" t="s">
        <v>61</v>
      </c>
      <c r="H1330" t="s">
        <v>535</v>
      </c>
      <c r="I1330">
        <v>19</v>
      </c>
      <c r="J1330">
        <v>23.5</v>
      </c>
      <c r="K1330" t="s">
        <v>258</v>
      </c>
      <c r="L1330" t="s">
        <v>258</v>
      </c>
      <c r="M1330" t="s">
        <v>258</v>
      </c>
      <c r="N1330" s="5">
        <v>67.86</v>
      </c>
    </row>
    <row r="1331" spans="1:14" x14ac:dyDescent="0.25">
      <c r="A1331" t="s">
        <v>1872</v>
      </c>
      <c r="B1331" t="s">
        <v>98</v>
      </c>
      <c r="C1331" t="str">
        <f>_xlfn.XLOOKUP(Table6[[#This Row],[app_id]],Table5[app_id],Table5[app_name],"",0)</f>
        <v>ActiveMate</v>
      </c>
      <c r="D1331" t="str">
        <f>_xlfn.XLOOKUP(Table6[[#This Row],[app_id]],Table5[app_id],Table5[category],"",0)</f>
        <v>Fitness</v>
      </c>
      <c r="E1331" t="s">
        <v>537</v>
      </c>
      <c r="F1331" t="s">
        <v>534</v>
      </c>
      <c r="G1331" t="s">
        <v>18</v>
      </c>
      <c r="H1331" t="s">
        <v>535</v>
      </c>
      <c r="I1331">
        <v>24</v>
      </c>
      <c r="J1331">
        <v>12</v>
      </c>
      <c r="K1331" t="s">
        <v>258</v>
      </c>
      <c r="L1331" t="s">
        <v>257</v>
      </c>
      <c r="M1331" t="s">
        <v>258</v>
      </c>
      <c r="N1331" s="5">
        <v>0</v>
      </c>
    </row>
    <row r="1332" spans="1:14" x14ac:dyDescent="0.25">
      <c r="A1332" t="s">
        <v>1873</v>
      </c>
      <c r="B1332" t="s">
        <v>100</v>
      </c>
      <c r="C1332" t="str">
        <f>_xlfn.XLOOKUP(Table6[[#This Row],[app_id]],Table5[app_id],Table5[app_name],"",0)</f>
        <v>RunGo</v>
      </c>
      <c r="D1332" t="str">
        <f>_xlfn.XLOOKUP(Table6[[#This Row],[app_id]],Table5[app_id],Table5[category],"",0)</f>
        <v>Fitness</v>
      </c>
      <c r="E1332" t="s">
        <v>533</v>
      </c>
      <c r="F1332" t="s">
        <v>534</v>
      </c>
      <c r="G1332" t="s">
        <v>61</v>
      </c>
      <c r="H1332" t="s">
        <v>535</v>
      </c>
      <c r="I1332">
        <v>39</v>
      </c>
      <c r="J1332">
        <v>15.8</v>
      </c>
      <c r="K1332" t="s">
        <v>257</v>
      </c>
      <c r="L1332" t="s">
        <v>257</v>
      </c>
      <c r="M1332" t="s">
        <v>258</v>
      </c>
      <c r="N1332" s="5">
        <v>0</v>
      </c>
    </row>
    <row r="1333" spans="1:14" x14ac:dyDescent="0.25">
      <c r="A1333" t="s">
        <v>1874</v>
      </c>
      <c r="B1333" t="s">
        <v>102</v>
      </c>
      <c r="C1333" t="str">
        <f>_xlfn.XLOOKUP(Table6[[#This Row],[app_id]],Table5[app_id],Table5[app_name],"",0)</f>
        <v>LiftPro</v>
      </c>
      <c r="D1333" t="str">
        <f>_xlfn.XLOOKUP(Table6[[#This Row],[app_id]],Table5[app_id],Table5[category],"",0)</f>
        <v>Fitness</v>
      </c>
      <c r="E1333" t="s">
        <v>557</v>
      </c>
      <c r="F1333" t="s">
        <v>548</v>
      </c>
      <c r="G1333" t="s">
        <v>26</v>
      </c>
      <c r="H1333" t="s">
        <v>535</v>
      </c>
      <c r="I1333">
        <v>86</v>
      </c>
      <c r="J1333">
        <v>32.299999999999997</v>
      </c>
      <c r="K1333" t="s">
        <v>257</v>
      </c>
      <c r="L1333" t="s">
        <v>257</v>
      </c>
      <c r="M1333" t="s">
        <v>258</v>
      </c>
      <c r="N1333" s="5">
        <v>0</v>
      </c>
    </row>
    <row r="1334" spans="1:14" x14ac:dyDescent="0.25">
      <c r="A1334" t="s">
        <v>1875</v>
      </c>
      <c r="B1334" t="s">
        <v>104</v>
      </c>
      <c r="C1334" t="str">
        <f>_xlfn.XLOOKUP(Table6[[#This Row],[app_id]],Table5[app_id],Table5[app_name],"",0)</f>
        <v>LiftPro</v>
      </c>
      <c r="D1334" t="str">
        <f>_xlfn.XLOOKUP(Table6[[#This Row],[app_id]],Table5[app_id],Table5[category],"",0)</f>
        <v>Fitness</v>
      </c>
      <c r="E1334" t="s">
        <v>537</v>
      </c>
      <c r="F1334" t="s">
        <v>538</v>
      </c>
      <c r="G1334" t="s">
        <v>61</v>
      </c>
      <c r="H1334" t="s">
        <v>535</v>
      </c>
      <c r="I1334">
        <v>18</v>
      </c>
      <c r="J1334">
        <v>35.5</v>
      </c>
      <c r="K1334" t="s">
        <v>258</v>
      </c>
      <c r="L1334" t="s">
        <v>258</v>
      </c>
      <c r="M1334" t="s">
        <v>258</v>
      </c>
      <c r="N1334" s="5">
        <v>0</v>
      </c>
    </row>
    <row r="1335" spans="1:14" x14ac:dyDescent="0.25">
      <c r="A1335" t="s">
        <v>1876</v>
      </c>
      <c r="B1335" t="s">
        <v>105</v>
      </c>
      <c r="C1335" t="str">
        <f>_xlfn.XLOOKUP(Table6[[#This Row],[app_id]],Table5[app_id],Table5[app_name],"",0)</f>
        <v>Liftly</v>
      </c>
      <c r="D1335" t="str">
        <f>_xlfn.XLOOKUP(Table6[[#This Row],[app_id]],Table5[app_id],Table5[category],"",0)</f>
        <v>Fitness</v>
      </c>
      <c r="E1335" t="s">
        <v>533</v>
      </c>
      <c r="F1335" t="s">
        <v>538</v>
      </c>
      <c r="G1335" t="s">
        <v>69</v>
      </c>
      <c r="H1335" t="s">
        <v>535</v>
      </c>
      <c r="I1335">
        <v>22</v>
      </c>
      <c r="J1335">
        <v>17.8</v>
      </c>
      <c r="K1335" t="s">
        <v>258</v>
      </c>
      <c r="L1335" t="s">
        <v>258</v>
      </c>
      <c r="M1335" t="s">
        <v>258</v>
      </c>
      <c r="N1335" s="5">
        <v>19.260000000000002</v>
      </c>
    </row>
    <row r="1336" spans="1:14" x14ac:dyDescent="0.25">
      <c r="A1336" t="s">
        <v>1877</v>
      </c>
      <c r="B1336" t="s">
        <v>107</v>
      </c>
      <c r="C1336" t="str">
        <f>_xlfn.XLOOKUP(Table6[[#This Row],[app_id]],Table5[app_id],Table5[app_name],"",0)</f>
        <v>YogaHub</v>
      </c>
      <c r="D1336" t="str">
        <f>_xlfn.XLOOKUP(Table6[[#This Row],[app_id]],Table5[app_id],Table5[category],"",0)</f>
        <v>Fitness</v>
      </c>
      <c r="E1336" t="s">
        <v>557</v>
      </c>
      <c r="F1336" t="s">
        <v>538</v>
      </c>
      <c r="G1336" t="s">
        <v>23</v>
      </c>
      <c r="H1336" t="s">
        <v>535</v>
      </c>
      <c r="I1336">
        <v>20</v>
      </c>
      <c r="J1336">
        <v>9.5</v>
      </c>
      <c r="K1336" t="s">
        <v>258</v>
      </c>
      <c r="L1336" t="s">
        <v>258</v>
      </c>
      <c r="M1336" t="s">
        <v>258</v>
      </c>
      <c r="N1336" s="5">
        <v>0</v>
      </c>
    </row>
    <row r="1337" spans="1:14" x14ac:dyDescent="0.25">
      <c r="A1337" t="s">
        <v>1878</v>
      </c>
      <c r="B1337" t="s">
        <v>109</v>
      </c>
      <c r="C1337" t="str">
        <f>_xlfn.XLOOKUP(Table6[[#This Row],[app_id]],Table5[app_id],Table5[app_name],"",0)</f>
        <v>MoveGo</v>
      </c>
      <c r="D1337" t="str">
        <f>_xlfn.XLOOKUP(Table6[[#This Row],[app_id]],Table5[app_id],Table5[category],"",0)</f>
        <v>Fitness</v>
      </c>
      <c r="E1337" t="s">
        <v>533</v>
      </c>
      <c r="F1337" t="s">
        <v>534</v>
      </c>
      <c r="G1337" t="s">
        <v>26</v>
      </c>
      <c r="H1337" t="s">
        <v>535</v>
      </c>
      <c r="I1337">
        <v>15</v>
      </c>
      <c r="J1337">
        <v>10.4</v>
      </c>
      <c r="K1337" t="s">
        <v>258</v>
      </c>
      <c r="L1337" t="s">
        <v>257</v>
      </c>
      <c r="M1337" t="s">
        <v>258</v>
      </c>
      <c r="N1337" s="5">
        <v>0</v>
      </c>
    </row>
    <row r="1338" spans="1:14" x14ac:dyDescent="0.25">
      <c r="A1338" t="s">
        <v>1879</v>
      </c>
      <c r="B1338" t="s">
        <v>111</v>
      </c>
      <c r="C1338" t="str">
        <f>_xlfn.XLOOKUP(Table6[[#This Row],[app_id]],Table5[app_id],Table5[app_name],"",0)</f>
        <v>BrightNow</v>
      </c>
      <c r="D1338" t="str">
        <f>_xlfn.XLOOKUP(Table6[[#This Row],[app_id]],Table5[app_id],Table5[category],"",0)</f>
        <v>Education</v>
      </c>
      <c r="E1338" t="s">
        <v>557</v>
      </c>
      <c r="F1338" t="s">
        <v>538</v>
      </c>
      <c r="G1338" t="s">
        <v>61</v>
      </c>
      <c r="H1338" t="s">
        <v>535</v>
      </c>
      <c r="I1338">
        <v>7</v>
      </c>
      <c r="J1338">
        <v>19.899999999999999</v>
      </c>
      <c r="K1338" t="s">
        <v>258</v>
      </c>
      <c r="L1338" t="s">
        <v>257</v>
      </c>
      <c r="M1338" t="s">
        <v>258</v>
      </c>
      <c r="N1338" s="5">
        <v>0</v>
      </c>
    </row>
    <row r="1339" spans="1:14" x14ac:dyDescent="0.25">
      <c r="A1339" t="s">
        <v>1880</v>
      </c>
      <c r="B1339" t="s">
        <v>114</v>
      </c>
      <c r="C1339" t="str">
        <f>_xlfn.XLOOKUP(Table6[[#This Row],[app_id]],Table5[app_id],Table5[app_name],"",0)</f>
        <v>StudyCloud</v>
      </c>
      <c r="D1339" t="str">
        <f>_xlfn.XLOOKUP(Table6[[#This Row],[app_id]],Table5[app_id],Table5[category],"",0)</f>
        <v>Education</v>
      </c>
      <c r="E1339" t="s">
        <v>557</v>
      </c>
      <c r="F1339" t="s">
        <v>538</v>
      </c>
      <c r="G1339" t="s">
        <v>18</v>
      </c>
      <c r="H1339" t="s">
        <v>535</v>
      </c>
      <c r="I1339">
        <v>23</v>
      </c>
      <c r="J1339">
        <v>20.5</v>
      </c>
      <c r="K1339" t="s">
        <v>258</v>
      </c>
      <c r="L1339" t="s">
        <v>257</v>
      </c>
      <c r="M1339" t="s">
        <v>258</v>
      </c>
      <c r="N1339" s="5">
        <v>26.53</v>
      </c>
    </row>
    <row r="1340" spans="1:14" x14ac:dyDescent="0.25">
      <c r="A1340" t="s">
        <v>1881</v>
      </c>
      <c r="B1340" t="s">
        <v>116</v>
      </c>
      <c r="C1340" t="str">
        <f>_xlfn.XLOOKUP(Table6[[#This Row],[app_id]],Table5[app_id],Table5[app_name],"",0)</f>
        <v>SkillNow</v>
      </c>
      <c r="D1340" t="str">
        <f>_xlfn.XLOOKUP(Table6[[#This Row],[app_id]],Table5[app_id],Table5[category],"",0)</f>
        <v>Education</v>
      </c>
      <c r="E1340" t="s">
        <v>533</v>
      </c>
      <c r="F1340" t="s">
        <v>538</v>
      </c>
      <c r="G1340" t="s">
        <v>35</v>
      </c>
      <c r="H1340" t="s">
        <v>535</v>
      </c>
      <c r="I1340">
        <v>15</v>
      </c>
      <c r="J1340">
        <v>15.5</v>
      </c>
      <c r="K1340" t="s">
        <v>258</v>
      </c>
      <c r="L1340" t="s">
        <v>257</v>
      </c>
      <c r="M1340" t="s">
        <v>258</v>
      </c>
      <c r="N1340" s="5">
        <v>0</v>
      </c>
    </row>
    <row r="1341" spans="1:14" x14ac:dyDescent="0.25">
      <c r="A1341" t="s">
        <v>1882</v>
      </c>
      <c r="B1341" t="s">
        <v>118</v>
      </c>
      <c r="C1341" t="str">
        <f>_xlfn.XLOOKUP(Table6[[#This Row],[app_id]],Table5[app_id],Table5[app_name],"",0)</f>
        <v>LearnMate</v>
      </c>
      <c r="D1341" t="str">
        <f>_xlfn.XLOOKUP(Table6[[#This Row],[app_id]],Table5[app_id],Table5[category],"",0)</f>
        <v>Education</v>
      </c>
      <c r="E1341" t="s">
        <v>546</v>
      </c>
      <c r="F1341" t="s">
        <v>548</v>
      </c>
      <c r="G1341" t="s">
        <v>23</v>
      </c>
      <c r="H1341" t="s">
        <v>535</v>
      </c>
      <c r="I1341">
        <v>15</v>
      </c>
      <c r="J1341">
        <v>8.4</v>
      </c>
      <c r="K1341" t="s">
        <v>257</v>
      </c>
      <c r="L1341" t="s">
        <v>257</v>
      </c>
      <c r="M1341" t="s">
        <v>258</v>
      </c>
      <c r="N1341" s="5">
        <v>0</v>
      </c>
    </row>
    <row r="1342" spans="1:14" x14ac:dyDescent="0.25">
      <c r="A1342" t="s">
        <v>1883</v>
      </c>
      <c r="B1342" t="s">
        <v>120</v>
      </c>
      <c r="C1342" t="str">
        <f>_xlfn.XLOOKUP(Table6[[#This Row],[app_id]],Table5[app_id],Table5[app_name],"",0)</f>
        <v>QuestNow</v>
      </c>
      <c r="D1342" t="str">
        <f>_xlfn.XLOOKUP(Table6[[#This Row],[app_id]],Table5[app_id],Table5[category],"",0)</f>
        <v>Education</v>
      </c>
      <c r="E1342" t="s">
        <v>533</v>
      </c>
      <c r="F1342" t="s">
        <v>534</v>
      </c>
      <c r="G1342" t="s">
        <v>35</v>
      </c>
      <c r="H1342" t="s">
        <v>535</v>
      </c>
      <c r="I1342">
        <v>27</v>
      </c>
      <c r="J1342">
        <v>8.3000000000000007</v>
      </c>
      <c r="K1342" t="s">
        <v>257</v>
      </c>
      <c r="L1342" t="s">
        <v>257</v>
      </c>
      <c r="M1342" t="s">
        <v>258</v>
      </c>
      <c r="N1342" s="5">
        <v>0</v>
      </c>
    </row>
    <row r="1343" spans="1:14" x14ac:dyDescent="0.25">
      <c r="A1343" t="s">
        <v>1884</v>
      </c>
      <c r="B1343" t="s">
        <v>122</v>
      </c>
      <c r="C1343" t="str">
        <f>_xlfn.XLOOKUP(Table6[[#This Row],[app_id]],Table5[app_id],Table5[app_name],"",0)</f>
        <v>SkillHub</v>
      </c>
      <c r="D1343" t="str">
        <f>_xlfn.XLOOKUP(Table6[[#This Row],[app_id]],Table5[app_id],Table5[category],"",0)</f>
        <v>Education</v>
      </c>
      <c r="E1343" t="s">
        <v>546</v>
      </c>
      <c r="F1343" t="s">
        <v>534</v>
      </c>
      <c r="G1343" t="s">
        <v>35</v>
      </c>
      <c r="H1343" t="s">
        <v>535</v>
      </c>
      <c r="I1343">
        <v>9</v>
      </c>
      <c r="J1343">
        <v>29.6</v>
      </c>
      <c r="K1343" t="s">
        <v>258</v>
      </c>
      <c r="L1343" t="s">
        <v>258</v>
      </c>
      <c r="M1343" t="s">
        <v>257</v>
      </c>
      <c r="N1343" s="5">
        <v>2.2799999999999998</v>
      </c>
    </row>
    <row r="1344" spans="1:14" x14ac:dyDescent="0.25">
      <c r="A1344" t="s">
        <v>1885</v>
      </c>
      <c r="B1344" t="s">
        <v>124</v>
      </c>
      <c r="C1344" t="str">
        <f>_xlfn.XLOOKUP(Table6[[#This Row],[app_id]],Table5[app_id],Table5[app_name],"",0)</f>
        <v>TutorCloud</v>
      </c>
      <c r="D1344" t="str">
        <f>_xlfn.XLOOKUP(Table6[[#This Row],[app_id]],Table5[app_id],Table5[category],"",0)</f>
        <v>Education</v>
      </c>
      <c r="E1344" t="s">
        <v>533</v>
      </c>
      <c r="F1344" t="s">
        <v>534</v>
      </c>
      <c r="G1344" t="s">
        <v>30</v>
      </c>
      <c r="H1344" t="s">
        <v>535</v>
      </c>
      <c r="I1344">
        <v>36</v>
      </c>
      <c r="J1344">
        <v>37.200000000000003</v>
      </c>
      <c r="K1344" t="s">
        <v>257</v>
      </c>
      <c r="L1344" t="s">
        <v>258</v>
      </c>
      <c r="M1344" t="s">
        <v>257</v>
      </c>
      <c r="N1344" s="5">
        <v>46.84</v>
      </c>
    </row>
    <row r="1345" spans="1:14" x14ac:dyDescent="0.25">
      <c r="A1345" t="s">
        <v>1886</v>
      </c>
      <c r="B1345" t="s">
        <v>126</v>
      </c>
      <c r="C1345" t="str">
        <f>_xlfn.XLOOKUP(Table6[[#This Row],[app_id]],Table5[app_id],Table5[app_name],"",0)</f>
        <v>SkillOne</v>
      </c>
      <c r="D1345" t="str">
        <f>_xlfn.XLOOKUP(Table6[[#This Row],[app_id]],Table5[app_id],Table5[category],"",0)</f>
        <v>Education</v>
      </c>
      <c r="E1345" t="s">
        <v>533</v>
      </c>
      <c r="F1345" t="s">
        <v>538</v>
      </c>
      <c r="G1345" t="s">
        <v>30</v>
      </c>
      <c r="H1345" t="s">
        <v>535</v>
      </c>
      <c r="I1345">
        <v>12</v>
      </c>
      <c r="J1345">
        <v>20.8</v>
      </c>
      <c r="K1345" t="s">
        <v>258</v>
      </c>
      <c r="L1345" t="s">
        <v>257</v>
      </c>
      <c r="M1345" t="s">
        <v>258</v>
      </c>
      <c r="N1345" s="5">
        <v>0</v>
      </c>
    </row>
    <row r="1346" spans="1:14" x14ac:dyDescent="0.25">
      <c r="A1346" t="s">
        <v>1887</v>
      </c>
      <c r="B1346" t="s">
        <v>128</v>
      </c>
      <c r="C1346" t="str">
        <f>_xlfn.XLOOKUP(Table6[[#This Row],[app_id]],Table5[app_id],Table5[app_name],"",0)</f>
        <v>LearnOne</v>
      </c>
      <c r="D1346" t="str">
        <f>_xlfn.XLOOKUP(Table6[[#This Row],[app_id]],Table5[app_id],Table5[category],"",0)</f>
        <v>Education</v>
      </c>
      <c r="E1346" t="s">
        <v>546</v>
      </c>
      <c r="F1346" t="s">
        <v>534</v>
      </c>
      <c r="G1346" t="s">
        <v>30</v>
      </c>
      <c r="H1346" t="s">
        <v>535</v>
      </c>
      <c r="I1346">
        <v>10</v>
      </c>
      <c r="J1346">
        <v>39.6</v>
      </c>
      <c r="K1346" t="s">
        <v>258</v>
      </c>
      <c r="L1346" t="s">
        <v>258</v>
      </c>
      <c r="M1346" t="s">
        <v>257</v>
      </c>
      <c r="N1346" s="5">
        <v>0</v>
      </c>
    </row>
    <row r="1347" spans="1:14" x14ac:dyDescent="0.25">
      <c r="A1347" t="s">
        <v>1888</v>
      </c>
      <c r="B1347" t="s">
        <v>130</v>
      </c>
      <c r="C1347" t="str">
        <f>_xlfn.XLOOKUP(Table6[[#This Row],[app_id]],Table5[app_id],Table5[app_name],"",0)</f>
        <v>LearnPlus</v>
      </c>
      <c r="D1347" t="str">
        <f>_xlfn.XLOOKUP(Table6[[#This Row],[app_id]],Table5[app_id],Table5[category],"",0)</f>
        <v>Education</v>
      </c>
      <c r="E1347" t="s">
        <v>533</v>
      </c>
      <c r="F1347" t="s">
        <v>538</v>
      </c>
      <c r="G1347" t="s">
        <v>30</v>
      </c>
      <c r="H1347" t="s">
        <v>540</v>
      </c>
      <c r="I1347">
        <v>21</v>
      </c>
      <c r="J1347">
        <v>36.700000000000003</v>
      </c>
      <c r="K1347" t="s">
        <v>257</v>
      </c>
      <c r="L1347" t="s">
        <v>258</v>
      </c>
      <c r="M1347" t="s">
        <v>258</v>
      </c>
      <c r="N1347" s="5">
        <v>0</v>
      </c>
    </row>
    <row r="1348" spans="1:14" x14ac:dyDescent="0.25">
      <c r="A1348" t="s">
        <v>1889</v>
      </c>
      <c r="B1348" t="s">
        <v>132</v>
      </c>
      <c r="C1348" t="str">
        <f>_xlfn.XLOOKUP(Table6[[#This Row],[app_id]],Table5[app_id],Table5[app_name],"",0)</f>
        <v>StudyPlus</v>
      </c>
      <c r="D1348" t="str">
        <f>_xlfn.XLOOKUP(Table6[[#This Row],[app_id]],Table5[app_id],Table5[category],"",0)</f>
        <v>Education</v>
      </c>
      <c r="E1348" t="s">
        <v>533</v>
      </c>
      <c r="F1348" t="s">
        <v>538</v>
      </c>
      <c r="G1348" t="s">
        <v>61</v>
      </c>
      <c r="H1348" t="s">
        <v>535</v>
      </c>
      <c r="I1348">
        <v>18</v>
      </c>
      <c r="J1348">
        <v>10.5</v>
      </c>
      <c r="K1348" t="s">
        <v>258</v>
      </c>
      <c r="L1348" t="s">
        <v>258</v>
      </c>
      <c r="M1348" t="s">
        <v>258</v>
      </c>
      <c r="N1348" s="5">
        <v>0</v>
      </c>
    </row>
    <row r="1349" spans="1:14" x14ac:dyDescent="0.25">
      <c r="A1349" t="s">
        <v>1890</v>
      </c>
      <c r="B1349" t="s">
        <v>134</v>
      </c>
      <c r="C1349" t="str">
        <f>_xlfn.XLOOKUP(Table6[[#This Row],[app_id]],Table5[app_id],Table5[app_name],"",0)</f>
        <v>StudyX</v>
      </c>
      <c r="D1349" t="str">
        <f>_xlfn.XLOOKUP(Table6[[#This Row],[app_id]],Table5[app_id],Table5[category],"",0)</f>
        <v>Education</v>
      </c>
      <c r="E1349" t="s">
        <v>533</v>
      </c>
      <c r="F1349" t="s">
        <v>538</v>
      </c>
      <c r="G1349" t="s">
        <v>69</v>
      </c>
      <c r="H1349" t="s">
        <v>535</v>
      </c>
      <c r="I1349">
        <v>12</v>
      </c>
      <c r="J1349">
        <v>30.6</v>
      </c>
      <c r="K1349" t="s">
        <v>258</v>
      </c>
      <c r="L1349" t="s">
        <v>258</v>
      </c>
      <c r="M1349" t="s">
        <v>258</v>
      </c>
      <c r="N1349" s="5">
        <v>50.67</v>
      </c>
    </row>
    <row r="1350" spans="1:14" x14ac:dyDescent="0.25">
      <c r="A1350" t="s">
        <v>1891</v>
      </c>
      <c r="B1350" t="s">
        <v>136</v>
      </c>
      <c r="C1350" t="str">
        <f>_xlfn.XLOOKUP(Table6[[#This Row],[app_id]],Table5[app_id],Table5[app_name],"",0)</f>
        <v>PlayPlus</v>
      </c>
      <c r="D1350" t="str">
        <f>_xlfn.XLOOKUP(Table6[[#This Row],[app_id]],Table5[app_id],Table5[category],"",0)</f>
        <v>Entertainment</v>
      </c>
      <c r="E1350" t="s">
        <v>546</v>
      </c>
      <c r="F1350" t="s">
        <v>534</v>
      </c>
      <c r="G1350" t="s">
        <v>69</v>
      </c>
      <c r="H1350" t="s">
        <v>535</v>
      </c>
      <c r="I1350">
        <v>70</v>
      </c>
      <c r="J1350">
        <v>40.299999999999997</v>
      </c>
      <c r="K1350" t="s">
        <v>257</v>
      </c>
      <c r="L1350" t="s">
        <v>257</v>
      </c>
      <c r="M1350" t="s">
        <v>258</v>
      </c>
      <c r="N1350" s="5">
        <v>0</v>
      </c>
    </row>
    <row r="1351" spans="1:14" x14ac:dyDescent="0.25">
      <c r="A1351" t="s">
        <v>1892</v>
      </c>
      <c r="B1351" t="s">
        <v>139</v>
      </c>
      <c r="C1351" t="str">
        <f>_xlfn.XLOOKUP(Table6[[#This Row],[app_id]],Table5[app_id],Table5[app_name],"",0)</f>
        <v>ShowMate</v>
      </c>
      <c r="D1351" t="str">
        <f>_xlfn.XLOOKUP(Table6[[#This Row],[app_id]],Table5[app_id],Table5[category],"",0)</f>
        <v>Entertainment</v>
      </c>
      <c r="E1351" t="s">
        <v>537</v>
      </c>
      <c r="F1351" t="s">
        <v>534</v>
      </c>
      <c r="G1351" t="s">
        <v>35</v>
      </c>
      <c r="H1351" t="s">
        <v>535</v>
      </c>
      <c r="I1351">
        <v>7</v>
      </c>
      <c r="J1351">
        <v>31.2</v>
      </c>
      <c r="K1351" t="s">
        <v>258</v>
      </c>
      <c r="L1351" t="s">
        <v>258</v>
      </c>
      <c r="M1351" t="s">
        <v>258</v>
      </c>
      <c r="N1351" s="5">
        <v>0</v>
      </c>
    </row>
    <row r="1352" spans="1:14" x14ac:dyDescent="0.25">
      <c r="A1352" t="s">
        <v>1893</v>
      </c>
      <c r="B1352" t="s">
        <v>141</v>
      </c>
      <c r="C1352" t="str">
        <f>_xlfn.XLOOKUP(Table6[[#This Row],[app_id]],Table5[app_id],Table5[app_name],"",0)</f>
        <v>VibeX</v>
      </c>
      <c r="D1352" t="str">
        <f>_xlfn.XLOOKUP(Table6[[#This Row],[app_id]],Table5[app_id],Table5[category],"",0)</f>
        <v>Entertainment</v>
      </c>
      <c r="E1352" t="s">
        <v>546</v>
      </c>
      <c r="F1352" t="s">
        <v>538</v>
      </c>
      <c r="G1352" t="s">
        <v>35</v>
      </c>
      <c r="H1352" t="s">
        <v>535</v>
      </c>
      <c r="I1352">
        <v>17</v>
      </c>
      <c r="J1352">
        <v>28.1</v>
      </c>
      <c r="K1352" t="s">
        <v>258</v>
      </c>
      <c r="L1352" t="s">
        <v>258</v>
      </c>
      <c r="M1352" t="s">
        <v>258</v>
      </c>
      <c r="N1352" s="5">
        <v>32.75</v>
      </c>
    </row>
    <row r="1353" spans="1:14" x14ac:dyDescent="0.25">
      <c r="A1353" t="s">
        <v>1894</v>
      </c>
      <c r="B1353" t="s">
        <v>143</v>
      </c>
      <c r="C1353" t="str">
        <f>_xlfn.XLOOKUP(Table6[[#This Row],[app_id]],Table5[app_id],Table5[app_name],"",0)</f>
        <v>BuzzNow</v>
      </c>
      <c r="D1353" t="str">
        <f>_xlfn.XLOOKUP(Table6[[#This Row],[app_id]],Table5[app_id],Table5[category],"",0)</f>
        <v>Entertainment</v>
      </c>
      <c r="E1353" t="s">
        <v>546</v>
      </c>
      <c r="F1353" t="s">
        <v>548</v>
      </c>
      <c r="G1353" t="s">
        <v>18</v>
      </c>
      <c r="H1353" t="s">
        <v>535</v>
      </c>
      <c r="I1353">
        <v>30</v>
      </c>
      <c r="J1353">
        <v>35.799999999999997</v>
      </c>
      <c r="K1353" t="s">
        <v>257</v>
      </c>
      <c r="L1353" t="s">
        <v>257</v>
      </c>
      <c r="M1353" t="s">
        <v>258</v>
      </c>
      <c r="N1353" s="5">
        <v>0</v>
      </c>
    </row>
    <row r="1354" spans="1:14" x14ac:dyDescent="0.25">
      <c r="A1354" t="s">
        <v>1895</v>
      </c>
      <c r="B1354" t="s">
        <v>145</v>
      </c>
      <c r="C1354" t="str">
        <f>_xlfn.XLOOKUP(Table6[[#This Row],[app_id]],Table5[app_id],Table5[app_name],"",0)</f>
        <v>StreamPlus</v>
      </c>
      <c r="D1354" t="str">
        <f>_xlfn.XLOOKUP(Table6[[#This Row],[app_id]],Table5[app_id],Table5[category],"",0)</f>
        <v>Entertainment</v>
      </c>
      <c r="E1354" t="s">
        <v>546</v>
      </c>
      <c r="F1354" t="s">
        <v>534</v>
      </c>
      <c r="G1354" t="s">
        <v>18</v>
      </c>
      <c r="H1354" t="s">
        <v>535</v>
      </c>
      <c r="I1354">
        <v>24</v>
      </c>
      <c r="J1354">
        <v>9.9</v>
      </c>
      <c r="K1354" t="s">
        <v>258</v>
      </c>
      <c r="L1354" t="s">
        <v>258</v>
      </c>
      <c r="M1354" t="s">
        <v>258</v>
      </c>
      <c r="N1354" s="5">
        <v>18.63</v>
      </c>
    </row>
    <row r="1355" spans="1:14" x14ac:dyDescent="0.25">
      <c r="A1355" t="s">
        <v>1896</v>
      </c>
      <c r="B1355" t="s">
        <v>147</v>
      </c>
      <c r="C1355" t="str">
        <f>_xlfn.XLOOKUP(Table6[[#This Row],[app_id]],Table5[app_id],Table5[app_name],"",0)</f>
        <v>Showly</v>
      </c>
      <c r="D1355" t="str">
        <f>_xlfn.XLOOKUP(Table6[[#This Row],[app_id]],Table5[app_id],Table5[category],"",0)</f>
        <v>Entertainment</v>
      </c>
      <c r="E1355" t="s">
        <v>546</v>
      </c>
      <c r="F1355" t="s">
        <v>534</v>
      </c>
      <c r="G1355" t="s">
        <v>35</v>
      </c>
      <c r="H1355" t="s">
        <v>540</v>
      </c>
      <c r="I1355">
        <v>38</v>
      </c>
      <c r="J1355">
        <v>29.1</v>
      </c>
      <c r="K1355" t="s">
        <v>257</v>
      </c>
      <c r="L1355" t="s">
        <v>257</v>
      </c>
      <c r="M1355" t="s">
        <v>257</v>
      </c>
      <c r="N1355" s="5">
        <v>6.52</v>
      </c>
    </row>
    <row r="1356" spans="1:14" x14ac:dyDescent="0.25">
      <c r="A1356" t="s">
        <v>1897</v>
      </c>
      <c r="B1356" t="s">
        <v>149</v>
      </c>
      <c r="C1356" t="str">
        <f>_xlfn.XLOOKUP(Table6[[#This Row],[app_id]],Table5[app_id],Table5[app_name],"",0)</f>
        <v>BuzzOne</v>
      </c>
      <c r="D1356" t="str">
        <f>_xlfn.XLOOKUP(Table6[[#This Row],[app_id]],Table5[app_id],Table5[category],"",0)</f>
        <v>Entertainment</v>
      </c>
      <c r="E1356" t="s">
        <v>533</v>
      </c>
      <c r="F1356" t="s">
        <v>534</v>
      </c>
      <c r="G1356" t="s">
        <v>26</v>
      </c>
      <c r="H1356" t="s">
        <v>535</v>
      </c>
      <c r="I1356">
        <v>26</v>
      </c>
      <c r="J1356">
        <v>41.1</v>
      </c>
      <c r="K1356" t="s">
        <v>258</v>
      </c>
      <c r="L1356" t="s">
        <v>257</v>
      </c>
      <c r="M1356" t="s">
        <v>258</v>
      </c>
      <c r="N1356" s="5">
        <v>0</v>
      </c>
    </row>
    <row r="1357" spans="1:14" x14ac:dyDescent="0.25">
      <c r="A1357" t="s">
        <v>1898</v>
      </c>
      <c r="B1357" t="s">
        <v>151</v>
      </c>
      <c r="C1357" t="str">
        <f>_xlfn.XLOOKUP(Table6[[#This Row],[app_id]],Table5[app_id],Table5[app_name],"",0)</f>
        <v>PlayHub</v>
      </c>
      <c r="D1357" t="str">
        <f>_xlfn.XLOOKUP(Table6[[#This Row],[app_id]],Table5[app_id],Table5[category],"",0)</f>
        <v>Entertainment</v>
      </c>
      <c r="E1357" t="s">
        <v>533</v>
      </c>
      <c r="F1357" t="s">
        <v>534</v>
      </c>
      <c r="G1357" t="s">
        <v>61</v>
      </c>
      <c r="H1357" t="s">
        <v>535</v>
      </c>
      <c r="I1357">
        <v>20</v>
      </c>
      <c r="J1357">
        <v>33.5</v>
      </c>
      <c r="K1357" t="s">
        <v>258</v>
      </c>
      <c r="L1357" t="s">
        <v>258</v>
      </c>
      <c r="M1357" t="s">
        <v>257</v>
      </c>
      <c r="N1357" s="5">
        <v>38.72</v>
      </c>
    </row>
    <row r="1358" spans="1:14" x14ac:dyDescent="0.25">
      <c r="A1358" t="s">
        <v>1899</v>
      </c>
      <c r="B1358" t="s">
        <v>153</v>
      </c>
      <c r="C1358" t="str">
        <f>_xlfn.XLOOKUP(Table6[[#This Row],[app_id]],Table5[app_id],Table5[app_name],"",0)</f>
        <v>CinemaGo</v>
      </c>
      <c r="D1358" t="str">
        <f>_xlfn.XLOOKUP(Table6[[#This Row],[app_id]],Table5[app_id],Table5[category],"",0)</f>
        <v>Entertainment</v>
      </c>
      <c r="E1358" t="s">
        <v>557</v>
      </c>
      <c r="F1358" t="s">
        <v>534</v>
      </c>
      <c r="G1358" t="s">
        <v>61</v>
      </c>
      <c r="H1358" t="s">
        <v>535</v>
      </c>
      <c r="I1358">
        <v>69</v>
      </c>
      <c r="J1358">
        <v>37.799999999999997</v>
      </c>
      <c r="K1358" t="s">
        <v>257</v>
      </c>
      <c r="L1358" t="s">
        <v>257</v>
      </c>
      <c r="M1358" t="s">
        <v>257</v>
      </c>
      <c r="N1358" s="5">
        <v>4.1500000000000004</v>
      </c>
    </row>
    <row r="1359" spans="1:14" x14ac:dyDescent="0.25">
      <c r="A1359" t="s">
        <v>1900</v>
      </c>
      <c r="B1359" t="s">
        <v>155</v>
      </c>
      <c r="C1359" t="str">
        <f>_xlfn.XLOOKUP(Table6[[#This Row],[app_id]],Table5[app_id],Table5[app_name],"",0)</f>
        <v>LaughX</v>
      </c>
      <c r="D1359" t="str">
        <f>_xlfn.XLOOKUP(Table6[[#This Row],[app_id]],Table5[app_id],Table5[category],"",0)</f>
        <v>Entertainment</v>
      </c>
      <c r="E1359" t="s">
        <v>533</v>
      </c>
      <c r="F1359" t="s">
        <v>538</v>
      </c>
      <c r="G1359" t="s">
        <v>35</v>
      </c>
      <c r="H1359" t="s">
        <v>535</v>
      </c>
      <c r="I1359">
        <v>41</v>
      </c>
      <c r="J1359">
        <v>28.8</v>
      </c>
      <c r="K1359" t="s">
        <v>257</v>
      </c>
      <c r="L1359" t="s">
        <v>258</v>
      </c>
      <c r="M1359" t="s">
        <v>257</v>
      </c>
      <c r="N1359" s="5">
        <v>0</v>
      </c>
    </row>
    <row r="1360" spans="1:14" x14ac:dyDescent="0.25">
      <c r="A1360" t="s">
        <v>1901</v>
      </c>
      <c r="B1360" t="s">
        <v>157</v>
      </c>
      <c r="C1360" t="str">
        <f>_xlfn.XLOOKUP(Table6[[#This Row],[app_id]],Table5[app_id],Table5[app_name],"",0)</f>
        <v>CinemaHub</v>
      </c>
      <c r="D1360" t="str">
        <f>_xlfn.XLOOKUP(Table6[[#This Row],[app_id]],Table5[app_id],Table5[category],"",0)</f>
        <v>Entertainment</v>
      </c>
      <c r="E1360" t="s">
        <v>546</v>
      </c>
      <c r="F1360" t="s">
        <v>548</v>
      </c>
      <c r="G1360" t="s">
        <v>18</v>
      </c>
      <c r="H1360" t="s">
        <v>535</v>
      </c>
      <c r="I1360">
        <v>87</v>
      </c>
      <c r="J1360">
        <v>26.3</v>
      </c>
      <c r="K1360" t="s">
        <v>257</v>
      </c>
      <c r="L1360" t="s">
        <v>258</v>
      </c>
      <c r="M1360" t="s">
        <v>258</v>
      </c>
      <c r="N1360" s="5">
        <v>0</v>
      </c>
    </row>
    <row r="1361" spans="1:14" x14ac:dyDescent="0.25">
      <c r="A1361" t="s">
        <v>1902</v>
      </c>
      <c r="B1361" t="s">
        <v>159</v>
      </c>
      <c r="C1361" t="str">
        <f>_xlfn.XLOOKUP(Table6[[#This Row],[app_id]],Table5[app_id],Table5[app_name],"",0)</f>
        <v>ShowPro</v>
      </c>
      <c r="D1361" t="str">
        <f>_xlfn.XLOOKUP(Table6[[#This Row],[app_id]],Table5[app_id],Table5[category],"",0)</f>
        <v>Entertainment</v>
      </c>
      <c r="E1361" t="s">
        <v>537</v>
      </c>
      <c r="F1361" t="s">
        <v>534</v>
      </c>
      <c r="G1361" t="s">
        <v>46</v>
      </c>
      <c r="H1361" t="s">
        <v>535</v>
      </c>
      <c r="I1361">
        <v>15</v>
      </c>
      <c r="J1361">
        <v>21.1</v>
      </c>
      <c r="K1361" t="s">
        <v>258</v>
      </c>
      <c r="L1361" t="s">
        <v>258</v>
      </c>
      <c r="M1361" t="s">
        <v>258</v>
      </c>
      <c r="N1361" s="5">
        <v>0</v>
      </c>
    </row>
    <row r="1362" spans="1:14" x14ac:dyDescent="0.25">
      <c r="A1362" t="s">
        <v>1903</v>
      </c>
      <c r="B1362" t="s">
        <v>161</v>
      </c>
      <c r="C1362" t="str">
        <f>_xlfn.XLOOKUP(Table6[[#This Row],[app_id]],Table5[app_id],Table5[app_name],"",0)</f>
        <v>FoodPlus</v>
      </c>
      <c r="D1362" t="str">
        <f>_xlfn.XLOOKUP(Table6[[#This Row],[app_id]],Table5[app_id],Table5[category],"",0)</f>
        <v>Food Delivery</v>
      </c>
      <c r="E1362" t="s">
        <v>537</v>
      </c>
      <c r="F1362" t="s">
        <v>538</v>
      </c>
      <c r="G1362" t="s">
        <v>69</v>
      </c>
      <c r="H1362" t="s">
        <v>535</v>
      </c>
      <c r="I1362">
        <v>6</v>
      </c>
      <c r="J1362">
        <v>22.5</v>
      </c>
      <c r="K1362" t="s">
        <v>258</v>
      </c>
      <c r="L1362" t="s">
        <v>258</v>
      </c>
      <c r="M1362" t="s">
        <v>258</v>
      </c>
      <c r="N1362" s="5">
        <v>0</v>
      </c>
    </row>
    <row r="1363" spans="1:14" x14ac:dyDescent="0.25">
      <c r="A1363" t="s">
        <v>1904</v>
      </c>
      <c r="B1363" t="s">
        <v>164</v>
      </c>
      <c r="C1363" t="str">
        <f>_xlfn.XLOOKUP(Table6[[#This Row],[app_id]],Table5[app_id],Table5[app_name],"",0)</f>
        <v>BiteGo</v>
      </c>
      <c r="D1363" t="str">
        <f>_xlfn.XLOOKUP(Table6[[#This Row],[app_id]],Table5[app_id],Table5[category],"",0)</f>
        <v>Food Delivery</v>
      </c>
      <c r="E1363" t="s">
        <v>537</v>
      </c>
      <c r="F1363" t="s">
        <v>538</v>
      </c>
      <c r="G1363" t="s">
        <v>46</v>
      </c>
      <c r="H1363" t="s">
        <v>535</v>
      </c>
      <c r="I1363">
        <v>16</v>
      </c>
      <c r="J1363">
        <v>8.6</v>
      </c>
      <c r="K1363" t="s">
        <v>258</v>
      </c>
      <c r="L1363" t="s">
        <v>257</v>
      </c>
      <c r="M1363" t="s">
        <v>258</v>
      </c>
      <c r="N1363" s="5">
        <v>0</v>
      </c>
    </row>
    <row r="1364" spans="1:14" x14ac:dyDescent="0.25">
      <c r="A1364" t="s">
        <v>1905</v>
      </c>
      <c r="B1364" t="s">
        <v>166</v>
      </c>
      <c r="C1364" t="str">
        <f>_xlfn.XLOOKUP(Table6[[#This Row],[app_id]],Table5[app_id],Table5[app_name],"",0)</f>
        <v>OrderCloud</v>
      </c>
      <c r="D1364" t="str">
        <f>_xlfn.XLOOKUP(Table6[[#This Row],[app_id]],Table5[app_id],Table5[category],"",0)</f>
        <v>Food Delivery</v>
      </c>
      <c r="E1364" t="s">
        <v>533</v>
      </c>
      <c r="F1364" t="s">
        <v>534</v>
      </c>
      <c r="G1364" t="s">
        <v>23</v>
      </c>
      <c r="H1364" t="s">
        <v>535</v>
      </c>
      <c r="I1364">
        <v>5</v>
      </c>
      <c r="J1364">
        <v>7.8</v>
      </c>
      <c r="K1364" t="s">
        <v>258</v>
      </c>
      <c r="L1364" t="s">
        <v>257</v>
      </c>
      <c r="M1364" t="s">
        <v>258</v>
      </c>
      <c r="N1364" s="5">
        <v>0</v>
      </c>
    </row>
    <row r="1365" spans="1:14" x14ac:dyDescent="0.25">
      <c r="A1365" t="s">
        <v>1906</v>
      </c>
      <c r="B1365" t="s">
        <v>168</v>
      </c>
      <c r="C1365" t="str">
        <f>_xlfn.XLOOKUP(Table6[[#This Row],[app_id]],Table5[app_id],Table5[app_name],"",0)</f>
        <v>DinePlus</v>
      </c>
      <c r="D1365" t="str">
        <f>_xlfn.XLOOKUP(Table6[[#This Row],[app_id]],Table5[app_id],Table5[category],"",0)</f>
        <v>Food Delivery</v>
      </c>
      <c r="E1365" t="s">
        <v>557</v>
      </c>
      <c r="F1365" t="s">
        <v>548</v>
      </c>
      <c r="G1365" t="s">
        <v>46</v>
      </c>
      <c r="H1365" t="s">
        <v>535</v>
      </c>
      <c r="I1365">
        <v>43</v>
      </c>
      <c r="J1365">
        <v>22.8</v>
      </c>
      <c r="K1365" t="s">
        <v>257</v>
      </c>
      <c r="L1365" t="s">
        <v>258</v>
      </c>
      <c r="M1365" t="s">
        <v>257</v>
      </c>
      <c r="N1365" s="5">
        <v>35.78</v>
      </c>
    </row>
    <row r="1366" spans="1:14" x14ac:dyDescent="0.25">
      <c r="A1366" t="s">
        <v>1907</v>
      </c>
      <c r="B1366" t="s">
        <v>170</v>
      </c>
      <c r="C1366" t="str">
        <f>_xlfn.XLOOKUP(Table6[[#This Row],[app_id]],Table5[app_id],Table5[app_name],"",0)</f>
        <v>SnackX</v>
      </c>
      <c r="D1366" t="str">
        <f>_xlfn.XLOOKUP(Table6[[#This Row],[app_id]],Table5[app_id],Table5[category],"",0)</f>
        <v>Food Delivery</v>
      </c>
      <c r="E1366" t="s">
        <v>533</v>
      </c>
      <c r="F1366" t="s">
        <v>534</v>
      </c>
      <c r="G1366" t="s">
        <v>46</v>
      </c>
      <c r="H1366" t="s">
        <v>535</v>
      </c>
      <c r="I1366">
        <v>86</v>
      </c>
      <c r="J1366">
        <v>8.5</v>
      </c>
      <c r="K1366" t="s">
        <v>257</v>
      </c>
      <c r="L1366" t="s">
        <v>257</v>
      </c>
      <c r="M1366" t="s">
        <v>258</v>
      </c>
      <c r="N1366" s="5">
        <v>62.01</v>
      </c>
    </row>
    <row r="1367" spans="1:14" x14ac:dyDescent="0.25">
      <c r="A1367" t="s">
        <v>1908</v>
      </c>
      <c r="B1367" t="s">
        <v>172</v>
      </c>
      <c r="C1367" t="str">
        <f>_xlfn.XLOOKUP(Table6[[#This Row],[app_id]],Table5[app_id],Table5[app_name],"",0)</f>
        <v>FoodOne</v>
      </c>
      <c r="D1367" t="str">
        <f>_xlfn.XLOOKUP(Table6[[#This Row],[app_id]],Table5[app_id],Table5[category],"",0)</f>
        <v>Food Delivery</v>
      </c>
      <c r="E1367" t="s">
        <v>546</v>
      </c>
      <c r="F1367" t="s">
        <v>534</v>
      </c>
      <c r="G1367" t="s">
        <v>69</v>
      </c>
      <c r="H1367" t="s">
        <v>535</v>
      </c>
      <c r="I1367">
        <v>25</v>
      </c>
      <c r="J1367">
        <v>19.100000000000001</v>
      </c>
      <c r="K1367" t="s">
        <v>258</v>
      </c>
      <c r="L1367" t="s">
        <v>258</v>
      </c>
      <c r="M1367" t="s">
        <v>257</v>
      </c>
      <c r="N1367" s="5">
        <v>0</v>
      </c>
    </row>
    <row r="1368" spans="1:14" x14ac:dyDescent="0.25">
      <c r="A1368" t="s">
        <v>1909</v>
      </c>
      <c r="B1368" t="s">
        <v>174</v>
      </c>
      <c r="C1368" t="str">
        <f>_xlfn.XLOOKUP(Table6[[#This Row],[app_id]],Table5[app_id],Table5[app_name],"",0)</f>
        <v>MealMate</v>
      </c>
      <c r="D1368" t="str">
        <f>_xlfn.XLOOKUP(Table6[[#This Row],[app_id]],Table5[app_id],Table5[category],"",0)</f>
        <v>Food Delivery</v>
      </c>
      <c r="E1368" t="s">
        <v>557</v>
      </c>
      <c r="F1368" t="s">
        <v>534</v>
      </c>
      <c r="G1368" t="s">
        <v>46</v>
      </c>
      <c r="H1368" t="s">
        <v>535</v>
      </c>
      <c r="I1368">
        <v>22</v>
      </c>
      <c r="J1368">
        <v>12.1</v>
      </c>
      <c r="K1368" t="s">
        <v>258</v>
      </c>
      <c r="L1368" t="s">
        <v>257</v>
      </c>
      <c r="M1368" t="s">
        <v>257</v>
      </c>
      <c r="N1368" s="5">
        <v>8.92</v>
      </c>
    </row>
    <row r="1369" spans="1:14" x14ac:dyDescent="0.25">
      <c r="A1369" t="s">
        <v>1910</v>
      </c>
      <c r="B1369" t="s">
        <v>176</v>
      </c>
      <c r="C1369" t="str">
        <f>_xlfn.XLOOKUP(Table6[[#This Row],[app_id]],Table5[app_id],Table5[app_name],"",0)</f>
        <v>SnackHub</v>
      </c>
      <c r="D1369" t="str">
        <f>_xlfn.XLOOKUP(Table6[[#This Row],[app_id]],Table5[app_id],Table5[category],"",0)</f>
        <v>Food Delivery</v>
      </c>
      <c r="E1369" t="s">
        <v>533</v>
      </c>
      <c r="F1369" t="s">
        <v>538</v>
      </c>
      <c r="G1369" t="s">
        <v>23</v>
      </c>
      <c r="H1369" t="s">
        <v>535</v>
      </c>
      <c r="I1369">
        <v>1</v>
      </c>
      <c r="J1369">
        <v>17.8</v>
      </c>
      <c r="K1369" t="s">
        <v>258</v>
      </c>
      <c r="L1369" t="s">
        <v>257</v>
      </c>
      <c r="M1369" t="s">
        <v>258</v>
      </c>
      <c r="N1369" s="5">
        <v>0</v>
      </c>
    </row>
    <row r="1370" spans="1:14" x14ac:dyDescent="0.25">
      <c r="A1370" t="s">
        <v>1911</v>
      </c>
      <c r="B1370" t="s">
        <v>178</v>
      </c>
      <c r="C1370" t="str">
        <f>_xlfn.XLOOKUP(Table6[[#This Row],[app_id]],Table5[app_id],Table5[app_name],"",0)</f>
        <v>BiteCloud</v>
      </c>
      <c r="D1370" t="str">
        <f>_xlfn.XLOOKUP(Table6[[#This Row],[app_id]],Table5[app_id],Table5[category],"",0)</f>
        <v>Food Delivery</v>
      </c>
      <c r="E1370" t="s">
        <v>546</v>
      </c>
      <c r="F1370" t="s">
        <v>538</v>
      </c>
      <c r="G1370" t="s">
        <v>69</v>
      </c>
      <c r="H1370" t="s">
        <v>540</v>
      </c>
      <c r="I1370">
        <v>9</v>
      </c>
      <c r="J1370">
        <v>11.3</v>
      </c>
      <c r="K1370" t="s">
        <v>258</v>
      </c>
      <c r="L1370" t="s">
        <v>258</v>
      </c>
      <c r="M1370" t="s">
        <v>257</v>
      </c>
      <c r="N1370" s="5">
        <v>90.54</v>
      </c>
    </row>
    <row r="1371" spans="1:14" x14ac:dyDescent="0.25">
      <c r="A1371" t="s">
        <v>1912</v>
      </c>
      <c r="B1371" t="s">
        <v>180</v>
      </c>
      <c r="C1371" t="str">
        <f>_xlfn.XLOOKUP(Table6[[#This Row],[app_id]],Table5[app_id],Table5[app_name],"",0)</f>
        <v>PlatePlus</v>
      </c>
      <c r="D1371" t="str">
        <f>_xlfn.XLOOKUP(Table6[[#This Row],[app_id]],Table5[app_id],Table5[category],"",0)</f>
        <v>Food Delivery</v>
      </c>
      <c r="E1371" t="s">
        <v>533</v>
      </c>
      <c r="F1371" t="s">
        <v>534</v>
      </c>
      <c r="G1371" t="s">
        <v>26</v>
      </c>
      <c r="H1371" t="s">
        <v>535</v>
      </c>
      <c r="I1371">
        <v>27</v>
      </c>
      <c r="J1371">
        <v>10.6</v>
      </c>
      <c r="K1371" t="s">
        <v>258</v>
      </c>
      <c r="L1371" t="s">
        <v>257</v>
      </c>
      <c r="M1371" t="s">
        <v>258</v>
      </c>
      <c r="N1371" s="5">
        <v>0</v>
      </c>
    </row>
    <row r="1372" spans="1:14" x14ac:dyDescent="0.25">
      <c r="A1372" t="s">
        <v>1913</v>
      </c>
      <c r="B1372" t="s">
        <v>182</v>
      </c>
      <c r="C1372" t="str">
        <f>_xlfn.XLOOKUP(Table6[[#This Row],[app_id]],Table5[app_id],Table5[app_name],"",0)</f>
        <v>VoyageGo</v>
      </c>
      <c r="D1372" t="str">
        <f>_xlfn.XLOOKUP(Table6[[#This Row],[app_id]],Table5[app_id],Table5[category],"",0)</f>
        <v>Travel</v>
      </c>
      <c r="E1372" t="s">
        <v>552</v>
      </c>
      <c r="F1372" t="s">
        <v>538</v>
      </c>
      <c r="G1372" t="s">
        <v>18</v>
      </c>
      <c r="H1372" t="s">
        <v>535</v>
      </c>
      <c r="I1372">
        <v>7</v>
      </c>
      <c r="J1372">
        <v>12.6</v>
      </c>
      <c r="K1372" t="s">
        <v>258</v>
      </c>
      <c r="L1372" t="s">
        <v>257</v>
      </c>
      <c r="M1372" t="s">
        <v>258</v>
      </c>
      <c r="N1372" s="5">
        <v>0</v>
      </c>
    </row>
    <row r="1373" spans="1:14" x14ac:dyDescent="0.25">
      <c r="A1373" t="s">
        <v>1914</v>
      </c>
      <c r="B1373" t="s">
        <v>185</v>
      </c>
      <c r="C1373" t="str">
        <f>_xlfn.XLOOKUP(Table6[[#This Row],[app_id]],Table5[app_id],Table5[app_name],"",0)</f>
        <v>TripOne</v>
      </c>
      <c r="D1373" t="str">
        <f>_xlfn.XLOOKUP(Table6[[#This Row],[app_id]],Table5[app_id],Table5[category],"",0)</f>
        <v>Travel</v>
      </c>
      <c r="E1373" t="s">
        <v>533</v>
      </c>
      <c r="F1373" t="s">
        <v>534</v>
      </c>
      <c r="G1373" t="s">
        <v>61</v>
      </c>
      <c r="H1373" t="s">
        <v>535</v>
      </c>
      <c r="I1373">
        <v>2</v>
      </c>
      <c r="J1373">
        <v>6.3</v>
      </c>
      <c r="K1373" t="s">
        <v>258</v>
      </c>
      <c r="L1373" t="s">
        <v>257</v>
      </c>
      <c r="M1373" t="s">
        <v>258</v>
      </c>
      <c r="N1373" s="5">
        <v>0</v>
      </c>
    </row>
    <row r="1374" spans="1:14" x14ac:dyDescent="0.25">
      <c r="A1374" t="s">
        <v>1915</v>
      </c>
      <c r="B1374" t="s">
        <v>187</v>
      </c>
      <c r="C1374" t="str">
        <f>_xlfn.XLOOKUP(Table6[[#This Row],[app_id]],Table5[app_id],Table5[app_name],"",0)</f>
        <v>FlyGo</v>
      </c>
      <c r="D1374" t="str">
        <f>_xlfn.XLOOKUP(Table6[[#This Row],[app_id]],Table5[app_id],Table5[category],"",0)</f>
        <v>Travel</v>
      </c>
      <c r="E1374" t="s">
        <v>546</v>
      </c>
      <c r="F1374" t="s">
        <v>538</v>
      </c>
      <c r="G1374" t="s">
        <v>18</v>
      </c>
      <c r="H1374" t="s">
        <v>535</v>
      </c>
      <c r="I1374">
        <v>2</v>
      </c>
      <c r="J1374">
        <v>4.4000000000000004</v>
      </c>
      <c r="K1374" t="s">
        <v>258</v>
      </c>
      <c r="L1374" t="s">
        <v>257</v>
      </c>
      <c r="M1374" t="s">
        <v>258</v>
      </c>
      <c r="N1374" s="5">
        <v>0</v>
      </c>
    </row>
    <row r="1375" spans="1:14" x14ac:dyDescent="0.25">
      <c r="A1375" t="s">
        <v>1916</v>
      </c>
      <c r="B1375" t="s">
        <v>189</v>
      </c>
      <c r="C1375" t="str">
        <f>_xlfn.XLOOKUP(Table6[[#This Row],[app_id]],Table5[app_id],Table5[app_name],"",0)</f>
        <v>MapX</v>
      </c>
      <c r="D1375" t="str">
        <f>_xlfn.XLOOKUP(Table6[[#This Row],[app_id]],Table5[app_id],Table5[category],"",0)</f>
        <v>Travel</v>
      </c>
      <c r="E1375" t="s">
        <v>546</v>
      </c>
      <c r="F1375" t="s">
        <v>534</v>
      </c>
      <c r="G1375" t="s">
        <v>46</v>
      </c>
      <c r="H1375" t="s">
        <v>535</v>
      </c>
      <c r="I1375">
        <v>88</v>
      </c>
      <c r="J1375">
        <v>20.9</v>
      </c>
      <c r="K1375" t="s">
        <v>257</v>
      </c>
      <c r="L1375" t="s">
        <v>258</v>
      </c>
      <c r="M1375" t="s">
        <v>257</v>
      </c>
      <c r="N1375" s="5">
        <v>0</v>
      </c>
    </row>
    <row r="1376" spans="1:14" x14ac:dyDescent="0.25">
      <c r="A1376" t="s">
        <v>1917</v>
      </c>
      <c r="B1376" t="s">
        <v>191</v>
      </c>
      <c r="C1376" t="str">
        <f>_xlfn.XLOOKUP(Table6[[#This Row],[app_id]],Table5[app_id],Table5[app_name],"",0)</f>
        <v>StayX</v>
      </c>
      <c r="D1376" t="str">
        <f>_xlfn.XLOOKUP(Table6[[#This Row],[app_id]],Table5[app_id],Table5[category],"",0)</f>
        <v>Travel</v>
      </c>
      <c r="E1376" t="s">
        <v>537</v>
      </c>
      <c r="F1376" t="s">
        <v>538</v>
      </c>
      <c r="G1376" t="s">
        <v>69</v>
      </c>
      <c r="H1376" t="s">
        <v>535</v>
      </c>
      <c r="I1376">
        <v>86</v>
      </c>
      <c r="J1376">
        <v>8.5</v>
      </c>
      <c r="K1376" t="s">
        <v>257</v>
      </c>
      <c r="L1376" t="s">
        <v>257</v>
      </c>
      <c r="M1376" t="s">
        <v>258</v>
      </c>
      <c r="N1376" s="5">
        <v>0</v>
      </c>
    </row>
    <row r="1377" spans="1:14" x14ac:dyDescent="0.25">
      <c r="A1377" t="s">
        <v>1918</v>
      </c>
      <c r="B1377" t="s">
        <v>193</v>
      </c>
      <c r="C1377" t="str">
        <f>_xlfn.XLOOKUP(Table6[[#This Row],[app_id]],Table5[app_id],Table5[app_name],"",0)</f>
        <v>GoNow</v>
      </c>
      <c r="D1377" t="str">
        <f>_xlfn.XLOOKUP(Table6[[#This Row],[app_id]],Table5[app_id],Table5[category],"",0)</f>
        <v>Travel</v>
      </c>
      <c r="E1377" t="s">
        <v>552</v>
      </c>
      <c r="F1377" t="s">
        <v>534</v>
      </c>
      <c r="G1377" t="s">
        <v>26</v>
      </c>
      <c r="H1377" t="s">
        <v>535</v>
      </c>
      <c r="I1377">
        <v>13</v>
      </c>
      <c r="J1377">
        <v>12</v>
      </c>
      <c r="K1377" t="s">
        <v>258</v>
      </c>
      <c r="L1377" t="s">
        <v>258</v>
      </c>
      <c r="M1377" t="s">
        <v>257</v>
      </c>
      <c r="N1377" s="5">
        <v>94.97</v>
      </c>
    </row>
    <row r="1378" spans="1:14" x14ac:dyDescent="0.25">
      <c r="A1378" t="s">
        <v>1919</v>
      </c>
      <c r="B1378" t="s">
        <v>195</v>
      </c>
      <c r="C1378" t="str">
        <f>_xlfn.XLOOKUP(Table6[[#This Row],[app_id]],Table5[app_id],Table5[app_name],"",0)</f>
        <v>RouteGo</v>
      </c>
      <c r="D1378" t="str">
        <f>_xlfn.XLOOKUP(Table6[[#This Row],[app_id]],Table5[app_id],Table5[category],"",0)</f>
        <v>Travel</v>
      </c>
      <c r="E1378" t="s">
        <v>546</v>
      </c>
      <c r="F1378" t="s">
        <v>534</v>
      </c>
      <c r="G1378" t="s">
        <v>26</v>
      </c>
      <c r="H1378" t="s">
        <v>535</v>
      </c>
      <c r="I1378">
        <v>72</v>
      </c>
      <c r="J1378">
        <v>14.2</v>
      </c>
      <c r="K1378" t="s">
        <v>257</v>
      </c>
      <c r="L1378" t="s">
        <v>257</v>
      </c>
      <c r="M1378" t="s">
        <v>258</v>
      </c>
      <c r="N1378" s="5">
        <v>0</v>
      </c>
    </row>
    <row r="1379" spans="1:14" x14ac:dyDescent="0.25">
      <c r="A1379" t="s">
        <v>1920</v>
      </c>
      <c r="B1379" t="s">
        <v>197</v>
      </c>
      <c r="C1379" t="str">
        <f>_xlfn.XLOOKUP(Table6[[#This Row],[app_id]],Table5[app_id],Table5[app_name],"",0)</f>
        <v>TripGo</v>
      </c>
      <c r="D1379" t="str">
        <f>_xlfn.XLOOKUP(Table6[[#This Row],[app_id]],Table5[app_id],Table5[category],"",0)</f>
        <v>Travel</v>
      </c>
      <c r="E1379" t="s">
        <v>546</v>
      </c>
      <c r="F1379" t="s">
        <v>534</v>
      </c>
      <c r="G1379" t="s">
        <v>23</v>
      </c>
      <c r="H1379" t="s">
        <v>535</v>
      </c>
      <c r="I1379">
        <v>13</v>
      </c>
      <c r="J1379">
        <v>16.2</v>
      </c>
      <c r="K1379" t="s">
        <v>258</v>
      </c>
      <c r="L1379" t="s">
        <v>258</v>
      </c>
      <c r="M1379" t="s">
        <v>258</v>
      </c>
      <c r="N1379" s="5">
        <v>45.32</v>
      </c>
    </row>
    <row r="1380" spans="1:14" x14ac:dyDescent="0.25">
      <c r="A1380" t="s">
        <v>1921</v>
      </c>
      <c r="B1380" t="s">
        <v>199</v>
      </c>
      <c r="C1380" t="str">
        <f>_xlfn.XLOOKUP(Table6[[#This Row],[app_id]],Table5[app_id],Table5[app_name],"",0)</f>
        <v>Flyly</v>
      </c>
      <c r="D1380" t="str">
        <f>_xlfn.XLOOKUP(Table6[[#This Row],[app_id]],Table5[app_id],Table5[category],"",0)</f>
        <v>Travel</v>
      </c>
      <c r="E1380" t="s">
        <v>546</v>
      </c>
      <c r="F1380" t="s">
        <v>538</v>
      </c>
      <c r="G1380" t="s">
        <v>46</v>
      </c>
      <c r="H1380" t="s">
        <v>535</v>
      </c>
      <c r="I1380">
        <v>16</v>
      </c>
      <c r="J1380">
        <v>18.2</v>
      </c>
      <c r="K1380" t="s">
        <v>258</v>
      </c>
      <c r="L1380" t="s">
        <v>257</v>
      </c>
      <c r="M1380" t="s">
        <v>257</v>
      </c>
      <c r="N1380" s="5">
        <v>0</v>
      </c>
    </row>
    <row r="1381" spans="1:14" x14ac:dyDescent="0.25">
      <c r="A1381" t="s">
        <v>1922</v>
      </c>
      <c r="B1381" t="s">
        <v>201</v>
      </c>
      <c r="C1381" t="str">
        <f>_xlfn.XLOOKUP(Table6[[#This Row],[app_id]],Table5[app_id],Table5[app_name],"",0)</f>
        <v>TripPro</v>
      </c>
      <c r="D1381" t="str">
        <f>_xlfn.XLOOKUP(Table6[[#This Row],[app_id]],Table5[app_id],Table5[category],"",0)</f>
        <v>Travel</v>
      </c>
      <c r="E1381" t="s">
        <v>533</v>
      </c>
      <c r="F1381" t="s">
        <v>534</v>
      </c>
      <c r="G1381" t="s">
        <v>35</v>
      </c>
      <c r="H1381" t="s">
        <v>535</v>
      </c>
      <c r="I1381">
        <v>16</v>
      </c>
      <c r="J1381">
        <v>12.9</v>
      </c>
      <c r="K1381" t="s">
        <v>258</v>
      </c>
      <c r="L1381" t="s">
        <v>258</v>
      </c>
      <c r="M1381" t="s">
        <v>258</v>
      </c>
      <c r="N1381" s="5">
        <v>0</v>
      </c>
    </row>
    <row r="1382" spans="1:14" x14ac:dyDescent="0.25">
      <c r="A1382" t="s">
        <v>1923</v>
      </c>
      <c r="B1382" t="s">
        <v>203</v>
      </c>
      <c r="C1382" t="str">
        <f>_xlfn.XLOOKUP(Table6[[#This Row],[app_id]],Table5[app_id],Table5[app_name],"",0)</f>
        <v>Focusly</v>
      </c>
      <c r="D1382" t="str">
        <f>_xlfn.XLOOKUP(Table6[[#This Row],[app_id]],Table5[app_id],Table5[category],"",0)</f>
        <v>Productivity</v>
      </c>
      <c r="E1382" t="s">
        <v>546</v>
      </c>
      <c r="F1382" t="s">
        <v>534</v>
      </c>
      <c r="G1382" t="s">
        <v>69</v>
      </c>
      <c r="H1382" t="s">
        <v>535</v>
      </c>
      <c r="I1382">
        <v>24</v>
      </c>
      <c r="J1382">
        <v>20.100000000000001</v>
      </c>
      <c r="K1382" t="s">
        <v>258</v>
      </c>
      <c r="L1382" t="s">
        <v>257</v>
      </c>
      <c r="M1382" t="s">
        <v>258</v>
      </c>
      <c r="N1382" s="5">
        <v>32.76</v>
      </c>
    </row>
    <row r="1383" spans="1:14" x14ac:dyDescent="0.25">
      <c r="A1383" t="s">
        <v>1924</v>
      </c>
      <c r="B1383" t="s">
        <v>206</v>
      </c>
      <c r="C1383" t="str">
        <f>_xlfn.XLOOKUP(Table6[[#This Row],[app_id]],Table5[app_id],Table5[app_name],"",0)</f>
        <v>DeskX</v>
      </c>
      <c r="D1383" t="str">
        <f>_xlfn.XLOOKUP(Table6[[#This Row],[app_id]],Table5[app_id],Table5[category],"",0)</f>
        <v>Productivity</v>
      </c>
      <c r="E1383" t="s">
        <v>557</v>
      </c>
      <c r="F1383" t="s">
        <v>538</v>
      </c>
      <c r="G1383" t="s">
        <v>46</v>
      </c>
      <c r="H1383" t="s">
        <v>535</v>
      </c>
      <c r="I1383">
        <v>66</v>
      </c>
      <c r="J1383">
        <v>9.5</v>
      </c>
      <c r="K1383" t="s">
        <v>257</v>
      </c>
      <c r="L1383" t="s">
        <v>257</v>
      </c>
      <c r="M1383" t="s">
        <v>258</v>
      </c>
      <c r="N1383" s="5">
        <v>0</v>
      </c>
    </row>
    <row r="1384" spans="1:14" x14ac:dyDescent="0.25">
      <c r="A1384" t="s">
        <v>1925</v>
      </c>
      <c r="B1384" t="s">
        <v>208</v>
      </c>
      <c r="C1384" t="str">
        <f>_xlfn.XLOOKUP(Table6[[#This Row],[app_id]],Table5[app_id],Table5[app_name],"",0)</f>
        <v>DonePro</v>
      </c>
      <c r="D1384" t="str">
        <f>_xlfn.XLOOKUP(Table6[[#This Row],[app_id]],Table5[app_id],Table5[category],"",0)</f>
        <v>Productivity</v>
      </c>
      <c r="E1384" t="s">
        <v>557</v>
      </c>
      <c r="F1384" t="s">
        <v>534</v>
      </c>
      <c r="G1384" t="s">
        <v>23</v>
      </c>
      <c r="H1384" t="s">
        <v>535</v>
      </c>
      <c r="I1384">
        <v>9</v>
      </c>
      <c r="J1384">
        <v>18.600000000000001</v>
      </c>
      <c r="K1384" t="s">
        <v>258</v>
      </c>
      <c r="L1384" t="s">
        <v>257</v>
      </c>
      <c r="M1384" t="s">
        <v>258</v>
      </c>
      <c r="N1384" s="5">
        <v>0</v>
      </c>
    </row>
    <row r="1385" spans="1:14" x14ac:dyDescent="0.25">
      <c r="A1385" t="s">
        <v>1926</v>
      </c>
      <c r="B1385" t="s">
        <v>210</v>
      </c>
      <c r="C1385" t="str">
        <f>_xlfn.XLOOKUP(Table6[[#This Row],[app_id]],Table5[app_id],Table5[app_name],"",0)</f>
        <v>NotePlus</v>
      </c>
      <c r="D1385" t="str">
        <f>_xlfn.XLOOKUP(Table6[[#This Row],[app_id]],Table5[app_id],Table5[category],"",0)</f>
        <v>Productivity</v>
      </c>
      <c r="E1385" t="s">
        <v>557</v>
      </c>
      <c r="F1385" t="s">
        <v>534</v>
      </c>
      <c r="G1385" t="s">
        <v>23</v>
      </c>
      <c r="H1385" t="s">
        <v>535</v>
      </c>
      <c r="I1385">
        <v>29</v>
      </c>
      <c r="J1385">
        <v>5.4</v>
      </c>
      <c r="K1385" t="s">
        <v>257</v>
      </c>
      <c r="L1385" t="s">
        <v>257</v>
      </c>
      <c r="M1385" t="s">
        <v>258</v>
      </c>
      <c r="N1385" s="5">
        <v>23.42</v>
      </c>
    </row>
    <row r="1386" spans="1:14" x14ac:dyDescent="0.25">
      <c r="A1386" t="s">
        <v>1927</v>
      </c>
      <c r="B1386" t="s">
        <v>212</v>
      </c>
      <c r="C1386" t="str">
        <f>_xlfn.XLOOKUP(Table6[[#This Row],[app_id]],Table5[app_id],Table5[app_name],"",0)</f>
        <v>SyncPlus</v>
      </c>
      <c r="D1386" t="str">
        <f>_xlfn.XLOOKUP(Table6[[#This Row],[app_id]],Table5[app_id],Table5[category],"",0)</f>
        <v>Productivity</v>
      </c>
      <c r="E1386" t="s">
        <v>546</v>
      </c>
      <c r="F1386" t="s">
        <v>548</v>
      </c>
      <c r="G1386" t="s">
        <v>46</v>
      </c>
      <c r="H1386" t="s">
        <v>535</v>
      </c>
      <c r="I1386">
        <v>12</v>
      </c>
      <c r="J1386">
        <v>8.1999999999999993</v>
      </c>
      <c r="K1386" t="s">
        <v>258</v>
      </c>
      <c r="L1386" t="s">
        <v>258</v>
      </c>
      <c r="M1386" t="s">
        <v>258</v>
      </c>
      <c r="N1386" s="5">
        <v>92.4</v>
      </c>
    </row>
    <row r="1387" spans="1:14" x14ac:dyDescent="0.25">
      <c r="A1387" t="s">
        <v>1928</v>
      </c>
      <c r="B1387" t="s">
        <v>214</v>
      </c>
      <c r="C1387" t="str">
        <f>_xlfn.XLOOKUP(Table6[[#This Row],[app_id]],Table5[app_id],Table5[app_name],"",0)</f>
        <v>NoteOne</v>
      </c>
      <c r="D1387" t="str">
        <f>_xlfn.XLOOKUP(Table6[[#This Row],[app_id]],Table5[app_id],Table5[category],"",0)</f>
        <v>Productivity</v>
      </c>
      <c r="E1387" t="s">
        <v>533</v>
      </c>
      <c r="F1387" t="s">
        <v>534</v>
      </c>
      <c r="G1387" t="s">
        <v>30</v>
      </c>
      <c r="H1387" t="s">
        <v>535</v>
      </c>
      <c r="I1387">
        <v>68</v>
      </c>
      <c r="J1387">
        <v>22.5</v>
      </c>
      <c r="K1387" t="s">
        <v>257</v>
      </c>
      <c r="L1387" t="s">
        <v>258</v>
      </c>
      <c r="M1387" t="s">
        <v>257</v>
      </c>
      <c r="N1387" s="5">
        <v>0</v>
      </c>
    </row>
    <row r="1388" spans="1:14" x14ac:dyDescent="0.25">
      <c r="A1388" t="s">
        <v>1929</v>
      </c>
      <c r="B1388" t="s">
        <v>216</v>
      </c>
      <c r="C1388" t="str">
        <f>_xlfn.XLOOKUP(Table6[[#This Row],[app_id]],Table5[app_id],Table5[app_name],"",0)</f>
        <v>NoteMate</v>
      </c>
      <c r="D1388" t="str">
        <f>_xlfn.XLOOKUP(Table6[[#This Row],[app_id]],Table5[app_id],Table5[category],"",0)</f>
        <v>Productivity</v>
      </c>
      <c r="E1388" t="s">
        <v>537</v>
      </c>
      <c r="F1388" t="s">
        <v>534</v>
      </c>
      <c r="G1388" t="s">
        <v>23</v>
      </c>
      <c r="H1388" t="s">
        <v>535</v>
      </c>
      <c r="I1388">
        <v>9</v>
      </c>
      <c r="J1388">
        <v>4.5999999999999996</v>
      </c>
      <c r="K1388" t="s">
        <v>258</v>
      </c>
      <c r="L1388" t="s">
        <v>257</v>
      </c>
      <c r="M1388" t="s">
        <v>258</v>
      </c>
      <c r="N1388" s="5">
        <v>0</v>
      </c>
    </row>
    <row r="1389" spans="1:14" x14ac:dyDescent="0.25">
      <c r="A1389" t="s">
        <v>1930</v>
      </c>
      <c r="B1389" t="s">
        <v>218</v>
      </c>
      <c r="C1389" t="str">
        <f>_xlfn.XLOOKUP(Table6[[#This Row],[app_id]],Table5[app_id],Table5[app_name],"",0)</f>
        <v>PlanPlus</v>
      </c>
      <c r="D1389" t="str">
        <f>_xlfn.XLOOKUP(Table6[[#This Row],[app_id]],Table5[app_id],Table5[category],"",0)</f>
        <v>Productivity</v>
      </c>
      <c r="E1389" t="s">
        <v>533</v>
      </c>
      <c r="F1389" t="s">
        <v>538</v>
      </c>
      <c r="G1389" t="s">
        <v>26</v>
      </c>
      <c r="H1389" t="s">
        <v>535</v>
      </c>
      <c r="I1389">
        <v>94</v>
      </c>
      <c r="J1389">
        <v>5.3</v>
      </c>
      <c r="K1389" t="s">
        <v>257</v>
      </c>
      <c r="L1389" t="s">
        <v>257</v>
      </c>
      <c r="M1389" t="s">
        <v>258</v>
      </c>
      <c r="N1389" s="5">
        <v>0</v>
      </c>
    </row>
    <row r="1390" spans="1:14" x14ac:dyDescent="0.25">
      <c r="A1390" t="s">
        <v>1931</v>
      </c>
      <c r="B1390" t="s">
        <v>220</v>
      </c>
      <c r="C1390" t="str">
        <f>_xlfn.XLOOKUP(Table6[[#This Row],[app_id]],Table5[app_id],Table5[app_name],"",0)</f>
        <v>PlanMate</v>
      </c>
      <c r="D1390" t="str">
        <f>_xlfn.XLOOKUP(Table6[[#This Row],[app_id]],Table5[app_id],Table5[category],"",0)</f>
        <v>Productivity</v>
      </c>
      <c r="E1390" t="s">
        <v>546</v>
      </c>
      <c r="F1390" t="s">
        <v>538</v>
      </c>
      <c r="G1390" t="s">
        <v>69</v>
      </c>
      <c r="H1390" t="s">
        <v>535</v>
      </c>
      <c r="I1390">
        <v>23</v>
      </c>
      <c r="J1390">
        <v>10.5</v>
      </c>
      <c r="K1390" t="s">
        <v>258</v>
      </c>
      <c r="L1390" t="s">
        <v>257</v>
      </c>
      <c r="M1390" t="s">
        <v>258</v>
      </c>
      <c r="N1390" s="5">
        <v>41.74</v>
      </c>
    </row>
    <row r="1391" spans="1:14" x14ac:dyDescent="0.25">
      <c r="A1391" t="s">
        <v>1932</v>
      </c>
      <c r="B1391" t="s">
        <v>222</v>
      </c>
      <c r="C1391" t="str">
        <f>_xlfn.XLOOKUP(Table6[[#This Row],[app_id]],Table5[app_id],Table5[app_name],"",0)</f>
        <v>SyncPlus</v>
      </c>
      <c r="D1391" t="str">
        <f>_xlfn.XLOOKUP(Table6[[#This Row],[app_id]],Table5[app_id],Table5[category],"",0)</f>
        <v>Productivity</v>
      </c>
      <c r="E1391" t="s">
        <v>557</v>
      </c>
      <c r="F1391" t="s">
        <v>538</v>
      </c>
      <c r="G1391" t="s">
        <v>69</v>
      </c>
      <c r="H1391" t="s">
        <v>535</v>
      </c>
      <c r="I1391">
        <v>12</v>
      </c>
      <c r="J1391">
        <v>19.7</v>
      </c>
      <c r="K1391" t="s">
        <v>258</v>
      </c>
      <c r="L1391" t="s">
        <v>258</v>
      </c>
      <c r="M1391" t="s">
        <v>257</v>
      </c>
      <c r="N1391" s="5">
        <v>0</v>
      </c>
    </row>
    <row r="1392" spans="1:14" x14ac:dyDescent="0.25">
      <c r="A1392" t="s">
        <v>1933</v>
      </c>
      <c r="B1392" t="s">
        <v>223</v>
      </c>
      <c r="C1392" t="str">
        <f>_xlfn.XLOOKUP(Table6[[#This Row],[app_id]],Table5[app_id],Table5[app_name],"",0)</f>
        <v>ClinicPro</v>
      </c>
      <c r="D1392" t="str">
        <f>_xlfn.XLOOKUP(Table6[[#This Row],[app_id]],Table5[app_id],Table5[category],"",0)</f>
        <v>Health</v>
      </c>
      <c r="E1392" t="s">
        <v>537</v>
      </c>
      <c r="F1392" t="s">
        <v>534</v>
      </c>
      <c r="G1392" t="s">
        <v>30</v>
      </c>
      <c r="H1392" t="s">
        <v>535</v>
      </c>
      <c r="I1392">
        <v>15</v>
      </c>
      <c r="J1392">
        <v>4.2</v>
      </c>
      <c r="K1392" t="s">
        <v>258</v>
      </c>
      <c r="L1392" t="s">
        <v>257</v>
      </c>
      <c r="M1392" t="s">
        <v>258</v>
      </c>
      <c r="N1392" s="5">
        <v>0</v>
      </c>
    </row>
    <row r="1393" spans="1:14" x14ac:dyDescent="0.25">
      <c r="A1393" t="s">
        <v>1934</v>
      </c>
      <c r="B1393" t="s">
        <v>226</v>
      </c>
      <c r="C1393" t="str">
        <f>_xlfn.XLOOKUP(Table6[[#This Row],[app_id]],Table5[app_id],Table5[app_name],"",0)</f>
        <v>MindMate</v>
      </c>
      <c r="D1393" t="str">
        <f>_xlfn.XLOOKUP(Table6[[#This Row],[app_id]],Table5[app_id],Table5[category],"",0)</f>
        <v>Health</v>
      </c>
      <c r="E1393" t="s">
        <v>557</v>
      </c>
      <c r="F1393" t="s">
        <v>538</v>
      </c>
      <c r="G1393" t="s">
        <v>61</v>
      </c>
      <c r="H1393" t="s">
        <v>535</v>
      </c>
      <c r="I1393">
        <v>61</v>
      </c>
      <c r="J1393">
        <v>3.8</v>
      </c>
      <c r="K1393" t="s">
        <v>257</v>
      </c>
      <c r="L1393" t="s">
        <v>257</v>
      </c>
      <c r="M1393" t="s">
        <v>258</v>
      </c>
      <c r="N1393" s="5">
        <v>0</v>
      </c>
    </row>
    <row r="1394" spans="1:14" x14ac:dyDescent="0.25">
      <c r="A1394" t="s">
        <v>1935</v>
      </c>
      <c r="B1394" t="s">
        <v>228</v>
      </c>
      <c r="C1394" t="str">
        <f>_xlfn.XLOOKUP(Table6[[#This Row],[app_id]],Table5[app_id],Table5[app_name],"",0)</f>
        <v>ClinicOne</v>
      </c>
      <c r="D1394" t="str">
        <f>_xlfn.XLOOKUP(Table6[[#This Row],[app_id]],Table5[app_id],Table5[category],"",0)</f>
        <v>Health</v>
      </c>
      <c r="E1394" t="s">
        <v>557</v>
      </c>
      <c r="F1394" t="s">
        <v>538</v>
      </c>
      <c r="G1394" t="s">
        <v>18</v>
      </c>
      <c r="H1394" t="s">
        <v>540</v>
      </c>
      <c r="I1394">
        <v>20</v>
      </c>
      <c r="J1394">
        <v>7.5</v>
      </c>
      <c r="K1394" t="s">
        <v>258</v>
      </c>
      <c r="L1394" t="s">
        <v>257</v>
      </c>
      <c r="M1394" t="s">
        <v>258</v>
      </c>
      <c r="N1394" s="5">
        <v>0</v>
      </c>
    </row>
    <row r="1395" spans="1:14" x14ac:dyDescent="0.25">
      <c r="A1395" t="s">
        <v>1936</v>
      </c>
      <c r="B1395" t="s">
        <v>230</v>
      </c>
      <c r="C1395" t="str">
        <f>_xlfn.XLOOKUP(Table6[[#This Row],[app_id]],Table5[app_id],Table5[app_name],"",0)</f>
        <v>WellMate</v>
      </c>
      <c r="D1395" t="str">
        <f>_xlfn.XLOOKUP(Table6[[#This Row],[app_id]],Table5[app_id],Table5[category],"",0)</f>
        <v>Health</v>
      </c>
      <c r="E1395" t="s">
        <v>533</v>
      </c>
      <c r="F1395" t="s">
        <v>534</v>
      </c>
      <c r="G1395" t="s">
        <v>61</v>
      </c>
      <c r="H1395" t="s">
        <v>535</v>
      </c>
      <c r="I1395">
        <v>38</v>
      </c>
      <c r="J1395">
        <v>13.1</v>
      </c>
      <c r="K1395" t="s">
        <v>257</v>
      </c>
      <c r="L1395" t="s">
        <v>257</v>
      </c>
      <c r="M1395" t="s">
        <v>258</v>
      </c>
      <c r="N1395" s="5">
        <v>0</v>
      </c>
    </row>
    <row r="1396" spans="1:14" x14ac:dyDescent="0.25">
      <c r="A1396" t="s">
        <v>1937</v>
      </c>
      <c r="B1396" t="s">
        <v>232</v>
      </c>
      <c r="C1396" t="str">
        <f>_xlfn.XLOOKUP(Table6[[#This Row],[app_id]],Table5[app_id],Table5[app_name],"",0)</f>
        <v>MediMate</v>
      </c>
      <c r="D1396" t="str">
        <f>_xlfn.XLOOKUP(Table6[[#This Row],[app_id]],Table5[app_id],Table5[category],"",0)</f>
        <v>Health</v>
      </c>
      <c r="E1396" t="s">
        <v>533</v>
      </c>
      <c r="F1396" t="s">
        <v>534</v>
      </c>
      <c r="G1396" t="s">
        <v>26</v>
      </c>
      <c r="H1396" t="s">
        <v>535</v>
      </c>
      <c r="I1396">
        <v>60</v>
      </c>
      <c r="J1396">
        <v>23.6</v>
      </c>
      <c r="K1396" t="s">
        <v>257</v>
      </c>
      <c r="L1396" t="s">
        <v>257</v>
      </c>
      <c r="M1396" t="s">
        <v>258</v>
      </c>
      <c r="N1396" s="5">
        <v>0</v>
      </c>
    </row>
    <row r="1397" spans="1:14" x14ac:dyDescent="0.25">
      <c r="A1397" t="s">
        <v>1938</v>
      </c>
      <c r="B1397" t="s">
        <v>234</v>
      </c>
      <c r="C1397" t="str">
        <f>_xlfn.XLOOKUP(Table6[[#This Row],[app_id]],Table5[app_id],Table5[app_name],"",0)</f>
        <v>WellNow</v>
      </c>
      <c r="D1397" t="str">
        <f>_xlfn.XLOOKUP(Table6[[#This Row],[app_id]],Table5[app_id],Table5[category],"",0)</f>
        <v>Health</v>
      </c>
      <c r="E1397" t="s">
        <v>552</v>
      </c>
      <c r="F1397" t="s">
        <v>538</v>
      </c>
      <c r="G1397" t="s">
        <v>61</v>
      </c>
      <c r="H1397" t="s">
        <v>535</v>
      </c>
      <c r="I1397">
        <v>2</v>
      </c>
      <c r="J1397">
        <v>22.6</v>
      </c>
      <c r="K1397" t="s">
        <v>258</v>
      </c>
      <c r="L1397" t="s">
        <v>258</v>
      </c>
      <c r="M1397" t="s">
        <v>257</v>
      </c>
      <c r="N1397" s="5">
        <v>0</v>
      </c>
    </row>
    <row r="1398" spans="1:14" x14ac:dyDescent="0.25">
      <c r="A1398" t="s">
        <v>1939</v>
      </c>
      <c r="B1398" t="s">
        <v>236</v>
      </c>
      <c r="C1398" t="str">
        <f>_xlfn.XLOOKUP(Table6[[#This Row],[app_id]],Table5[app_id],Table5[app_name],"",0)</f>
        <v>CareCloud</v>
      </c>
      <c r="D1398" t="str">
        <f>_xlfn.XLOOKUP(Table6[[#This Row],[app_id]],Table5[app_id],Table5[category],"",0)</f>
        <v>Health</v>
      </c>
      <c r="E1398" t="s">
        <v>546</v>
      </c>
      <c r="F1398" t="s">
        <v>534</v>
      </c>
      <c r="G1398" t="s">
        <v>26</v>
      </c>
      <c r="H1398" t="s">
        <v>535</v>
      </c>
      <c r="I1398">
        <v>31</v>
      </c>
      <c r="J1398">
        <v>14.7</v>
      </c>
      <c r="K1398" t="s">
        <v>257</v>
      </c>
      <c r="L1398" t="s">
        <v>258</v>
      </c>
      <c r="M1398" t="s">
        <v>258</v>
      </c>
      <c r="N1398" s="5">
        <v>0</v>
      </c>
    </row>
    <row r="1399" spans="1:14" x14ac:dyDescent="0.25">
      <c r="A1399" t="s">
        <v>1940</v>
      </c>
      <c r="B1399" t="s">
        <v>238</v>
      </c>
      <c r="C1399" t="str">
        <f>_xlfn.XLOOKUP(Table6[[#This Row],[app_id]],Table5[app_id],Table5[app_name],"",0)</f>
        <v>MediNow</v>
      </c>
      <c r="D1399" t="str">
        <f>_xlfn.XLOOKUP(Table6[[#This Row],[app_id]],Table5[app_id],Table5[category],"",0)</f>
        <v>Health</v>
      </c>
      <c r="E1399" t="s">
        <v>533</v>
      </c>
      <c r="F1399" t="s">
        <v>534</v>
      </c>
      <c r="G1399" t="s">
        <v>26</v>
      </c>
      <c r="H1399" t="s">
        <v>535</v>
      </c>
      <c r="I1399">
        <v>15</v>
      </c>
      <c r="J1399">
        <v>21.2</v>
      </c>
      <c r="K1399" t="s">
        <v>257</v>
      </c>
      <c r="L1399" t="s">
        <v>257</v>
      </c>
      <c r="M1399" t="s">
        <v>257</v>
      </c>
      <c r="N1399" s="5">
        <v>0</v>
      </c>
    </row>
    <row r="1400" spans="1:14" x14ac:dyDescent="0.25">
      <c r="A1400" t="s">
        <v>1941</v>
      </c>
      <c r="B1400" t="s">
        <v>240</v>
      </c>
      <c r="C1400" t="str">
        <f>_xlfn.XLOOKUP(Table6[[#This Row],[app_id]],Table5[app_id],Table5[app_name],"",0)</f>
        <v>MindPlus</v>
      </c>
      <c r="D1400" t="str">
        <f>_xlfn.XLOOKUP(Table6[[#This Row],[app_id]],Table5[app_id],Table5[category],"",0)</f>
        <v>Health</v>
      </c>
      <c r="E1400" t="s">
        <v>546</v>
      </c>
      <c r="F1400" t="s">
        <v>534</v>
      </c>
      <c r="G1400" t="s">
        <v>18</v>
      </c>
      <c r="H1400" t="s">
        <v>540</v>
      </c>
      <c r="I1400">
        <v>33</v>
      </c>
      <c r="J1400">
        <v>16.2</v>
      </c>
      <c r="K1400" t="s">
        <v>257</v>
      </c>
      <c r="L1400" t="s">
        <v>257</v>
      </c>
      <c r="M1400" t="s">
        <v>258</v>
      </c>
      <c r="N1400" s="5">
        <v>0</v>
      </c>
    </row>
    <row r="1401" spans="1:14" x14ac:dyDescent="0.25">
      <c r="A1401" t="s">
        <v>1942</v>
      </c>
      <c r="B1401" t="s">
        <v>242</v>
      </c>
      <c r="C1401" t="str">
        <f>_xlfn.XLOOKUP(Table6[[#This Row],[app_id]],Table5[app_id],Table5[app_name],"",0)</f>
        <v>MediCloud</v>
      </c>
      <c r="D1401" t="str">
        <f>_xlfn.XLOOKUP(Table6[[#This Row],[app_id]],Table5[app_id],Table5[category],"",0)</f>
        <v>Health</v>
      </c>
      <c r="E1401" t="s">
        <v>537</v>
      </c>
      <c r="F1401" t="s">
        <v>538</v>
      </c>
      <c r="G1401" t="s">
        <v>69</v>
      </c>
      <c r="H1401" t="s">
        <v>535</v>
      </c>
      <c r="I1401">
        <v>83</v>
      </c>
      <c r="J1401">
        <v>14.9</v>
      </c>
      <c r="K1401" t="s">
        <v>257</v>
      </c>
      <c r="L1401" t="s">
        <v>257</v>
      </c>
      <c r="M1401" t="s">
        <v>258</v>
      </c>
      <c r="N1401" s="5">
        <v>0</v>
      </c>
    </row>
    <row r="1402" spans="1:14" x14ac:dyDescent="0.25">
      <c r="A1402" t="s">
        <v>1943</v>
      </c>
      <c r="B1402" t="s">
        <v>12</v>
      </c>
      <c r="C1402" t="str">
        <f>_xlfn.XLOOKUP(Table6[[#This Row],[app_id]],Table5[app_id],Table5[app_name],"",0)</f>
        <v>InvestPro</v>
      </c>
      <c r="D1402" t="str">
        <f>_xlfn.XLOOKUP(Table6[[#This Row],[app_id]],Table5[app_id],Table5[category],"",0)</f>
        <v>Finance</v>
      </c>
      <c r="E1402" t="s">
        <v>546</v>
      </c>
      <c r="F1402" t="s">
        <v>534</v>
      </c>
      <c r="G1402" t="s">
        <v>26</v>
      </c>
      <c r="H1402" t="s">
        <v>535</v>
      </c>
      <c r="I1402">
        <v>27</v>
      </c>
      <c r="J1402">
        <v>5.0999999999999996</v>
      </c>
      <c r="K1402" t="s">
        <v>258</v>
      </c>
      <c r="L1402" t="s">
        <v>258</v>
      </c>
      <c r="M1402" t="s">
        <v>258</v>
      </c>
      <c r="N1402" s="5">
        <v>0</v>
      </c>
    </row>
    <row r="1403" spans="1:14" x14ac:dyDescent="0.25">
      <c r="A1403" t="s">
        <v>1944</v>
      </c>
      <c r="B1403" t="s">
        <v>19</v>
      </c>
      <c r="C1403" t="str">
        <f>_xlfn.XLOOKUP(Table6[[#This Row],[app_id]],Table5[app_id],Table5[app_name],"",0)</f>
        <v>BankPro</v>
      </c>
      <c r="D1403" t="str">
        <f>_xlfn.XLOOKUP(Table6[[#This Row],[app_id]],Table5[app_id],Table5[category],"",0)</f>
        <v>Finance</v>
      </c>
      <c r="E1403" t="s">
        <v>533</v>
      </c>
      <c r="F1403" t="s">
        <v>538</v>
      </c>
      <c r="G1403" t="s">
        <v>23</v>
      </c>
      <c r="H1403" t="s">
        <v>535</v>
      </c>
      <c r="I1403">
        <v>40</v>
      </c>
      <c r="J1403">
        <v>23.7</v>
      </c>
      <c r="K1403" t="s">
        <v>257</v>
      </c>
      <c r="L1403" t="s">
        <v>257</v>
      </c>
      <c r="M1403" t="s">
        <v>258</v>
      </c>
      <c r="N1403" s="5">
        <v>0</v>
      </c>
    </row>
    <row r="1404" spans="1:14" x14ac:dyDescent="0.25">
      <c r="A1404" t="s">
        <v>1945</v>
      </c>
      <c r="B1404" t="s">
        <v>24</v>
      </c>
      <c r="C1404" t="str">
        <f>_xlfn.XLOOKUP(Table6[[#This Row],[app_id]],Table5[app_id],Table5[app_name],"",0)</f>
        <v>BankX</v>
      </c>
      <c r="D1404" t="str">
        <f>_xlfn.XLOOKUP(Table6[[#This Row],[app_id]],Table5[app_id],Table5[category],"",0)</f>
        <v>Finance</v>
      </c>
      <c r="E1404" t="s">
        <v>533</v>
      </c>
      <c r="F1404" t="s">
        <v>538</v>
      </c>
      <c r="G1404" t="s">
        <v>69</v>
      </c>
      <c r="H1404" t="s">
        <v>535</v>
      </c>
      <c r="I1404">
        <v>28</v>
      </c>
      <c r="J1404">
        <v>13.2</v>
      </c>
      <c r="K1404" t="s">
        <v>257</v>
      </c>
      <c r="L1404" t="s">
        <v>257</v>
      </c>
      <c r="M1404" t="s">
        <v>258</v>
      </c>
      <c r="N1404" s="5">
        <v>0</v>
      </c>
    </row>
    <row r="1405" spans="1:14" x14ac:dyDescent="0.25">
      <c r="A1405" t="s">
        <v>1946</v>
      </c>
      <c r="B1405" t="s">
        <v>27</v>
      </c>
      <c r="C1405" t="str">
        <f>_xlfn.XLOOKUP(Table6[[#This Row],[app_id]],Table5[app_id],Table5[app_name],"",0)</f>
        <v>BankNow</v>
      </c>
      <c r="D1405" t="str">
        <f>_xlfn.XLOOKUP(Table6[[#This Row],[app_id]],Table5[app_id],Table5[category],"",0)</f>
        <v>Finance</v>
      </c>
      <c r="E1405" t="s">
        <v>557</v>
      </c>
      <c r="F1405" t="s">
        <v>538</v>
      </c>
      <c r="G1405" t="s">
        <v>69</v>
      </c>
      <c r="H1405" t="s">
        <v>535</v>
      </c>
      <c r="I1405">
        <v>7</v>
      </c>
      <c r="J1405">
        <v>7.9</v>
      </c>
      <c r="K1405" t="s">
        <v>258</v>
      </c>
      <c r="L1405" t="s">
        <v>258</v>
      </c>
      <c r="M1405" t="s">
        <v>258</v>
      </c>
      <c r="N1405" s="5">
        <v>0</v>
      </c>
    </row>
    <row r="1406" spans="1:14" x14ac:dyDescent="0.25">
      <c r="A1406" t="s">
        <v>1947</v>
      </c>
      <c r="B1406" t="s">
        <v>31</v>
      </c>
      <c r="C1406" t="str">
        <f>_xlfn.XLOOKUP(Table6[[#This Row],[app_id]],Table5[app_id],Table5[app_name],"",0)</f>
        <v>CreditHub</v>
      </c>
      <c r="D1406" t="str">
        <f>_xlfn.XLOOKUP(Table6[[#This Row],[app_id]],Table5[app_id],Table5[category],"",0)</f>
        <v>Finance</v>
      </c>
      <c r="E1406" t="s">
        <v>557</v>
      </c>
      <c r="F1406" t="s">
        <v>538</v>
      </c>
      <c r="G1406" t="s">
        <v>26</v>
      </c>
      <c r="H1406" t="s">
        <v>535</v>
      </c>
      <c r="I1406">
        <v>95</v>
      </c>
      <c r="J1406">
        <v>13.4</v>
      </c>
      <c r="K1406" t="s">
        <v>257</v>
      </c>
      <c r="L1406" t="s">
        <v>258</v>
      </c>
      <c r="M1406" t="s">
        <v>258</v>
      </c>
      <c r="N1406" s="5">
        <v>0</v>
      </c>
    </row>
    <row r="1407" spans="1:14" x14ac:dyDescent="0.25">
      <c r="A1407" t="s">
        <v>1948</v>
      </c>
      <c r="B1407" t="s">
        <v>36</v>
      </c>
      <c r="C1407" t="str">
        <f>_xlfn.XLOOKUP(Table6[[#This Row],[app_id]],Table5[app_id],Table5[app_name],"",0)</f>
        <v>PayPlus</v>
      </c>
      <c r="D1407" t="str">
        <f>_xlfn.XLOOKUP(Table6[[#This Row],[app_id]],Table5[app_id],Table5[category],"",0)</f>
        <v>Finance</v>
      </c>
      <c r="E1407" t="s">
        <v>546</v>
      </c>
      <c r="F1407" t="s">
        <v>534</v>
      </c>
      <c r="G1407" t="s">
        <v>35</v>
      </c>
      <c r="H1407" t="s">
        <v>535</v>
      </c>
      <c r="I1407">
        <v>21</v>
      </c>
      <c r="J1407">
        <v>21.9</v>
      </c>
      <c r="K1407" t="s">
        <v>258</v>
      </c>
      <c r="L1407" t="s">
        <v>258</v>
      </c>
      <c r="M1407" t="s">
        <v>257</v>
      </c>
      <c r="N1407" s="5">
        <v>0</v>
      </c>
    </row>
    <row r="1408" spans="1:14" x14ac:dyDescent="0.25">
      <c r="A1408" t="s">
        <v>1949</v>
      </c>
      <c r="B1408" t="s">
        <v>39</v>
      </c>
      <c r="C1408" t="str">
        <f>_xlfn.XLOOKUP(Table6[[#This Row],[app_id]],Table5[app_id],Table5[app_name],"",0)</f>
        <v>BankPlus</v>
      </c>
      <c r="D1408" t="str">
        <f>_xlfn.XLOOKUP(Table6[[#This Row],[app_id]],Table5[app_id],Table5[category],"",0)</f>
        <v>Finance</v>
      </c>
      <c r="E1408" t="s">
        <v>557</v>
      </c>
      <c r="F1408" t="s">
        <v>534</v>
      </c>
      <c r="G1408" t="s">
        <v>61</v>
      </c>
      <c r="H1408" t="s">
        <v>540</v>
      </c>
      <c r="I1408">
        <v>7</v>
      </c>
      <c r="J1408">
        <v>16.5</v>
      </c>
      <c r="K1408" t="s">
        <v>258</v>
      </c>
      <c r="L1408" t="s">
        <v>257</v>
      </c>
      <c r="M1408" t="s">
        <v>258</v>
      </c>
      <c r="N1408" s="5">
        <v>0</v>
      </c>
    </row>
    <row r="1409" spans="1:14" x14ac:dyDescent="0.25">
      <c r="A1409" t="s">
        <v>1950</v>
      </c>
      <c r="B1409" t="s">
        <v>42</v>
      </c>
      <c r="C1409" t="str">
        <f>_xlfn.XLOOKUP(Table6[[#This Row],[app_id]],Table5[app_id],Table5[app_name],"",0)</f>
        <v>CoinPlus</v>
      </c>
      <c r="D1409" t="str">
        <f>_xlfn.XLOOKUP(Table6[[#This Row],[app_id]],Table5[app_id],Table5[category],"",0)</f>
        <v>Finance</v>
      </c>
      <c r="E1409" t="s">
        <v>546</v>
      </c>
      <c r="F1409" t="s">
        <v>548</v>
      </c>
      <c r="G1409" t="s">
        <v>26</v>
      </c>
      <c r="H1409" t="s">
        <v>535</v>
      </c>
      <c r="I1409">
        <v>41</v>
      </c>
      <c r="J1409">
        <v>17.3</v>
      </c>
      <c r="K1409" t="s">
        <v>257</v>
      </c>
      <c r="L1409" t="s">
        <v>257</v>
      </c>
      <c r="M1409" t="s">
        <v>258</v>
      </c>
      <c r="N1409" s="5">
        <v>0</v>
      </c>
    </row>
    <row r="1410" spans="1:14" x14ac:dyDescent="0.25">
      <c r="A1410" t="s">
        <v>1951</v>
      </c>
      <c r="B1410" t="s">
        <v>47</v>
      </c>
      <c r="C1410" t="str">
        <f>_xlfn.XLOOKUP(Table6[[#This Row],[app_id]],Table5[app_id],Table5[app_name],"",0)</f>
        <v>CreditOne</v>
      </c>
      <c r="D1410" t="str">
        <f>_xlfn.XLOOKUP(Table6[[#This Row],[app_id]],Table5[app_id],Table5[category],"",0)</f>
        <v>Finance</v>
      </c>
      <c r="E1410" t="s">
        <v>557</v>
      </c>
      <c r="F1410" t="s">
        <v>534</v>
      </c>
      <c r="G1410" t="s">
        <v>26</v>
      </c>
      <c r="H1410" t="s">
        <v>535</v>
      </c>
      <c r="I1410">
        <v>8</v>
      </c>
      <c r="J1410">
        <v>3.3</v>
      </c>
      <c r="K1410" t="s">
        <v>258</v>
      </c>
      <c r="L1410" t="s">
        <v>258</v>
      </c>
      <c r="M1410" t="s">
        <v>257</v>
      </c>
      <c r="N1410" s="5">
        <v>0</v>
      </c>
    </row>
    <row r="1411" spans="1:14" x14ac:dyDescent="0.25">
      <c r="A1411" t="s">
        <v>1952</v>
      </c>
      <c r="B1411" t="s">
        <v>49</v>
      </c>
      <c r="C1411" t="str">
        <f>_xlfn.XLOOKUP(Table6[[#This Row],[app_id]],Table5[app_id],Table5[app_name],"",0)</f>
        <v>PayPro</v>
      </c>
      <c r="D1411" t="str">
        <f>_xlfn.XLOOKUP(Table6[[#This Row],[app_id]],Table5[app_id],Table5[category],"",0)</f>
        <v>Finance</v>
      </c>
      <c r="E1411" t="s">
        <v>546</v>
      </c>
      <c r="F1411" t="s">
        <v>538</v>
      </c>
      <c r="G1411" t="s">
        <v>35</v>
      </c>
      <c r="H1411" t="s">
        <v>540</v>
      </c>
      <c r="I1411">
        <v>2</v>
      </c>
      <c r="J1411">
        <v>17.899999999999999</v>
      </c>
      <c r="K1411" t="s">
        <v>258</v>
      </c>
      <c r="L1411" t="s">
        <v>258</v>
      </c>
      <c r="M1411" t="s">
        <v>258</v>
      </c>
      <c r="N1411" s="5">
        <v>20.67</v>
      </c>
    </row>
    <row r="1412" spans="1:14" x14ac:dyDescent="0.25">
      <c r="A1412" t="s">
        <v>1953</v>
      </c>
      <c r="B1412" t="s">
        <v>51</v>
      </c>
      <c r="C1412" t="str">
        <f>_xlfn.XLOOKUP(Table6[[#This Row],[app_id]],Table5[app_id],Table5[app_name],"",0)</f>
        <v>Creditly</v>
      </c>
      <c r="D1412" t="str">
        <f>_xlfn.XLOOKUP(Table6[[#This Row],[app_id]],Table5[app_id],Table5[category],"",0)</f>
        <v>Finance</v>
      </c>
      <c r="E1412" t="s">
        <v>533</v>
      </c>
      <c r="F1412" t="s">
        <v>538</v>
      </c>
      <c r="G1412" t="s">
        <v>35</v>
      </c>
      <c r="H1412" t="s">
        <v>535</v>
      </c>
      <c r="I1412">
        <v>51</v>
      </c>
      <c r="J1412">
        <v>9.6999999999999993</v>
      </c>
      <c r="K1412" t="s">
        <v>257</v>
      </c>
      <c r="L1412" t="s">
        <v>258</v>
      </c>
      <c r="M1412" t="s">
        <v>257</v>
      </c>
      <c r="N1412" s="5">
        <v>0</v>
      </c>
    </row>
    <row r="1413" spans="1:14" x14ac:dyDescent="0.25">
      <c r="A1413" t="s">
        <v>1954</v>
      </c>
      <c r="B1413" t="s">
        <v>53</v>
      </c>
      <c r="C1413" t="str">
        <f>_xlfn.XLOOKUP(Table6[[#This Row],[app_id]],Table5[app_id],Table5[app_name],"",0)</f>
        <v>PayX</v>
      </c>
      <c r="D1413" t="str">
        <f>_xlfn.XLOOKUP(Table6[[#This Row],[app_id]],Table5[app_id],Table5[category],"",0)</f>
        <v>Finance</v>
      </c>
      <c r="E1413" t="s">
        <v>533</v>
      </c>
      <c r="F1413" t="s">
        <v>534</v>
      </c>
      <c r="G1413" t="s">
        <v>46</v>
      </c>
      <c r="H1413" t="s">
        <v>535</v>
      </c>
      <c r="I1413">
        <v>73</v>
      </c>
      <c r="J1413">
        <v>5.4</v>
      </c>
      <c r="K1413" t="s">
        <v>257</v>
      </c>
      <c r="L1413" t="s">
        <v>257</v>
      </c>
      <c r="M1413" t="s">
        <v>258</v>
      </c>
      <c r="N1413" s="5">
        <v>75.180000000000007</v>
      </c>
    </row>
    <row r="1414" spans="1:14" x14ac:dyDescent="0.25">
      <c r="A1414" t="s">
        <v>1955</v>
      </c>
      <c r="B1414" t="s">
        <v>56</v>
      </c>
      <c r="C1414" t="str">
        <f>_xlfn.XLOOKUP(Table6[[#This Row],[app_id]],Table5[app_id],Table5[app_name],"",0)</f>
        <v>DealGo</v>
      </c>
      <c r="D1414" t="str">
        <f>_xlfn.XLOOKUP(Table6[[#This Row],[app_id]],Table5[app_id],Table5[category],"",0)</f>
        <v>Shopping</v>
      </c>
      <c r="E1414" t="s">
        <v>546</v>
      </c>
      <c r="F1414" t="s">
        <v>548</v>
      </c>
      <c r="G1414" t="s">
        <v>61</v>
      </c>
      <c r="H1414" t="s">
        <v>540</v>
      </c>
      <c r="I1414">
        <v>30</v>
      </c>
      <c r="J1414">
        <v>18.399999999999999</v>
      </c>
      <c r="K1414" t="s">
        <v>257</v>
      </c>
      <c r="L1414" t="s">
        <v>258</v>
      </c>
      <c r="M1414" t="s">
        <v>258</v>
      </c>
      <c r="N1414" s="5">
        <v>0</v>
      </c>
    </row>
    <row r="1415" spans="1:14" x14ac:dyDescent="0.25">
      <c r="A1415" t="s">
        <v>1956</v>
      </c>
      <c r="B1415" t="s">
        <v>62</v>
      </c>
      <c r="C1415" t="str">
        <f>_xlfn.XLOOKUP(Table6[[#This Row],[app_id]],Table5[app_id],Table5[app_name],"",0)</f>
        <v>MallNow</v>
      </c>
      <c r="D1415" t="str">
        <f>_xlfn.XLOOKUP(Table6[[#This Row],[app_id]],Table5[app_id],Table5[category],"",0)</f>
        <v>Shopping</v>
      </c>
      <c r="E1415" t="s">
        <v>537</v>
      </c>
      <c r="F1415" t="s">
        <v>538</v>
      </c>
      <c r="G1415" t="s">
        <v>61</v>
      </c>
      <c r="H1415" t="s">
        <v>535</v>
      </c>
      <c r="I1415">
        <v>12</v>
      </c>
      <c r="J1415">
        <v>3.1</v>
      </c>
      <c r="K1415" t="s">
        <v>258</v>
      </c>
      <c r="L1415" t="s">
        <v>257</v>
      </c>
      <c r="M1415" t="s">
        <v>258</v>
      </c>
      <c r="N1415" s="5">
        <v>0</v>
      </c>
    </row>
    <row r="1416" spans="1:14" x14ac:dyDescent="0.25">
      <c r="A1416" t="s">
        <v>1957</v>
      </c>
      <c r="B1416" t="s">
        <v>65</v>
      </c>
      <c r="C1416" t="str">
        <f>_xlfn.XLOOKUP(Table6[[#This Row],[app_id]],Table5[app_id],Table5[app_name],"",0)</f>
        <v>DealPro</v>
      </c>
      <c r="D1416" t="str">
        <f>_xlfn.XLOOKUP(Table6[[#This Row],[app_id]],Table5[app_id],Table5[category],"",0)</f>
        <v>Shopping</v>
      </c>
      <c r="E1416" t="s">
        <v>537</v>
      </c>
      <c r="F1416" t="s">
        <v>534</v>
      </c>
      <c r="G1416" t="s">
        <v>18</v>
      </c>
      <c r="H1416" t="s">
        <v>540</v>
      </c>
      <c r="I1416">
        <v>19</v>
      </c>
      <c r="J1416">
        <v>7.4</v>
      </c>
      <c r="K1416" t="s">
        <v>257</v>
      </c>
      <c r="L1416" t="s">
        <v>257</v>
      </c>
      <c r="M1416" t="s">
        <v>258</v>
      </c>
      <c r="N1416" s="5">
        <v>0</v>
      </c>
    </row>
    <row r="1417" spans="1:14" x14ac:dyDescent="0.25">
      <c r="A1417" t="s">
        <v>1958</v>
      </c>
      <c r="B1417" t="s">
        <v>67</v>
      </c>
      <c r="C1417" t="str">
        <f>_xlfn.XLOOKUP(Table6[[#This Row],[app_id]],Table5[app_id],Table5[app_name],"",0)</f>
        <v>StyleNow</v>
      </c>
      <c r="D1417" t="str">
        <f>_xlfn.XLOOKUP(Table6[[#This Row],[app_id]],Table5[app_id],Table5[category],"",0)</f>
        <v>Shopping</v>
      </c>
      <c r="E1417" t="s">
        <v>537</v>
      </c>
      <c r="F1417" t="s">
        <v>534</v>
      </c>
      <c r="G1417" t="s">
        <v>35</v>
      </c>
      <c r="H1417" t="s">
        <v>535</v>
      </c>
      <c r="I1417">
        <v>78</v>
      </c>
      <c r="J1417">
        <v>9.1</v>
      </c>
      <c r="K1417" t="s">
        <v>257</v>
      </c>
      <c r="L1417" t="s">
        <v>257</v>
      </c>
      <c r="M1417" t="s">
        <v>258</v>
      </c>
      <c r="N1417" s="5">
        <v>94.67</v>
      </c>
    </row>
    <row r="1418" spans="1:14" x14ac:dyDescent="0.25">
      <c r="A1418" t="s">
        <v>1959</v>
      </c>
      <c r="B1418" t="s">
        <v>70</v>
      </c>
      <c r="C1418" t="str">
        <f>_xlfn.XLOOKUP(Table6[[#This Row],[app_id]],Table5[app_id],Table5[app_name],"",0)</f>
        <v>DealCloud</v>
      </c>
      <c r="D1418" t="str">
        <f>_xlfn.XLOOKUP(Table6[[#This Row],[app_id]],Table5[app_id],Table5[category],"",0)</f>
        <v>Shopping</v>
      </c>
      <c r="E1418" t="s">
        <v>546</v>
      </c>
      <c r="F1418" t="s">
        <v>534</v>
      </c>
      <c r="G1418" t="s">
        <v>23</v>
      </c>
      <c r="H1418" t="s">
        <v>540</v>
      </c>
      <c r="I1418">
        <v>17</v>
      </c>
      <c r="J1418">
        <v>17.7</v>
      </c>
      <c r="K1418" t="s">
        <v>258</v>
      </c>
      <c r="L1418" t="s">
        <v>258</v>
      </c>
      <c r="M1418" t="s">
        <v>258</v>
      </c>
      <c r="N1418" s="5">
        <v>71.45</v>
      </c>
    </row>
    <row r="1419" spans="1:14" x14ac:dyDescent="0.25">
      <c r="A1419" t="s">
        <v>1960</v>
      </c>
      <c r="B1419" t="s">
        <v>72</v>
      </c>
      <c r="C1419" t="str">
        <f>_xlfn.XLOOKUP(Table6[[#This Row],[app_id]],Table5[app_id],Table5[app_name],"",0)</f>
        <v>CartCloud</v>
      </c>
      <c r="D1419" t="str">
        <f>_xlfn.XLOOKUP(Table6[[#This Row],[app_id]],Table5[app_id],Table5[category],"",0)</f>
        <v>Shopping</v>
      </c>
      <c r="E1419" t="s">
        <v>533</v>
      </c>
      <c r="F1419" t="s">
        <v>548</v>
      </c>
      <c r="G1419" t="s">
        <v>23</v>
      </c>
      <c r="H1419" t="s">
        <v>535</v>
      </c>
      <c r="I1419">
        <v>21</v>
      </c>
      <c r="J1419">
        <v>14.5</v>
      </c>
      <c r="K1419" t="s">
        <v>257</v>
      </c>
      <c r="L1419" t="s">
        <v>257</v>
      </c>
      <c r="M1419" t="s">
        <v>258</v>
      </c>
      <c r="N1419" s="5">
        <v>0</v>
      </c>
    </row>
    <row r="1420" spans="1:14" x14ac:dyDescent="0.25">
      <c r="A1420" t="s">
        <v>1961</v>
      </c>
      <c r="B1420" t="s">
        <v>74</v>
      </c>
      <c r="C1420" t="str">
        <f>_xlfn.XLOOKUP(Table6[[#This Row],[app_id]],Table5[app_id],Table5[app_name],"",0)</f>
        <v>CartMate</v>
      </c>
      <c r="D1420" t="str">
        <f>_xlfn.XLOOKUP(Table6[[#This Row],[app_id]],Table5[app_id],Table5[category],"",0)</f>
        <v>Shopping</v>
      </c>
      <c r="E1420" t="s">
        <v>552</v>
      </c>
      <c r="F1420" t="s">
        <v>534</v>
      </c>
      <c r="G1420" t="s">
        <v>61</v>
      </c>
      <c r="H1420" t="s">
        <v>535</v>
      </c>
      <c r="I1420">
        <v>7</v>
      </c>
      <c r="J1420">
        <v>13.9</v>
      </c>
      <c r="K1420" t="s">
        <v>258</v>
      </c>
      <c r="L1420" t="s">
        <v>257</v>
      </c>
      <c r="M1420" t="s">
        <v>258</v>
      </c>
      <c r="N1420" s="5">
        <v>0</v>
      </c>
    </row>
    <row r="1421" spans="1:14" x14ac:dyDescent="0.25">
      <c r="A1421" t="s">
        <v>1962</v>
      </c>
      <c r="B1421" t="s">
        <v>76</v>
      </c>
      <c r="C1421" t="str">
        <f>_xlfn.XLOOKUP(Table6[[#This Row],[app_id]],Table5[app_id],Table5[app_name],"",0)</f>
        <v>BazaarOne</v>
      </c>
      <c r="D1421" t="str">
        <f>_xlfn.XLOOKUP(Table6[[#This Row],[app_id]],Table5[app_id],Table5[category],"",0)</f>
        <v>Shopping</v>
      </c>
      <c r="E1421" t="s">
        <v>533</v>
      </c>
      <c r="F1421" t="s">
        <v>534</v>
      </c>
      <c r="G1421" t="s">
        <v>69</v>
      </c>
      <c r="H1421" t="s">
        <v>535</v>
      </c>
      <c r="I1421">
        <v>43</v>
      </c>
      <c r="J1421">
        <v>18.7</v>
      </c>
      <c r="K1421" t="s">
        <v>257</v>
      </c>
      <c r="L1421" t="s">
        <v>258</v>
      </c>
      <c r="M1421" t="s">
        <v>258</v>
      </c>
      <c r="N1421" s="5">
        <v>0</v>
      </c>
    </row>
    <row r="1422" spans="1:14" x14ac:dyDescent="0.25">
      <c r="A1422" t="s">
        <v>1963</v>
      </c>
      <c r="B1422" t="s">
        <v>78</v>
      </c>
      <c r="C1422" t="str">
        <f>_xlfn.XLOOKUP(Table6[[#This Row],[app_id]],Table5[app_id],Table5[app_name],"",0)</f>
        <v>StyleOne</v>
      </c>
      <c r="D1422" t="str">
        <f>_xlfn.XLOOKUP(Table6[[#This Row],[app_id]],Table5[app_id],Table5[category],"",0)</f>
        <v>Shopping</v>
      </c>
      <c r="E1422" t="s">
        <v>533</v>
      </c>
      <c r="F1422" t="s">
        <v>538</v>
      </c>
      <c r="G1422" t="s">
        <v>69</v>
      </c>
      <c r="H1422" t="s">
        <v>535</v>
      </c>
      <c r="I1422">
        <v>94</v>
      </c>
      <c r="J1422">
        <v>7.6</v>
      </c>
      <c r="K1422" t="s">
        <v>257</v>
      </c>
      <c r="L1422" t="s">
        <v>257</v>
      </c>
      <c r="M1422" t="s">
        <v>258</v>
      </c>
      <c r="N1422" s="5">
        <v>0</v>
      </c>
    </row>
    <row r="1423" spans="1:14" x14ac:dyDescent="0.25">
      <c r="A1423" t="s">
        <v>1964</v>
      </c>
      <c r="B1423" t="s">
        <v>80</v>
      </c>
      <c r="C1423" t="str">
        <f>_xlfn.XLOOKUP(Table6[[#This Row],[app_id]],Table5[app_id],Table5[app_name],"",0)</f>
        <v>Cartly</v>
      </c>
      <c r="D1423" t="str">
        <f>_xlfn.XLOOKUP(Table6[[#This Row],[app_id]],Table5[app_id],Table5[category],"",0)</f>
        <v>Shopping</v>
      </c>
      <c r="E1423" t="s">
        <v>546</v>
      </c>
      <c r="F1423" t="s">
        <v>538</v>
      </c>
      <c r="G1423" t="s">
        <v>35</v>
      </c>
      <c r="H1423" t="s">
        <v>535</v>
      </c>
      <c r="I1423">
        <v>6</v>
      </c>
      <c r="J1423">
        <v>11.3</v>
      </c>
      <c r="K1423" t="s">
        <v>258</v>
      </c>
      <c r="L1423" t="s">
        <v>258</v>
      </c>
      <c r="M1423" t="s">
        <v>258</v>
      </c>
      <c r="N1423" s="5">
        <v>0</v>
      </c>
    </row>
    <row r="1424" spans="1:14" x14ac:dyDescent="0.25">
      <c r="A1424" t="s">
        <v>1965</v>
      </c>
      <c r="B1424" t="s">
        <v>83</v>
      </c>
      <c r="C1424" t="str">
        <f>_xlfn.XLOOKUP(Table6[[#This Row],[app_id]],Table5[app_id],Table5[app_name],"",0)</f>
        <v>BazaarCloud</v>
      </c>
      <c r="D1424" t="str">
        <f>_xlfn.XLOOKUP(Table6[[#This Row],[app_id]],Table5[app_id],Table5[category],"",0)</f>
        <v>Shopping</v>
      </c>
      <c r="E1424" t="s">
        <v>533</v>
      </c>
      <c r="F1424" t="s">
        <v>628</v>
      </c>
      <c r="G1424" t="s">
        <v>69</v>
      </c>
      <c r="H1424" t="s">
        <v>535</v>
      </c>
      <c r="I1424">
        <v>10</v>
      </c>
      <c r="J1424">
        <v>20.3</v>
      </c>
      <c r="K1424" t="s">
        <v>258</v>
      </c>
      <c r="L1424" t="s">
        <v>257</v>
      </c>
      <c r="M1424" t="s">
        <v>258</v>
      </c>
      <c r="N1424" s="5">
        <v>0</v>
      </c>
    </row>
    <row r="1425" spans="1:14" x14ac:dyDescent="0.25">
      <c r="A1425" t="s">
        <v>1966</v>
      </c>
      <c r="B1425" t="s">
        <v>85</v>
      </c>
      <c r="C1425" t="str">
        <f>_xlfn.XLOOKUP(Table6[[#This Row],[app_id]],Table5[app_id],Table5[app_name],"",0)</f>
        <v>CartPro</v>
      </c>
      <c r="D1425" t="str">
        <f>_xlfn.XLOOKUP(Table6[[#This Row],[app_id]],Table5[app_id],Table5[category],"",0)</f>
        <v>Shopping</v>
      </c>
      <c r="E1425" t="s">
        <v>533</v>
      </c>
      <c r="F1425" t="s">
        <v>534</v>
      </c>
      <c r="G1425" t="s">
        <v>46</v>
      </c>
      <c r="H1425" t="s">
        <v>535</v>
      </c>
      <c r="I1425">
        <v>12</v>
      </c>
      <c r="J1425">
        <v>7.2</v>
      </c>
      <c r="K1425" t="s">
        <v>258</v>
      </c>
      <c r="L1425" t="s">
        <v>258</v>
      </c>
      <c r="M1425" t="s">
        <v>257</v>
      </c>
      <c r="N1425" s="5">
        <v>0</v>
      </c>
    </row>
    <row r="1426" spans="1:14" x14ac:dyDescent="0.25">
      <c r="A1426" t="s">
        <v>1967</v>
      </c>
      <c r="B1426" t="s">
        <v>87</v>
      </c>
      <c r="C1426" t="str">
        <f>_xlfn.XLOOKUP(Table6[[#This Row],[app_id]],Table5[app_id],Table5[app_name],"",0)</f>
        <v>RunPlus</v>
      </c>
      <c r="D1426" t="str">
        <f>_xlfn.XLOOKUP(Table6[[#This Row],[app_id]],Table5[app_id],Table5[category],"",0)</f>
        <v>Fitness</v>
      </c>
      <c r="E1426" t="s">
        <v>557</v>
      </c>
      <c r="F1426" t="s">
        <v>538</v>
      </c>
      <c r="G1426" t="s">
        <v>46</v>
      </c>
      <c r="H1426" t="s">
        <v>535</v>
      </c>
      <c r="I1426">
        <v>27</v>
      </c>
      <c r="J1426">
        <v>12</v>
      </c>
      <c r="K1426" t="s">
        <v>257</v>
      </c>
      <c r="L1426" t="s">
        <v>258</v>
      </c>
      <c r="M1426" t="s">
        <v>258</v>
      </c>
      <c r="N1426" s="5">
        <v>34.200000000000003</v>
      </c>
    </row>
    <row r="1427" spans="1:14" x14ac:dyDescent="0.25">
      <c r="A1427" t="s">
        <v>1968</v>
      </c>
      <c r="B1427" t="s">
        <v>90</v>
      </c>
      <c r="C1427" t="str">
        <f>_xlfn.XLOOKUP(Table6[[#This Row],[app_id]],Table5[app_id],Table5[app_name],"",0)</f>
        <v>TrainCloud</v>
      </c>
      <c r="D1427" t="str">
        <f>_xlfn.XLOOKUP(Table6[[#This Row],[app_id]],Table5[app_id],Table5[category],"",0)</f>
        <v>Fitness</v>
      </c>
      <c r="E1427" t="s">
        <v>557</v>
      </c>
      <c r="F1427" t="s">
        <v>538</v>
      </c>
      <c r="G1427" t="s">
        <v>69</v>
      </c>
      <c r="H1427" t="s">
        <v>535</v>
      </c>
      <c r="I1427">
        <v>95</v>
      </c>
      <c r="J1427">
        <v>24.8</v>
      </c>
      <c r="K1427" t="s">
        <v>257</v>
      </c>
      <c r="L1427" t="s">
        <v>257</v>
      </c>
      <c r="M1427" t="s">
        <v>258</v>
      </c>
      <c r="N1427" s="5">
        <v>0</v>
      </c>
    </row>
    <row r="1428" spans="1:14" x14ac:dyDescent="0.25">
      <c r="A1428" t="s">
        <v>1969</v>
      </c>
      <c r="B1428" t="s">
        <v>92</v>
      </c>
      <c r="C1428" t="str">
        <f>_xlfn.XLOOKUP(Table6[[#This Row],[app_id]],Table5[app_id],Table5[app_name],"",0)</f>
        <v>Trainly</v>
      </c>
      <c r="D1428" t="str">
        <f>_xlfn.XLOOKUP(Table6[[#This Row],[app_id]],Table5[app_id],Table5[category],"",0)</f>
        <v>Fitness</v>
      </c>
      <c r="E1428" t="s">
        <v>533</v>
      </c>
      <c r="F1428" t="s">
        <v>538</v>
      </c>
      <c r="G1428" t="s">
        <v>46</v>
      </c>
      <c r="H1428" t="s">
        <v>535</v>
      </c>
      <c r="I1428">
        <v>6</v>
      </c>
      <c r="J1428">
        <v>14.4</v>
      </c>
      <c r="K1428" t="s">
        <v>258</v>
      </c>
      <c r="L1428" t="s">
        <v>258</v>
      </c>
      <c r="M1428" t="s">
        <v>258</v>
      </c>
      <c r="N1428" s="5">
        <v>0</v>
      </c>
    </row>
    <row r="1429" spans="1:14" x14ac:dyDescent="0.25">
      <c r="A1429" t="s">
        <v>1970</v>
      </c>
      <c r="B1429" t="s">
        <v>94</v>
      </c>
      <c r="C1429" t="str">
        <f>_xlfn.XLOOKUP(Table6[[#This Row],[app_id]],Table5[app_id],Table5[app_name],"",0)</f>
        <v>LiftCloud</v>
      </c>
      <c r="D1429" t="str">
        <f>_xlfn.XLOOKUP(Table6[[#This Row],[app_id]],Table5[app_id],Table5[category],"",0)</f>
        <v>Fitness</v>
      </c>
      <c r="E1429" t="s">
        <v>533</v>
      </c>
      <c r="F1429" t="s">
        <v>538</v>
      </c>
      <c r="G1429" t="s">
        <v>35</v>
      </c>
      <c r="H1429" t="s">
        <v>535</v>
      </c>
      <c r="I1429">
        <v>27</v>
      </c>
      <c r="J1429">
        <v>23.9</v>
      </c>
      <c r="K1429" t="s">
        <v>258</v>
      </c>
      <c r="L1429" t="s">
        <v>258</v>
      </c>
      <c r="M1429" t="s">
        <v>258</v>
      </c>
      <c r="N1429" s="5">
        <v>0</v>
      </c>
    </row>
    <row r="1430" spans="1:14" x14ac:dyDescent="0.25">
      <c r="A1430" t="s">
        <v>1971</v>
      </c>
      <c r="B1430" t="s">
        <v>96</v>
      </c>
      <c r="C1430" t="str">
        <f>_xlfn.XLOOKUP(Table6[[#This Row],[app_id]],Table5[app_id],Table5[app_name],"",0)</f>
        <v>MoveNow</v>
      </c>
      <c r="D1430" t="str">
        <f>_xlfn.XLOOKUP(Table6[[#This Row],[app_id]],Table5[app_id],Table5[category],"",0)</f>
        <v>Fitness</v>
      </c>
      <c r="E1430" t="s">
        <v>546</v>
      </c>
      <c r="F1430" t="s">
        <v>534</v>
      </c>
      <c r="G1430" t="s">
        <v>46</v>
      </c>
      <c r="H1430" t="s">
        <v>535</v>
      </c>
      <c r="I1430">
        <v>30</v>
      </c>
      <c r="J1430">
        <v>31.5</v>
      </c>
      <c r="K1430" t="s">
        <v>257</v>
      </c>
      <c r="L1430" t="s">
        <v>257</v>
      </c>
      <c r="M1430" t="s">
        <v>258</v>
      </c>
      <c r="N1430" s="5">
        <v>0</v>
      </c>
    </row>
    <row r="1431" spans="1:14" x14ac:dyDescent="0.25">
      <c r="A1431" t="s">
        <v>1972</v>
      </c>
      <c r="B1431" t="s">
        <v>98</v>
      </c>
      <c r="C1431" t="str">
        <f>_xlfn.XLOOKUP(Table6[[#This Row],[app_id]],Table5[app_id],Table5[app_name],"",0)</f>
        <v>ActiveMate</v>
      </c>
      <c r="D1431" t="str">
        <f>_xlfn.XLOOKUP(Table6[[#This Row],[app_id]],Table5[app_id],Table5[category],"",0)</f>
        <v>Fitness</v>
      </c>
      <c r="E1431" t="s">
        <v>533</v>
      </c>
      <c r="F1431" t="s">
        <v>534</v>
      </c>
      <c r="G1431" t="s">
        <v>23</v>
      </c>
      <c r="H1431" t="s">
        <v>540</v>
      </c>
      <c r="I1431">
        <v>91</v>
      </c>
      <c r="J1431">
        <v>29.7</v>
      </c>
      <c r="K1431" t="s">
        <v>257</v>
      </c>
      <c r="L1431" t="s">
        <v>257</v>
      </c>
      <c r="M1431" t="s">
        <v>258</v>
      </c>
      <c r="N1431" s="5">
        <v>0</v>
      </c>
    </row>
    <row r="1432" spans="1:14" x14ac:dyDescent="0.25">
      <c r="A1432" t="s">
        <v>1973</v>
      </c>
      <c r="B1432" t="s">
        <v>100</v>
      </c>
      <c r="C1432" t="str">
        <f>_xlfn.XLOOKUP(Table6[[#This Row],[app_id]],Table5[app_id],Table5[app_name],"",0)</f>
        <v>RunGo</v>
      </c>
      <c r="D1432" t="str">
        <f>_xlfn.XLOOKUP(Table6[[#This Row],[app_id]],Table5[app_id],Table5[category],"",0)</f>
        <v>Fitness</v>
      </c>
      <c r="E1432" t="s">
        <v>537</v>
      </c>
      <c r="F1432" t="s">
        <v>628</v>
      </c>
      <c r="G1432" t="s">
        <v>18</v>
      </c>
      <c r="H1432" t="s">
        <v>535</v>
      </c>
      <c r="I1432">
        <v>95</v>
      </c>
      <c r="J1432">
        <v>11.3</v>
      </c>
      <c r="K1432" t="s">
        <v>257</v>
      </c>
      <c r="L1432" t="s">
        <v>257</v>
      </c>
      <c r="M1432" t="s">
        <v>258</v>
      </c>
      <c r="N1432" s="5">
        <v>0</v>
      </c>
    </row>
    <row r="1433" spans="1:14" x14ac:dyDescent="0.25">
      <c r="A1433" t="s">
        <v>1974</v>
      </c>
      <c r="B1433" t="s">
        <v>102</v>
      </c>
      <c r="C1433" t="str">
        <f>_xlfn.XLOOKUP(Table6[[#This Row],[app_id]],Table5[app_id],Table5[app_name],"",0)</f>
        <v>LiftPro</v>
      </c>
      <c r="D1433" t="str">
        <f>_xlfn.XLOOKUP(Table6[[#This Row],[app_id]],Table5[app_id],Table5[category],"",0)</f>
        <v>Fitness</v>
      </c>
      <c r="E1433" t="s">
        <v>533</v>
      </c>
      <c r="F1433" t="s">
        <v>538</v>
      </c>
      <c r="G1433" t="s">
        <v>35</v>
      </c>
      <c r="H1433" t="s">
        <v>535</v>
      </c>
      <c r="I1433">
        <v>93</v>
      </c>
      <c r="J1433">
        <v>19.2</v>
      </c>
      <c r="K1433" t="s">
        <v>257</v>
      </c>
      <c r="L1433" t="s">
        <v>257</v>
      </c>
      <c r="M1433" t="s">
        <v>258</v>
      </c>
      <c r="N1433" s="5">
        <v>0</v>
      </c>
    </row>
    <row r="1434" spans="1:14" x14ac:dyDescent="0.25">
      <c r="A1434" t="s">
        <v>1975</v>
      </c>
      <c r="B1434" t="s">
        <v>104</v>
      </c>
      <c r="C1434" t="str">
        <f>_xlfn.XLOOKUP(Table6[[#This Row],[app_id]],Table5[app_id],Table5[app_name],"",0)</f>
        <v>LiftPro</v>
      </c>
      <c r="D1434" t="str">
        <f>_xlfn.XLOOKUP(Table6[[#This Row],[app_id]],Table5[app_id],Table5[category],"",0)</f>
        <v>Fitness</v>
      </c>
      <c r="E1434" t="s">
        <v>557</v>
      </c>
      <c r="F1434" t="s">
        <v>534</v>
      </c>
      <c r="G1434" t="s">
        <v>18</v>
      </c>
      <c r="H1434" t="s">
        <v>535</v>
      </c>
      <c r="I1434">
        <v>50</v>
      </c>
      <c r="J1434">
        <v>37.700000000000003</v>
      </c>
      <c r="K1434" t="s">
        <v>257</v>
      </c>
      <c r="L1434" t="s">
        <v>257</v>
      </c>
      <c r="M1434" t="s">
        <v>258</v>
      </c>
      <c r="N1434" s="5">
        <v>0</v>
      </c>
    </row>
    <row r="1435" spans="1:14" x14ac:dyDescent="0.25">
      <c r="A1435" t="s">
        <v>1976</v>
      </c>
      <c r="B1435" t="s">
        <v>105</v>
      </c>
      <c r="C1435" t="str">
        <f>_xlfn.XLOOKUP(Table6[[#This Row],[app_id]],Table5[app_id],Table5[app_name],"",0)</f>
        <v>Liftly</v>
      </c>
      <c r="D1435" t="str">
        <f>_xlfn.XLOOKUP(Table6[[#This Row],[app_id]],Table5[app_id],Table5[category],"",0)</f>
        <v>Fitness</v>
      </c>
      <c r="E1435" t="s">
        <v>537</v>
      </c>
      <c r="F1435" t="s">
        <v>534</v>
      </c>
      <c r="G1435" t="s">
        <v>35</v>
      </c>
      <c r="H1435" t="s">
        <v>535</v>
      </c>
      <c r="I1435">
        <v>3</v>
      </c>
      <c r="J1435">
        <v>31.6</v>
      </c>
      <c r="K1435" t="s">
        <v>258</v>
      </c>
      <c r="L1435" t="s">
        <v>257</v>
      </c>
      <c r="M1435" t="s">
        <v>258</v>
      </c>
      <c r="N1435" s="5">
        <v>0</v>
      </c>
    </row>
    <row r="1436" spans="1:14" x14ac:dyDescent="0.25">
      <c r="A1436" t="s">
        <v>1977</v>
      </c>
      <c r="B1436" t="s">
        <v>107</v>
      </c>
      <c r="C1436" t="str">
        <f>_xlfn.XLOOKUP(Table6[[#This Row],[app_id]],Table5[app_id],Table5[app_name],"",0)</f>
        <v>YogaHub</v>
      </c>
      <c r="D1436" t="str">
        <f>_xlfn.XLOOKUP(Table6[[#This Row],[app_id]],Table5[app_id],Table5[category],"",0)</f>
        <v>Fitness</v>
      </c>
      <c r="E1436" t="s">
        <v>546</v>
      </c>
      <c r="F1436" t="s">
        <v>538</v>
      </c>
      <c r="G1436" t="s">
        <v>18</v>
      </c>
      <c r="H1436" t="s">
        <v>535</v>
      </c>
      <c r="I1436">
        <v>91</v>
      </c>
      <c r="J1436">
        <v>17.100000000000001</v>
      </c>
      <c r="K1436" t="s">
        <v>257</v>
      </c>
      <c r="L1436" t="s">
        <v>257</v>
      </c>
      <c r="M1436" t="s">
        <v>258</v>
      </c>
      <c r="N1436" s="5">
        <v>0</v>
      </c>
    </row>
    <row r="1437" spans="1:14" x14ac:dyDescent="0.25">
      <c r="A1437" t="s">
        <v>1978</v>
      </c>
      <c r="B1437" t="s">
        <v>109</v>
      </c>
      <c r="C1437" t="str">
        <f>_xlfn.XLOOKUP(Table6[[#This Row],[app_id]],Table5[app_id],Table5[app_name],"",0)</f>
        <v>MoveGo</v>
      </c>
      <c r="D1437" t="str">
        <f>_xlfn.XLOOKUP(Table6[[#This Row],[app_id]],Table5[app_id],Table5[category],"",0)</f>
        <v>Fitness</v>
      </c>
      <c r="E1437" t="s">
        <v>546</v>
      </c>
      <c r="F1437" t="s">
        <v>548</v>
      </c>
      <c r="G1437" t="s">
        <v>30</v>
      </c>
      <c r="H1437" t="s">
        <v>535</v>
      </c>
      <c r="I1437">
        <v>16</v>
      </c>
      <c r="J1437">
        <v>33.700000000000003</v>
      </c>
      <c r="K1437" t="s">
        <v>258</v>
      </c>
      <c r="L1437" t="s">
        <v>257</v>
      </c>
      <c r="M1437" t="s">
        <v>257</v>
      </c>
      <c r="N1437" s="5">
        <v>32.01</v>
      </c>
    </row>
    <row r="1438" spans="1:14" x14ac:dyDescent="0.25">
      <c r="A1438" t="s">
        <v>1979</v>
      </c>
      <c r="B1438" t="s">
        <v>111</v>
      </c>
      <c r="C1438" t="str">
        <f>_xlfn.XLOOKUP(Table6[[#This Row],[app_id]],Table5[app_id],Table5[app_name],"",0)</f>
        <v>BrightNow</v>
      </c>
      <c r="D1438" t="str">
        <f>_xlfn.XLOOKUP(Table6[[#This Row],[app_id]],Table5[app_id],Table5[category],"",0)</f>
        <v>Education</v>
      </c>
      <c r="E1438" t="s">
        <v>537</v>
      </c>
      <c r="F1438" t="s">
        <v>534</v>
      </c>
      <c r="G1438" t="s">
        <v>30</v>
      </c>
      <c r="H1438" t="s">
        <v>535</v>
      </c>
      <c r="I1438">
        <v>16</v>
      </c>
      <c r="J1438">
        <v>33.6</v>
      </c>
      <c r="K1438" t="s">
        <v>257</v>
      </c>
      <c r="L1438" t="s">
        <v>257</v>
      </c>
      <c r="M1438" t="s">
        <v>258</v>
      </c>
      <c r="N1438" s="5">
        <v>0</v>
      </c>
    </row>
    <row r="1439" spans="1:14" x14ac:dyDescent="0.25">
      <c r="A1439" t="s">
        <v>1980</v>
      </c>
      <c r="B1439" t="s">
        <v>114</v>
      </c>
      <c r="C1439" t="str">
        <f>_xlfn.XLOOKUP(Table6[[#This Row],[app_id]],Table5[app_id],Table5[app_name],"",0)</f>
        <v>StudyCloud</v>
      </c>
      <c r="D1439" t="str">
        <f>_xlfn.XLOOKUP(Table6[[#This Row],[app_id]],Table5[app_id],Table5[category],"",0)</f>
        <v>Education</v>
      </c>
      <c r="E1439" t="s">
        <v>537</v>
      </c>
      <c r="F1439" t="s">
        <v>538</v>
      </c>
      <c r="G1439" t="s">
        <v>26</v>
      </c>
      <c r="H1439" t="s">
        <v>535</v>
      </c>
      <c r="I1439">
        <v>89</v>
      </c>
      <c r="J1439">
        <v>15.2</v>
      </c>
      <c r="K1439" t="s">
        <v>257</v>
      </c>
      <c r="L1439" t="s">
        <v>257</v>
      </c>
      <c r="M1439" t="s">
        <v>258</v>
      </c>
      <c r="N1439" s="5">
        <v>0</v>
      </c>
    </row>
    <row r="1440" spans="1:14" x14ac:dyDescent="0.25">
      <c r="A1440" t="s">
        <v>1981</v>
      </c>
      <c r="B1440" t="s">
        <v>116</v>
      </c>
      <c r="C1440" t="str">
        <f>_xlfn.XLOOKUP(Table6[[#This Row],[app_id]],Table5[app_id],Table5[app_name],"",0)</f>
        <v>SkillNow</v>
      </c>
      <c r="D1440" t="str">
        <f>_xlfn.XLOOKUP(Table6[[#This Row],[app_id]],Table5[app_id],Table5[category],"",0)</f>
        <v>Education</v>
      </c>
      <c r="E1440" t="s">
        <v>533</v>
      </c>
      <c r="F1440" t="s">
        <v>628</v>
      </c>
      <c r="G1440" t="s">
        <v>18</v>
      </c>
      <c r="H1440" t="s">
        <v>540</v>
      </c>
      <c r="I1440">
        <v>5</v>
      </c>
      <c r="J1440">
        <v>30.5</v>
      </c>
      <c r="K1440" t="s">
        <v>258</v>
      </c>
      <c r="L1440" t="s">
        <v>258</v>
      </c>
      <c r="M1440" t="s">
        <v>258</v>
      </c>
      <c r="N1440" s="5">
        <v>0</v>
      </c>
    </row>
    <row r="1441" spans="1:14" x14ac:dyDescent="0.25">
      <c r="A1441" t="s">
        <v>1982</v>
      </c>
      <c r="B1441" t="s">
        <v>118</v>
      </c>
      <c r="C1441" t="str">
        <f>_xlfn.XLOOKUP(Table6[[#This Row],[app_id]],Table5[app_id],Table5[app_name],"",0)</f>
        <v>LearnMate</v>
      </c>
      <c r="D1441" t="str">
        <f>_xlfn.XLOOKUP(Table6[[#This Row],[app_id]],Table5[app_id],Table5[category],"",0)</f>
        <v>Education</v>
      </c>
      <c r="E1441" t="s">
        <v>533</v>
      </c>
      <c r="F1441" t="s">
        <v>534</v>
      </c>
      <c r="G1441" t="s">
        <v>35</v>
      </c>
      <c r="H1441" t="s">
        <v>535</v>
      </c>
      <c r="I1441">
        <v>20</v>
      </c>
      <c r="J1441">
        <v>27.6</v>
      </c>
      <c r="K1441" t="s">
        <v>258</v>
      </c>
      <c r="L1441" t="s">
        <v>258</v>
      </c>
      <c r="M1441" t="s">
        <v>258</v>
      </c>
      <c r="N1441" s="5">
        <v>0</v>
      </c>
    </row>
    <row r="1442" spans="1:14" x14ac:dyDescent="0.25">
      <c r="A1442" t="s">
        <v>1983</v>
      </c>
      <c r="B1442" t="s">
        <v>120</v>
      </c>
      <c r="C1442" t="str">
        <f>_xlfn.XLOOKUP(Table6[[#This Row],[app_id]],Table5[app_id],Table5[app_name],"",0)</f>
        <v>QuestNow</v>
      </c>
      <c r="D1442" t="str">
        <f>_xlfn.XLOOKUP(Table6[[#This Row],[app_id]],Table5[app_id],Table5[category],"",0)</f>
        <v>Education</v>
      </c>
      <c r="E1442" t="s">
        <v>533</v>
      </c>
      <c r="F1442" t="s">
        <v>534</v>
      </c>
      <c r="G1442" t="s">
        <v>26</v>
      </c>
      <c r="H1442" t="s">
        <v>535</v>
      </c>
      <c r="I1442">
        <v>21</v>
      </c>
      <c r="J1442">
        <v>34.1</v>
      </c>
      <c r="K1442" t="s">
        <v>258</v>
      </c>
      <c r="L1442" t="s">
        <v>258</v>
      </c>
      <c r="M1442" t="s">
        <v>257</v>
      </c>
      <c r="N1442" s="5">
        <v>0</v>
      </c>
    </row>
    <row r="1443" spans="1:14" x14ac:dyDescent="0.25">
      <c r="A1443" t="s">
        <v>1984</v>
      </c>
      <c r="B1443" t="s">
        <v>122</v>
      </c>
      <c r="C1443" t="str">
        <f>_xlfn.XLOOKUP(Table6[[#This Row],[app_id]],Table5[app_id],Table5[app_name],"",0)</f>
        <v>SkillHub</v>
      </c>
      <c r="D1443" t="str">
        <f>_xlfn.XLOOKUP(Table6[[#This Row],[app_id]],Table5[app_id],Table5[category],"",0)</f>
        <v>Education</v>
      </c>
      <c r="E1443" t="s">
        <v>546</v>
      </c>
      <c r="F1443" t="s">
        <v>548</v>
      </c>
      <c r="G1443" t="s">
        <v>35</v>
      </c>
      <c r="H1443" t="s">
        <v>535</v>
      </c>
      <c r="I1443">
        <v>6</v>
      </c>
      <c r="J1443">
        <v>18.5</v>
      </c>
      <c r="K1443" t="s">
        <v>258</v>
      </c>
      <c r="L1443" t="s">
        <v>258</v>
      </c>
      <c r="M1443" t="s">
        <v>258</v>
      </c>
      <c r="N1443" s="5">
        <v>26.62</v>
      </c>
    </row>
    <row r="1444" spans="1:14" x14ac:dyDescent="0.25">
      <c r="A1444" t="s">
        <v>1985</v>
      </c>
      <c r="B1444" t="s">
        <v>124</v>
      </c>
      <c r="C1444" t="str">
        <f>_xlfn.XLOOKUP(Table6[[#This Row],[app_id]],Table5[app_id],Table5[app_name],"",0)</f>
        <v>TutorCloud</v>
      </c>
      <c r="D1444" t="str">
        <f>_xlfn.XLOOKUP(Table6[[#This Row],[app_id]],Table5[app_id],Table5[category],"",0)</f>
        <v>Education</v>
      </c>
      <c r="E1444" t="s">
        <v>533</v>
      </c>
      <c r="F1444" t="s">
        <v>548</v>
      </c>
      <c r="G1444" t="s">
        <v>18</v>
      </c>
      <c r="H1444" t="s">
        <v>535</v>
      </c>
      <c r="I1444">
        <v>15</v>
      </c>
      <c r="J1444">
        <v>10.1</v>
      </c>
      <c r="K1444" t="s">
        <v>258</v>
      </c>
      <c r="L1444" t="s">
        <v>257</v>
      </c>
      <c r="M1444" t="s">
        <v>257</v>
      </c>
      <c r="N1444" s="5">
        <v>0</v>
      </c>
    </row>
    <row r="1445" spans="1:14" x14ac:dyDescent="0.25">
      <c r="A1445" t="s">
        <v>1986</v>
      </c>
      <c r="B1445" t="s">
        <v>126</v>
      </c>
      <c r="C1445" t="str">
        <f>_xlfn.XLOOKUP(Table6[[#This Row],[app_id]],Table5[app_id],Table5[app_name],"",0)</f>
        <v>SkillOne</v>
      </c>
      <c r="D1445" t="str">
        <f>_xlfn.XLOOKUP(Table6[[#This Row],[app_id]],Table5[app_id],Table5[category],"",0)</f>
        <v>Education</v>
      </c>
      <c r="E1445" t="s">
        <v>537</v>
      </c>
      <c r="F1445" t="s">
        <v>534</v>
      </c>
      <c r="G1445" t="s">
        <v>69</v>
      </c>
      <c r="H1445" t="s">
        <v>535</v>
      </c>
      <c r="I1445">
        <v>8</v>
      </c>
      <c r="J1445">
        <v>10.5</v>
      </c>
      <c r="K1445" t="s">
        <v>258</v>
      </c>
      <c r="L1445" t="s">
        <v>257</v>
      </c>
      <c r="M1445" t="s">
        <v>258</v>
      </c>
      <c r="N1445" s="5">
        <v>0</v>
      </c>
    </row>
    <row r="1446" spans="1:14" x14ac:dyDescent="0.25">
      <c r="A1446" t="s">
        <v>1987</v>
      </c>
      <c r="B1446" t="s">
        <v>128</v>
      </c>
      <c r="C1446" t="str">
        <f>_xlfn.XLOOKUP(Table6[[#This Row],[app_id]],Table5[app_id],Table5[app_name],"",0)</f>
        <v>LearnOne</v>
      </c>
      <c r="D1446" t="str">
        <f>_xlfn.XLOOKUP(Table6[[#This Row],[app_id]],Table5[app_id],Table5[category],"",0)</f>
        <v>Education</v>
      </c>
      <c r="E1446" t="s">
        <v>552</v>
      </c>
      <c r="F1446" t="s">
        <v>534</v>
      </c>
      <c r="G1446" t="s">
        <v>61</v>
      </c>
      <c r="H1446" t="s">
        <v>535</v>
      </c>
      <c r="I1446">
        <v>7</v>
      </c>
      <c r="J1446">
        <v>30.2</v>
      </c>
      <c r="K1446" t="s">
        <v>258</v>
      </c>
      <c r="L1446" t="s">
        <v>258</v>
      </c>
      <c r="M1446" t="s">
        <v>258</v>
      </c>
      <c r="N1446" s="5">
        <v>0</v>
      </c>
    </row>
    <row r="1447" spans="1:14" x14ac:dyDescent="0.25">
      <c r="A1447" t="s">
        <v>1988</v>
      </c>
      <c r="B1447" t="s">
        <v>130</v>
      </c>
      <c r="C1447" t="str">
        <f>_xlfn.XLOOKUP(Table6[[#This Row],[app_id]],Table5[app_id],Table5[app_name],"",0)</f>
        <v>LearnPlus</v>
      </c>
      <c r="D1447" t="str">
        <f>_xlfn.XLOOKUP(Table6[[#This Row],[app_id]],Table5[app_id],Table5[category],"",0)</f>
        <v>Education</v>
      </c>
      <c r="E1447" t="s">
        <v>533</v>
      </c>
      <c r="F1447" t="s">
        <v>538</v>
      </c>
      <c r="G1447" t="s">
        <v>35</v>
      </c>
      <c r="H1447" t="s">
        <v>535</v>
      </c>
      <c r="I1447">
        <v>19</v>
      </c>
      <c r="J1447">
        <v>36.700000000000003</v>
      </c>
      <c r="K1447" t="s">
        <v>258</v>
      </c>
      <c r="L1447" t="s">
        <v>257</v>
      </c>
      <c r="M1447" t="s">
        <v>258</v>
      </c>
      <c r="N1447" s="5">
        <v>41.14</v>
      </c>
    </row>
    <row r="1448" spans="1:14" x14ac:dyDescent="0.25">
      <c r="A1448" t="s">
        <v>1989</v>
      </c>
      <c r="B1448" t="s">
        <v>132</v>
      </c>
      <c r="C1448" t="str">
        <f>_xlfn.XLOOKUP(Table6[[#This Row],[app_id]],Table5[app_id],Table5[app_name],"",0)</f>
        <v>StudyPlus</v>
      </c>
      <c r="D1448" t="str">
        <f>_xlfn.XLOOKUP(Table6[[#This Row],[app_id]],Table5[app_id],Table5[category],"",0)</f>
        <v>Education</v>
      </c>
      <c r="E1448" t="s">
        <v>546</v>
      </c>
      <c r="F1448" t="s">
        <v>538</v>
      </c>
      <c r="G1448" t="s">
        <v>23</v>
      </c>
      <c r="H1448" t="s">
        <v>535</v>
      </c>
      <c r="I1448">
        <v>90</v>
      </c>
      <c r="J1448">
        <v>40.200000000000003</v>
      </c>
      <c r="K1448" t="s">
        <v>257</v>
      </c>
      <c r="L1448" t="s">
        <v>257</v>
      </c>
      <c r="M1448" t="s">
        <v>258</v>
      </c>
      <c r="N1448" s="5">
        <v>0</v>
      </c>
    </row>
    <row r="1449" spans="1:14" x14ac:dyDescent="0.25">
      <c r="A1449" t="s">
        <v>1990</v>
      </c>
      <c r="B1449" t="s">
        <v>134</v>
      </c>
      <c r="C1449" t="str">
        <f>_xlfn.XLOOKUP(Table6[[#This Row],[app_id]],Table5[app_id],Table5[app_name],"",0)</f>
        <v>StudyX</v>
      </c>
      <c r="D1449" t="str">
        <f>_xlfn.XLOOKUP(Table6[[#This Row],[app_id]],Table5[app_id],Table5[category],"",0)</f>
        <v>Education</v>
      </c>
      <c r="E1449" t="s">
        <v>537</v>
      </c>
      <c r="F1449" t="s">
        <v>534</v>
      </c>
      <c r="G1449" t="s">
        <v>46</v>
      </c>
      <c r="H1449" t="s">
        <v>535</v>
      </c>
      <c r="I1449">
        <v>87</v>
      </c>
      <c r="J1449">
        <v>38.5</v>
      </c>
      <c r="K1449" t="s">
        <v>257</v>
      </c>
      <c r="L1449" t="s">
        <v>258</v>
      </c>
      <c r="M1449" t="s">
        <v>258</v>
      </c>
      <c r="N1449" s="5">
        <v>27.19</v>
      </c>
    </row>
    <row r="1450" spans="1:14" x14ac:dyDescent="0.25">
      <c r="A1450" t="s">
        <v>1991</v>
      </c>
      <c r="B1450" t="s">
        <v>136</v>
      </c>
      <c r="C1450" t="str">
        <f>_xlfn.XLOOKUP(Table6[[#This Row],[app_id]],Table5[app_id],Table5[app_name],"",0)</f>
        <v>PlayPlus</v>
      </c>
      <c r="D1450" t="str">
        <f>_xlfn.XLOOKUP(Table6[[#This Row],[app_id]],Table5[app_id],Table5[category],"",0)</f>
        <v>Entertainment</v>
      </c>
      <c r="E1450" t="s">
        <v>552</v>
      </c>
      <c r="F1450" t="s">
        <v>538</v>
      </c>
      <c r="G1450" t="s">
        <v>69</v>
      </c>
      <c r="H1450" t="s">
        <v>535</v>
      </c>
      <c r="I1450">
        <v>12</v>
      </c>
      <c r="J1450">
        <v>34.799999999999997</v>
      </c>
      <c r="K1450" t="s">
        <v>258</v>
      </c>
      <c r="L1450" t="s">
        <v>258</v>
      </c>
      <c r="M1450" t="s">
        <v>257</v>
      </c>
      <c r="N1450" s="5">
        <v>0</v>
      </c>
    </row>
    <row r="1451" spans="1:14" x14ac:dyDescent="0.25">
      <c r="A1451" t="s">
        <v>1992</v>
      </c>
      <c r="B1451" t="s">
        <v>139</v>
      </c>
      <c r="C1451" t="str">
        <f>_xlfn.XLOOKUP(Table6[[#This Row],[app_id]],Table5[app_id],Table5[app_name],"",0)</f>
        <v>ShowMate</v>
      </c>
      <c r="D1451" t="str">
        <f>_xlfn.XLOOKUP(Table6[[#This Row],[app_id]],Table5[app_id],Table5[category],"",0)</f>
        <v>Entertainment</v>
      </c>
      <c r="E1451" t="s">
        <v>557</v>
      </c>
      <c r="F1451" t="s">
        <v>538</v>
      </c>
      <c r="G1451" t="s">
        <v>26</v>
      </c>
      <c r="H1451" t="s">
        <v>535</v>
      </c>
      <c r="I1451">
        <v>15</v>
      </c>
      <c r="J1451">
        <v>12.9</v>
      </c>
      <c r="K1451" t="s">
        <v>258</v>
      </c>
      <c r="L1451" t="s">
        <v>258</v>
      </c>
      <c r="M1451" t="s">
        <v>257</v>
      </c>
      <c r="N1451" s="5">
        <v>0</v>
      </c>
    </row>
    <row r="1452" spans="1:14" x14ac:dyDescent="0.25">
      <c r="A1452" t="s">
        <v>1993</v>
      </c>
      <c r="B1452" t="s">
        <v>141</v>
      </c>
      <c r="C1452" t="str">
        <f>_xlfn.XLOOKUP(Table6[[#This Row],[app_id]],Table5[app_id],Table5[app_name],"",0)</f>
        <v>VibeX</v>
      </c>
      <c r="D1452" t="str">
        <f>_xlfn.XLOOKUP(Table6[[#This Row],[app_id]],Table5[app_id],Table5[category],"",0)</f>
        <v>Entertainment</v>
      </c>
      <c r="E1452" t="s">
        <v>557</v>
      </c>
      <c r="F1452" t="s">
        <v>548</v>
      </c>
      <c r="G1452" t="s">
        <v>18</v>
      </c>
      <c r="H1452" t="s">
        <v>535</v>
      </c>
      <c r="I1452">
        <v>66</v>
      </c>
      <c r="J1452">
        <v>13.1</v>
      </c>
      <c r="K1452" t="s">
        <v>257</v>
      </c>
      <c r="L1452" t="s">
        <v>257</v>
      </c>
      <c r="M1452" t="s">
        <v>258</v>
      </c>
      <c r="N1452" s="5">
        <v>44.18</v>
      </c>
    </row>
    <row r="1453" spans="1:14" x14ac:dyDescent="0.25">
      <c r="A1453" t="s">
        <v>1994</v>
      </c>
      <c r="B1453" t="s">
        <v>143</v>
      </c>
      <c r="C1453" t="str">
        <f>_xlfn.XLOOKUP(Table6[[#This Row],[app_id]],Table5[app_id],Table5[app_name],"",0)</f>
        <v>BuzzNow</v>
      </c>
      <c r="D1453" t="str">
        <f>_xlfn.XLOOKUP(Table6[[#This Row],[app_id]],Table5[app_id],Table5[category],"",0)</f>
        <v>Entertainment</v>
      </c>
      <c r="E1453" t="s">
        <v>533</v>
      </c>
      <c r="F1453" t="s">
        <v>538</v>
      </c>
      <c r="G1453" t="s">
        <v>69</v>
      </c>
      <c r="H1453" t="s">
        <v>540</v>
      </c>
      <c r="I1453">
        <v>81</v>
      </c>
      <c r="J1453">
        <v>19.899999999999999</v>
      </c>
      <c r="K1453" t="s">
        <v>257</v>
      </c>
      <c r="L1453" t="s">
        <v>257</v>
      </c>
      <c r="M1453" t="s">
        <v>258</v>
      </c>
      <c r="N1453" s="5">
        <v>17.71</v>
      </c>
    </row>
    <row r="1454" spans="1:14" x14ac:dyDescent="0.25">
      <c r="A1454" t="s">
        <v>1995</v>
      </c>
      <c r="B1454" t="s">
        <v>145</v>
      </c>
      <c r="C1454" t="str">
        <f>_xlfn.XLOOKUP(Table6[[#This Row],[app_id]],Table5[app_id],Table5[app_name],"",0)</f>
        <v>StreamPlus</v>
      </c>
      <c r="D1454" t="str">
        <f>_xlfn.XLOOKUP(Table6[[#This Row],[app_id]],Table5[app_id],Table5[category],"",0)</f>
        <v>Entertainment</v>
      </c>
      <c r="E1454" t="s">
        <v>546</v>
      </c>
      <c r="F1454" t="s">
        <v>538</v>
      </c>
      <c r="G1454" t="s">
        <v>30</v>
      </c>
      <c r="H1454" t="s">
        <v>535</v>
      </c>
      <c r="I1454">
        <v>47</v>
      </c>
      <c r="J1454">
        <v>19.100000000000001</v>
      </c>
      <c r="K1454" t="s">
        <v>257</v>
      </c>
      <c r="L1454" t="s">
        <v>257</v>
      </c>
      <c r="M1454" t="s">
        <v>258</v>
      </c>
      <c r="N1454" s="5">
        <v>0</v>
      </c>
    </row>
    <row r="1455" spans="1:14" x14ac:dyDescent="0.25">
      <c r="A1455" t="s">
        <v>1996</v>
      </c>
      <c r="B1455" t="s">
        <v>147</v>
      </c>
      <c r="C1455" t="str">
        <f>_xlfn.XLOOKUP(Table6[[#This Row],[app_id]],Table5[app_id],Table5[app_name],"",0)</f>
        <v>Showly</v>
      </c>
      <c r="D1455" t="str">
        <f>_xlfn.XLOOKUP(Table6[[#This Row],[app_id]],Table5[app_id],Table5[category],"",0)</f>
        <v>Entertainment</v>
      </c>
      <c r="E1455" t="s">
        <v>533</v>
      </c>
      <c r="F1455" t="s">
        <v>534</v>
      </c>
      <c r="G1455" t="s">
        <v>61</v>
      </c>
      <c r="H1455" t="s">
        <v>540</v>
      </c>
      <c r="I1455">
        <v>83</v>
      </c>
      <c r="J1455">
        <v>15.6</v>
      </c>
      <c r="K1455" t="s">
        <v>257</v>
      </c>
      <c r="L1455" t="s">
        <v>258</v>
      </c>
      <c r="M1455" t="s">
        <v>257</v>
      </c>
      <c r="N1455" s="5">
        <v>0</v>
      </c>
    </row>
    <row r="1456" spans="1:14" x14ac:dyDescent="0.25">
      <c r="A1456" t="s">
        <v>1997</v>
      </c>
      <c r="B1456" t="s">
        <v>149</v>
      </c>
      <c r="C1456" t="str">
        <f>_xlfn.XLOOKUP(Table6[[#This Row],[app_id]],Table5[app_id],Table5[app_name],"",0)</f>
        <v>BuzzOne</v>
      </c>
      <c r="D1456" t="str">
        <f>_xlfn.XLOOKUP(Table6[[#This Row],[app_id]],Table5[app_id],Table5[category],"",0)</f>
        <v>Entertainment</v>
      </c>
      <c r="E1456" t="s">
        <v>533</v>
      </c>
      <c r="F1456" t="s">
        <v>534</v>
      </c>
      <c r="G1456" t="s">
        <v>61</v>
      </c>
      <c r="H1456" t="s">
        <v>535</v>
      </c>
      <c r="I1456">
        <v>17</v>
      </c>
      <c r="J1456">
        <v>33.700000000000003</v>
      </c>
      <c r="K1456" t="s">
        <v>257</v>
      </c>
      <c r="L1456" t="s">
        <v>257</v>
      </c>
      <c r="M1456" t="s">
        <v>258</v>
      </c>
      <c r="N1456" s="5">
        <v>0</v>
      </c>
    </row>
    <row r="1457" spans="1:14" x14ac:dyDescent="0.25">
      <c r="A1457" t="s">
        <v>1998</v>
      </c>
      <c r="B1457" t="s">
        <v>151</v>
      </c>
      <c r="C1457" t="str">
        <f>_xlfn.XLOOKUP(Table6[[#This Row],[app_id]],Table5[app_id],Table5[app_name],"",0)</f>
        <v>PlayHub</v>
      </c>
      <c r="D1457" t="str">
        <f>_xlfn.XLOOKUP(Table6[[#This Row],[app_id]],Table5[app_id],Table5[category],"",0)</f>
        <v>Entertainment</v>
      </c>
      <c r="E1457" t="s">
        <v>546</v>
      </c>
      <c r="F1457" t="s">
        <v>548</v>
      </c>
      <c r="G1457" t="s">
        <v>23</v>
      </c>
      <c r="H1457" t="s">
        <v>535</v>
      </c>
      <c r="I1457">
        <v>18</v>
      </c>
      <c r="J1457">
        <v>13</v>
      </c>
      <c r="K1457" t="s">
        <v>258</v>
      </c>
      <c r="L1457" t="s">
        <v>258</v>
      </c>
      <c r="M1457" t="s">
        <v>258</v>
      </c>
      <c r="N1457" s="5">
        <v>0</v>
      </c>
    </row>
    <row r="1458" spans="1:14" x14ac:dyDescent="0.25">
      <c r="A1458" t="s">
        <v>1999</v>
      </c>
      <c r="B1458" t="s">
        <v>153</v>
      </c>
      <c r="C1458" t="str">
        <f>_xlfn.XLOOKUP(Table6[[#This Row],[app_id]],Table5[app_id],Table5[app_name],"",0)</f>
        <v>CinemaGo</v>
      </c>
      <c r="D1458" t="str">
        <f>_xlfn.XLOOKUP(Table6[[#This Row],[app_id]],Table5[app_id],Table5[category],"",0)</f>
        <v>Entertainment</v>
      </c>
      <c r="E1458" t="s">
        <v>533</v>
      </c>
      <c r="F1458" t="s">
        <v>538</v>
      </c>
      <c r="G1458" t="s">
        <v>18</v>
      </c>
      <c r="H1458" t="s">
        <v>535</v>
      </c>
      <c r="I1458">
        <v>5</v>
      </c>
      <c r="J1458">
        <v>16.899999999999999</v>
      </c>
      <c r="K1458" t="s">
        <v>258</v>
      </c>
      <c r="L1458" t="s">
        <v>257</v>
      </c>
      <c r="M1458" t="s">
        <v>257</v>
      </c>
      <c r="N1458" s="5">
        <v>0</v>
      </c>
    </row>
    <row r="1459" spans="1:14" x14ac:dyDescent="0.25">
      <c r="A1459" t="s">
        <v>2000</v>
      </c>
      <c r="B1459" t="s">
        <v>155</v>
      </c>
      <c r="C1459" t="str">
        <f>_xlfn.XLOOKUP(Table6[[#This Row],[app_id]],Table5[app_id],Table5[app_name],"",0)</f>
        <v>LaughX</v>
      </c>
      <c r="D1459" t="str">
        <f>_xlfn.XLOOKUP(Table6[[#This Row],[app_id]],Table5[app_id],Table5[category],"",0)</f>
        <v>Entertainment</v>
      </c>
      <c r="E1459" t="s">
        <v>546</v>
      </c>
      <c r="F1459" t="s">
        <v>534</v>
      </c>
      <c r="G1459" t="s">
        <v>30</v>
      </c>
      <c r="H1459" t="s">
        <v>540</v>
      </c>
      <c r="I1459">
        <v>23</v>
      </c>
      <c r="J1459">
        <v>34.299999999999997</v>
      </c>
      <c r="K1459" t="s">
        <v>258</v>
      </c>
      <c r="L1459" t="s">
        <v>258</v>
      </c>
      <c r="M1459" t="s">
        <v>257</v>
      </c>
      <c r="N1459" s="5">
        <v>0</v>
      </c>
    </row>
    <row r="1460" spans="1:14" x14ac:dyDescent="0.25">
      <c r="A1460" t="s">
        <v>2001</v>
      </c>
      <c r="B1460" t="s">
        <v>157</v>
      </c>
      <c r="C1460" t="str">
        <f>_xlfn.XLOOKUP(Table6[[#This Row],[app_id]],Table5[app_id],Table5[app_name],"",0)</f>
        <v>CinemaHub</v>
      </c>
      <c r="D1460" t="str">
        <f>_xlfn.XLOOKUP(Table6[[#This Row],[app_id]],Table5[app_id],Table5[category],"",0)</f>
        <v>Entertainment</v>
      </c>
      <c r="E1460" t="s">
        <v>552</v>
      </c>
      <c r="F1460" t="s">
        <v>534</v>
      </c>
      <c r="G1460" t="s">
        <v>18</v>
      </c>
      <c r="H1460" t="s">
        <v>540</v>
      </c>
      <c r="I1460">
        <v>1</v>
      </c>
      <c r="J1460">
        <v>8.5</v>
      </c>
      <c r="K1460" t="s">
        <v>258</v>
      </c>
      <c r="L1460" t="s">
        <v>257</v>
      </c>
      <c r="M1460" t="s">
        <v>258</v>
      </c>
      <c r="N1460" s="5">
        <v>0</v>
      </c>
    </row>
    <row r="1461" spans="1:14" x14ac:dyDescent="0.25">
      <c r="A1461" t="s">
        <v>2002</v>
      </c>
      <c r="B1461" t="s">
        <v>159</v>
      </c>
      <c r="C1461" t="str">
        <f>_xlfn.XLOOKUP(Table6[[#This Row],[app_id]],Table5[app_id],Table5[app_name],"",0)</f>
        <v>ShowPro</v>
      </c>
      <c r="D1461" t="str">
        <f>_xlfn.XLOOKUP(Table6[[#This Row],[app_id]],Table5[app_id],Table5[category],"",0)</f>
        <v>Entertainment</v>
      </c>
      <c r="E1461" t="s">
        <v>557</v>
      </c>
      <c r="F1461" t="s">
        <v>534</v>
      </c>
      <c r="G1461" t="s">
        <v>69</v>
      </c>
      <c r="H1461" t="s">
        <v>540</v>
      </c>
      <c r="I1461">
        <v>1</v>
      </c>
      <c r="J1461">
        <v>32.200000000000003</v>
      </c>
      <c r="K1461" t="s">
        <v>258</v>
      </c>
      <c r="L1461" t="s">
        <v>258</v>
      </c>
      <c r="M1461" t="s">
        <v>258</v>
      </c>
      <c r="N1461" s="5">
        <v>0</v>
      </c>
    </row>
    <row r="1462" spans="1:14" x14ac:dyDescent="0.25">
      <c r="A1462" t="s">
        <v>2003</v>
      </c>
      <c r="B1462" t="s">
        <v>161</v>
      </c>
      <c r="C1462" t="str">
        <f>_xlfn.XLOOKUP(Table6[[#This Row],[app_id]],Table5[app_id],Table5[app_name],"",0)</f>
        <v>FoodPlus</v>
      </c>
      <c r="D1462" t="str">
        <f>_xlfn.XLOOKUP(Table6[[#This Row],[app_id]],Table5[app_id],Table5[category],"",0)</f>
        <v>Food Delivery</v>
      </c>
      <c r="E1462" t="s">
        <v>533</v>
      </c>
      <c r="F1462" t="s">
        <v>534</v>
      </c>
      <c r="G1462" t="s">
        <v>35</v>
      </c>
      <c r="H1462" t="s">
        <v>535</v>
      </c>
      <c r="I1462">
        <v>20</v>
      </c>
      <c r="J1462">
        <v>6.5</v>
      </c>
      <c r="K1462" t="s">
        <v>258</v>
      </c>
      <c r="L1462" t="s">
        <v>257</v>
      </c>
      <c r="M1462" t="s">
        <v>258</v>
      </c>
      <c r="N1462" s="5">
        <v>0</v>
      </c>
    </row>
    <row r="1463" spans="1:14" x14ac:dyDescent="0.25">
      <c r="A1463" t="s">
        <v>2004</v>
      </c>
      <c r="B1463" t="s">
        <v>164</v>
      </c>
      <c r="C1463" t="str">
        <f>_xlfn.XLOOKUP(Table6[[#This Row],[app_id]],Table5[app_id],Table5[app_name],"",0)</f>
        <v>BiteGo</v>
      </c>
      <c r="D1463" t="str">
        <f>_xlfn.XLOOKUP(Table6[[#This Row],[app_id]],Table5[app_id],Table5[category],"",0)</f>
        <v>Food Delivery</v>
      </c>
      <c r="E1463" t="s">
        <v>557</v>
      </c>
      <c r="F1463" t="s">
        <v>548</v>
      </c>
      <c r="G1463" t="s">
        <v>30</v>
      </c>
      <c r="H1463" t="s">
        <v>535</v>
      </c>
      <c r="I1463">
        <v>23</v>
      </c>
      <c r="J1463">
        <v>11.3</v>
      </c>
      <c r="K1463" t="s">
        <v>258</v>
      </c>
      <c r="L1463" t="s">
        <v>258</v>
      </c>
      <c r="M1463" t="s">
        <v>257</v>
      </c>
      <c r="N1463" s="5">
        <v>7.78</v>
      </c>
    </row>
    <row r="1464" spans="1:14" x14ac:dyDescent="0.25">
      <c r="A1464" t="s">
        <v>2005</v>
      </c>
      <c r="B1464" t="s">
        <v>166</v>
      </c>
      <c r="C1464" t="str">
        <f>_xlfn.XLOOKUP(Table6[[#This Row],[app_id]],Table5[app_id],Table5[app_name],"",0)</f>
        <v>OrderCloud</v>
      </c>
      <c r="D1464" t="str">
        <f>_xlfn.XLOOKUP(Table6[[#This Row],[app_id]],Table5[app_id],Table5[category],"",0)</f>
        <v>Food Delivery</v>
      </c>
      <c r="E1464" t="s">
        <v>533</v>
      </c>
      <c r="F1464" t="s">
        <v>538</v>
      </c>
      <c r="G1464" t="s">
        <v>35</v>
      </c>
      <c r="H1464" t="s">
        <v>540</v>
      </c>
      <c r="I1464">
        <v>55</v>
      </c>
      <c r="J1464">
        <v>11.2</v>
      </c>
      <c r="K1464" t="s">
        <v>257</v>
      </c>
      <c r="L1464" t="s">
        <v>257</v>
      </c>
      <c r="M1464" t="s">
        <v>258</v>
      </c>
      <c r="N1464" s="5">
        <v>0</v>
      </c>
    </row>
    <row r="1465" spans="1:14" x14ac:dyDescent="0.25">
      <c r="A1465" t="s">
        <v>2006</v>
      </c>
      <c r="B1465" t="s">
        <v>168</v>
      </c>
      <c r="C1465" t="str">
        <f>_xlfn.XLOOKUP(Table6[[#This Row],[app_id]],Table5[app_id],Table5[app_name],"",0)</f>
        <v>DinePlus</v>
      </c>
      <c r="D1465" t="str">
        <f>_xlfn.XLOOKUP(Table6[[#This Row],[app_id]],Table5[app_id],Table5[category],"",0)</f>
        <v>Food Delivery</v>
      </c>
      <c r="E1465" t="s">
        <v>537</v>
      </c>
      <c r="F1465" t="s">
        <v>548</v>
      </c>
      <c r="G1465" t="s">
        <v>18</v>
      </c>
      <c r="H1465" t="s">
        <v>535</v>
      </c>
      <c r="I1465">
        <v>13</v>
      </c>
      <c r="J1465">
        <v>6.9</v>
      </c>
      <c r="K1465" t="s">
        <v>258</v>
      </c>
      <c r="L1465" t="s">
        <v>258</v>
      </c>
      <c r="M1465" t="s">
        <v>258</v>
      </c>
      <c r="N1465" s="5">
        <v>0</v>
      </c>
    </row>
    <row r="1466" spans="1:14" x14ac:dyDescent="0.25">
      <c r="A1466" t="s">
        <v>2007</v>
      </c>
      <c r="B1466" t="s">
        <v>170</v>
      </c>
      <c r="C1466" t="str">
        <f>_xlfn.XLOOKUP(Table6[[#This Row],[app_id]],Table5[app_id],Table5[app_name],"",0)</f>
        <v>SnackX</v>
      </c>
      <c r="D1466" t="str">
        <f>_xlfn.XLOOKUP(Table6[[#This Row],[app_id]],Table5[app_id],Table5[category],"",0)</f>
        <v>Food Delivery</v>
      </c>
      <c r="E1466" t="s">
        <v>557</v>
      </c>
      <c r="F1466" t="s">
        <v>534</v>
      </c>
      <c r="G1466" t="s">
        <v>61</v>
      </c>
      <c r="H1466" t="s">
        <v>540</v>
      </c>
      <c r="I1466">
        <v>24</v>
      </c>
      <c r="J1466">
        <v>9.4</v>
      </c>
      <c r="K1466" t="s">
        <v>257</v>
      </c>
      <c r="L1466" t="s">
        <v>257</v>
      </c>
      <c r="M1466" t="s">
        <v>258</v>
      </c>
      <c r="N1466" s="5">
        <v>0</v>
      </c>
    </row>
    <row r="1467" spans="1:14" x14ac:dyDescent="0.25">
      <c r="A1467" t="s">
        <v>2008</v>
      </c>
      <c r="B1467" t="s">
        <v>172</v>
      </c>
      <c r="C1467" t="str">
        <f>_xlfn.XLOOKUP(Table6[[#This Row],[app_id]],Table5[app_id],Table5[app_name],"",0)</f>
        <v>FoodOne</v>
      </c>
      <c r="D1467" t="str">
        <f>_xlfn.XLOOKUP(Table6[[#This Row],[app_id]],Table5[app_id],Table5[category],"",0)</f>
        <v>Food Delivery</v>
      </c>
      <c r="E1467" t="s">
        <v>533</v>
      </c>
      <c r="F1467" t="s">
        <v>534</v>
      </c>
      <c r="G1467" t="s">
        <v>46</v>
      </c>
      <c r="H1467" t="s">
        <v>540</v>
      </c>
      <c r="I1467">
        <v>1</v>
      </c>
      <c r="J1467">
        <v>21.9</v>
      </c>
      <c r="K1467" t="s">
        <v>258</v>
      </c>
      <c r="L1467" t="s">
        <v>258</v>
      </c>
      <c r="M1467" t="s">
        <v>258</v>
      </c>
      <c r="N1467" s="5">
        <v>0</v>
      </c>
    </row>
    <row r="1468" spans="1:14" x14ac:dyDescent="0.25">
      <c r="A1468" t="s">
        <v>2009</v>
      </c>
      <c r="B1468" t="s">
        <v>174</v>
      </c>
      <c r="C1468" t="str">
        <f>_xlfn.XLOOKUP(Table6[[#This Row],[app_id]],Table5[app_id],Table5[app_name],"",0)</f>
        <v>MealMate</v>
      </c>
      <c r="D1468" t="str">
        <f>_xlfn.XLOOKUP(Table6[[#This Row],[app_id]],Table5[app_id],Table5[category],"",0)</f>
        <v>Food Delivery</v>
      </c>
      <c r="E1468" t="s">
        <v>546</v>
      </c>
      <c r="F1468" t="s">
        <v>538</v>
      </c>
      <c r="G1468" t="s">
        <v>26</v>
      </c>
      <c r="H1468" t="s">
        <v>535</v>
      </c>
      <c r="I1468">
        <v>10</v>
      </c>
      <c r="J1468">
        <v>7.8</v>
      </c>
      <c r="K1468" t="s">
        <v>258</v>
      </c>
      <c r="L1468" t="s">
        <v>258</v>
      </c>
      <c r="M1468" t="s">
        <v>258</v>
      </c>
      <c r="N1468" s="5">
        <v>0</v>
      </c>
    </row>
    <row r="1469" spans="1:14" x14ac:dyDescent="0.25">
      <c r="A1469" t="s">
        <v>2010</v>
      </c>
      <c r="B1469" t="s">
        <v>176</v>
      </c>
      <c r="C1469" t="str">
        <f>_xlfn.XLOOKUP(Table6[[#This Row],[app_id]],Table5[app_id],Table5[app_name],"",0)</f>
        <v>SnackHub</v>
      </c>
      <c r="D1469" t="str">
        <f>_xlfn.XLOOKUP(Table6[[#This Row],[app_id]],Table5[app_id],Table5[category],"",0)</f>
        <v>Food Delivery</v>
      </c>
      <c r="E1469" t="s">
        <v>533</v>
      </c>
      <c r="F1469" t="s">
        <v>538</v>
      </c>
      <c r="G1469" t="s">
        <v>69</v>
      </c>
      <c r="H1469" t="s">
        <v>540</v>
      </c>
      <c r="I1469">
        <v>7</v>
      </c>
      <c r="J1469">
        <v>9.1</v>
      </c>
      <c r="K1469" t="s">
        <v>258</v>
      </c>
      <c r="L1469" t="s">
        <v>258</v>
      </c>
      <c r="M1469" t="s">
        <v>257</v>
      </c>
      <c r="N1469" s="5">
        <v>0</v>
      </c>
    </row>
    <row r="1470" spans="1:14" x14ac:dyDescent="0.25">
      <c r="A1470" t="s">
        <v>2011</v>
      </c>
      <c r="B1470" t="s">
        <v>178</v>
      </c>
      <c r="C1470" t="str">
        <f>_xlfn.XLOOKUP(Table6[[#This Row],[app_id]],Table5[app_id],Table5[app_name],"",0)</f>
        <v>BiteCloud</v>
      </c>
      <c r="D1470" t="str">
        <f>_xlfn.XLOOKUP(Table6[[#This Row],[app_id]],Table5[app_id],Table5[category],"",0)</f>
        <v>Food Delivery</v>
      </c>
      <c r="E1470" t="s">
        <v>533</v>
      </c>
      <c r="F1470" t="s">
        <v>538</v>
      </c>
      <c r="G1470" t="s">
        <v>69</v>
      </c>
      <c r="H1470" t="s">
        <v>535</v>
      </c>
      <c r="I1470">
        <v>18</v>
      </c>
      <c r="J1470">
        <v>13.4</v>
      </c>
      <c r="K1470" t="s">
        <v>258</v>
      </c>
      <c r="L1470" t="s">
        <v>258</v>
      </c>
      <c r="M1470" t="s">
        <v>258</v>
      </c>
      <c r="N1470" s="5">
        <v>59.96</v>
      </c>
    </row>
    <row r="1471" spans="1:14" x14ac:dyDescent="0.25">
      <c r="A1471" t="s">
        <v>2012</v>
      </c>
      <c r="B1471" t="s">
        <v>180</v>
      </c>
      <c r="C1471" t="str">
        <f>_xlfn.XLOOKUP(Table6[[#This Row],[app_id]],Table5[app_id],Table5[app_name],"",0)</f>
        <v>PlatePlus</v>
      </c>
      <c r="D1471" t="str">
        <f>_xlfn.XLOOKUP(Table6[[#This Row],[app_id]],Table5[app_id],Table5[category],"",0)</f>
        <v>Food Delivery</v>
      </c>
      <c r="E1471" t="s">
        <v>546</v>
      </c>
      <c r="F1471" t="s">
        <v>534</v>
      </c>
      <c r="G1471" t="s">
        <v>61</v>
      </c>
      <c r="H1471" t="s">
        <v>535</v>
      </c>
      <c r="I1471">
        <v>24</v>
      </c>
      <c r="J1471">
        <v>9.9</v>
      </c>
      <c r="K1471" t="s">
        <v>258</v>
      </c>
      <c r="L1471" t="s">
        <v>257</v>
      </c>
      <c r="M1471" t="s">
        <v>258</v>
      </c>
      <c r="N1471" s="5">
        <v>0</v>
      </c>
    </row>
    <row r="1472" spans="1:14" x14ac:dyDescent="0.25">
      <c r="A1472" t="s">
        <v>2013</v>
      </c>
      <c r="B1472" t="s">
        <v>182</v>
      </c>
      <c r="C1472" t="str">
        <f>_xlfn.XLOOKUP(Table6[[#This Row],[app_id]],Table5[app_id],Table5[app_name],"",0)</f>
        <v>VoyageGo</v>
      </c>
      <c r="D1472" t="str">
        <f>_xlfn.XLOOKUP(Table6[[#This Row],[app_id]],Table5[app_id],Table5[category],"",0)</f>
        <v>Travel</v>
      </c>
      <c r="E1472" t="s">
        <v>546</v>
      </c>
      <c r="F1472" t="s">
        <v>628</v>
      </c>
      <c r="G1472" t="s">
        <v>35</v>
      </c>
      <c r="H1472" t="s">
        <v>535</v>
      </c>
      <c r="I1472">
        <v>26</v>
      </c>
      <c r="J1472">
        <v>22.6</v>
      </c>
      <c r="K1472" t="s">
        <v>257</v>
      </c>
      <c r="L1472" t="s">
        <v>257</v>
      </c>
      <c r="M1472" t="s">
        <v>258</v>
      </c>
      <c r="N1472" s="5">
        <v>0</v>
      </c>
    </row>
    <row r="1473" spans="1:14" x14ac:dyDescent="0.25">
      <c r="A1473" t="s">
        <v>2014</v>
      </c>
      <c r="B1473" t="s">
        <v>185</v>
      </c>
      <c r="C1473" t="str">
        <f>_xlfn.XLOOKUP(Table6[[#This Row],[app_id]],Table5[app_id],Table5[app_name],"",0)</f>
        <v>TripOne</v>
      </c>
      <c r="D1473" t="str">
        <f>_xlfn.XLOOKUP(Table6[[#This Row],[app_id]],Table5[app_id],Table5[category],"",0)</f>
        <v>Travel</v>
      </c>
      <c r="E1473" t="s">
        <v>537</v>
      </c>
      <c r="F1473" t="s">
        <v>548</v>
      </c>
      <c r="G1473" t="s">
        <v>35</v>
      </c>
      <c r="H1473" t="s">
        <v>535</v>
      </c>
      <c r="I1473">
        <v>14</v>
      </c>
      <c r="J1473">
        <v>14.8</v>
      </c>
      <c r="K1473" t="s">
        <v>258</v>
      </c>
      <c r="L1473" t="s">
        <v>258</v>
      </c>
      <c r="M1473" t="s">
        <v>258</v>
      </c>
      <c r="N1473" s="5">
        <v>39.39</v>
      </c>
    </row>
    <row r="1474" spans="1:14" x14ac:dyDescent="0.25">
      <c r="A1474" t="s">
        <v>2015</v>
      </c>
      <c r="B1474" t="s">
        <v>187</v>
      </c>
      <c r="C1474" t="str">
        <f>_xlfn.XLOOKUP(Table6[[#This Row],[app_id]],Table5[app_id],Table5[app_name],"",0)</f>
        <v>FlyGo</v>
      </c>
      <c r="D1474" t="str">
        <f>_xlfn.XLOOKUP(Table6[[#This Row],[app_id]],Table5[app_id],Table5[category],"",0)</f>
        <v>Travel</v>
      </c>
      <c r="E1474" t="s">
        <v>552</v>
      </c>
      <c r="F1474" t="s">
        <v>534</v>
      </c>
      <c r="G1474" t="s">
        <v>46</v>
      </c>
      <c r="H1474" t="s">
        <v>540</v>
      </c>
      <c r="I1474">
        <v>45</v>
      </c>
      <c r="J1474">
        <v>22.7</v>
      </c>
      <c r="K1474" t="s">
        <v>257</v>
      </c>
      <c r="L1474" t="s">
        <v>258</v>
      </c>
      <c r="M1474" t="s">
        <v>257</v>
      </c>
      <c r="N1474" s="5">
        <v>0</v>
      </c>
    </row>
    <row r="1475" spans="1:14" x14ac:dyDescent="0.25">
      <c r="A1475" t="s">
        <v>2016</v>
      </c>
      <c r="B1475" t="s">
        <v>189</v>
      </c>
      <c r="C1475" t="str">
        <f>_xlfn.XLOOKUP(Table6[[#This Row],[app_id]],Table5[app_id],Table5[app_name],"",0)</f>
        <v>MapX</v>
      </c>
      <c r="D1475" t="str">
        <f>_xlfn.XLOOKUP(Table6[[#This Row],[app_id]],Table5[app_id],Table5[category],"",0)</f>
        <v>Travel</v>
      </c>
      <c r="E1475" t="s">
        <v>537</v>
      </c>
      <c r="F1475" t="s">
        <v>534</v>
      </c>
      <c r="G1475" t="s">
        <v>18</v>
      </c>
      <c r="H1475" t="s">
        <v>535</v>
      </c>
      <c r="I1475">
        <v>4</v>
      </c>
      <c r="J1475">
        <v>20</v>
      </c>
      <c r="K1475" t="s">
        <v>258</v>
      </c>
      <c r="L1475" t="s">
        <v>257</v>
      </c>
      <c r="M1475" t="s">
        <v>258</v>
      </c>
      <c r="N1475" s="5">
        <v>6.21</v>
      </c>
    </row>
    <row r="1476" spans="1:14" x14ac:dyDescent="0.25">
      <c r="A1476" t="s">
        <v>2017</v>
      </c>
      <c r="B1476" t="s">
        <v>191</v>
      </c>
      <c r="C1476" t="str">
        <f>_xlfn.XLOOKUP(Table6[[#This Row],[app_id]],Table5[app_id],Table5[app_name],"",0)</f>
        <v>StayX</v>
      </c>
      <c r="D1476" t="str">
        <f>_xlfn.XLOOKUP(Table6[[#This Row],[app_id]],Table5[app_id],Table5[category],"",0)</f>
        <v>Travel</v>
      </c>
      <c r="E1476" t="s">
        <v>546</v>
      </c>
      <c r="F1476" t="s">
        <v>538</v>
      </c>
      <c r="G1476" t="s">
        <v>69</v>
      </c>
      <c r="H1476" t="s">
        <v>540</v>
      </c>
      <c r="I1476">
        <v>7</v>
      </c>
      <c r="J1476">
        <v>18</v>
      </c>
      <c r="K1476" t="s">
        <v>258</v>
      </c>
      <c r="L1476" t="s">
        <v>257</v>
      </c>
      <c r="M1476" t="s">
        <v>258</v>
      </c>
      <c r="N1476" s="5">
        <v>0</v>
      </c>
    </row>
    <row r="1477" spans="1:14" x14ac:dyDescent="0.25">
      <c r="A1477" t="s">
        <v>2018</v>
      </c>
      <c r="B1477" t="s">
        <v>193</v>
      </c>
      <c r="C1477" t="str">
        <f>_xlfn.XLOOKUP(Table6[[#This Row],[app_id]],Table5[app_id],Table5[app_name],"",0)</f>
        <v>GoNow</v>
      </c>
      <c r="D1477" t="str">
        <f>_xlfn.XLOOKUP(Table6[[#This Row],[app_id]],Table5[app_id],Table5[category],"",0)</f>
        <v>Travel</v>
      </c>
      <c r="E1477" t="s">
        <v>546</v>
      </c>
      <c r="F1477" t="s">
        <v>538</v>
      </c>
      <c r="G1477" t="s">
        <v>61</v>
      </c>
      <c r="H1477" t="s">
        <v>535</v>
      </c>
      <c r="I1477">
        <v>23</v>
      </c>
      <c r="J1477">
        <v>15.4</v>
      </c>
      <c r="K1477" t="s">
        <v>258</v>
      </c>
      <c r="L1477" t="s">
        <v>257</v>
      </c>
      <c r="M1477" t="s">
        <v>258</v>
      </c>
      <c r="N1477" s="5">
        <v>0</v>
      </c>
    </row>
    <row r="1478" spans="1:14" x14ac:dyDescent="0.25">
      <c r="A1478" t="s">
        <v>2019</v>
      </c>
      <c r="B1478" t="s">
        <v>195</v>
      </c>
      <c r="C1478" t="str">
        <f>_xlfn.XLOOKUP(Table6[[#This Row],[app_id]],Table5[app_id],Table5[app_name],"",0)</f>
        <v>RouteGo</v>
      </c>
      <c r="D1478" t="str">
        <f>_xlfn.XLOOKUP(Table6[[#This Row],[app_id]],Table5[app_id],Table5[category],"",0)</f>
        <v>Travel</v>
      </c>
      <c r="E1478" t="s">
        <v>537</v>
      </c>
      <c r="F1478" t="s">
        <v>538</v>
      </c>
      <c r="G1478" t="s">
        <v>18</v>
      </c>
      <c r="H1478" t="s">
        <v>535</v>
      </c>
      <c r="I1478">
        <v>22</v>
      </c>
      <c r="J1478">
        <v>19.100000000000001</v>
      </c>
      <c r="K1478" t="s">
        <v>258</v>
      </c>
      <c r="L1478" t="s">
        <v>257</v>
      </c>
      <c r="M1478" t="s">
        <v>258</v>
      </c>
      <c r="N1478" s="5">
        <v>0</v>
      </c>
    </row>
    <row r="1479" spans="1:14" x14ac:dyDescent="0.25">
      <c r="A1479" t="s">
        <v>2020</v>
      </c>
      <c r="B1479" t="s">
        <v>197</v>
      </c>
      <c r="C1479" t="str">
        <f>_xlfn.XLOOKUP(Table6[[#This Row],[app_id]],Table5[app_id],Table5[app_name],"",0)</f>
        <v>TripGo</v>
      </c>
      <c r="D1479" t="str">
        <f>_xlfn.XLOOKUP(Table6[[#This Row],[app_id]],Table5[app_id],Table5[category],"",0)</f>
        <v>Travel</v>
      </c>
      <c r="E1479" t="s">
        <v>533</v>
      </c>
      <c r="F1479" t="s">
        <v>534</v>
      </c>
      <c r="G1479" t="s">
        <v>46</v>
      </c>
      <c r="H1479" t="s">
        <v>535</v>
      </c>
      <c r="I1479">
        <v>69</v>
      </c>
      <c r="J1479">
        <v>23.6</v>
      </c>
      <c r="K1479" t="s">
        <v>257</v>
      </c>
      <c r="L1479" t="s">
        <v>258</v>
      </c>
      <c r="M1479" t="s">
        <v>258</v>
      </c>
      <c r="N1479" s="5">
        <v>0</v>
      </c>
    </row>
    <row r="1480" spans="1:14" x14ac:dyDescent="0.25">
      <c r="A1480" t="s">
        <v>2021</v>
      </c>
      <c r="B1480" t="s">
        <v>199</v>
      </c>
      <c r="C1480" t="str">
        <f>_xlfn.XLOOKUP(Table6[[#This Row],[app_id]],Table5[app_id],Table5[app_name],"",0)</f>
        <v>Flyly</v>
      </c>
      <c r="D1480" t="str">
        <f>_xlfn.XLOOKUP(Table6[[#This Row],[app_id]],Table5[app_id],Table5[category],"",0)</f>
        <v>Travel</v>
      </c>
      <c r="E1480" t="s">
        <v>533</v>
      </c>
      <c r="F1480" t="s">
        <v>538</v>
      </c>
      <c r="G1480" t="s">
        <v>35</v>
      </c>
      <c r="H1480" t="s">
        <v>535</v>
      </c>
      <c r="I1480">
        <v>12</v>
      </c>
      <c r="J1480">
        <v>15.3</v>
      </c>
      <c r="K1480" t="s">
        <v>258</v>
      </c>
      <c r="L1480" t="s">
        <v>257</v>
      </c>
      <c r="M1480" t="s">
        <v>258</v>
      </c>
      <c r="N1480" s="5">
        <v>0</v>
      </c>
    </row>
    <row r="1481" spans="1:14" x14ac:dyDescent="0.25">
      <c r="A1481" t="s">
        <v>2022</v>
      </c>
      <c r="B1481" t="s">
        <v>201</v>
      </c>
      <c r="C1481" t="str">
        <f>_xlfn.XLOOKUP(Table6[[#This Row],[app_id]],Table5[app_id],Table5[app_name],"",0)</f>
        <v>TripPro</v>
      </c>
      <c r="D1481" t="str">
        <f>_xlfn.XLOOKUP(Table6[[#This Row],[app_id]],Table5[app_id],Table5[category],"",0)</f>
        <v>Travel</v>
      </c>
      <c r="E1481" t="s">
        <v>533</v>
      </c>
      <c r="F1481" t="s">
        <v>538</v>
      </c>
      <c r="G1481" t="s">
        <v>46</v>
      </c>
      <c r="H1481" t="s">
        <v>535</v>
      </c>
      <c r="I1481">
        <v>16</v>
      </c>
      <c r="J1481">
        <v>4.4000000000000004</v>
      </c>
      <c r="K1481" t="s">
        <v>258</v>
      </c>
      <c r="L1481" t="s">
        <v>258</v>
      </c>
      <c r="M1481" t="s">
        <v>258</v>
      </c>
      <c r="N1481" s="5">
        <v>0</v>
      </c>
    </row>
    <row r="1482" spans="1:14" x14ac:dyDescent="0.25">
      <c r="A1482" t="s">
        <v>2023</v>
      </c>
      <c r="B1482" t="s">
        <v>203</v>
      </c>
      <c r="C1482" t="str">
        <f>_xlfn.XLOOKUP(Table6[[#This Row],[app_id]],Table5[app_id],Table5[app_name],"",0)</f>
        <v>Focusly</v>
      </c>
      <c r="D1482" t="str">
        <f>_xlfn.XLOOKUP(Table6[[#This Row],[app_id]],Table5[app_id],Table5[category],"",0)</f>
        <v>Productivity</v>
      </c>
      <c r="E1482" t="s">
        <v>557</v>
      </c>
      <c r="F1482" t="s">
        <v>538</v>
      </c>
      <c r="G1482" t="s">
        <v>35</v>
      </c>
      <c r="H1482" t="s">
        <v>535</v>
      </c>
      <c r="I1482">
        <v>23</v>
      </c>
      <c r="J1482">
        <v>8.4</v>
      </c>
      <c r="K1482" t="s">
        <v>257</v>
      </c>
      <c r="L1482" t="s">
        <v>257</v>
      </c>
      <c r="M1482" t="s">
        <v>258</v>
      </c>
      <c r="N1482" s="5">
        <v>0</v>
      </c>
    </row>
    <row r="1483" spans="1:14" x14ac:dyDescent="0.25">
      <c r="A1483" t="s">
        <v>2024</v>
      </c>
      <c r="B1483" t="s">
        <v>206</v>
      </c>
      <c r="C1483" t="str">
        <f>_xlfn.XLOOKUP(Table6[[#This Row],[app_id]],Table5[app_id],Table5[app_name],"",0)</f>
        <v>DeskX</v>
      </c>
      <c r="D1483" t="str">
        <f>_xlfn.XLOOKUP(Table6[[#This Row],[app_id]],Table5[app_id],Table5[category],"",0)</f>
        <v>Productivity</v>
      </c>
      <c r="E1483" t="s">
        <v>537</v>
      </c>
      <c r="F1483" t="s">
        <v>534</v>
      </c>
      <c r="G1483" t="s">
        <v>69</v>
      </c>
      <c r="H1483" t="s">
        <v>535</v>
      </c>
      <c r="I1483">
        <v>13</v>
      </c>
      <c r="J1483">
        <v>6.9</v>
      </c>
      <c r="K1483" t="s">
        <v>258</v>
      </c>
      <c r="L1483" t="s">
        <v>258</v>
      </c>
      <c r="M1483" t="s">
        <v>258</v>
      </c>
      <c r="N1483" s="5">
        <v>0</v>
      </c>
    </row>
    <row r="1484" spans="1:14" x14ac:dyDescent="0.25">
      <c r="A1484" t="s">
        <v>2025</v>
      </c>
      <c r="B1484" t="s">
        <v>208</v>
      </c>
      <c r="C1484" t="str">
        <f>_xlfn.XLOOKUP(Table6[[#This Row],[app_id]],Table5[app_id],Table5[app_name],"",0)</f>
        <v>DonePro</v>
      </c>
      <c r="D1484" t="str">
        <f>_xlfn.XLOOKUP(Table6[[#This Row],[app_id]],Table5[app_id],Table5[category],"",0)</f>
        <v>Productivity</v>
      </c>
      <c r="E1484" t="s">
        <v>557</v>
      </c>
      <c r="F1484" t="s">
        <v>538</v>
      </c>
      <c r="G1484" t="s">
        <v>46</v>
      </c>
      <c r="H1484" t="s">
        <v>535</v>
      </c>
      <c r="I1484">
        <v>75</v>
      </c>
      <c r="J1484">
        <v>14.6</v>
      </c>
      <c r="K1484" t="s">
        <v>257</v>
      </c>
      <c r="L1484" t="s">
        <v>258</v>
      </c>
      <c r="M1484" t="s">
        <v>257</v>
      </c>
      <c r="N1484" s="5">
        <v>0</v>
      </c>
    </row>
    <row r="1485" spans="1:14" x14ac:dyDescent="0.25">
      <c r="A1485" t="s">
        <v>2026</v>
      </c>
      <c r="B1485" t="s">
        <v>210</v>
      </c>
      <c r="C1485" t="str">
        <f>_xlfn.XLOOKUP(Table6[[#This Row],[app_id]],Table5[app_id],Table5[app_name],"",0)</f>
        <v>NotePlus</v>
      </c>
      <c r="D1485" t="str">
        <f>_xlfn.XLOOKUP(Table6[[#This Row],[app_id]],Table5[app_id],Table5[category],"",0)</f>
        <v>Productivity</v>
      </c>
      <c r="E1485" t="s">
        <v>533</v>
      </c>
      <c r="F1485" t="s">
        <v>534</v>
      </c>
      <c r="G1485" t="s">
        <v>35</v>
      </c>
      <c r="H1485" t="s">
        <v>535</v>
      </c>
      <c r="I1485">
        <v>43</v>
      </c>
      <c r="J1485">
        <v>21</v>
      </c>
      <c r="K1485" t="s">
        <v>257</v>
      </c>
      <c r="L1485" t="s">
        <v>257</v>
      </c>
      <c r="M1485" t="s">
        <v>257</v>
      </c>
      <c r="N1485" s="5">
        <v>32.58</v>
      </c>
    </row>
    <row r="1486" spans="1:14" x14ac:dyDescent="0.25">
      <c r="A1486" t="s">
        <v>2027</v>
      </c>
      <c r="B1486" t="s">
        <v>212</v>
      </c>
      <c r="C1486" t="str">
        <f>_xlfn.XLOOKUP(Table6[[#This Row],[app_id]],Table5[app_id],Table5[app_name],"",0)</f>
        <v>SyncPlus</v>
      </c>
      <c r="D1486" t="str">
        <f>_xlfn.XLOOKUP(Table6[[#This Row],[app_id]],Table5[app_id],Table5[category],"",0)</f>
        <v>Productivity</v>
      </c>
      <c r="E1486" t="s">
        <v>533</v>
      </c>
      <c r="F1486" t="s">
        <v>538</v>
      </c>
      <c r="G1486" t="s">
        <v>69</v>
      </c>
      <c r="H1486" t="s">
        <v>535</v>
      </c>
      <c r="I1486">
        <v>4</v>
      </c>
      <c r="J1486">
        <v>13.9</v>
      </c>
      <c r="K1486" t="s">
        <v>258</v>
      </c>
      <c r="L1486" t="s">
        <v>257</v>
      </c>
      <c r="M1486" t="s">
        <v>258</v>
      </c>
      <c r="N1486" s="5">
        <v>0</v>
      </c>
    </row>
    <row r="1487" spans="1:14" x14ac:dyDescent="0.25">
      <c r="A1487" t="s">
        <v>2028</v>
      </c>
      <c r="B1487" t="s">
        <v>214</v>
      </c>
      <c r="C1487" t="str">
        <f>_xlfn.XLOOKUP(Table6[[#This Row],[app_id]],Table5[app_id],Table5[app_name],"",0)</f>
        <v>NoteOne</v>
      </c>
      <c r="D1487" t="str">
        <f>_xlfn.XLOOKUP(Table6[[#This Row],[app_id]],Table5[app_id],Table5[category],"",0)</f>
        <v>Productivity</v>
      </c>
      <c r="E1487" t="s">
        <v>533</v>
      </c>
      <c r="F1487" t="s">
        <v>548</v>
      </c>
      <c r="G1487" t="s">
        <v>18</v>
      </c>
      <c r="H1487" t="s">
        <v>535</v>
      </c>
      <c r="I1487">
        <v>26</v>
      </c>
      <c r="J1487">
        <v>3.5</v>
      </c>
      <c r="K1487" t="s">
        <v>258</v>
      </c>
      <c r="L1487" t="s">
        <v>257</v>
      </c>
      <c r="M1487" t="s">
        <v>258</v>
      </c>
      <c r="N1487" s="5">
        <v>6.41</v>
      </c>
    </row>
    <row r="1488" spans="1:14" x14ac:dyDescent="0.25">
      <c r="A1488" t="s">
        <v>2029</v>
      </c>
      <c r="B1488" t="s">
        <v>216</v>
      </c>
      <c r="C1488" t="str">
        <f>_xlfn.XLOOKUP(Table6[[#This Row],[app_id]],Table5[app_id],Table5[app_name],"",0)</f>
        <v>NoteMate</v>
      </c>
      <c r="D1488" t="str">
        <f>_xlfn.XLOOKUP(Table6[[#This Row],[app_id]],Table5[app_id],Table5[category],"",0)</f>
        <v>Productivity</v>
      </c>
      <c r="E1488" t="s">
        <v>533</v>
      </c>
      <c r="F1488" t="s">
        <v>538</v>
      </c>
      <c r="G1488" t="s">
        <v>30</v>
      </c>
      <c r="H1488" t="s">
        <v>535</v>
      </c>
      <c r="I1488">
        <v>43</v>
      </c>
      <c r="J1488">
        <v>7.8</v>
      </c>
      <c r="K1488" t="s">
        <v>257</v>
      </c>
      <c r="L1488" t="s">
        <v>257</v>
      </c>
      <c r="M1488" t="s">
        <v>258</v>
      </c>
      <c r="N1488" s="5">
        <v>80.77</v>
      </c>
    </row>
    <row r="1489" spans="1:14" x14ac:dyDescent="0.25">
      <c r="A1489" t="s">
        <v>2030</v>
      </c>
      <c r="B1489" t="s">
        <v>218</v>
      </c>
      <c r="C1489" t="str">
        <f>_xlfn.XLOOKUP(Table6[[#This Row],[app_id]],Table5[app_id],Table5[app_name],"",0)</f>
        <v>PlanPlus</v>
      </c>
      <c r="D1489" t="str">
        <f>_xlfn.XLOOKUP(Table6[[#This Row],[app_id]],Table5[app_id],Table5[category],"",0)</f>
        <v>Productivity</v>
      </c>
      <c r="E1489" t="s">
        <v>533</v>
      </c>
      <c r="F1489" t="s">
        <v>538</v>
      </c>
      <c r="G1489" t="s">
        <v>30</v>
      </c>
      <c r="H1489" t="s">
        <v>535</v>
      </c>
      <c r="I1489">
        <v>16</v>
      </c>
      <c r="J1489">
        <v>11.1</v>
      </c>
      <c r="K1489" t="s">
        <v>258</v>
      </c>
      <c r="L1489" t="s">
        <v>258</v>
      </c>
      <c r="M1489" t="s">
        <v>258</v>
      </c>
      <c r="N1489" s="5">
        <v>0</v>
      </c>
    </row>
    <row r="1490" spans="1:14" x14ac:dyDescent="0.25">
      <c r="A1490" t="s">
        <v>2031</v>
      </c>
      <c r="B1490" t="s">
        <v>220</v>
      </c>
      <c r="C1490" t="str">
        <f>_xlfn.XLOOKUP(Table6[[#This Row],[app_id]],Table5[app_id],Table5[app_name],"",0)</f>
        <v>PlanMate</v>
      </c>
      <c r="D1490" t="str">
        <f>_xlfn.XLOOKUP(Table6[[#This Row],[app_id]],Table5[app_id],Table5[category],"",0)</f>
        <v>Productivity</v>
      </c>
      <c r="E1490" t="s">
        <v>533</v>
      </c>
      <c r="F1490" t="s">
        <v>534</v>
      </c>
      <c r="G1490" t="s">
        <v>61</v>
      </c>
      <c r="H1490" t="s">
        <v>535</v>
      </c>
      <c r="I1490">
        <v>26</v>
      </c>
      <c r="J1490">
        <v>19.8</v>
      </c>
      <c r="K1490" t="s">
        <v>258</v>
      </c>
      <c r="L1490" t="s">
        <v>258</v>
      </c>
      <c r="M1490" t="s">
        <v>258</v>
      </c>
      <c r="N1490" s="5">
        <v>0</v>
      </c>
    </row>
    <row r="1491" spans="1:14" x14ac:dyDescent="0.25">
      <c r="A1491" t="s">
        <v>2032</v>
      </c>
      <c r="B1491" t="s">
        <v>222</v>
      </c>
      <c r="C1491" t="str">
        <f>_xlfn.XLOOKUP(Table6[[#This Row],[app_id]],Table5[app_id],Table5[app_name],"",0)</f>
        <v>SyncPlus</v>
      </c>
      <c r="D1491" t="str">
        <f>_xlfn.XLOOKUP(Table6[[#This Row],[app_id]],Table5[app_id],Table5[category],"",0)</f>
        <v>Productivity</v>
      </c>
      <c r="E1491" t="s">
        <v>546</v>
      </c>
      <c r="F1491" t="s">
        <v>628</v>
      </c>
      <c r="G1491" t="s">
        <v>46</v>
      </c>
      <c r="H1491" t="s">
        <v>535</v>
      </c>
      <c r="I1491">
        <v>68</v>
      </c>
      <c r="J1491">
        <v>5</v>
      </c>
      <c r="K1491" t="s">
        <v>257</v>
      </c>
      <c r="L1491" t="s">
        <v>257</v>
      </c>
      <c r="M1491" t="s">
        <v>258</v>
      </c>
      <c r="N1491" s="5">
        <v>0</v>
      </c>
    </row>
    <row r="1492" spans="1:14" x14ac:dyDescent="0.25">
      <c r="A1492" t="s">
        <v>2033</v>
      </c>
      <c r="B1492" t="s">
        <v>223</v>
      </c>
      <c r="C1492" t="str">
        <f>_xlfn.XLOOKUP(Table6[[#This Row],[app_id]],Table5[app_id],Table5[app_name],"",0)</f>
        <v>ClinicPro</v>
      </c>
      <c r="D1492" t="str">
        <f>_xlfn.XLOOKUP(Table6[[#This Row],[app_id]],Table5[app_id],Table5[category],"",0)</f>
        <v>Health</v>
      </c>
      <c r="E1492" t="s">
        <v>533</v>
      </c>
      <c r="F1492" t="s">
        <v>534</v>
      </c>
      <c r="G1492" t="s">
        <v>46</v>
      </c>
      <c r="H1492" t="s">
        <v>540</v>
      </c>
      <c r="I1492">
        <v>92</v>
      </c>
      <c r="J1492">
        <v>3.6</v>
      </c>
      <c r="K1492" t="s">
        <v>257</v>
      </c>
      <c r="L1492" t="s">
        <v>257</v>
      </c>
      <c r="M1492" t="s">
        <v>258</v>
      </c>
      <c r="N1492" s="5">
        <v>0</v>
      </c>
    </row>
    <row r="1493" spans="1:14" x14ac:dyDescent="0.25">
      <c r="A1493" t="s">
        <v>2034</v>
      </c>
      <c r="B1493" t="s">
        <v>226</v>
      </c>
      <c r="C1493" t="str">
        <f>_xlfn.XLOOKUP(Table6[[#This Row],[app_id]],Table5[app_id],Table5[app_name],"",0)</f>
        <v>MindMate</v>
      </c>
      <c r="D1493" t="str">
        <f>_xlfn.XLOOKUP(Table6[[#This Row],[app_id]],Table5[app_id],Table5[category],"",0)</f>
        <v>Health</v>
      </c>
      <c r="E1493" t="s">
        <v>533</v>
      </c>
      <c r="F1493" t="s">
        <v>538</v>
      </c>
      <c r="G1493" t="s">
        <v>35</v>
      </c>
      <c r="H1493" t="s">
        <v>535</v>
      </c>
      <c r="I1493">
        <v>65</v>
      </c>
      <c r="J1493">
        <v>17.899999999999999</v>
      </c>
      <c r="K1493" t="s">
        <v>257</v>
      </c>
      <c r="L1493" t="s">
        <v>258</v>
      </c>
      <c r="M1493" t="s">
        <v>258</v>
      </c>
      <c r="N1493" s="5">
        <v>0</v>
      </c>
    </row>
    <row r="1494" spans="1:14" x14ac:dyDescent="0.25">
      <c r="A1494" t="s">
        <v>2035</v>
      </c>
      <c r="B1494" t="s">
        <v>228</v>
      </c>
      <c r="C1494" t="str">
        <f>_xlfn.XLOOKUP(Table6[[#This Row],[app_id]],Table5[app_id],Table5[app_name],"",0)</f>
        <v>ClinicOne</v>
      </c>
      <c r="D1494" t="str">
        <f>_xlfn.XLOOKUP(Table6[[#This Row],[app_id]],Table5[app_id],Table5[category],"",0)</f>
        <v>Health</v>
      </c>
      <c r="E1494" t="s">
        <v>537</v>
      </c>
      <c r="F1494" t="s">
        <v>538</v>
      </c>
      <c r="G1494" t="s">
        <v>69</v>
      </c>
      <c r="H1494" t="s">
        <v>535</v>
      </c>
      <c r="I1494">
        <v>22</v>
      </c>
      <c r="J1494">
        <v>8.1999999999999993</v>
      </c>
      <c r="K1494" t="s">
        <v>257</v>
      </c>
      <c r="L1494" t="s">
        <v>258</v>
      </c>
      <c r="M1494" t="s">
        <v>258</v>
      </c>
      <c r="N1494" s="5">
        <v>0</v>
      </c>
    </row>
    <row r="1495" spans="1:14" x14ac:dyDescent="0.25">
      <c r="A1495" t="s">
        <v>2036</v>
      </c>
      <c r="B1495" t="s">
        <v>230</v>
      </c>
      <c r="C1495" t="str">
        <f>_xlfn.XLOOKUP(Table6[[#This Row],[app_id]],Table5[app_id],Table5[app_name],"",0)</f>
        <v>WellMate</v>
      </c>
      <c r="D1495" t="str">
        <f>_xlfn.XLOOKUP(Table6[[#This Row],[app_id]],Table5[app_id],Table5[category],"",0)</f>
        <v>Health</v>
      </c>
      <c r="E1495" t="s">
        <v>557</v>
      </c>
      <c r="F1495" t="s">
        <v>534</v>
      </c>
      <c r="G1495" t="s">
        <v>26</v>
      </c>
      <c r="H1495" t="s">
        <v>535</v>
      </c>
      <c r="I1495">
        <v>54</v>
      </c>
      <c r="J1495">
        <v>7.5</v>
      </c>
      <c r="K1495" t="s">
        <v>257</v>
      </c>
      <c r="L1495" t="s">
        <v>257</v>
      </c>
      <c r="M1495" t="s">
        <v>258</v>
      </c>
      <c r="N1495" s="5">
        <v>0</v>
      </c>
    </row>
    <row r="1496" spans="1:14" x14ac:dyDescent="0.25">
      <c r="A1496" t="s">
        <v>2037</v>
      </c>
      <c r="B1496" t="s">
        <v>232</v>
      </c>
      <c r="C1496" t="str">
        <f>_xlfn.XLOOKUP(Table6[[#This Row],[app_id]],Table5[app_id],Table5[app_name],"",0)</f>
        <v>MediMate</v>
      </c>
      <c r="D1496" t="str">
        <f>_xlfn.XLOOKUP(Table6[[#This Row],[app_id]],Table5[app_id],Table5[category],"",0)</f>
        <v>Health</v>
      </c>
      <c r="E1496" t="s">
        <v>546</v>
      </c>
      <c r="F1496" t="s">
        <v>534</v>
      </c>
      <c r="G1496" t="s">
        <v>18</v>
      </c>
      <c r="H1496" t="s">
        <v>535</v>
      </c>
      <c r="I1496">
        <v>17</v>
      </c>
      <c r="J1496">
        <v>10.199999999999999</v>
      </c>
      <c r="K1496" t="s">
        <v>257</v>
      </c>
      <c r="L1496" t="s">
        <v>257</v>
      </c>
      <c r="M1496" t="s">
        <v>257</v>
      </c>
      <c r="N1496" s="5">
        <v>0</v>
      </c>
    </row>
    <row r="1497" spans="1:14" x14ac:dyDescent="0.25">
      <c r="A1497" t="s">
        <v>2038</v>
      </c>
      <c r="B1497" t="s">
        <v>234</v>
      </c>
      <c r="C1497" t="str">
        <f>_xlfn.XLOOKUP(Table6[[#This Row],[app_id]],Table5[app_id],Table5[app_name],"",0)</f>
        <v>WellNow</v>
      </c>
      <c r="D1497" t="str">
        <f>_xlfn.XLOOKUP(Table6[[#This Row],[app_id]],Table5[app_id],Table5[category],"",0)</f>
        <v>Health</v>
      </c>
      <c r="E1497" t="s">
        <v>546</v>
      </c>
      <c r="F1497" t="s">
        <v>548</v>
      </c>
      <c r="G1497" t="s">
        <v>18</v>
      </c>
      <c r="H1497" t="s">
        <v>535</v>
      </c>
      <c r="I1497">
        <v>27</v>
      </c>
      <c r="J1497">
        <v>5.9</v>
      </c>
      <c r="K1497" t="s">
        <v>258</v>
      </c>
      <c r="L1497" t="s">
        <v>258</v>
      </c>
      <c r="M1497" t="s">
        <v>257</v>
      </c>
      <c r="N1497" s="5">
        <v>0</v>
      </c>
    </row>
    <row r="1498" spans="1:14" x14ac:dyDescent="0.25">
      <c r="A1498" t="s">
        <v>2039</v>
      </c>
      <c r="B1498" t="s">
        <v>236</v>
      </c>
      <c r="C1498" t="str">
        <f>_xlfn.XLOOKUP(Table6[[#This Row],[app_id]],Table5[app_id],Table5[app_name],"",0)</f>
        <v>CareCloud</v>
      </c>
      <c r="D1498" t="str">
        <f>_xlfn.XLOOKUP(Table6[[#This Row],[app_id]],Table5[app_id],Table5[category],"",0)</f>
        <v>Health</v>
      </c>
      <c r="E1498" t="s">
        <v>537</v>
      </c>
      <c r="F1498" t="s">
        <v>538</v>
      </c>
      <c r="G1498" t="s">
        <v>46</v>
      </c>
      <c r="H1498" t="s">
        <v>535</v>
      </c>
      <c r="I1498">
        <v>13</v>
      </c>
      <c r="J1498">
        <v>5.4</v>
      </c>
      <c r="K1498" t="s">
        <v>258</v>
      </c>
      <c r="L1498" t="s">
        <v>257</v>
      </c>
      <c r="M1498" t="s">
        <v>258</v>
      </c>
      <c r="N1498" s="5">
        <v>0</v>
      </c>
    </row>
    <row r="1499" spans="1:14" x14ac:dyDescent="0.25">
      <c r="A1499" t="s">
        <v>2040</v>
      </c>
      <c r="B1499" t="s">
        <v>238</v>
      </c>
      <c r="C1499" t="str">
        <f>_xlfn.XLOOKUP(Table6[[#This Row],[app_id]],Table5[app_id],Table5[app_name],"",0)</f>
        <v>MediNow</v>
      </c>
      <c r="D1499" t="str">
        <f>_xlfn.XLOOKUP(Table6[[#This Row],[app_id]],Table5[app_id],Table5[category],"",0)</f>
        <v>Health</v>
      </c>
      <c r="E1499" t="s">
        <v>552</v>
      </c>
      <c r="F1499" t="s">
        <v>538</v>
      </c>
      <c r="G1499" t="s">
        <v>26</v>
      </c>
      <c r="H1499" t="s">
        <v>535</v>
      </c>
      <c r="I1499">
        <v>30</v>
      </c>
      <c r="J1499">
        <v>18.3</v>
      </c>
      <c r="K1499" t="s">
        <v>257</v>
      </c>
      <c r="L1499" t="s">
        <v>257</v>
      </c>
      <c r="M1499" t="s">
        <v>258</v>
      </c>
      <c r="N1499" s="5">
        <v>0</v>
      </c>
    </row>
    <row r="1500" spans="1:14" x14ac:dyDescent="0.25">
      <c r="A1500" t="s">
        <v>2041</v>
      </c>
      <c r="B1500" t="s">
        <v>240</v>
      </c>
      <c r="C1500" t="str">
        <f>_xlfn.XLOOKUP(Table6[[#This Row],[app_id]],Table5[app_id],Table5[app_name],"",0)</f>
        <v>MindPlus</v>
      </c>
      <c r="D1500" t="str">
        <f>_xlfn.XLOOKUP(Table6[[#This Row],[app_id]],Table5[app_id],Table5[category],"",0)</f>
        <v>Health</v>
      </c>
      <c r="E1500" t="s">
        <v>537</v>
      </c>
      <c r="F1500" t="s">
        <v>534</v>
      </c>
      <c r="G1500" t="s">
        <v>61</v>
      </c>
      <c r="H1500" t="s">
        <v>535</v>
      </c>
      <c r="I1500">
        <v>65</v>
      </c>
      <c r="J1500">
        <v>14.1</v>
      </c>
      <c r="K1500" t="s">
        <v>257</v>
      </c>
      <c r="L1500" t="s">
        <v>257</v>
      </c>
      <c r="M1500" t="s">
        <v>258</v>
      </c>
      <c r="N1500" s="5">
        <v>0</v>
      </c>
    </row>
    <row r="1501" spans="1:14" x14ac:dyDescent="0.25">
      <c r="A1501" t="s">
        <v>2042</v>
      </c>
      <c r="B1501" t="s">
        <v>242</v>
      </c>
      <c r="C1501" t="str">
        <f>_xlfn.XLOOKUP(Table6[[#This Row],[app_id]],Table5[app_id],Table5[app_name],"",0)</f>
        <v>MediCloud</v>
      </c>
      <c r="D1501" t="str">
        <f>_xlfn.XLOOKUP(Table6[[#This Row],[app_id]],Table5[app_id],Table5[category],"",0)</f>
        <v>Health</v>
      </c>
      <c r="E1501" t="s">
        <v>537</v>
      </c>
      <c r="F1501" t="s">
        <v>538</v>
      </c>
      <c r="G1501" t="s">
        <v>61</v>
      </c>
      <c r="H1501" t="s">
        <v>535</v>
      </c>
      <c r="I1501">
        <v>26</v>
      </c>
      <c r="J1501">
        <v>22.8</v>
      </c>
      <c r="K1501" t="s">
        <v>258</v>
      </c>
      <c r="L1501" t="s">
        <v>257</v>
      </c>
      <c r="M1501" t="s">
        <v>258</v>
      </c>
      <c r="N1501" s="5">
        <v>17.39</v>
      </c>
    </row>
    <row r="1502" spans="1:14" x14ac:dyDescent="0.25">
      <c r="A1502" t="s">
        <v>2043</v>
      </c>
      <c r="B1502" t="s">
        <v>12</v>
      </c>
      <c r="C1502" t="str">
        <f>_xlfn.XLOOKUP(Table6[[#This Row],[app_id]],Table5[app_id],Table5[app_name],"",0)</f>
        <v>InvestPro</v>
      </c>
      <c r="D1502" t="str">
        <f>_xlfn.XLOOKUP(Table6[[#This Row],[app_id]],Table5[app_id],Table5[category],"",0)</f>
        <v>Finance</v>
      </c>
      <c r="E1502" t="s">
        <v>537</v>
      </c>
      <c r="F1502" t="s">
        <v>538</v>
      </c>
      <c r="G1502" t="s">
        <v>26</v>
      </c>
      <c r="H1502" t="s">
        <v>535</v>
      </c>
      <c r="I1502">
        <v>18</v>
      </c>
      <c r="J1502">
        <v>21.5</v>
      </c>
      <c r="K1502" t="s">
        <v>258</v>
      </c>
      <c r="L1502" t="s">
        <v>257</v>
      </c>
      <c r="M1502" t="s">
        <v>258</v>
      </c>
      <c r="N1502" s="5">
        <v>0</v>
      </c>
    </row>
    <row r="1503" spans="1:14" x14ac:dyDescent="0.25">
      <c r="A1503" t="s">
        <v>2044</v>
      </c>
      <c r="B1503" t="s">
        <v>19</v>
      </c>
      <c r="C1503" t="str">
        <f>_xlfn.XLOOKUP(Table6[[#This Row],[app_id]],Table5[app_id],Table5[app_name],"",0)</f>
        <v>BankPro</v>
      </c>
      <c r="D1503" t="str">
        <f>_xlfn.XLOOKUP(Table6[[#This Row],[app_id]],Table5[app_id],Table5[category],"",0)</f>
        <v>Finance</v>
      </c>
      <c r="E1503" t="s">
        <v>546</v>
      </c>
      <c r="F1503" t="s">
        <v>534</v>
      </c>
      <c r="G1503" t="s">
        <v>30</v>
      </c>
      <c r="H1503" t="s">
        <v>535</v>
      </c>
      <c r="I1503">
        <v>8</v>
      </c>
      <c r="J1503">
        <v>4.7</v>
      </c>
      <c r="K1503" t="s">
        <v>258</v>
      </c>
      <c r="L1503" t="s">
        <v>258</v>
      </c>
      <c r="M1503" t="s">
        <v>257</v>
      </c>
      <c r="N1503" s="5">
        <v>0</v>
      </c>
    </row>
    <row r="1504" spans="1:14" x14ac:dyDescent="0.25">
      <c r="A1504" t="s">
        <v>2045</v>
      </c>
      <c r="B1504" t="s">
        <v>24</v>
      </c>
      <c r="C1504" t="str">
        <f>_xlfn.XLOOKUP(Table6[[#This Row],[app_id]],Table5[app_id],Table5[app_name],"",0)</f>
        <v>BankX</v>
      </c>
      <c r="D1504" t="str">
        <f>_xlfn.XLOOKUP(Table6[[#This Row],[app_id]],Table5[app_id],Table5[category],"",0)</f>
        <v>Finance</v>
      </c>
      <c r="E1504" t="s">
        <v>533</v>
      </c>
      <c r="F1504" t="s">
        <v>534</v>
      </c>
      <c r="G1504" t="s">
        <v>69</v>
      </c>
      <c r="H1504" t="s">
        <v>535</v>
      </c>
      <c r="I1504">
        <v>93</v>
      </c>
      <c r="J1504">
        <v>21.5</v>
      </c>
      <c r="K1504" t="s">
        <v>257</v>
      </c>
      <c r="L1504" t="s">
        <v>258</v>
      </c>
      <c r="M1504" t="s">
        <v>258</v>
      </c>
      <c r="N1504" s="5">
        <v>0</v>
      </c>
    </row>
    <row r="1505" spans="1:14" x14ac:dyDescent="0.25">
      <c r="A1505" t="s">
        <v>2046</v>
      </c>
      <c r="B1505" t="s">
        <v>27</v>
      </c>
      <c r="C1505" t="str">
        <f>_xlfn.XLOOKUP(Table6[[#This Row],[app_id]],Table5[app_id],Table5[app_name],"",0)</f>
        <v>BankNow</v>
      </c>
      <c r="D1505" t="str">
        <f>_xlfn.XLOOKUP(Table6[[#This Row],[app_id]],Table5[app_id],Table5[category],"",0)</f>
        <v>Finance</v>
      </c>
      <c r="E1505" t="s">
        <v>537</v>
      </c>
      <c r="F1505" t="s">
        <v>538</v>
      </c>
      <c r="G1505" t="s">
        <v>69</v>
      </c>
      <c r="H1505" t="s">
        <v>535</v>
      </c>
      <c r="I1505">
        <v>80</v>
      </c>
      <c r="J1505">
        <v>21.3</v>
      </c>
      <c r="K1505" t="s">
        <v>257</v>
      </c>
      <c r="L1505" t="s">
        <v>257</v>
      </c>
      <c r="M1505" t="s">
        <v>258</v>
      </c>
      <c r="N1505" s="5">
        <v>0</v>
      </c>
    </row>
    <row r="1506" spans="1:14" x14ac:dyDescent="0.25">
      <c r="A1506" t="s">
        <v>2047</v>
      </c>
      <c r="B1506" t="s">
        <v>31</v>
      </c>
      <c r="C1506" t="str">
        <f>_xlfn.XLOOKUP(Table6[[#This Row],[app_id]],Table5[app_id],Table5[app_name],"",0)</f>
        <v>CreditHub</v>
      </c>
      <c r="D1506" t="str">
        <f>_xlfn.XLOOKUP(Table6[[#This Row],[app_id]],Table5[app_id],Table5[category],"",0)</f>
        <v>Finance</v>
      </c>
      <c r="E1506" t="s">
        <v>533</v>
      </c>
      <c r="F1506" t="s">
        <v>538</v>
      </c>
      <c r="G1506" t="s">
        <v>69</v>
      </c>
      <c r="H1506" t="s">
        <v>535</v>
      </c>
      <c r="I1506">
        <v>25</v>
      </c>
      <c r="J1506">
        <v>9.4</v>
      </c>
      <c r="K1506" t="s">
        <v>258</v>
      </c>
      <c r="L1506" t="s">
        <v>257</v>
      </c>
      <c r="M1506" t="s">
        <v>258</v>
      </c>
      <c r="N1506" s="5">
        <v>0</v>
      </c>
    </row>
    <row r="1507" spans="1:14" x14ac:dyDescent="0.25">
      <c r="A1507" t="s">
        <v>2048</v>
      </c>
      <c r="B1507" t="s">
        <v>36</v>
      </c>
      <c r="C1507" t="str">
        <f>_xlfn.XLOOKUP(Table6[[#This Row],[app_id]],Table5[app_id],Table5[app_name],"",0)</f>
        <v>PayPlus</v>
      </c>
      <c r="D1507" t="str">
        <f>_xlfn.XLOOKUP(Table6[[#This Row],[app_id]],Table5[app_id],Table5[category],"",0)</f>
        <v>Finance</v>
      </c>
      <c r="E1507" t="s">
        <v>537</v>
      </c>
      <c r="F1507" t="s">
        <v>538</v>
      </c>
      <c r="G1507" t="s">
        <v>26</v>
      </c>
      <c r="H1507" t="s">
        <v>535</v>
      </c>
      <c r="I1507">
        <v>89</v>
      </c>
      <c r="J1507">
        <v>17.600000000000001</v>
      </c>
      <c r="K1507" t="s">
        <v>257</v>
      </c>
      <c r="L1507" t="s">
        <v>258</v>
      </c>
      <c r="M1507" t="s">
        <v>258</v>
      </c>
      <c r="N1507" s="5">
        <v>0</v>
      </c>
    </row>
    <row r="1508" spans="1:14" x14ac:dyDescent="0.25">
      <c r="A1508" t="s">
        <v>2049</v>
      </c>
      <c r="B1508" t="s">
        <v>39</v>
      </c>
      <c r="C1508" t="str">
        <f>_xlfn.XLOOKUP(Table6[[#This Row],[app_id]],Table5[app_id],Table5[app_name],"",0)</f>
        <v>BankPlus</v>
      </c>
      <c r="D1508" t="str">
        <f>_xlfn.XLOOKUP(Table6[[#This Row],[app_id]],Table5[app_id],Table5[category],"",0)</f>
        <v>Finance</v>
      </c>
      <c r="E1508" t="s">
        <v>537</v>
      </c>
      <c r="F1508" t="s">
        <v>534</v>
      </c>
      <c r="G1508" t="s">
        <v>69</v>
      </c>
      <c r="H1508" t="s">
        <v>535</v>
      </c>
      <c r="I1508">
        <v>26</v>
      </c>
      <c r="J1508">
        <v>22.8</v>
      </c>
      <c r="K1508" t="s">
        <v>257</v>
      </c>
      <c r="L1508" t="s">
        <v>257</v>
      </c>
      <c r="M1508" t="s">
        <v>258</v>
      </c>
      <c r="N1508" s="5">
        <v>99.49</v>
      </c>
    </row>
    <row r="1509" spans="1:14" x14ac:dyDescent="0.25">
      <c r="A1509" t="s">
        <v>2050</v>
      </c>
      <c r="B1509" t="s">
        <v>42</v>
      </c>
      <c r="C1509" t="str">
        <f>_xlfn.XLOOKUP(Table6[[#This Row],[app_id]],Table5[app_id],Table5[app_name],"",0)</f>
        <v>CoinPlus</v>
      </c>
      <c r="D1509" t="str">
        <f>_xlfn.XLOOKUP(Table6[[#This Row],[app_id]],Table5[app_id],Table5[category],"",0)</f>
        <v>Finance</v>
      </c>
      <c r="E1509" t="s">
        <v>537</v>
      </c>
      <c r="F1509" t="s">
        <v>628</v>
      </c>
      <c r="G1509" t="s">
        <v>61</v>
      </c>
      <c r="H1509" t="s">
        <v>540</v>
      </c>
      <c r="I1509">
        <v>15</v>
      </c>
      <c r="J1509">
        <v>5.2</v>
      </c>
      <c r="K1509" t="s">
        <v>257</v>
      </c>
      <c r="L1509" t="s">
        <v>257</v>
      </c>
      <c r="M1509" t="s">
        <v>258</v>
      </c>
      <c r="N1509" s="5">
        <v>10.78</v>
      </c>
    </row>
    <row r="1510" spans="1:14" x14ac:dyDescent="0.25">
      <c r="A1510" t="s">
        <v>2051</v>
      </c>
      <c r="B1510" t="s">
        <v>47</v>
      </c>
      <c r="C1510" t="str">
        <f>_xlfn.XLOOKUP(Table6[[#This Row],[app_id]],Table5[app_id],Table5[app_name],"",0)</f>
        <v>CreditOne</v>
      </c>
      <c r="D1510" t="str">
        <f>_xlfn.XLOOKUP(Table6[[#This Row],[app_id]],Table5[app_id],Table5[category],"",0)</f>
        <v>Finance</v>
      </c>
      <c r="E1510" t="s">
        <v>546</v>
      </c>
      <c r="F1510" t="s">
        <v>538</v>
      </c>
      <c r="G1510" t="s">
        <v>69</v>
      </c>
      <c r="H1510" t="s">
        <v>535</v>
      </c>
      <c r="I1510">
        <v>11</v>
      </c>
      <c r="J1510">
        <v>23.2</v>
      </c>
      <c r="K1510" t="s">
        <v>258</v>
      </c>
      <c r="L1510" t="s">
        <v>257</v>
      </c>
      <c r="M1510" t="s">
        <v>258</v>
      </c>
      <c r="N1510" s="5">
        <v>0</v>
      </c>
    </row>
    <row r="1511" spans="1:14" x14ac:dyDescent="0.25">
      <c r="A1511" t="s">
        <v>2052</v>
      </c>
      <c r="B1511" t="s">
        <v>49</v>
      </c>
      <c r="C1511" t="str">
        <f>_xlfn.XLOOKUP(Table6[[#This Row],[app_id]],Table5[app_id],Table5[app_name],"",0)</f>
        <v>PayPro</v>
      </c>
      <c r="D1511" t="str">
        <f>_xlfn.XLOOKUP(Table6[[#This Row],[app_id]],Table5[app_id],Table5[category],"",0)</f>
        <v>Finance</v>
      </c>
      <c r="E1511" t="s">
        <v>552</v>
      </c>
      <c r="F1511" t="s">
        <v>534</v>
      </c>
      <c r="G1511" t="s">
        <v>61</v>
      </c>
      <c r="H1511" t="s">
        <v>535</v>
      </c>
      <c r="I1511">
        <v>35</v>
      </c>
      <c r="J1511">
        <v>13.9</v>
      </c>
      <c r="K1511" t="s">
        <v>257</v>
      </c>
      <c r="L1511" t="s">
        <v>258</v>
      </c>
      <c r="M1511" t="s">
        <v>257</v>
      </c>
      <c r="N1511" s="5">
        <v>41.86</v>
      </c>
    </row>
    <row r="1512" spans="1:14" x14ac:dyDescent="0.25">
      <c r="A1512" t="s">
        <v>2053</v>
      </c>
      <c r="B1512" t="s">
        <v>51</v>
      </c>
      <c r="C1512" t="str">
        <f>_xlfn.XLOOKUP(Table6[[#This Row],[app_id]],Table5[app_id],Table5[app_name],"",0)</f>
        <v>Creditly</v>
      </c>
      <c r="D1512" t="str">
        <f>_xlfn.XLOOKUP(Table6[[#This Row],[app_id]],Table5[app_id],Table5[category],"",0)</f>
        <v>Finance</v>
      </c>
      <c r="E1512" t="s">
        <v>533</v>
      </c>
      <c r="F1512" t="s">
        <v>534</v>
      </c>
      <c r="G1512" t="s">
        <v>26</v>
      </c>
      <c r="H1512" t="s">
        <v>535</v>
      </c>
      <c r="I1512">
        <v>30</v>
      </c>
      <c r="J1512">
        <v>20.8</v>
      </c>
      <c r="K1512" t="s">
        <v>257</v>
      </c>
      <c r="L1512" t="s">
        <v>258</v>
      </c>
      <c r="M1512" t="s">
        <v>258</v>
      </c>
      <c r="N1512" s="5">
        <v>0</v>
      </c>
    </row>
    <row r="1513" spans="1:14" x14ac:dyDescent="0.25">
      <c r="A1513" t="s">
        <v>2054</v>
      </c>
      <c r="B1513" t="s">
        <v>53</v>
      </c>
      <c r="C1513" t="str">
        <f>_xlfn.XLOOKUP(Table6[[#This Row],[app_id]],Table5[app_id],Table5[app_name],"",0)</f>
        <v>PayX</v>
      </c>
      <c r="D1513" t="str">
        <f>_xlfn.XLOOKUP(Table6[[#This Row],[app_id]],Table5[app_id],Table5[category],"",0)</f>
        <v>Finance</v>
      </c>
      <c r="E1513" t="s">
        <v>537</v>
      </c>
      <c r="F1513" t="s">
        <v>538</v>
      </c>
      <c r="G1513" t="s">
        <v>61</v>
      </c>
      <c r="H1513" t="s">
        <v>535</v>
      </c>
      <c r="I1513">
        <v>63</v>
      </c>
      <c r="J1513">
        <v>13.1</v>
      </c>
      <c r="K1513" t="s">
        <v>257</v>
      </c>
      <c r="L1513" t="s">
        <v>258</v>
      </c>
      <c r="M1513" t="s">
        <v>258</v>
      </c>
      <c r="N1513" s="5">
        <v>6.16</v>
      </c>
    </row>
    <row r="1514" spans="1:14" x14ac:dyDescent="0.25">
      <c r="A1514" t="s">
        <v>2055</v>
      </c>
      <c r="B1514" t="s">
        <v>56</v>
      </c>
      <c r="C1514" t="str">
        <f>_xlfn.XLOOKUP(Table6[[#This Row],[app_id]],Table5[app_id],Table5[app_name],"",0)</f>
        <v>DealGo</v>
      </c>
      <c r="D1514" t="str">
        <f>_xlfn.XLOOKUP(Table6[[#This Row],[app_id]],Table5[app_id],Table5[category],"",0)</f>
        <v>Shopping</v>
      </c>
      <c r="E1514" t="s">
        <v>546</v>
      </c>
      <c r="F1514" t="s">
        <v>534</v>
      </c>
      <c r="G1514" t="s">
        <v>26</v>
      </c>
      <c r="H1514" t="s">
        <v>535</v>
      </c>
      <c r="I1514">
        <v>14</v>
      </c>
      <c r="J1514">
        <v>10.6</v>
      </c>
      <c r="K1514" t="s">
        <v>258</v>
      </c>
      <c r="L1514" t="s">
        <v>258</v>
      </c>
      <c r="M1514" t="s">
        <v>258</v>
      </c>
      <c r="N1514" s="5">
        <v>0</v>
      </c>
    </row>
    <row r="1515" spans="1:14" x14ac:dyDescent="0.25">
      <c r="A1515" t="s">
        <v>2056</v>
      </c>
      <c r="B1515" t="s">
        <v>62</v>
      </c>
      <c r="C1515" t="str">
        <f>_xlfn.XLOOKUP(Table6[[#This Row],[app_id]],Table5[app_id],Table5[app_name],"",0)</f>
        <v>MallNow</v>
      </c>
      <c r="D1515" t="str">
        <f>_xlfn.XLOOKUP(Table6[[#This Row],[app_id]],Table5[app_id],Table5[category],"",0)</f>
        <v>Shopping</v>
      </c>
      <c r="E1515" t="s">
        <v>546</v>
      </c>
      <c r="F1515" t="s">
        <v>538</v>
      </c>
      <c r="G1515" t="s">
        <v>26</v>
      </c>
      <c r="H1515" t="s">
        <v>535</v>
      </c>
      <c r="I1515">
        <v>12</v>
      </c>
      <c r="J1515">
        <v>4.3</v>
      </c>
      <c r="K1515" t="s">
        <v>258</v>
      </c>
      <c r="L1515" t="s">
        <v>257</v>
      </c>
      <c r="M1515" t="s">
        <v>258</v>
      </c>
      <c r="N1515" s="5">
        <v>20.34</v>
      </c>
    </row>
    <row r="1516" spans="1:14" x14ac:dyDescent="0.25">
      <c r="A1516" t="s">
        <v>2057</v>
      </c>
      <c r="B1516" t="s">
        <v>65</v>
      </c>
      <c r="C1516" t="str">
        <f>_xlfn.XLOOKUP(Table6[[#This Row],[app_id]],Table5[app_id],Table5[app_name],"",0)</f>
        <v>DealPro</v>
      </c>
      <c r="D1516" t="str">
        <f>_xlfn.XLOOKUP(Table6[[#This Row],[app_id]],Table5[app_id],Table5[category],"",0)</f>
        <v>Shopping</v>
      </c>
      <c r="E1516" t="s">
        <v>546</v>
      </c>
      <c r="F1516" t="s">
        <v>538</v>
      </c>
      <c r="G1516" t="s">
        <v>69</v>
      </c>
      <c r="H1516" t="s">
        <v>535</v>
      </c>
      <c r="I1516">
        <v>66</v>
      </c>
      <c r="J1516">
        <v>3.1</v>
      </c>
      <c r="K1516" t="s">
        <v>257</v>
      </c>
      <c r="L1516" t="s">
        <v>257</v>
      </c>
      <c r="M1516" t="s">
        <v>258</v>
      </c>
      <c r="N1516" s="5">
        <v>0</v>
      </c>
    </row>
    <row r="1517" spans="1:14" x14ac:dyDescent="0.25">
      <c r="A1517" t="s">
        <v>2058</v>
      </c>
      <c r="B1517" t="s">
        <v>67</v>
      </c>
      <c r="C1517" t="str">
        <f>_xlfn.XLOOKUP(Table6[[#This Row],[app_id]],Table5[app_id],Table5[app_name],"",0)</f>
        <v>StyleNow</v>
      </c>
      <c r="D1517" t="str">
        <f>_xlfn.XLOOKUP(Table6[[#This Row],[app_id]],Table5[app_id],Table5[category],"",0)</f>
        <v>Shopping</v>
      </c>
      <c r="E1517" t="s">
        <v>533</v>
      </c>
      <c r="F1517" t="s">
        <v>538</v>
      </c>
      <c r="G1517" t="s">
        <v>69</v>
      </c>
      <c r="H1517" t="s">
        <v>535</v>
      </c>
      <c r="I1517">
        <v>21</v>
      </c>
      <c r="J1517">
        <v>14.5</v>
      </c>
      <c r="K1517" t="s">
        <v>258</v>
      </c>
      <c r="L1517" t="s">
        <v>257</v>
      </c>
      <c r="M1517" t="s">
        <v>257</v>
      </c>
      <c r="N1517" s="5">
        <v>40.75</v>
      </c>
    </row>
    <row r="1518" spans="1:14" x14ac:dyDescent="0.25">
      <c r="A1518" t="s">
        <v>2059</v>
      </c>
      <c r="B1518" t="s">
        <v>70</v>
      </c>
      <c r="C1518" t="str">
        <f>_xlfn.XLOOKUP(Table6[[#This Row],[app_id]],Table5[app_id],Table5[app_name],"",0)</f>
        <v>DealCloud</v>
      </c>
      <c r="D1518" t="str">
        <f>_xlfn.XLOOKUP(Table6[[#This Row],[app_id]],Table5[app_id],Table5[category],"",0)</f>
        <v>Shopping</v>
      </c>
      <c r="E1518" t="s">
        <v>546</v>
      </c>
      <c r="F1518" t="s">
        <v>534</v>
      </c>
      <c r="G1518" t="s">
        <v>30</v>
      </c>
      <c r="H1518" t="s">
        <v>540</v>
      </c>
      <c r="I1518">
        <v>20</v>
      </c>
      <c r="J1518">
        <v>23.6</v>
      </c>
      <c r="K1518" t="s">
        <v>258</v>
      </c>
      <c r="L1518" t="s">
        <v>257</v>
      </c>
      <c r="M1518" t="s">
        <v>257</v>
      </c>
      <c r="N1518" s="5">
        <v>0</v>
      </c>
    </row>
    <row r="1519" spans="1:14" x14ac:dyDescent="0.25">
      <c r="A1519" t="s">
        <v>2060</v>
      </c>
      <c r="B1519" t="s">
        <v>72</v>
      </c>
      <c r="C1519" t="str">
        <f>_xlfn.XLOOKUP(Table6[[#This Row],[app_id]],Table5[app_id],Table5[app_name],"",0)</f>
        <v>CartCloud</v>
      </c>
      <c r="D1519" t="str">
        <f>_xlfn.XLOOKUP(Table6[[#This Row],[app_id]],Table5[app_id],Table5[category],"",0)</f>
        <v>Shopping</v>
      </c>
      <c r="E1519" t="s">
        <v>537</v>
      </c>
      <c r="F1519" t="s">
        <v>538</v>
      </c>
      <c r="G1519" t="s">
        <v>46</v>
      </c>
      <c r="H1519" t="s">
        <v>535</v>
      </c>
      <c r="I1519">
        <v>27</v>
      </c>
      <c r="J1519">
        <v>23.5</v>
      </c>
      <c r="K1519" t="s">
        <v>258</v>
      </c>
      <c r="L1519" t="s">
        <v>258</v>
      </c>
      <c r="M1519" t="s">
        <v>258</v>
      </c>
      <c r="N1519" s="5">
        <v>0</v>
      </c>
    </row>
    <row r="1520" spans="1:14" x14ac:dyDescent="0.25">
      <c r="A1520" t="s">
        <v>2061</v>
      </c>
      <c r="B1520" t="s">
        <v>74</v>
      </c>
      <c r="C1520" t="str">
        <f>_xlfn.XLOOKUP(Table6[[#This Row],[app_id]],Table5[app_id],Table5[app_name],"",0)</f>
        <v>CartMate</v>
      </c>
      <c r="D1520" t="str">
        <f>_xlfn.XLOOKUP(Table6[[#This Row],[app_id]],Table5[app_id],Table5[category],"",0)</f>
        <v>Shopping</v>
      </c>
      <c r="E1520" t="s">
        <v>533</v>
      </c>
      <c r="F1520" t="s">
        <v>538</v>
      </c>
      <c r="G1520" t="s">
        <v>46</v>
      </c>
      <c r="H1520" t="s">
        <v>535</v>
      </c>
      <c r="I1520">
        <v>3</v>
      </c>
      <c r="J1520">
        <v>7.8</v>
      </c>
      <c r="K1520" t="s">
        <v>258</v>
      </c>
      <c r="L1520" t="s">
        <v>258</v>
      </c>
      <c r="M1520" t="s">
        <v>257</v>
      </c>
      <c r="N1520" s="5">
        <v>0</v>
      </c>
    </row>
    <row r="1521" spans="1:14" x14ac:dyDescent="0.25">
      <c r="A1521" t="s">
        <v>2062</v>
      </c>
      <c r="B1521" t="s">
        <v>76</v>
      </c>
      <c r="C1521" t="str">
        <f>_xlfn.XLOOKUP(Table6[[#This Row],[app_id]],Table5[app_id],Table5[app_name],"",0)</f>
        <v>BazaarOne</v>
      </c>
      <c r="D1521" t="str">
        <f>_xlfn.XLOOKUP(Table6[[#This Row],[app_id]],Table5[app_id],Table5[category],"",0)</f>
        <v>Shopping</v>
      </c>
      <c r="E1521" t="s">
        <v>537</v>
      </c>
      <c r="F1521" t="s">
        <v>538</v>
      </c>
      <c r="G1521" t="s">
        <v>46</v>
      </c>
      <c r="H1521" t="s">
        <v>535</v>
      </c>
      <c r="I1521">
        <v>36</v>
      </c>
      <c r="J1521">
        <v>13.1</v>
      </c>
      <c r="K1521" t="s">
        <v>257</v>
      </c>
      <c r="L1521" t="s">
        <v>257</v>
      </c>
      <c r="M1521" t="s">
        <v>258</v>
      </c>
      <c r="N1521" s="5">
        <v>0</v>
      </c>
    </row>
    <row r="1522" spans="1:14" x14ac:dyDescent="0.25">
      <c r="A1522" t="s">
        <v>2063</v>
      </c>
      <c r="B1522" t="s">
        <v>78</v>
      </c>
      <c r="C1522" t="str">
        <f>_xlfn.XLOOKUP(Table6[[#This Row],[app_id]],Table5[app_id],Table5[app_name],"",0)</f>
        <v>StyleOne</v>
      </c>
      <c r="D1522" t="str">
        <f>_xlfn.XLOOKUP(Table6[[#This Row],[app_id]],Table5[app_id],Table5[category],"",0)</f>
        <v>Shopping</v>
      </c>
      <c r="E1522" t="s">
        <v>537</v>
      </c>
      <c r="F1522" t="s">
        <v>548</v>
      </c>
      <c r="G1522" t="s">
        <v>23</v>
      </c>
      <c r="H1522" t="s">
        <v>535</v>
      </c>
      <c r="I1522">
        <v>6</v>
      </c>
      <c r="J1522">
        <v>16.5</v>
      </c>
      <c r="K1522" t="s">
        <v>258</v>
      </c>
      <c r="L1522" t="s">
        <v>257</v>
      </c>
      <c r="M1522" t="s">
        <v>258</v>
      </c>
      <c r="N1522" s="5">
        <v>41.88</v>
      </c>
    </row>
    <row r="1523" spans="1:14" x14ac:dyDescent="0.25">
      <c r="A1523" t="s">
        <v>2064</v>
      </c>
      <c r="B1523" t="s">
        <v>80</v>
      </c>
      <c r="C1523" t="str">
        <f>_xlfn.XLOOKUP(Table6[[#This Row],[app_id]],Table5[app_id],Table5[app_name],"",0)</f>
        <v>Cartly</v>
      </c>
      <c r="D1523" t="str">
        <f>_xlfn.XLOOKUP(Table6[[#This Row],[app_id]],Table5[app_id],Table5[category],"",0)</f>
        <v>Shopping</v>
      </c>
      <c r="E1523" t="s">
        <v>546</v>
      </c>
      <c r="F1523" t="s">
        <v>538</v>
      </c>
      <c r="G1523" t="s">
        <v>35</v>
      </c>
      <c r="H1523" t="s">
        <v>535</v>
      </c>
      <c r="I1523">
        <v>38</v>
      </c>
      <c r="J1523">
        <v>19.5</v>
      </c>
      <c r="K1523" t="s">
        <v>257</v>
      </c>
      <c r="L1523" t="s">
        <v>258</v>
      </c>
      <c r="M1523" t="s">
        <v>258</v>
      </c>
      <c r="N1523" s="5">
        <v>75.989999999999995</v>
      </c>
    </row>
    <row r="1524" spans="1:14" x14ac:dyDescent="0.25">
      <c r="A1524" t="s">
        <v>2065</v>
      </c>
      <c r="B1524" t="s">
        <v>83</v>
      </c>
      <c r="C1524" t="str">
        <f>_xlfn.XLOOKUP(Table6[[#This Row],[app_id]],Table5[app_id],Table5[app_name],"",0)</f>
        <v>BazaarCloud</v>
      </c>
      <c r="D1524" t="str">
        <f>_xlfn.XLOOKUP(Table6[[#This Row],[app_id]],Table5[app_id],Table5[category],"",0)</f>
        <v>Shopping</v>
      </c>
      <c r="E1524" t="s">
        <v>533</v>
      </c>
      <c r="F1524" t="s">
        <v>538</v>
      </c>
      <c r="G1524" t="s">
        <v>46</v>
      </c>
      <c r="H1524" t="s">
        <v>535</v>
      </c>
      <c r="I1524">
        <v>66</v>
      </c>
      <c r="J1524">
        <v>21.4</v>
      </c>
      <c r="K1524" t="s">
        <v>257</v>
      </c>
      <c r="L1524" t="s">
        <v>258</v>
      </c>
      <c r="M1524" t="s">
        <v>258</v>
      </c>
      <c r="N1524" s="5">
        <v>0</v>
      </c>
    </row>
    <row r="1525" spans="1:14" x14ac:dyDescent="0.25">
      <c r="A1525" t="s">
        <v>2066</v>
      </c>
      <c r="B1525" t="s">
        <v>85</v>
      </c>
      <c r="C1525" t="str">
        <f>_xlfn.XLOOKUP(Table6[[#This Row],[app_id]],Table5[app_id],Table5[app_name],"",0)</f>
        <v>CartPro</v>
      </c>
      <c r="D1525" t="str">
        <f>_xlfn.XLOOKUP(Table6[[#This Row],[app_id]],Table5[app_id],Table5[category],"",0)</f>
        <v>Shopping</v>
      </c>
      <c r="E1525" t="s">
        <v>546</v>
      </c>
      <c r="F1525" t="s">
        <v>534</v>
      </c>
      <c r="G1525" t="s">
        <v>69</v>
      </c>
      <c r="H1525" t="s">
        <v>535</v>
      </c>
      <c r="I1525">
        <v>1</v>
      </c>
      <c r="J1525">
        <v>17</v>
      </c>
      <c r="K1525" t="s">
        <v>258</v>
      </c>
      <c r="L1525" t="s">
        <v>258</v>
      </c>
      <c r="M1525" t="s">
        <v>258</v>
      </c>
      <c r="N1525" s="5">
        <v>8.77</v>
      </c>
    </row>
    <row r="1526" spans="1:14" x14ac:dyDescent="0.25">
      <c r="A1526" t="s">
        <v>2067</v>
      </c>
      <c r="B1526" t="s">
        <v>87</v>
      </c>
      <c r="C1526" t="str">
        <f>_xlfn.XLOOKUP(Table6[[#This Row],[app_id]],Table5[app_id],Table5[app_name],"",0)</f>
        <v>RunPlus</v>
      </c>
      <c r="D1526" t="str">
        <f>_xlfn.XLOOKUP(Table6[[#This Row],[app_id]],Table5[app_id],Table5[category],"",0)</f>
        <v>Fitness</v>
      </c>
      <c r="E1526" t="s">
        <v>533</v>
      </c>
      <c r="F1526" t="s">
        <v>538</v>
      </c>
      <c r="G1526" t="s">
        <v>61</v>
      </c>
      <c r="H1526" t="s">
        <v>535</v>
      </c>
      <c r="I1526">
        <v>11</v>
      </c>
      <c r="J1526">
        <v>13.2</v>
      </c>
      <c r="K1526" t="s">
        <v>258</v>
      </c>
      <c r="L1526" t="s">
        <v>257</v>
      </c>
      <c r="M1526" t="s">
        <v>258</v>
      </c>
      <c r="N1526" s="5">
        <v>0</v>
      </c>
    </row>
    <row r="1527" spans="1:14" x14ac:dyDescent="0.25">
      <c r="A1527" t="s">
        <v>2068</v>
      </c>
      <c r="B1527" t="s">
        <v>90</v>
      </c>
      <c r="C1527" t="str">
        <f>_xlfn.XLOOKUP(Table6[[#This Row],[app_id]],Table5[app_id],Table5[app_name],"",0)</f>
        <v>TrainCloud</v>
      </c>
      <c r="D1527" t="str">
        <f>_xlfn.XLOOKUP(Table6[[#This Row],[app_id]],Table5[app_id],Table5[category],"",0)</f>
        <v>Fitness</v>
      </c>
      <c r="E1527" t="s">
        <v>533</v>
      </c>
      <c r="F1527" t="s">
        <v>534</v>
      </c>
      <c r="G1527" t="s">
        <v>23</v>
      </c>
      <c r="H1527" t="s">
        <v>535</v>
      </c>
      <c r="I1527">
        <v>17</v>
      </c>
      <c r="J1527">
        <v>27.2</v>
      </c>
      <c r="K1527" t="s">
        <v>258</v>
      </c>
      <c r="L1527" t="s">
        <v>258</v>
      </c>
      <c r="M1527" t="s">
        <v>258</v>
      </c>
      <c r="N1527" s="5">
        <v>0</v>
      </c>
    </row>
    <row r="1528" spans="1:14" x14ac:dyDescent="0.25">
      <c r="A1528" t="s">
        <v>2069</v>
      </c>
      <c r="B1528" t="s">
        <v>92</v>
      </c>
      <c r="C1528" t="str">
        <f>_xlfn.XLOOKUP(Table6[[#This Row],[app_id]],Table5[app_id],Table5[app_name],"",0)</f>
        <v>Trainly</v>
      </c>
      <c r="D1528" t="str">
        <f>_xlfn.XLOOKUP(Table6[[#This Row],[app_id]],Table5[app_id],Table5[category],"",0)</f>
        <v>Fitness</v>
      </c>
      <c r="E1528" t="s">
        <v>537</v>
      </c>
      <c r="F1528" t="s">
        <v>538</v>
      </c>
      <c r="G1528" t="s">
        <v>23</v>
      </c>
      <c r="H1528" t="s">
        <v>535</v>
      </c>
      <c r="I1528">
        <v>1</v>
      </c>
      <c r="J1528">
        <v>34.200000000000003</v>
      </c>
      <c r="K1528" t="s">
        <v>258</v>
      </c>
      <c r="L1528" t="s">
        <v>257</v>
      </c>
      <c r="M1528" t="s">
        <v>258</v>
      </c>
      <c r="N1528" s="5">
        <v>27.01</v>
      </c>
    </row>
    <row r="1529" spans="1:14" x14ac:dyDescent="0.25">
      <c r="A1529" t="s">
        <v>2070</v>
      </c>
      <c r="B1529" t="s">
        <v>94</v>
      </c>
      <c r="C1529" t="str">
        <f>_xlfn.XLOOKUP(Table6[[#This Row],[app_id]],Table5[app_id],Table5[app_name],"",0)</f>
        <v>LiftCloud</v>
      </c>
      <c r="D1529" t="str">
        <f>_xlfn.XLOOKUP(Table6[[#This Row],[app_id]],Table5[app_id],Table5[category],"",0)</f>
        <v>Fitness</v>
      </c>
      <c r="E1529" t="s">
        <v>546</v>
      </c>
      <c r="F1529" t="s">
        <v>538</v>
      </c>
      <c r="G1529" t="s">
        <v>61</v>
      </c>
      <c r="H1529" t="s">
        <v>535</v>
      </c>
      <c r="I1529">
        <v>1</v>
      </c>
      <c r="J1529">
        <v>23.2</v>
      </c>
      <c r="K1529" t="s">
        <v>258</v>
      </c>
      <c r="L1529" t="s">
        <v>258</v>
      </c>
      <c r="M1529" t="s">
        <v>258</v>
      </c>
      <c r="N1529" s="5">
        <v>0</v>
      </c>
    </row>
    <row r="1530" spans="1:14" x14ac:dyDescent="0.25">
      <c r="A1530" t="s">
        <v>2071</v>
      </c>
      <c r="B1530" t="s">
        <v>96</v>
      </c>
      <c r="C1530" t="str">
        <f>_xlfn.XLOOKUP(Table6[[#This Row],[app_id]],Table5[app_id],Table5[app_name],"",0)</f>
        <v>MoveNow</v>
      </c>
      <c r="D1530" t="str">
        <f>_xlfn.XLOOKUP(Table6[[#This Row],[app_id]],Table5[app_id],Table5[category],"",0)</f>
        <v>Fitness</v>
      </c>
      <c r="E1530" t="s">
        <v>557</v>
      </c>
      <c r="F1530" t="s">
        <v>538</v>
      </c>
      <c r="G1530" t="s">
        <v>30</v>
      </c>
      <c r="H1530" t="s">
        <v>535</v>
      </c>
      <c r="I1530">
        <v>14</v>
      </c>
      <c r="J1530">
        <v>21.6</v>
      </c>
      <c r="K1530" t="s">
        <v>258</v>
      </c>
      <c r="L1530" t="s">
        <v>258</v>
      </c>
      <c r="M1530" t="s">
        <v>258</v>
      </c>
      <c r="N1530" s="5">
        <v>0</v>
      </c>
    </row>
    <row r="1531" spans="1:14" x14ac:dyDescent="0.25">
      <c r="A1531" t="s">
        <v>2072</v>
      </c>
      <c r="B1531" t="s">
        <v>98</v>
      </c>
      <c r="C1531" t="str">
        <f>_xlfn.XLOOKUP(Table6[[#This Row],[app_id]],Table5[app_id],Table5[app_name],"",0)</f>
        <v>ActiveMate</v>
      </c>
      <c r="D1531" t="str">
        <f>_xlfn.XLOOKUP(Table6[[#This Row],[app_id]],Table5[app_id],Table5[category],"",0)</f>
        <v>Fitness</v>
      </c>
      <c r="E1531" t="s">
        <v>546</v>
      </c>
      <c r="F1531" t="s">
        <v>538</v>
      </c>
      <c r="G1531" t="s">
        <v>18</v>
      </c>
      <c r="H1531" t="s">
        <v>535</v>
      </c>
      <c r="I1531">
        <v>21</v>
      </c>
      <c r="J1531">
        <v>15.9</v>
      </c>
      <c r="K1531" t="s">
        <v>257</v>
      </c>
      <c r="L1531" t="s">
        <v>257</v>
      </c>
      <c r="M1531" t="s">
        <v>258</v>
      </c>
      <c r="N1531" s="5">
        <v>43.57</v>
      </c>
    </row>
    <row r="1532" spans="1:14" x14ac:dyDescent="0.25">
      <c r="A1532" t="s">
        <v>2073</v>
      </c>
      <c r="B1532" t="s">
        <v>100</v>
      </c>
      <c r="C1532" t="str">
        <f>_xlfn.XLOOKUP(Table6[[#This Row],[app_id]],Table5[app_id],Table5[app_name],"",0)</f>
        <v>RunGo</v>
      </c>
      <c r="D1532" t="str">
        <f>_xlfn.XLOOKUP(Table6[[#This Row],[app_id]],Table5[app_id],Table5[category],"",0)</f>
        <v>Fitness</v>
      </c>
      <c r="E1532" t="s">
        <v>533</v>
      </c>
      <c r="F1532" t="s">
        <v>534</v>
      </c>
      <c r="G1532" t="s">
        <v>69</v>
      </c>
      <c r="H1532" t="s">
        <v>540</v>
      </c>
      <c r="I1532">
        <v>14</v>
      </c>
      <c r="J1532">
        <v>37.1</v>
      </c>
      <c r="K1532" t="s">
        <v>258</v>
      </c>
      <c r="L1532" t="s">
        <v>258</v>
      </c>
      <c r="M1532" t="s">
        <v>258</v>
      </c>
      <c r="N1532" s="5">
        <v>0</v>
      </c>
    </row>
    <row r="1533" spans="1:14" x14ac:dyDescent="0.25">
      <c r="A1533" t="s">
        <v>2074</v>
      </c>
      <c r="B1533" t="s">
        <v>102</v>
      </c>
      <c r="C1533" t="str">
        <f>_xlfn.XLOOKUP(Table6[[#This Row],[app_id]],Table5[app_id],Table5[app_name],"",0)</f>
        <v>LiftPro</v>
      </c>
      <c r="D1533" t="str">
        <f>_xlfn.XLOOKUP(Table6[[#This Row],[app_id]],Table5[app_id],Table5[category],"",0)</f>
        <v>Fitness</v>
      </c>
      <c r="E1533" t="s">
        <v>537</v>
      </c>
      <c r="F1533" t="s">
        <v>538</v>
      </c>
      <c r="G1533" t="s">
        <v>23</v>
      </c>
      <c r="H1533" t="s">
        <v>535</v>
      </c>
      <c r="I1533">
        <v>11</v>
      </c>
      <c r="J1533">
        <v>31.1</v>
      </c>
      <c r="K1533" t="s">
        <v>258</v>
      </c>
      <c r="L1533" t="s">
        <v>258</v>
      </c>
      <c r="M1533" t="s">
        <v>257</v>
      </c>
      <c r="N1533" s="5">
        <v>12.14</v>
      </c>
    </row>
    <row r="1534" spans="1:14" x14ac:dyDescent="0.25">
      <c r="A1534" t="s">
        <v>2075</v>
      </c>
      <c r="B1534" t="s">
        <v>104</v>
      </c>
      <c r="C1534" t="str">
        <f>_xlfn.XLOOKUP(Table6[[#This Row],[app_id]],Table5[app_id],Table5[app_name],"",0)</f>
        <v>LiftPro</v>
      </c>
      <c r="D1534" t="str">
        <f>_xlfn.XLOOKUP(Table6[[#This Row],[app_id]],Table5[app_id],Table5[category],"",0)</f>
        <v>Fitness</v>
      </c>
      <c r="E1534" t="s">
        <v>546</v>
      </c>
      <c r="F1534" t="s">
        <v>538</v>
      </c>
      <c r="G1534" t="s">
        <v>26</v>
      </c>
      <c r="H1534" t="s">
        <v>535</v>
      </c>
      <c r="I1534">
        <v>14</v>
      </c>
      <c r="J1534">
        <v>34.200000000000003</v>
      </c>
      <c r="K1534" t="s">
        <v>258</v>
      </c>
      <c r="L1534" t="s">
        <v>257</v>
      </c>
      <c r="M1534" t="s">
        <v>258</v>
      </c>
      <c r="N1534" s="5">
        <v>0</v>
      </c>
    </row>
    <row r="1535" spans="1:14" x14ac:dyDescent="0.25">
      <c r="A1535" t="s">
        <v>2076</v>
      </c>
      <c r="B1535" t="s">
        <v>105</v>
      </c>
      <c r="C1535" t="str">
        <f>_xlfn.XLOOKUP(Table6[[#This Row],[app_id]],Table5[app_id],Table5[app_name],"",0)</f>
        <v>Liftly</v>
      </c>
      <c r="D1535" t="str">
        <f>_xlfn.XLOOKUP(Table6[[#This Row],[app_id]],Table5[app_id],Table5[category],"",0)</f>
        <v>Fitness</v>
      </c>
      <c r="E1535" t="s">
        <v>537</v>
      </c>
      <c r="F1535" t="s">
        <v>538</v>
      </c>
      <c r="G1535" t="s">
        <v>26</v>
      </c>
      <c r="H1535" t="s">
        <v>535</v>
      </c>
      <c r="I1535">
        <v>66</v>
      </c>
      <c r="J1535">
        <v>24.7</v>
      </c>
      <c r="K1535" t="s">
        <v>257</v>
      </c>
      <c r="L1535" t="s">
        <v>258</v>
      </c>
      <c r="M1535" t="s">
        <v>258</v>
      </c>
      <c r="N1535" s="5">
        <v>0</v>
      </c>
    </row>
    <row r="1536" spans="1:14" x14ac:dyDescent="0.25">
      <c r="A1536" t="s">
        <v>2077</v>
      </c>
      <c r="B1536" t="s">
        <v>107</v>
      </c>
      <c r="C1536" t="str">
        <f>_xlfn.XLOOKUP(Table6[[#This Row],[app_id]],Table5[app_id],Table5[app_name],"",0)</f>
        <v>YogaHub</v>
      </c>
      <c r="D1536" t="str">
        <f>_xlfn.XLOOKUP(Table6[[#This Row],[app_id]],Table5[app_id],Table5[category],"",0)</f>
        <v>Fitness</v>
      </c>
      <c r="E1536" t="s">
        <v>537</v>
      </c>
      <c r="F1536" t="s">
        <v>538</v>
      </c>
      <c r="G1536" t="s">
        <v>23</v>
      </c>
      <c r="H1536" t="s">
        <v>535</v>
      </c>
      <c r="I1536">
        <v>68</v>
      </c>
      <c r="J1536">
        <v>24.6</v>
      </c>
      <c r="K1536" t="s">
        <v>257</v>
      </c>
      <c r="L1536" t="s">
        <v>257</v>
      </c>
      <c r="M1536" t="s">
        <v>257</v>
      </c>
      <c r="N1536" s="5">
        <v>0</v>
      </c>
    </row>
    <row r="1537" spans="1:14" x14ac:dyDescent="0.25">
      <c r="A1537" t="s">
        <v>2078</v>
      </c>
      <c r="B1537" t="s">
        <v>109</v>
      </c>
      <c r="C1537" t="str">
        <f>_xlfn.XLOOKUP(Table6[[#This Row],[app_id]],Table5[app_id],Table5[app_name],"",0)</f>
        <v>MoveGo</v>
      </c>
      <c r="D1537" t="str">
        <f>_xlfn.XLOOKUP(Table6[[#This Row],[app_id]],Table5[app_id],Table5[category],"",0)</f>
        <v>Fitness</v>
      </c>
      <c r="E1537" t="s">
        <v>533</v>
      </c>
      <c r="F1537" t="s">
        <v>534</v>
      </c>
      <c r="G1537" t="s">
        <v>18</v>
      </c>
      <c r="H1537" t="s">
        <v>535</v>
      </c>
      <c r="I1537">
        <v>15</v>
      </c>
      <c r="J1537">
        <v>17.5</v>
      </c>
      <c r="K1537" t="s">
        <v>258</v>
      </c>
      <c r="L1537" t="s">
        <v>258</v>
      </c>
      <c r="M1537" t="s">
        <v>257</v>
      </c>
      <c r="N1537" s="5">
        <v>0</v>
      </c>
    </row>
    <row r="1538" spans="1:14" x14ac:dyDescent="0.25">
      <c r="A1538" t="s">
        <v>2079</v>
      </c>
      <c r="B1538" t="s">
        <v>111</v>
      </c>
      <c r="C1538" t="str">
        <f>_xlfn.XLOOKUP(Table6[[#This Row],[app_id]],Table5[app_id],Table5[app_name],"",0)</f>
        <v>BrightNow</v>
      </c>
      <c r="D1538" t="str">
        <f>_xlfn.XLOOKUP(Table6[[#This Row],[app_id]],Table5[app_id],Table5[category],"",0)</f>
        <v>Education</v>
      </c>
      <c r="E1538" t="s">
        <v>557</v>
      </c>
      <c r="F1538" t="s">
        <v>534</v>
      </c>
      <c r="G1538" t="s">
        <v>46</v>
      </c>
      <c r="H1538" t="s">
        <v>535</v>
      </c>
      <c r="I1538">
        <v>21</v>
      </c>
      <c r="J1538">
        <v>34.299999999999997</v>
      </c>
      <c r="K1538" t="s">
        <v>258</v>
      </c>
      <c r="L1538" t="s">
        <v>257</v>
      </c>
      <c r="M1538" t="s">
        <v>258</v>
      </c>
      <c r="N1538" s="5">
        <v>0</v>
      </c>
    </row>
    <row r="1539" spans="1:14" x14ac:dyDescent="0.25">
      <c r="A1539" t="s">
        <v>2080</v>
      </c>
      <c r="B1539" t="s">
        <v>114</v>
      </c>
      <c r="C1539" t="str">
        <f>_xlfn.XLOOKUP(Table6[[#This Row],[app_id]],Table5[app_id],Table5[app_name],"",0)</f>
        <v>StudyCloud</v>
      </c>
      <c r="D1539" t="str">
        <f>_xlfn.XLOOKUP(Table6[[#This Row],[app_id]],Table5[app_id],Table5[category],"",0)</f>
        <v>Education</v>
      </c>
      <c r="E1539" t="s">
        <v>537</v>
      </c>
      <c r="F1539" t="s">
        <v>538</v>
      </c>
      <c r="G1539" t="s">
        <v>69</v>
      </c>
      <c r="H1539" t="s">
        <v>535</v>
      </c>
      <c r="I1539">
        <v>24</v>
      </c>
      <c r="J1539">
        <v>40.6</v>
      </c>
      <c r="K1539" t="s">
        <v>258</v>
      </c>
      <c r="L1539" t="s">
        <v>257</v>
      </c>
      <c r="M1539" t="s">
        <v>258</v>
      </c>
      <c r="N1539" s="5">
        <v>7.8</v>
      </c>
    </row>
    <row r="1540" spans="1:14" x14ac:dyDescent="0.25">
      <c r="A1540" t="s">
        <v>2081</v>
      </c>
      <c r="B1540" t="s">
        <v>116</v>
      </c>
      <c r="C1540" t="str">
        <f>_xlfn.XLOOKUP(Table6[[#This Row],[app_id]],Table5[app_id],Table5[app_name],"",0)</f>
        <v>SkillNow</v>
      </c>
      <c r="D1540" t="str">
        <f>_xlfn.XLOOKUP(Table6[[#This Row],[app_id]],Table5[app_id],Table5[category],"",0)</f>
        <v>Education</v>
      </c>
      <c r="E1540" t="s">
        <v>557</v>
      </c>
      <c r="F1540" t="s">
        <v>534</v>
      </c>
      <c r="G1540" t="s">
        <v>35</v>
      </c>
      <c r="H1540" t="s">
        <v>540</v>
      </c>
      <c r="I1540">
        <v>24</v>
      </c>
      <c r="J1540">
        <v>33.700000000000003</v>
      </c>
      <c r="K1540" t="s">
        <v>258</v>
      </c>
      <c r="L1540" t="s">
        <v>257</v>
      </c>
      <c r="M1540" t="s">
        <v>258</v>
      </c>
      <c r="N1540" s="5">
        <v>0</v>
      </c>
    </row>
    <row r="1541" spans="1:14" x14ac:dyDescent="0.25">
      <c r="A1541" t="s">
        <v>2082</v>
      </c>
      <c r="B1541" t="s">
        <v>118</v>
      </c>
      <c r="C1541" t="str">
        <f>_xlfn.XLOOKUP(Table6[[#This Row],[app_id]],Table5[app_id],Table5[app_name],"",0)</f>
        <v>LearnMate</v>
      </c>
      <c r="D1541" t="str">
        <f>_xlfn.XLOOKUP(Table6[[#This Row],[app_id]],Table5[app_id],Table5[category],"",0)</f>
        <v>Education</v>
      </c>
      <c r="E1541" t="s">
        <v>546</v>
      </c>
      <c r="F1541" t="s">
        <v>534</v>
      </c>
      <c r="G1541" t="s">
        <v>46</v>
      </c>
      <c r="H1541" t="s">
        <v>535</v>
      </c>
      <c r="I1541">
        <v>85</v>
      </c>
      <c r="J1541">
        <v>21.4</v>
      </c>
      <c r="K1541" t="s">
        <v>257</v>
      </c>
      <c r="L1541" t="s">
        <v>257</v>
      </c>
      <c r="M1541" t="s">
        <v>258</v>
      </c>
      <c r="N1541" s="5">
        <v>30.4</v>
      </c>
    </row>
    <row r="1542" spans="1:14" x14ac:dyDescent="0.25">
      <c r="A1542" t="s">
        <v>2083</v>
      </c>
      <c r="B1542" t="s">
        <v>120</v>
      </c>
      <c r="C1542" t="str">
        <f>_xlfn.XLOOKUP(Table6[[#This Row],[app_id]],Table5[app_id],Table5[app_name],"",0)</f>
        <v>QuestNow</v>
      </c>
      <c r="D1542" t="str">
        <f>_xlfn.XLOOKUP(Table6[[#This Row],[app_id]],Table5[app_id],Table5[category],"",0)</f>
        <v>Education</v>
      </c>
      <c r="E1542" t="s">
        <v>533</v>
      </c>
      <c r="F1542" t="s">
        <v>628</v>
      </c>
      <c r="G1542" t="s">
        <v>35</v>
      </c>
      <c r="H1542" t="s">
        <v>535</v>
      </c>
      <c r="I1542">
        <v>13</v>
      </c>
      <c r="J1542">
        <v>29.2</v>
      </c>
      <c r="K1542" t="s">
        <v>258</v>
      </c>
      <c r="L1542" t="s">
        <v>257</v>
      </c>
      <c r="M1542" t="s">
        <v>258</v>
      </c>
      <c r="N1542" s="5">
        <v>46.87</v>
      </c>
    </row>
    <row r="1543" spans="1:14" x14ac:dyDescent="0.25">
      <c r="A1543" t="s">
        <v>2084</v>
      </c>
      <c r="B1543" t="s">
        <v>122</v>
      </c>
      <c r="C1543" t="str">
        <f>_xlfn.XLOOKUP(Table6[[#This Row],[app_id]],Table5[app_id],Table5[app_name],"",0)</f>
        <v>SkillHub</v>
      </c>
      <c r="D1543" t="str">
        <f>_xlfn.XLOOKUP(Table6[[#This Row],[app_id]],Table5[app_id],Table5[category],"",0)</f>
        <v>Education</v>
      </c>
      <c r="E1543" t="s">
        <v>552</v>
      </c>
      <c r="F1543" t="s">
        <v>538</v>
      </c>
      <c r="G1543" t="s">
        <v>61</v>
      </c>
      <c r="H1543" t="s">
        <v>535</v>
      </c>
      <c r="I1543">
        <v>13</v>
      </c>
      <c r="J1543">
        <v>39.9</v>
      </c>
      <c r="K1543" t="s">
        <v>258</v>
      </c>
      <c r="L1543" t="s">
        <v>257</v>
      </c>
      <c r="M1543" t="s">
        <v>258</v>
      </c>
      <c r="N1543" s="5">
        <v>0</v>
      </c>
    </row>
    <row r="1544" spans="1:14" x14ac:dyDescent="0.25">
      <c r="A1544" t="s">
        <v>2085</v>
      </c>
      <c r="B1544" t="s">
        <v>124</v>
      </c>
      <c r="C1544" t="str">
        <f>_xlfn.XLOOKUP(Table6[[#This Row],[app_id]],Table5[app_id],Table5[app_name],"",0)</f>
        <v>TutorCloud</v>
      </c>
      <c r="D1544" t="str">
        <f>_xlfn.XLOOKUP(Table6[[#This Row],[app_id]],Table5[app_id],Table5[category],"",0)</f>
        <v>Education</v>
      </c>
      <c r="E1544" t="s">
        <v>546</v>
      </c>
      <c r="F1544" t="s">
        <v>548</v>
      </c>
      <c r="G1544" t="s">
        <v>35</v>
      </c>
      <c r="H1544" t="s">
        <v>535</v>
      </c>
      <c r="I1544">
        <v>5</v>
      </c>
      <c r="J1544">
        <v>28.4</v>
      </c>
      <c r="K1544" t="s">
        <v>258</v>
      </c>
      <c r="L1544" t="s">
        <v>258</v>
      </c>
      <c r="M1544" t="s">
        <v>258</v>
      </c>
      <c r="N1544" s="5">
        <v>6.52</v>
      </c>
    </row>
    <row r="1545" spans="1:14" x14ac:dyDescent="0.25">
      <c r="A1545" t="s">
        <v>2086</v>
      </c>
      <c r="B1545" t="s">
        <v>126</v>
      </c>
      <c r="C1545" t="str">
        <f>_xlfn.XLOOKUP(Table6[[#This Row],[app_id]],Table5[app_id],Table5[app_name],"",0)</f>
        <v>SkillOne</v>
      </c>
      <c r="D1545" t="str">
        <f>_xlfn.XLOOKUP(Table6[[#This Row],[app_id]],Table5[app_id],Table5[category],"",0)</f>
        <v>Education</v>
      </c>
      <c r="E1545" t="s">
        <v>537</v>
      </c>
      <c r="F1545" t="s">
        <v>538</v>
      </c>
      <c r="G1545" t="s">
        <v>35</v>
      </c>
      <c r="H1545" t="s">
        <v>535</v>
      </c>
      <c r="I1545">
        <v>77</v>
      </c>
      <c r="J1545">
        <v>22.5</v>
      </c>
      <c r="K1545" t="s">
        <v>257</v>
      </c>
      <c r="L1545" t="s">
        <v>257</v>
      </c>
      <c r="M1545" t="s">
        <v>258</v>
      </c>
      <c r="N1545" s="5">
        <v>29.76</v>
      </c>
    </row>
    <row r="1546" spans="1:14" x14ac:dyDescent="0.25">
      <c r="A1546" t="s">
        <v>2087</v>
      </c>
      <c r="B1546" t="s">
        <v>128</v>
      </c>
      <c r="C1546" t="str">
        <f>_xlfn.XLOOKUP(Table6[[#This Row],[app_id]],Table5[app_id],Table5[app_name],"",0)</f>
        <v>LearnOne</v>
      </c>
      <c r="D1546" t="str">
        <f>_xlfn.XLOOKUP(Table6[[#This Row],[app_id]],Table5[app_id],Table5[category],"",0)</f>
        <v>Education</v>
      </c>
      <c r="E1546" t="s">
        <v>537</v>
      </c>
      <c r="F1546" t="s">
        <v>538</v>
      </c>
      <c r="G1546" t="s">
        <v>61</v>
      </c>
      <c r="H1546" t="s">
        <v>535</v>
      </c>
      <c r="I1546">
        <v>17</v>
      </c>
      <c r="J1546">
        <v>17.399999999999999</v>
      </c>
      <c r="K1546" t="s">
        <v>258</v>
      </c>
      <c r="L1546" t="s">
        <v>257</v>
      </c>
      <c r="M1546" t="s">
        <v>258</v>
      </c>
      <c r="N1546" s="5">
        <v>0</v>
      </c>
    </row>
    <row r="1547" spans="1:14" x14ac:dyDescent="0.25">
      <c r="A1547" t="s">
        <v>2088</v>
      </c>
      <c r="B1547" t="s">
        <v>130</v>
      </c>
      <c r="C1547" t="str">
        <f>_xlfn.XLOOKUP(Table6[[#This Row],[app_id]],Table5[app_id],Table5[app_name],"",0)</f>
        <v>LearnPlus</v>
      </c>
      <c r="D1547" t="str">
        <f>_xlfn.XLOOKUP(Table6[[#This Row],[app_id]],Table5[app_id],Table5[category],"",0)</f>
        <v>Education</v>
      </c>
      <c r="E1547" t="s">
        <v>537</v>
      </c>
      <c r="F1547" t="s">
        <v>538</v>
      </c>
      <c r="G1547" t="s">
        <v>26</v>
      </c>
      <c r="H1547" t="s">
        <v>535</v>
      </c>
      <c r="I1547">
        <v>26</v>
      </c>
      <c r="J1547">
        <v>18.7</v>
      </c>
      <c r="K1547" t="s">
        <v>258</v>
      </c>
      <c r="L1547" t="s">
        <v>258</v>
      </c>
      <c r="M1547" t="s">
        <v>258</v>
      </c>
      <c r="N1547" s="5">
        <v>0</v>
      </c>
    </row>
    <row r="1548" spans="1:14" x14ac:dyDescent="0.25">
      <c r="A1548" t="s">
        <v>2089</v>
      </c>
      <c r="B1548" t="s">
        <v>132</v>
      </c>
      <c r="C1548" t="str">
        <f>_xlfn.XLOOKUP(Table6[[#This Row],[app_id]],Table5[app_id],Table5[app_name],"",0)</f>
        <v>StudyPlus</v>
      </c>
      <c r="D1548" t="str">
        <f>_xlfn.XLOOKUP(Table6[[#This Row],[app_id]],Table5[app_id],Table5[category],"",0)</f>
        <v>Education</v>
      </c>
      <c r="E1548" t="s">
        <v>546</v>
      </c>
      <c r="F1548" t="s">
        <v>534</v>
      </c>
      <c r="G1548" t="s">
        <v>18</v>
      </c>
      <c r="H1548" t="s">
        <v>535</v>
      </c>
      <c r="I1548">
        <v>83</v>
      </c>
      <c r="J1548">
        <v>21.1</v>
      </c>
      <c r="K1548" t="s">
        <v>257</v>
      </c>
      <c r="L1548" t="s">
        <v>257</v>
      </c>
      <c r="M1548" t="s">
        <v>258</v>
      </c>
      <c r="N1548" s="5">
        <v>0</v>
      </c>
    </row>
    <row r="1549" spans="1:14" x14ac:dyDescent="0.25">
      <c r="A1549" t="s">
        <v>2090</v>
      </c>
      <c r="B1549" t="s">
        <v>134</v>
      </c>
      <c r="C1549" t="str">
        <f>_xlfn.XLOOKUP(Table6[[#This Row],[app_id]],Table5[app_id],Table5[app_name],"",0)</f>
        <v>StudyX</v>
      </c>
      <c r="D1549" t="str">
        <f>_xlfn.XLOOKUP(Table6[[#This Row],[app_id]],Table5[app_id],Table5[category],"",0)</f>
        <v>Education</v>
      </c>
      <c r="E1549" t="s">
        <v>537</v>
      </c>
      <c r="F1549" t="s">
        <v>534</v>
      </c>
      <c r="G1549" t="s">
        <v>61</v>
      </c>
      <c r="H1549" t="s">
        <v>535</v>
      </c>
      <c r="I1549">
        <v>7</v>
      </c>
      <c r="J1549">
        <v>20.2</v>
      </c>
      <c r="K1549" t="s">
        <v>258</v>
      </c>
      <c r="L1549" t="s">
        <v>258</v>
      </c>
      <c r="M1549" t="s">
        <v>257</v>
      </c>
      <c r="N1549" s="5">
        <v>0</v>
      </c>
    </row>
    <row r="1550" spans="1:14" x14ac:dyDescent="0.25">
      <c r="A1550" t="s">
        <v>2091</v>
      </c>
      <c r="B1550" t="s">
        <v>136</v>
      </c>
      <c r="C1550" t="str">
        <f>_xlfn.XLOOKUP(Table6[[#This Row],[app_id]],Table5[app_id],Table5[app_name],"",0)</f>
        <v>PlayPlus</v>
      </c>
      <c r="D1550" t="str">
        <f>_xlfn.XLOOKUP(Table6[[#This Row],[app_id]],Table5[app_id],Table5[category],"",0)</f>
        <v>Entertainment</v>
      </c>
      <c r="E1550" t="s">
        <v>533</v>
      </c>
      <c r="F1550" t="s">
        <v>538</v>
      </c>
      <c r="G1550" t="s">
        <v>23</v>
      </c>
      <c r="H1550" t="s">
        <v>535</v>
      </c>
      <c r="I1550">
        <v>14</v>
      </c>
      <c r="J1550">
        <v>17.3</v>
      </c>
      <c r="K1550" t="s">
        <v>257</v>
      </c>
      <c r="L1550" t="s">
        <v>257</v>
      </c>
      <c r="M1550" t="s">
        <v>258</v>
      </c>
      <c r="N1550" s="5">
        <v>0</v>
      </c>
    </row>
    <row r="1551" spans="1:14" x14ac:dyDescent="0.25">
      <c r="A1551" t="s">
        <v>2092</v>
      </c>
      <c r="B1551" t="s">
        <v>139</v>
      </c>
      <c r="C1551" t="str">
        <f>_xlfn.XLOOKUP(Table6[[#This Row],[app_id]],Table5[app_id],Table5[app_name],"",0)</f>
        <v>ShowMate</v>
      </c>
      <c r="D1551" t="str">
        <f>_xlfn.XLOOKUP(Table6[[#This Row],[app_id]],Table5[app_id],Table5[category],"",0)</f>
        <v>Entertainment</v>
      </c>
      <c r="E1551" t="s">
        <v>552</v>
      </c>
      <c r="F1551" t="s">
        <v>534</v>
      </c>
      <c r="G1551" t="s">
        <v>26</v>
      </c>
      <c r="H1551" t="s">
        <v>535</v>
      </c>
      <c r="I1551">
        <v>8</v>
      </c>
      <c r="J1551">
        <v>28.3</v>
      </c>
      <c r="K1551" t="s">
        <v>258</v>
      </c>
      <c r="L1551" t="s">
        <v>257</v>
      </c>
      <c r="M1551" t="s">
        <v>258</v>
      </c>
      <c r="N1551" s="5">
        <v>0</v>
      </c>
    </row>
    <row r="1552" spans="1:14" x14ac:dyDescent="0.25">
      <c r="A1552" t="s">
        <v>2093</v>
      </c>
      <c r="B1552" t="s">
        <v>141</v>
      </c>
      <c r="C1552" t="str">
        <f>_xlfn.XLOOKUP(Table6[[#This Row],[app_id]],Table5[app_id],Table5[app_name],"",0)</f>
        <v>VibeX</v>
      </c>
      <c r="D1552" t="str">
        <f>_xlfn.XLOOKUP(Table6[[#This Row],[app_id]],Table5[app_id],Table5[category],"",0)</f>
        <v>Entertainment</v>
      </c>
      <c r="E1552" t="s">
        <v>557</v>
      </c>
      <c r="F1552" t="s">
        <v>534</v>
      </c>
      <c r="G1552" t="s">
        <v>18</v>
      </c>
      <c r="H1552" t="s">
        <v>535</v>
      </c>
      <c r="I1552">
        <v>53</v>
      </c>
      <c r="J1552">
        <v>28</v>
      </c>
      <c r="K1552" t="s">
        <v>257</v>
      </c>
      <c r="L1552" t="s">
        <v>258</v>
      </c>
      <c r="M1552" t="s">
        <v>257</v>
      </c>
      <c r="N1552" s="5">
        <v>0</v>
      </c>
    </row>
    <row r="1553" spans="1:14" x14ac:dyDescent="0.25">
      <c r="A1553" t="s">
        <v>2094</v>
      </c>
      <c r="B1553" t="s">
        <v>143</v>
      </c>
      <c r="C1553" t="str">
        <f>_xlfn.XLOOKUP(Table6[[#This Row],[app_id]],Table5[app_id],Table5[app_name],"",0)</f>
        <v>BuzzNow</v>
      </c>
      <c r="D1553" t="str">
        <f>_xlfn.XLOOKUP(Table6[[#This Row],[app_id]],Table5[app_id],Table5[category],"",0)</f>
        <v>Entertainment</v>
      </c>
      <c r="E1553" t="s">
        <v>533</v>
      </c>
      <c r="F1553" t="s">
        <v>538</v>
      </c>
      <c r="G1553" t="s">
        <v>69</v>
      </c>
      <c r="H1553" t="s">
        <v>535</v>
      </c>
      <c r="I1553">
        <v>8</v>
      </c>
      <c r="J1553">
        <v>39.9</v>
      </c>
      <c r="K1553" t="s">
        <v>258</v>
      </c>
      <c r="L1553" t="s">
        <v>258</v>
      </c>
      <c r="M1553" t="s">
        <v>258</v>
      </c>
      <c r="N1553" s="5">
        <v>0</v>
      </c>
    </row>
    <row r="1554" spans="1:14" x14ac:dyDescent="0.25">
      <c r="A1554" t="s">
        <v>2095</v>
      </c>
      <c r="B1554" t="s">
        <v>145</v>
      </c>
      <c r="C1554" t="str">
        <f>_xlfn.XLOOKUP(Table6[[#This Row],[app_id]],Table5[app_id],Table5[app_name],"",0)</f>
        <v>StreamPlus</v>
      </c>
      <c r="D1554" t="str">
        <f>_xlfn.XLOOKUP(Table6[[#This Row],[app_id]],Table5[app_id],Table5[category],"",0)</f>
        <v>Entertainment</v>
      </c>
      <c r="E1554" t="s">
        <v>537</v>
      </c>
      <c r="F1554" t="s">
        <v>534</v>
      </c>
      <c r="G1554" t="s">
        <v>18</v>
      </c>
      <c r="H1554" t="s">
        <v>535</v>
      </c>
      <c r="I1554">
        <v>72</v>
      </c>
      <c r="J1554">
        <v>41.6</v>
      </c>
      <c r="K1554" t="s">
        <v>257</v>
      </c>
      <c r="L1554" t="s">
        <v>257</v>
      </c>
      <c r="M1554" t="s">
        <v>258</v>
      </c>
      <c r="N1554" s="5">
        <v>0</v>
      </c>
    </row>
    <row r="1555" spans="1:14" x14ac:dyDescent="0.25">
      <c r="A1555" t="s">
        <v>2096</v>
      </c>
      <c r="B1555" t="s">
        <v>147</v>
      </c>
      <c r="C1555" t="str">
        <f>_xlfn.XLOOKUP(Table6[[#This Row],[app_id]],Table5[app_id],Table5[app_name],"",0)</f>
        <v>Showly</v>
      </c>
      <c r="D1555" t="str">
        <f>_xlfn.XLOOKUP(Table6[[#This Row],[app_id]],Table5[app_id],Table5[category],"",0)</f>
        <v>Entertainment</v>
      </c>
      <c r="E1555" t="s">
        <v>552</v>
      </c>
      <c r="F1555" t="s">
        <v>538</v>
      </c>
      <c r="G1555" t="s">
        <v>69</v>
      </c>
      <c r="H1555" t="s">
        <v>535</v>
      </c>
      <c r="I1555">
        <v>57</v>
      </c>
      <c r="J1555">
        <v>14.7</v>
      </c>
      <c r="K1555" t="s">
        <v>257</v>
      </c>
      <c r="L1555" t="s">
        <v>257</v>
      </c>
      <c r="M1555" t="s">
        <v>257</v>
      </c>
      <c r="N1555" s="5">
        <v>19.32</v>
      </c>
    </row>
    <row r="1556" spans="1:14" x14ac:dyDescent="0.25">
      <c r="A1556" t="s">
        <v>2097</v>
      </c>
      <c r="B1556" t="s">
        <v>149</v>
      </c>
      <c r="C1556" t="str">
        <f>_xlfn.XLOOKUP(Table6[[#This Row],[app_id]],Table5[app_id],Table5[app_name],"",0)</f>
        <v>BuzzOne</v>
      </c>
      <c r="D1556" t="str">
        <f>_xlfn.XLOOKUP(Table6[[#This Row],[app_id]],Table5[app_id],Table5[category],"",0)</f>
        <v>Entertainment</v>
      </c>
      <c r="E1556" t="s">
        <v>537</v>
      </c>
      <c r="F1556" t="s">
        <v>538</v>
      </c>
      <c r="G1556" t="s">
        <v>46</v>
      </c>
      <c r="H1556" t="s">
        <v>535</v>
      </c>
      <c r="I1556">
        <v>53</v>
      </c>
      <c r="J1556">
        <v>9.6999999999999993</v>
      </c>
      <c r="K1556" t="s">
        <v>257</v>
      </c>
      <c r="L1556" t="s">
        <v>257</v>
      </c>
      <c r="M1556" t="s">
        <v>258</v>
      </c>
      <c r="N1556" s="5">
        <v>29.99</v>
      </c>
    </row>
    <row r="1557" spans="1:14" x14ac:dyDescent="0.25">
      <c r="A1557" t="s">
        <v>2098</v>
      </c>
      <c r="B1557" t="s">
        <v>151</v>
      </c>
      <c r="C1557" t="str">
        <f>_xlfn.XLOOKUP(Table6[[#This Row],[app_id]],Table5[app_id],Table5[app_name],"",0)</f>
        <v>PlayHub</v>
      </c>
      <c r="D1557" t="str">
        <f>_xlfn.XLOOKUP(Table6[[#This Row],[app_id]],Table5[app_id],Table5[category],"",0)</f>
        <v>Entertainment</v>
      </c>
      <c r="E1557" t="s">
        <v>537</v>
      </c>
      <c r="F1557" t="s">
        <v>538</v>
      </c>
      <c r="G1557" t="s">
        <v>23</v>
      </c>
      <c r="H1557" t="s">
        <v>535</v>
      </c>
      <c r="I1557">
        <v>90</v>
      </c>
      <c r="J1557">
        <v>31.5</v>
      </c>
      <c r="K1557" t="s">
        <v>257</v>
      </c>
      <c r="L1557" t="s">
        <v>258</v>
      </c>
      <c r="M1557" t="s">
        <v>258</v>
      </c>
      <c r="N1557" s="5">
        <v>0</v>
      </c>
    </row>
    <row r="1558" spans="1:14" x14ac:dyDescent="0.25">
      <c r="A1558" t="s">
        <v>2099</v>
      </c>
      <c r="B1558" t="s">
        <v>153</v>
      </c>
      <c r="C1558" t="str">
        <f>_xlfn.XLOOKUP(Table6[[#This Row],[app_id]],Table5[app_id],Table5[app_name],"",0)</f>
        <v>CinemaGo</v>
      </c>
      <c r="D1558" t="str">
        <f>_xlfn.XLOOKUP(Table6[[#This Row],[app_id]],Table5[app_id],Table5[category],"",0)</f>
        <v>Entertainment</v>
      </c>
      <c r="E1558" t="s">
        <v>557</v>
      </c>
      <c r="F1558" t="s">
        <v>538</v>
      </c>
      <c r="G1558" t="s">
        <v>26</v>
      </c>
      <c r="H1558" t="s">
        <v>535</v>
      </c>
      <c r="I1558">
        <v>28</v>
      </c>
      <c r="J1558">
        <v>32.299999999999997</v>
      </c>
      <c r="K1558" t="s">
        <v>257</v>
      </c>
      <c r="L1558" t="s">
        <v>257</v>
      </c>
      <c r="M1558" t="s">
        <v>258</v>
      </c>
      <c r="N1558" s="5">
        <v>0</v>
      </c>
    </row>
    <row r="1559" spans="1:14" x14ac:dyDescent="0.25">
      <c r="A1559" t="s">
        <v>2100</v>
      </c>
      <c r="B1559" t="s">
        <v>155</v>
      </c>
      <c r="C1559" t="str">
        <f>_xlfn.XLOOKUP(Table6[[#This Row],[app_id]],Table5[app_id],Table5[app_name],"",0)</f>
        <v>LaughX</v>
      </c>
      <c r="D1559" t="str">
        <f>_xlfn.XLOOKUP(Table6[[#This Row],[app_id]],Table5[app_id],Table5[category],"",0)</f>
        <v>Entertainment</v>
      </c>
      <c r="E1559" t="s">
        <v>533</v>
      </c>
      <c r="F1559" t="s">
        <v>534</v>
      </c>
      <c r="G1559" t="s">
        <v>35</v>
      </c>
      <c r="H1559" t="s">
        <v>535</v>
      </c>
      <c r="I1559">
        <v>28</v>
      </c>
      <c r="J1559">
        <v>29.9</v>
      </c>
      <c r="K1559" t="s">
        <v>257</v>
      </c>
      <c r="L1559" t="s">
        <v>258</v>
      </c>
      <c r="M1559" t="s">
        <v>257</v>
      </c>
      <c r="N1559" s="5">
        <v>0</v>
      </c>
    </row>
    <row r="1560" spans="1:14" x14ac:dyDescent="0.25">
      <c r="A1560" t="s">
        <v>2101</v>
      </c>
      <c r="B1560" t="s">
        <v>157</v>
      </c>
      <c r="C1560" t="str">
        <f>_xlfn.XLOOKUP(Table6[[#This Row],[app_id]],Table5[app_id],Table5[app_name],"",0)</f>
        <v>CinemaHub</v>
      </c>
      <c r="D1560" t="str">
        <f>_xlfn.XLOOKUP(Table6[[#This Row],[app_id]],Table5[app_id],Table5[category],"",0)</f>
        <v>Entertainment</v>
      </c>
      <c r="E1560" t="s">
        <v>546</v>
      </c>
      <c r="F1560" t="s">
        <v>534</v>
      </c>
      <c r="G1560" t="s">
        <v>69</v>
      </c>
      <c r="H1560" t="s">
        <v>540</v>
      </c>
      <c r="I1560">
        <v>4</v>
      </c>
      <c r="J1560">
        <v>21.2</v>
      </c>
      <c r="K1560" t="s">
        <v>258</v>
      </c>
      <c r="L1560" t="s">
        <v>257</v>
      </c>
      <c r="M1560" t="s">
        <v>258</v>
      </c>
      <c r="N1560" s="5">
        <v>0</v>
      </c>
    </row>
    <row r="1561" spans="1:14" x14ac:dyDescent="0.25">
      <c r="A1561" t="s">
        <v>2102</v>
      </c>
      <c r="B1561" t="s">
        <v>159</v>
      </c>
      <c r="C1561" t="str">
        <f>_xlfn.XLOOKUP(Table6[[#This Row],[app_id]],Table5[app_id],Table5[app_name],"",0)</f>
        <v>ShowPro</v>
      </c>
      <c r="D1561" t="str">
        <f>_xlfn.XLOOKUP(Table6[[#This Row],[app_id]],Table5[app_id],Table5[category],"",0)</f>
        <v>Entertainment</v>
      </c>
      <c r="E1561" t="s">
        <v>546</v>
      </c>
      <c r="F1561" t="s">
        <v>538</v>
      </c>
      <c r="G1561" t="s">
        <v>69</v>
      </c>
      <c r="H1561" t="s">
        <v>535</v>
      </c>
      <c r="I1561">
        <v>7</v>
      </c>
      <c r="J1561">
        <v>31.3</v>
      </c>
      <c r="K1561" t="s">
        <v>258</v>
      </c>
      <c r="L1561" t="s">
        <v>257</v>
      </c>
      <c r="M1561" t="s">
        <v>258</v>
      </c>
      <c r="N1561" s="5">
        <v>39.03</v>
      </c>
    </row>
    <row r="1562" spans="1:14" x14ac:dyDescent="0.25">
      <c r="A1562" t="s">
        <v>2103</v>
      </c>
      <c r="B1562" t="s">
        <v>161</v>
      </c>
      <c r="C1562" t="str">
        <f>_xlfn.XLOOKUP(Table6[[#This Row],[app_id]],Table5[app_id],Table5[app_name],"",0)</f>
        <v>FoodPlus</v>
      </c>
      <c r="D1562" t="str">
        <f>_xlfn.XLOOKUP(Table6[[#This Row],[app_id]],Table5[app_id],Table5[category],"",0)</f>
        <v>Food Delivery</v>
      </c>
      <c r="E1562" t="s">
        <v>533</v>
      </c>
      <c r="F1562" t="s">
        <v>534</v>
      </c>
      <c r="G1562" t="s">
        <v>23</v>
      </c>
      <c r="H1562" t="s">
        <v>535</v>
      </c>
      <c r="I1562">
        <v>44</v>
      </c>
      <c r="J1562">
        <v>13.5</v>
      </c>
      <c r="K1562" t="s">
        <v>257</v>
      </c>
      <c r="L1562" t="s">
        <v>257</v>
      </c>
      <c r="M1562" t="s">
        <v>258</v>
      </c>
      <c r="N1562" s="5">
        <v>0</v>
      </c>
    </row>
    <row r="1563" spans="1:14" x14ac:dyDescent="0.25">
      <c r="A1563" t="s">
        <v>2104</v>
      </c>
      <c r="B1563" t="s">
        <v>164</v>
      </c>
      <c r="C1563" t="str">
        <f>_xlfn.XLOOKUP(Table6[[#This Row],[app_id]],Table5[app_id],Table5[app_name],"",0)</f>
        <v>BiteGo</v>
      </c>
      <c r="D1563" t="str">
        <f>_xlfn.XLOOKUP(Table6[[#This Row],[app_id]],Table5[app_id],Table5[category],"",0)</f>
        <v>Food Delivery</v>
      </c>
      <c r="E1563" t="s">
        <v>537</v>
      </c>
      <c r="F1563" t="s">
        <v>538</v>
      </c>
      <c r="G1563" t="s">
        <v>69</v>
      </c>
      <c r="H1563" t="s">
        <v>535</v>
      </c>
      <c r="I1563">
        <v>23</v>
      </c>
      <c r="J1563">
        <v>5.7</v>
      </c>
      <c r="K1563" t="s">
        <v>258</v>
      </c>
      <c r="L1563" t="s">
        <v>258</v>
      </c>
      <c r="M1563" t="s">
        <v>258</v>
      </c>
      <c r="N1563" s="5">
        <v>31.02</v>
      </c>
    </row>
    <row r="1564" spans="1:14" x14ac:dyDescent="0.25">
      <c r="A1564" t="s">
        <v>2105</v>
      </c>
      <c r="B1564" t="s">
        <v>166</v>
      </c>
      <c r="C1564" t="str">
        <f>_xlfn.XLOOKUP(Table6[[#This Row],[app_id]],Table5[app_id],Table5[app_name],"",0)</f>
        <v>OrderCloud</v>
      </c>
      <c r="D1564" t="str">
        <f>_xlfn.XLOOKUP(Table6[[#This Row],[app_id]],Table5[app_id],Table5[category],"",0)</f>
        <v>Food Delivery</v>
      </c>
      <c r="E1564" t="s">
        <v>537</v>
      </c>
      <c r="F1564" t="s">
        <v>534</v>
      </c>
      <c r="G1564" t="s">
        <v>18</v>
      </c>
      <c r="H1564" t="s">
        <v>535</v>
      </c>
      <c r="I1564">
        <v>2</v>
      </c>
      <c r="J1564">
        <v>14</v>
      </c>
      <c r="K1564" t="s">
        <v>258</v>
      </c>
      <c r="L1564" t="s">
        <v>258</v>
      </c>
      <c r="M1564" t="s">
        <v>257</v>
      </c>
      <c r="N1564" s="5">
        <v>0</v>
      </c>
    </row>
    <row r="1565" spans="1:14" x14ac:dyDescent="0.25">
      <c r="A1565" t="s">
        <v>2106</v>
      </c>
      <c r="B1565" t="s">
        <v>168</v>
      </c>
      <c r="C1565" t="str">
        <f>_xlfn.XLOOKUP(Table6[[#This Row],[app_id]],Table5[app_id],Table5[app_name],"",0)</f>
        <v>DinePlus</v>
      </c>
      <c r="D1565" t="str">
        <f>_xlfn.XLOOKUP(Table6[[#This Row],[app_id]],Table5[app_id],Table5[category],"",0)</f>
        <v>Food Delivery</v>
      </c>
      <c r="E1565" t="s">
        <v>537</v>
      </c>
      <c r="F1565" t="s">
        <v>628</v>
      </c>
      <c r="G1565" t="s">
        <v>46</v>
      </c>
      <c r="H1565" t="s">
        <v>535</v>
      </c>
      <c r="I1565">
        <v>5</v>
      </c>
      <c r="J1565">
        <v>3.5</v>
      </c>
      <c r="K1565" t="s">
        <v>258</v>
      </c>
      <c r="L1565" t="s">
        <v>258</v>
      </c>
      <c r="M1565" t="s">
        <v>257</v>
      </c>
      <c r="N1565" s="5">
        <v>8.6199999999999992</v>
      </c>
    </row>
    <row r="1566" spans="1:14" x14ac:dyDescent="0.25">
      <c r="A1566" t="s">
        <v>2107</v>
      </c>
      <c r="B1566" t="s">
        <v>170</v>
      </c>
      <c r="C1566" t="str">
        <f>_xlfn.XLOOKUP(Table6[[#This Row],[app_id]],Table5[app_id],Table5[app_name],"",0)</f>
        <v>SnackX</v>
      </c>
      <c r="D1566" t="str">
        <f>_xlfn.XLOOKUP(Table6[[#This Row],[app_id]],Table5[app_id],Table5[category],"",0)</f>
        <v>Food Delivery</v>
      </c>
      <c r="E1566" t="s">
        <v>546</v>
      </c>
      <c r="F1566" t="s">
        <v>538</v>
      </c>
      <c r="G1566" t="s">
        <v>69</v>
      </c>
      <c r="H1566" t="s">
        <v>535</v>
      </c>
      <c r="I1566">
        <v>18</v>
      </c>
      <c r="J1566">
        <v>7.5</v>
      </c>
      <c r="K1566" t="s">
        <v>258</v>
      </c>
      <c r="L1566" t="s">
        <v>257</v>
      </c>
      <c r="M1566" t="s">
        <v>258</v>
      </c>
      <c r="N1566" s="5">
        <v>79.36</v>
      </c>
    </row>
    <row r="1567" spans="1:14" x14ac:dyDescent="0.25">
      <c r="A1567" t="s">
        <v>2108</v>
      </c>
      <c r="B1567" t="s">
        <v>172</v>
      </c>
      <c r="C1567" t="str">
        <f>_xlfn.XLOOKUP(Table6[[#This Row],[app_id]],Table5[app_id],Table5[app_name],"",0)</f>
        <v>FoodOne</v>
      </c>
      <c r="D1567" t="str">
        <f>_xlfn.XLOOKUP(Table6[[#This Row],[app_id]],Table5[app_id],Table5[category],"",0)</f>
        <v>Food Delivery</v>
      </c>
      <c r="E1567" t="s">
        <v>533</v>
      </c>
      <c r="F1567" t="s">
        <v>548</v>
      </c>
      <c r="G1567" t="s">
        <v>46</v>
      </c>
      <c r="H1567" t="s">
        <v>535</v>
      </c>
      <c r="I1567">
        <v>24</v>
      </c>
      <c r="J1567">
        <v>5.7</v>
      </c>
      <c r="K1567" t="s">
        <v>258</v>
      </c>
      <c r="L1567" t="s">
        <v>258</v>
      </c>
      <c r="M1567" t="s">
        <v>258</v>
      </c>
      <c r="N1567" s="5">
        <v>0</v>
      </c>
    </row>
    <row r="1568" spans="1:14" x14ac:dyDescent="0.25">
      <c r="A1568" t="s">
        <v>2109</v>
      </c>
      <c r="B1568" t="s">
        <v>174</v>
      </c>
      <c r="C1568" t="str">
        <f>_xlfn.XLOOKUP(Table6[[#This Row],[app_id]],Table5[app_id],Table5[app_name],"",0)</f>
        <v>MealMate</v>
      </c>
      <c r="D1568" t="str">
        <f>_xlfn.XLOOKUP(Table6[[#This Row],[app_id]],Table5[app_id],Table5[category],"",0)</f>
        <v>Food Delivery</v>
      </c>
      <c r="E1568" t="s">
        <v>546</v>
      </c>
      <c r="F1568" t="s">
        <v>534</v>
      </c>
      <c r="G1568" t="s">
        <v>26</v>
      </c>
      <c r="H1568" t="s">
        <v>535</v>
      </c>
      <c r="I1568">
        <v>6</v>
      </c>
      <c r="J1568">
        <v>14.7</v>
      </c>
      <c r="K1568" t="s">
        <v>258</v>
      </c>
      <c r="L1568" t="s">
        <v>258</v>
      </c>
      <c r="M1568" t="s">
        <v>258</v>
      </c>
      <c r="N1568" s="5">
        <v>0</v>
      </c>
    </row>
    <row r="1569" spans="1:14" x14ac:dyDescent="0.25">
      <c r="A1569" t="s">
        <v>2110</v>
      </c>
      <c r="B1569" t="s">
        <v>176</v>
      </c>
      <c r="C1569" t="str">
        <f>_xlfn.XLOOKUP(Table6[[#This Row],[app_id]],Table5[app_id],Table5[app_name],"",0)</f>
        <v>SnackHub</v>
      </c>
      <c r="D1569" t="str">
        <f>_xlfn.XLOOKUP(Table6[[#This Row],[app_id]],Table5[app_id],Table5[category],"",0)</f>
        <v>Food Delivery</v>
      </c>
      <c r="E1569" t="s">
        <v>533</v>
      </c>
      <c r="F1569" t="s">
        <v>534</v>
      </c>
      <c r="G1569" t="s">
        <v>69</v>
      </c>
      <c r="H1569" t="s">
        <v>535</v>
      </c>
      <c r="I1569">
        <v>23</v>
      </c>
      <c r="J1569">
        <v>23.9</v>
      </c>
      <c r="K1569" t="s">
        <v>258</v>
      </c>
      <c r="L1569" t="s">
        <v>258</v>
      </c>
      <c r="M1569" t="s">
        <v>258</v>
      </c>
      <c r="N1569" s="5">
        <v>26.61</v>
      </c>
    </row>
    <row r="1570" spans="1:14" x14ac:dyDescent="0.25">
      <c r="A1570" t="s">
        <v>2111</v>
      </c>
      <c r="B1570" t="s">
        <v>178</v>
      </c>
      <c r="C1570" t="str">
        <f>_xlfn.XLOOKUP(Table6[[#This Row],[app_id]],Table5[app_id],Table5[app_name],"",0)</f>
        <v>BiteCloud</v>
      </c>
      <c r="D1570" t="str">
        <f>_xlfn.XLOOKUP(Table6[[#This Row],[app_id]],Table5[app_id],Table5[category],"",0)</f>
        <v>Food Delivery</v>
      </c>
      <c r="E1570" t="s">
        <v>537</v>
      </c>
      <c r="F1570" t="s">
        <v>534</v>
      </c>
      <c r="G1570" t="s">
        <v>46</v>
      </c>
      <c r="H1570" t="s">
        <v>535</v>
      </c>
      <c r="I1570">
        <v>16</v>
      </c>
      <c r="J1570">
        <v>9.9</v>
      </c>
      <c r="K1570" t="s">
        <v>258</v>
      </c>
      <c r="L1570" t="s">
        <v>258</v>
      </c>
      <c r="M1570" t="s">
        <v>257</v>
      </c>
      <c r="N1570" s="5">
        <v>0</v>
      </c>
    </row>
    <row r="1571" spans="1:14" x14ac:dyDescent="0.25">
      <c r="A1571" t="s">
        <v>2112</v>
      </c>
      <c r="B1571" t="s">
        <v>180</v>
      </c>
      <c r="C1571" t="str">
        <f>_xlfn.XLOOKUP(Table6[[#This Row],[app_id]],Table5[app_id],Table5[app_name],"",0)</f>
        <v>PlatePlus</v>
      </c>
      <c r="D1571" t="str">
        <f>_xlfn.XLOOKUP(Table6[[#This Row],[app_id]],Table5[app_id],Table5[category],"",0)</f>
        <v>Food Delivery</v>
      </c>
      <c r="E1571" t="s">
        <v>557</v>
      </c>
      <c r="F1571" t="s">
        <v>538</v>
      </c>
      <c r="G1571" t="s">
        <v>18</v>
      </c>
      <c r="H1571" t="s">
        <v>535</v>
      </c>
      <c r="I1571">
        <v>14</v>
      </c>
      <c r="J1571">
        <v>22.7</v>
      </c>
      <c r="K1571" t="s">
        <v>257</v>
      </c>
      <c r="L1571" t="s">
        <v>258</v>
      </c>
      <c r="M1571" t="s">
        <v>258</v>
      </c>
      <c r="N1571" s="5">
        <v>0</v>
      </c>
    </row>
    <row r="1572" spans="1:14" x14ac:dyDescent="0.25">
      <c r="A1572" t="s">
        <v>2113</v>
      </c>
      <c r="B1572" t="s">
        <v>182</v>
      </c>
      <c r="C1572" t="str">
        <f>_xlfn.XLOOKUP(Table6[[#This Row],[app_id]],Table5[app_id],Table5[app_name],"",0)</f>
        <v>VoyageGo</v>
      </c>
      <c r="D1572" t="str">
        <f>_xlfn.XLOOKUP(Table6[[#This Row],[app_id]],Table5[app_id],Table5[category],"",0)</f>
        <v>Travel</v>
      </c>
      <c r="E1572" t="s">
        <v>533</v>
      </c>
      <c r="F1572" t="s">
        <v>538</v>
      </c>
      <c r="G1572" t="s">
        <v>46</v>
      </c>
      <c r="H1572" t="s">
        <v>540</v>
      </c>
      <c r="I1572">
        <v>86</v>
      </c>
      <c r="J1572">
        <v>19.8</v>
      </c>
      <c r="K1572" t="s">
        <v>257</v>
      </c>
      <c r="L1572" t="s">
        <v>258</v>
      </c>
      <c r="M1572" t="s">
        <v>257</v>
      </c>
      <c r="N1572" s="5">
        <v>0</v>
      </c>
    </row>
    <row r="1573" spans="1:14" x14ac:dyDescent="0.25">
      <c r="A1573" t="s">
        <v>2114</v>
      </c>
      <c r="B1573" t="s">
        <v>185</v>
      </c>
      <c r="C1573" t="str">
        <f>_xlfn.XLOOKUP(Table6[[#This Row],[app_id]],Table5[app_id],Table5[app_name],"",0)</f>
        <v>TripOne</v>
      </c>
      <c r="D1573" t="str">
        <f>_xlfn.XLOOKUP(Table6[[#This Row],[app_id]],Table5[app_id],Table5[category],"",0)</f>
        <v>Travel</v>
      </c>
      <c r="E1573" t="s">
        <v>546</v>
      </c>
      <c r="F1573" t="s">
        <v>538</v>
      </c>
      <c r="G1573" t="s">
        <v>35</v>
      </c>
      <c r="H1573" t="s">
        <v>540</v>
      </c>
      <c r="I1573">
        <v>15</v>
      </c>
      <c r="J1573">
        <v>13.2</v>
      </c>
      <c r="K1573" t="s">
        <v>258</v>
      </c>
      <c r="L1573" t="s">
        <v>258</v>
      </c>
      <c r="M1573" t="s">
        <v>257</v>
      </c>
      <c r="N1573" s="5">
        <v>0</v>
      </c>
    </row>
    <row r="1574" spans="1:14" x14ac:dyDescent="0.25">
      <c r="A1574" t="s">
        <v>2115</v>
      </c>
      <c r="B1574" t="s">
        <v>187</v>
      </c>
      <c r="C1574" t="str">
        <f>_xlfn.XLOOKUP(Table6[[#This Row],[app_id]],Table5[app_id],Table5[app_name],"",0)</f>
        <v>FlyGo</v>
      </c>
      <c r="D1574" t="str">
        <f>_xlfn.XLOOKUP(Table6[[#This Row],[app_id]],Table5[app_id],Table5[category],"",0)</f>
        <v>Travel</v>
      </c>
      <c r="E1574" t="s">
        <v>533</v>
      </c>
      <c r="F1574" t="s">
        <v>538</v>
      </c>
      <c r="G1574" t="s">
        <v>18</v>
      </c>
      <c r="H1574" t="s">
        <v>535</v>
      </c>
      <c r="I1574">
        <v>17</v>
      </c>
      <c r="J1574">
        <v>7.9</v>
      </c>
      <c r="K1574" t="s">
        <v>258</v>
      </c>
      <c r="L1574" t="s">
        <v>258</v>
      </c>
      <c r="M1574" t="s">
        <v>257</v>
      </c>
      <c r="N1574" s="5">
        <v>32.79</v>
      </c>
    </row>
    <row r="1575" spans="1:14" x14ac:dyDescent="0.25">
      <c r="A1575" t="s">
        <v>2116</v>
      </c>
      <c r="B1575" t="s">
        <v>189</v>
      </c>
      <c r="C1575" t="str">
        <f>_xlfn.XLOOKUP(Table6[[#This Row],[app_id]],Table5[app_id],Table5[app_name],"",0)</f>
        <v>MapX</v>
      </c>
      <c r="D1575" t="str">
        <f>_xlfn.XLOOKUP(Table6[[#This Row],[app_id]],Table5[app_id],Table5[category],"",0)</f>
        <v>Travel</v>
      </c>
      <c r="E1575" t="s">
        <v>546</v>
      </c>
      <c r="F1575" t="s">
        <v>534</v>
      </c>
      <c r="G1575" t="s">
        <v>69</v>
      </c>
      <c r="H1575" t="s">
        <v>535</v>
      </c>
      <c r="I1575">
        <v>15</v>
      </c>
      <c r="J1575">
        <v>17.3</v>
      </c>
      <c r="K1575" t="s">
        <v>258</v>
      </c>
      <c r="L1575" t="s">
        <v>257</v>
      </c>
      <c r="M1575" t="s">
        <v>258</v>
      </c>
      <c r="N1575" s="5">
        <v>0</v>
      </c>
    </row>
    <row r="1576" spans="1:14" x14ac:dyDescent="0.25">
      <c r="A1576" t="s">
        <v>2117</v>
      </c>
      <c r="B1576" t="s">
        <v>191</v>
      </c>
      <c r="C1576" t="str">
        <f>_xlfn.XLOOKUP(Table6[[#This Row],[app_id]],Table5[app_id],Table5[app_name],"",0)</f>
        <v>StayX</v>
      </c>
      <c r="D1576" t="str">
        <f>_xlfn.XLOOKUP(Table6[[#This Row],[app_id]],Table5[app_id],Table5[category],"",0)</f>
        <v>Travel</v>
      </c>
      <c r="E1576" t="s">
        <v>533</v>
      </c>
      <c r="F1576" t="s">
        <v>534</v>
      </c>
      <c r="G1576" t="s">
        <v>35</v>
      </c>
      <c r="H1576" t="s">
        <v>535</v>
      </c>
      <c r="I1576">
        <v>71</v>
      </c>
      <c r="J1576">
        <v>18.2</v>
      </c>
      <c r="K1576" t="s">
        <v>257</v>
      </c>
      <c r="L1576" t="s">
        <v>257</v>
      </c>
      <c r="M1576" t="s">
        <v>258</v>
      </c>
      <c r="N1576" s="5">
        <v>0</v>
      </c>
    </row>
    <row r="1577" spans="1:14" x14ac:dyDescent="0.25">
      <c r="A1577" t="s">
        <v>2118</v>
      </c>
      <c r="B1577" t="s">
        <v>193</v>
      </c>
      <c r="C1577" t="str">
        <f>_xlfn.XLOOKUP(Table6[[#This Row],[app_id]],Table5[app_id],Table5[app_name],"",0)</f>
        <v>GoNow</v>
      </c>
      <c r="D1577" t="str">
        <f>_xlfn.XLOOKUP(Table6[[#This Row],[app_id]],Table5[app_id],Table5[category],"",0)</f>
        <v>Travel</v>
      </c>
      <c r="E1577" t="s">
        <v>557</v>
      </c>
      <c r="F1577" t="s">
        <v>534</v>
      </c>
      <c r="G1577" t="s">
        <v>61</v>
      </c>
      <c r="H1577" t="s">
        <v>535</v>
      </c>
      <c r="I1577">
        <v>10</v>
      </c>
      <c r="J1577">
        <v>18</v>
      </c>
      <c r="K1577" t="s">
        <v>258</v>
      </c>
      <c r="L1577" t="s">
        <v>257</v>
      </c>
      <c r="M1577" t="s">
        <v>258</v>
      </c>
      <c r="N1577" s="5">
        <v>0</v>
      </c>
    </row>
    <row r="1578" spans="1:14" x14ac:dyDescent="0.25">
      <c r="A1578" t="s">
        <v>2119</v>
      </c>
      <c r="B1578" t="s">
        <v>195</v>
      </c>
      <c r="C1578" t="str">
        <f>_xlfn.XLOOKUP(Table6[[#This Row],[app_id]],Table5[app_id],Table5[app_name],"",0)</f>
        <v>RouteGo</v>
      </c>
      <c r="D1578" t="str">
        <f>_xlfn.XLOOKUP(Table6[[#This Row],[app_id]],Table5[app_id],Table5[category],"",0)</f>
        <v>Travel</v>
      </c>
      <c r="E1578" t="s">
        <v>537</v>
      </c>
      <c r="F1578" t="s">
        <v>534</v>
      </c>
      <c r="G1578" t="s">
        <v>46</v>
      </c>
      <c r="H1578" t="s">
        <v>535</v>
      </c>
      <c r="I1578">
        <v>12</v>
      </c>
      <c r="J1578">
        <v>18.2</v>
      </c>
      <c r="K1578" t="s">
        <v>258</v>
      </c>
      <c r="L1578" t="s">
        <v>257</v>
      </c>
      <c r="M1578" t="s">
        <v>258</v>
      </c>
      <c r="N1578" s="5">
        <v>0</v>
      </c>
    </row>
    <row r="1579" spans="1:14" x14ac:dyDescent="0.25">
      <c r="A1579" t="s">
        <v>2120</v>
      </c>
      <c r="B1579" t="s">
        <v>197</v>
      </c>
      <c r="C1579" t="str">
        <f>_xlfn.XLOOKUP(Table6[[#This Row],[app_id]],Table5[app_id],Table5[app_name],"",0)</f>
        <v>TripGo</v>
      </c>
      <c r="D1579" t="str">
        <f>_xlfn.XLOOKUP(Table6[[#This Row],[app_id]],Table5[app_id],Table5[category],"",0)</f>
        <v>Travel</v>
      </c>
      <c r="E1579" t="s">
        <v>533</v>
      </c>
      <c r="F1579" t="s">
        <v>534</v>
      </c>
      <c r="G1579" t="s">
        <v>26</v>
      </c>
      <c r="H1579" t="s">
        <v>535</v>
      </c>
      <c r="I1579">
        <v>55</v>
      </c>
      <c r="J1579">
        <v>4.3</v>
      </c>
      <c r="K1579" t="s">
        <v>257</v>
      </c>
      <c r="L1579" t="s">
        <v>258</v>
      </c>
      <c r="M1579" t="s">
        <v>257</v>
      </c>
      <c r="N1579" s="5">
        <v>9.1300000000000008</v>
      </c>
    </row>
    <row r="1580" spans="1:14" x14ac:dyDescent="0.25">
      <c r="A1580" t="s">
        <v>2121</v>
      </c>
      <c r="B1580" t="s">
        <v>199</v>
      </c>
      <c r="C1580" t="str">
        <f>_xlfn.XLOOKUP(Table6[[#This Row],[app_id]],Table5[app_id],Table5[app_name],"",0)</f>
        <v>Flyly</v>
      </c>
      <c r="D1580" t="str">
        <f>_xlfn.XLOOKUP(Table6[[#This Row],[app_id]],Table5[app_id],Table5[category],"",0)</f>
        <v>Travel</v>
      </c>
      <c r="E1580" t="s">
        <v>557</v>
      </c>
      <c r="F1580" t="s">
        <v>538</v>
      </c>
      <c r="G1580" t="s">
        <v>18</v>
      </c>
      <c r="H1580" t="s">
        <v>535</v>
      </c>
      <c r="I1580">
        <v>25</v>
      </c>
      <c r="J1580">
        <v>13.3</v>
      </c>
      <c r="K1580" t="s">
        <v>258</v>
      </c>
      <c r="L1580" t="s">
        <v>258</v>
      </c>
      <c r="M1580" t="s">
        <v>257</v>
      </c>
      <c r="N1580" s="5">
        <v>0</v>
      </c>
    </row>
    <row r="1581" spans="1:14" x14ac:dyDescent="0.25">
      <c r="A1581" t="s">
        <v>2122</v>
      </c>
      <c r="B1581" t="s">
        <v>201</v>
      </c>
      <c r="C1581" t="str">
        <f>_xlfn.XLOOKUP(Table6[[#This Row],[app_id]],Table5[app_id],Table5[app_name],"",0)</f>
        <v>TripPro</v>
      </c>
      <c r="D1581" t="str">
        <f>_xlfn.XLOOKUP(Table6[[#This Row],[app_id]],Table5[app_id],Table5[category],"",0)</f>
        <v>Travel</v>
      </c>
      <c r="E1581" t="s">
        <v>546</v>
      </c>
      <c r="F1581" t="s">
        <v>534</v>
      </c>
      <c r="G1581" t="s">
        <v>18</v>
      </c>
      <c r="H1581" t="s">
        <v>535</v>
      </c>
      <c r="I1581">
        <v>27</v>
      </c>
      <c r="J1581">
        <v>18.2</v>
      </c>
      <c r="K1581" t="s">
        <v>258</v>
      </c>
      <c r="L1581" t="s">
        <v>258</v>
      </c>
      <c r="M1581" t="s">
        <v>258</v>
      </c>
      <c r="N1581" s="5">
        <v>0</v>
      </c>
    </row>
    <row r="1582" spans="1:14" x14ac:dyDescent="0.25">
      <c r="A1582" t="s">
        <v>2123</v>
      </c>
      <c r="B1582" t="s">
        <v>203</v>
      </c>
      <c r="C1582" t="str">
        <f>_xlfn.XLOOKUP(Table6[[#This Row],[app_id]],Table5[app_id],Table5[app_name],"",0)</f>
        <v>Focusly</v>
      </c>
      <c r="D1582" t="str">
        <f>_xlfn.XLOOKUP(Table6[[#This Row],[app_id]],Table5[app_id],Table5[category],"",0)</f>
        <v>Productivity</v>
      </c>
      <c r="E1582" t="s">
        <v>533</v>
      </c>
      <c r="F1582" t="s">
        <v>534</v>
      </c>
      <c r="G1582" t="s">
        <v>46</v>
      </c>
      <c r="H1582" t="s">
        <v>535</v>
      </c>
      <c r="I1582">
        <v>79</v>
      </c>
      <c r="J1582">
        <v>12.4</v>
      </c>
      <c r="K1582" t="s">
        <v>257</v>
      </c>
      <c r="L1582" t="s">
        <v>257</v>
      </c>
      <c r="M1582" t="s">
        <v>258</v>
      </c>
      <c r="N1582" s="5">
        <v>0</v>
      </c>
    </row>
    <row r="1583" spans="1:14" x14ac:dyDescent="0.25">
      <c r="A1583" t="s">
        <v>2124</v>
      </c>
      <c r="B1583" t="s">
        <v>206</v>
      </c>
      <c r="C1583" t="str">
        <f>_xlfn.XLOOKUP(Table6[[#This Row],[app_id]],Table5[app_id],Table5[app_name],"",0)</f>
        <v>DeskX</v>
      </c>
      <c r="D1583" t="str">
        <f>_xlfn.XLOOKUP(Table6[[#This Row],[app_id]],Table5[app_id],Table5[category],"",0)</f>
        <v>Productivity</v>
      </c>
      <c r="E1583" t="s">
        <v>546</v>
      </c>
      <c r="F1583" t="s">
        <v>534</v>
      </c>
      <c r="G1583" t="s">
        <v>23</v>
      </c>
      <c r="H1583" t="s">
        <v>535</v>
      </c>
      <c r="I1583">
        <v>13</v>
      </c>
      <c r="J1583">
        <v>15.2</v>
      </c>
      <c r="K1583" t="s">
        <v>258</v>
      </c>
      <c r="L1583" t="s">
        <v>257</v>
      </c>
      <c r="M1583" t="s">
        <v>258</v>
      </c>
      <c r="N1583" s="5">
        <v>0</v>
      </c>
    </row>
    <row r="1584" spans="1:14" x14ac:dyDescent="0.25">
      <c r="A1584" t="s">
        <v>2125</v>
      </c>
      <c r="B1584" t="s">
        <v>208</v>
      </c>
      <c r="C1584" t="str">
        <f>_xlfn.XLOOKUP(Table6[[#This Row],[app_id]],Table5[app_id],Table5[app_name],"",0)</f>
        <v>DonePro</v>
      </c>
      <c r="D1584" t="str">
        <f>_xlfn.XLOOKUP(Table6[[#This Row],[app_id]],Table5[app_id],Table5[category],"",0)</f>
        <v>Productivity</v>
      </c>
      <c r="E1584" t="s">
        <v>537</v>
      </c>
      <c r="F1584" t="s">
        <v>538</v>
      </c>
      <c r="G1584" t="s">
        <v>69</v>
      </c>
      <c r="H1584" t="s">
        <v>535</v>
      </c>
      <c r="I1584">
        <v>55</v>
      </c>
      <c r="J1584">
        <v>18</v>
      </c>
      <c r="K1584" t="s">
        <v>257</v>
      </c>
      <c r="L1584" t="s">
        <v>257</v>
      </c>
      <c r="M1584" t="s">
        <v>258</v>
      </c>
      <c r="N1584" s="5">
        <v>0</v>
      </c>
    </row>
    <row r="1585" spans="1:14" x14ac:dyDescent="0.25">
      <c r="A1585" t="s">
        <v>2126</v>
      </c>
      <c r="B1585" t="s">
        <v>210</v>
      </c>
      <c r="C1585" t="str">
        <f>_xlfn.XLOOKUP(Table6[[#This Row],[app_id]],Table5[app_id],Table5[app_name],"",0)</f>
        <v>NotePlus</v>
      </c>
      <c r="D1585" t="str">
        <f>_xlfn.XLOOKUP(Table6[[#This Row],[app_id]],Table5[app_id],Table5[category],"",0)</f>
        <v>Productivity</v>
      </c>
      <c r="E1585" t="s">
        <v>533</v>
      </c>
      <c r="F1585" t="s">
        <v>538</v>
      </c>
      <c r="G1585" t="s">
        <v>26</v>
      </c>
      <c r="H1585" t="s">
        <v>535</v>
      </c>
      <c r="I1585">
        <v>23</v>
      </c>
      <c r="J1585">
        <v>7.5</v>
      </c>
      <c r="K1585" t="s">
        <v>257</v>
      </c>
      <c r="L1585" t="s">
        <v>257</v>
      </c>
      <c r="M1585" t="s">
        <v>258</v>
      </c>
      <c r="N1585" s="5">
        <v>46.46</v>
      </c>
    </row>
    <row r="1586" spans="1:14" x14ac:dyDescent="0.25">
      <c r="A1586" t="s">
        <v>2127</v>
      </c>
      <c r="B1586" t="s">
        <v>212</v>
      </c>
      <c r="C1586" t="str">
        <f>_xlfn.XLOOKUP(Table6[[#This Row],[app_id]],Table5[app_id],Table5[app_name],"",0)</f>
        <v>SyncPlus</v>
      </c>
      <c r="D1586" t="str">
        <f>_xlfn.XLOOKUP(Table6[[#This Row],[app_id]],Table5[app_id],Table5[category],"",0)</f>
        <v>Productivity</v>
      </c>
      <c r="E1586" t="s">
        <v>557</v>
      </c>
      <c r="F1586" t="s">
        <v>538</v>
      </c>
      <c r="G1586" t="s">
        <v>35</v>
      </c>
      <c r="H1586" t="s">
        <v>535</v>
      </c>
      <c r="I1586">
        <v>27</v>
      </c>
      <c r="J1586">
        <v>3.3</v>
      </c>
      <c r="K1586" t="s">
        <v>258</v>
      </c>
      <c r="L1586" t="s">
        <v>258</v>
      </c>
      <c r="M1586" t="s">
        <v>258</v>
      </c>
      <c r="N1586" s="5">
        <v>0</v>
      </c>
    </row>
    <row r="1587" spans="1:14" x14ac:dyDescent="0.25">
      <c r="A1587" t="s">
        <v>2128</v>
      </c>
      <c r="B1587" t="s">
        <v>214</v>
      </c>
      <c r="C1587" t="str">
        <f>_xlfn.XLOOKUP(Table6[[#This Row],[app_id]],Table5[app_id],Table5[app_name],"",0)</f>
        <v>NoteOne</v>
      </c>
      <c r="D1587" t="str">
        <f>_xlfn.XLOOKUP(Table6[[#This Row],[app_id]],Table5[app_id],Table5[category],"",0)</f>
        <v>Productivity</v>
      </c>
      <c r="E1587" t="s">
        <v>546</v>
      </c>
      <c r="F1587" t="s">
        <v>534</v>
      </c>
      <c r="G1587" t="s">
        <v>61</v>
      </c>
      <c r="H1587" t="s">
        <v>535</v>
      </c>
      <c r="I1587">
        <v>72</v>
      </c>
      <c r="J1587">
        <v>19.2</v>
      </c>
      <c r="K1587" t="s">
        <v>257</v>
      </c>
      <c r="L1587" t="s">
        <v>257</v>
      </c>
      <c r="M1587" t="s">
        <v>258</v>
      </c>
      <c r="N1587" s="5">
        <v>72.44</v>
      </c>
    </row>
    <row r="1588" spans="1:14" x14ac:dyDescent="0.25">
      <c r="A1588" t="s">
        <v>2129</v>
      </c>
      <c r="B1588" t="s">
        <v>216</v>
      </c>
      <c r="C1588" t="str">
        <f>_xlfn.XLOOKUP(Table6[[#This Row],[app_id]],Table5[app_id],Table5[app_name],"",0)</f>
        <v>NoteMate</v>
      </c>
      <c r="D1588" t="str">
        <f>_xlfn.XLOOKUP(Table6[[#This Row],[app_id]],Table5[app_id],Table5[category],"",0)</f>
        <v>Productivity</v>
      </c>
      <c r="E1588" t="s">
        <v>537</v>
      </c>
      <c r="F1588" t="s">
        <v>534</v>
      </c>
      <c r="G1588" t="s">
        <v>23</v>
      </c>
      <c r="H1588" t="s">
        <v>535</v>
      </c>
      <c r="I1588">
        <v>25</v>
      </c>
      <c r="J1588">
        <v>11.8</v>
      </c>
      <c r="K1588" t="s">
        <v>258</v>
      </c>
      <c r="L1588" t="s">
        <v>257</v>
      </c>
      <c r="M1588" t="s">
        <v>258</v>
      </c>
      <c r="N1588" s="5">
        <v>0</v>
      </c>
    </row>
    <row r="1589" spans="1:14" x14ac:dyDescent="0.25">
      <c r="A1589" t="s">
        <v>2130</v>
      </c>
      <c r="B1589" t="s">
        <v>218</v>
      </c>
      <c r="C1589" t="str">
        <f>_xlfn.XLOOKUP(Table6[[#This Row],[app_id]],Table5[app_id],Table5[app_name],"",0)</f>
        <v>PlanPlus</v>
      </c>
      <c r="D1589" t="str">
        <f>_xlfn.XLOOKUP(Table6[[#This Row],[app_id]],Table5[app_id],Table5[category],"",0)</f>
        <v>Productivity</v>
      </c>
      <c r="E1589" t="s">
        <v>546</v>
      </c>
      <c r="F1589" t="s">
        <v>538</v>
      </c>
      <c r="G1589" t="s">
        <v>35</v>
      </c>
      <c r="H1589" t="s">
        <v>540</v>
      </c>
      <c r="I1589">
        <v>28</v>
      </c>
      <c r="J1589">
        <v>15.4</v>
      </c>
      <c r="K1589" t="s">
        <v>258</v>
      </c>
      <c r="L1589" t="s">
        <v>258</v>
      </c>
      <c r="M1589" t="s">
        <v>257</v>
      </c>
      <c r="N1589" s="5">
        <v>0</v>
      </c>
    </row>
    <row r="1590" spans="1:14" x14ac:dyDescent="0.25">
      <c r="A1590" t="s">
        <v>2131</v>
      </c>
      <c r="B1590" t="s">
        <v>220</v>
      </c>
      <c r="C1590" t="str">
        <f>_xlfn.XLOOKUP(Table6[[#This Row],[app_id]],Table5[app_id],Table5[app_name],"",0)</f>
        <v>PlanMate</v>
      </c>
      <c r="D1590" t="str">
        <f>_xlfn.XLOOKUP(Table6[[#This Row],[app_id]],Table5[app_id],Table5[category],"",0)</f>
        <v>Productivity</v>
      </c>
      <c r="E1590" t="s">
        <v>537</v>
      </c>
      <c r="F1590" t="s">
        <v>538</v>
      </c>
      <c r="G1590" t="s">
        <v>30</v>
      </c>
      <c r="H1590" t="s">
        <v>535</v>
      </c>
      <c r="I1590">
        <v>18</v>
      </c>
      <c r="J1590">
        <v>11.2</v>
      </c>
      <c r="K1590" t="s">
        <v>257</v>
      </c>
      <c r="L1590" t="s">
        <v>258</v>
      </c>
      <c r="M1590" t="s">
        <v>258</v>
      </c>
      <c r="N1590" s="5">
        <v>0</v>
      </c>
    </row>
    <row r="1591" spans="1:14" x14ac:dyDescent="0.25">
      <c r="A1591" t="s">
        <v>2132</v>
      </c>
      <c r="B1591" t="s">
        <v>222</v>
      </c>
      <c r="C1591" t="str">
        <f>_xlfn.XLOOKUP(Table6[[#This Row],[app_id]],Table5[app_id],Table5[app_name],"",0)</f>
        <v>SyncPlus</v>
      </c>
      <c r="D1591" t="str">
        <f>_xlfn.XLOOKUP(Table6[[#This Row],[app_id]],Table5[app_id],Table5[category],"",0)</f>
        <v>Productivity</v>
      </c>
      <c r="E1591" t="s">
        <v>557</v>
      </c>
      <c r="F1591" t="s">
        <v>534</v>
      </c>
      <c r="G1591" t="s">
        <v>26</v>
      </c>
      <c r="H1591" t="s">
        <v>535</v>
      </c>
      <c r="I1591">
        <v>24</v>
      </c>
      <c r="J1591">
        <v>11.1</v>
      </c>
      <c r="K1591" t="s">
        <v>257</v>
      </c>
      <c r="L1591" t="s">
        <v>257</v>
      </c>
      <c r="M1591" t="s">
        <v>258</v>
      </c>
      <c r="N1591" s="5">
        <v>36.83</v>
      </c>
    </row>
    <row r="1592" spans="1:14" x14ac:dyDescent="0.25">
      <c r="A1592" t="s">
        <v>2133</v>
      </c>
      <c r="B1592" t="s">
        <v>223</v>
      </c>
      <c r="C1592" t="str">
        <f>_xlfn.XLOOKUP(Table6[[#This Row],[app_id]],Table5[app_id],Table5[app_name],"",0)</f>
        <v>ClinicPro</v>
      </c>
      <c r="D1592" t="str">
        <f>_xlfn.XLOOKUP(Table6[[#This Row],[app_id]],Table5[app_id],Table5[category],"",0)</f>
        <v>Health</v>
      </c>
      <c r="E1592" t="s">
        <v>537</v>
      </c>
      <c r="F1592" t="s">
        <v>538</v>
      </c>
      <c r="G1592" t="s">
        <v>23</v>
      </c>
      <c r="H1592" t="s">
        <v>535</v>
      </c>
      <c r="I1592">
        <v>62</v>
      </c>
      <c r="J1592">
        <v>14.2</v>
      </c>
      <c r="K1592" t="s">
        <v>257</v>
      </c>
      <c r="L1592" t="s">
        <v>257</v>
      </c>
      <c r="M1592" t="s">
        <v>258</v>
      </c>
      <c r="N1592" s="5">
        <v>0</v>
      </c>
    </row>
    <row r="1593" spans="1:14" x14ac:dyDescent="0.25">
      <c r="A1593" t="s">
        <v>2134</v>
      </c>
      <c r="B1593" t="s">
        <v>226</v>
      </c>
      <c r="C1593" t="str">
        <f>_xlfn.XLOOKUP(Table6[[#This Row],[app_id]],Table5[app_id],Table5[app_name],"",0)</f>
        <v>MindMate</v>
      </c>
      <c r="D1593" t="str">
        <f>_xlfn.XLOOKUP(Table6[[#This Row],[app_id]],Table5[app_id],Table5[category],"",0)</f>
        <v>Health</v>
      </c>
      <c r="E1593" t="s">
        <v>533</v>
      </c>
      <c r="F1593" t="s">
        <v>538</v>
      </c>
      <c r="G1593" t="s">
        <v>26</v>
      </c>
      <c r="H1593" t="s">
        <v>535</v>
      </c>
      <c r="I1593">
        <v>11</v>
      </c>
      <c r="J1593">
        <v>7.3</v>
      </c>
      <c r="K1593" t="s">
        <v>258</v>
      </c>
      <c r="L1593" t="s">
        <v>258</v>
      </c>
      <c r="M1593" t="s">
        <v>258</v>
      </c>
      <c r="N1593" s="5">
        <v>0</v>
      </c>
    </row>
    <row r="1594" spans="1:14" x14ac:dyDescent="0.25">
      <c r="A1594" t="s">
        <v>2135</v>
      </c>
      <c r="B1594" t="s">
        <v>228</v>
      </c>
      <c r="C1594" t="str">
        <f>_xlfn.XLOOKUP(Table6[[#This Row],[app_id]],Table5[app_id],Table5[app_name],"",0)</f>
        <v>ClinicOne</v>
      </c>
      <c r="D1594" t="str">
        <f>_xlfn.XLOOKUP(Table6[[#This Row],[app_id]],Table5[app_id],Table5[category],"",0)</f>
        <v>Health</v>
      </c>
      <c r="E1594" t="s">
        <v>537</v>
      </c>
      <c r="F1594" t="s">
        <v>534</v>
      </c>
      <c r="G1594" t="s">
        <v>46</v>
      </c>
      <c r="H1594" t="s">
        <v>535</v>
      </c>
      <c r="I1594">
        <v>45</v>
      </c>
      <c r="J1594">
        <v>22.4</v>
      </c>
      <c r="K1594" t="s">
        <v>257</v>
      </c>
      <c r="L1594" t="s">
        <v>258</v>
      </c>
      <c r="M1594" t="s">
        <v>258</v>
      </c>
      <c r="N1594" s="5">
        <v>0</v>
      </c>
    </row>
    <row r="1595" spans="1:14" x14ac:dyDescent="0.25">
      <c r="A1595" t="s">
        <v>2136</v>
      </c>
      <c r="B1595" t="s">
        <v>230</v>
      </c>
      <c r="C1595" t="str">
        <f>_xlfn.XLOOKUP(Table6[[#This Row],[app_id]],Table5[app_id],Table5[app_name],"",0)</f>
        <v>WellMate</v>
      </c>
      <c r="D1595" t="str">
        <f>_xlfn.XLOOKUP(Table6[[#This Row],[app_id]],Table5[app_id],Table5[category],"",0)</f>
        <v>Health</v>
      </c>
      <c r="E1595" t="s">
        <v>533</v>
      </c>
      <c r="F1595" t="s">
        <v>534</v>
      </c>
      <c r="G1595" t="s">
        <v>23</v>
      </c>
      <c r="H1595" t="s">
        <v>535</v>
      </c>
      <c r="I1595">
        <v>66</v>
      </c>
      <c r="J1595">
        <v>5.4</v>
      </c>
      <c r="K1595" t="s">
        <v>257</v>
      </c>
      <c r="L1595" t="s">
        <v>257</v>
      </c>
      <c r="M1595" t="s">
        <v>258</v>
      </c>
      <c r="N1595" s="5">
        <v>0</v>
      </c>
    </row>
    <row r="1596" spans="1:14" x14ac:dyDescent="0.25">
      <c r="A1596" t="s">
        <v>2137</v>
      </c>
      <c r="B1596" t="s">
        <v>232</v>
      </c>
      <c r="C1596" t="str">
        <f>_xlfn.XLOOKUP(Table6[[#This Row],[app_id]],Table5[app_id],Table5[app_name],"",0)</f>
        <v>MediMate</v>
      </c>
      <c r="D1596" t="str">
        <f>_xlfn.XLOOKUP(Table6[[#This Row],[app_id]],Table5[app_id],Table5[category],"",0)</f>
        <v>Health</v>
      </c>
      <c r="E1596" t="s">
        <v>546</v>
      </c>
      <c r="F1596" t="s">
        <v>538</v>
      </c>
      <c r="G1596" t="s">
        <v>26</v>
      </c>
      <c r="H1596" t="s">
        <v>535</v>
      </c>
      <c r="I1596">
        <v>72</v>
      </c>
      <c r="J1596">
        <v>4.8</v>
      </c>
      <c r="K1596" t="s">
        <v>257</v>
      </c>
      <c r="L1596" t="s">
        <v>257</v>
      </c>
      <c r="M1596" t="s">
        <v>258</v>
      </c>
      <c r="N1596" s="5">
        <v>27.69</v>
      </c>
    </row>
    <row r="1597" spans="1:14" x14ac:dyDescent="0.25">
      <c r="A1597" t="s">
        <v>2138</v>
      </c>
      <c r="B1597" t="s">
        <v>234</v>
      </c>
      <c r="C1597" t="str">
        <f>_xlfn.XLOOKUP(Table6[[#This Row],[app_id]],Table5[app_id],Table5[app_name],"",0)</f>
        <v>WellNow</v>
      </c>
      <c r="D1597" t="str">
        <f>_xlfn.XLOOKUP(Table6[[#This Row],[app_id]],Table5[app_id],Table5[category],"",0)</f>
        <v>Health</v>
      </c>
      <c r="E1597" t="s">
        <v>546</v>
      </c>
      <c r="F1597" t="s">
        <v>538</v>
      </c>
      <c r="G1597" t="s">
        <v>69</v>
      </c>
      <c r="H1597" t="s">
        <v>535</v>
      </c>
      <c r="I1597">
        <v>24</v>
      </c>
      <c r="J1597">
        <v>3.8</v>
      </c>
      <c r="K1597" t="s">
        <v>258</v>
      </c>
      <c r="L1597" t="s">
        <v>257</v>
      </c>
      <c r="M1597" t="s">
        <v>258</v>
      </c>
      <c r="N1597" s="5">
        <v>0</v>
      </c>
    </row>
    <row r="1598" spans="1:14" x14ac:dyDescent="0.25">
      <c r="A1598" t="s">
        <v>2139</v>
      </c>
      <c r="B1598" t="s">
        <v>236</v>
      </c>
      <c r="C1598" t="str">
        <f>_xlfn.XLOOKUP(Table6[[#This Row],[app_id]],Table5[app_id],Table5[app_name],"",0)</f>
        <v>CareCloud</v>
      </c>
      <c r="D1598" t="str">
        <f>_xlfn.XLOOKUP(Table6[[#This Row],[app_id]],Table5[app_id],Table5[category],"",0)</f>
        <v>Health</v>
      </c>
      <c r="E1598" t="s">
        <v>552</v>
      </c>
      <c r="F1598" t="s">
        <v>534</v>
      </c>
      <c r="G1598" t="s">
        <v>18</v>
      </c>
      <c r="H1598" t="s">
        <v>535</v>
      </c>
      <c r="I1598">
        <v>83</v>
      </c>
      <c r="J1598">
        <v>5.2</v>
      </c>
      <c r="K1598" t="s">
        <v>257</v>
      </c>
      <c r="L1598" t="s">
        <v>257</v>
      </c>
      <c r="M1598" t="s">
        <v>258</v>
      </c>
      <c r="N1598" s="5">
        <v>0</v>
      </c>
    </row>
    <row r="1599" spans="1:14" x14ac:dyDescent="0.25">
      <c r="A1599" t="s">
        <v>2140</v>
      </c>
      <c r="B1599" t="s">
        <v>238</v>
      </c>
      <c r="C1599" t="str">
        <f>_xlfn.XLOOKUP(Table6[[#This Row],[app_id]],Table5[app_id],Table5[app_name],"",0)</f>
        <v>MediNow</v>
      </c>
      <c r="D1599" t="str">
        <f>_xlfn.XLOOKUP(Table6[[#This Row],[app_id]],Table5[app_id],Table5[category],"",0)</f>
        <v>Health</v>
      </c>
      <c r="E1599" t="s">
        <v>552</v>
      </c>
      <c r="F1599" t="s">
        <v>534</v>
      </c>
      <c r="G1599" t="s">
        <v>26</v>
      </c>
      <c r="H1599" t="s">
        <v>535</v>
      </c>
      <c r="I1599">
        <v>3</v>
      </c>
      <c r="J1599">
        <v>5.3</v>
      </c>
      <c r="K1599" t="s">
        <v>258</v>
      </c>
      <c r="L1599" t="s">
        <v>258</v>
      </c>
      <c r="M1599" t="s">
        <v>258</v>
      </c>
      <c r="N1599" s="5">
        <v>0</v>
      </c>
    </row>
    <row r="1600" spans="1:14" x14ac:dyDescent="0.25">
      <c r="A1600" t="s">
        <v>2141</v>
      </c>
      <c r="B1600" t="s">
        <v>240</v>
      </c>
      <c r="C1600" t="str">
        <f>_xlfn.XLOOKUP(Table6[[#This Row],[app_id]],Table5[app_id],Table5[app_name],"",0)</f>
        <v>MindPlus</v>
      </c>
      <c r="D1600" t="str">
        <f>_xlfn.XLOOKUP(Table6[[#This Row],[app_id]],Table5[app_id],Table5[category],"",0)</f>
        <v>Health</v>
      </c>
      <c r="E1600" t="s">
        <v>537</v>
      </c>
      <c r="F1600" t="s">
        <v>534</v>
      </c>
      <c r="G1600" t="s">
        <v>23</v>
      </c>
      <c r="H1600" t="s">
        <v>535</v>
      </c>
      <c r="I1600">
        <v>3</v>
      </c>
      <c r="J1600">
        <v>15.6</v>
      </c>
      <c r="K1600" t="s">
        <v>258</v>
      </c>
      <c r="L1600" t="s">
        <v>258</v>
      </c>
      <c r="M1600" t="s">
        <v>258</v>
      </c>
      <c r="N1600" s="5">
        <v>17.37</v>
      </c>
    </row>
    <row r="1601" spans="1:14" x14ac:dyDescent="0.25">
      <c r="A1601" t="s">
        <v>2142</v>
      </c>
      <c r="B1601" t="s">
        <v>242</v>
      </c>
      <c r="C1601" t="str">
        <f>_xlfn.XLOOKUP(Table6[[#This Row],[app_id]],Table5[app_id],Table5[app_name],"",0)</f>
        <v>MediCloud</v>
      </c>
      <c r="D1601" t="str">
        <f>_xlfn.XLOOKUP(Table6[[#This Row],[app_id]],Table5[app_id],Table5[category],"",0)</f>
        <v>Health</v>
      </c>
      <c r="E1601" t="s">
        <v>546</v>
      </c>
      <c r="F1601" t="s">
        <v>538</v>
      </c>
      <c r="G1601" t="s">
        <v>23</v>
      </c>
      <c r="H1601" t="s">
        <v>535</v>
      </c>
      <c r="I1601">
        <v>22</v>
      </c>
      <c r="J1601">
        <v>19.2</v>
      </c>
      <c r="K1601" t="s">
        <v>258</v>
      </c>
      <c r="L1601" t="s">
        <v>257</v>
      </c>
      <c r="M1601" t="s">
        <v>258</v>
      </c>
      <c r="N1601" s="5">
        <v>0</v>
      </c>
    </row>
    <row r="1602" spans="1:14" x14ac:dyDescent="0.25">
      <c r="A1602" t="s">
        <v>2143</v>
      </c>
      <c r="B1602" t="s">
        <v>12</v>
      </c>
      <c r="C1602" t="str">
        <f>_xlfn.XLOOKUP(Table6[[#This Row],[app_id]],Table5[app_id],Table5[app_name],"",0)</f>
        <v>InvestPro</v>
      </c>
      <c r="D1602" t="str">
        <f>_xlfn.XLOOKUP(Table6[[#This Row],[app_id]],Table5[app_id],Table5[category],"",0)</f>
        <v>Finance</v>
      </c>
      <c r="E1602" t="s">
        <v>546</v>
      </c>
      <c r="F1602" t="s">
        <v>538</v>
      </c>
      <c r="G1602" t="s">
        <v>61</v>
      </c>
      <c r="H1602" t="s">
        <v>535</v>
      </c>
      <c r="I1602">
        <v>19</v>
      </c>
      <c r="J1602">
        <v>9.8000000000000007</v>
      </c>
      <c r="K1602" t="s">
        <v>257</v>
      </c>
      <c r="L1602" t="s">
        <v>257</v>
      </c>
      <c r="M1602" t="s">
        <v>257</v>
      </c>
      <c r="N1602" s="5">
        <v>0</v>
      </c>
    </row>
    <row r="1603" spans="1:14" x14ac:dyDescent="0.25">
      <c r="A1603" t="s">
        <v>2144</v>
      </c>
      <c r="B1603" t="s">
        <v>19</v>
      </c>
      <c r="C1603" t="str">
        <f>_xlfn.XLOOKUP(Table6[[#This Row],[app_id]],Table5[app_id],Table5[app_name],"",0)</f>
        <v>BankPro</v>
      </c>
      <c r="D1603" t="str">
        <f>_xlfn.XLOOKUP(Table6[[#This Row],[app_id]],Table5[app_id],Table5[category],"",0)</f>
        <v>Finance</v>
      </c>
      <c r="E1603" t="s">
        <v>557</v>
      </c>
      <c r="F1603" t="s">
        <v>534</v>
      </c>
      <c r="G1603" t="s">
        <v>26</v>
      </c>
      <c r="H1603" t="s">
        <v>535</v>
      </c>
      <c r="I1603">
        <v>84</v>
      </c>
      <c r="J1603">
        <v>4.0999999999999996</v>
      </c>
      <c r="K1603" t="s">
        <v>257</v>
      </c>
      <c r="L1603" t="s">
        <v>257</v>
      </c>
      <c r="M1603" t="s">
        <v>258</v>
      </c>
      <c r="N1603" s="5">
        <v>0</v>
      </c>
    </row>
    <row r="1604" spans="1:14" x14ac:dyDescent="0.25">
      <c r="A1604" t="s">
        <v>2145</v>
      </c>
      <c r="B1604" t="s">
        <v>24</v>
      </c>
      <c r="C1604" t="str">
        <f>_xlfn.XLOOKUP(Table6[[#This Row],[app_id]],Table5[app_id],Table5[app_name],"",0)</f>
        <v>BankX</v>
      </c>
      <c r="D1604" t="str">
        <f>_xlfn.XLOOKUP(Table6[[#This Row],[app_id]],Table5[app_id],Table5[category],"",0)</f>
        <v>Finance</v>
      </c>
      <c r="E1604" t="s">
        <v>533</v>
      </c>
      <c r="F1604" t="s">
        <v>534</v>
      </c>
      <c r="G1604" t="s">
        <v>18</v>
      </c>
      <c r="H1604" t="s">
        <v>535</v>
      </c>
      <c r="I1604">
        <v>84</v>
      </c>
      <c r="J1604">
        <v>5.2</v>
      </c>
      <c r="K1604" t="s">
        <v>257</v>
      </c>
      <c r="L1604" t="s">
        <v>257</v>
      </c>
      <c r="M1604" t="s">
        <v>258</v>
      </c>
      <c r="N1604" s="5">
        <v>0</v>
      </c>
    </row>
    <row r="1605" spans="1:14" x14ac:dyDescent="0.25">
      <c r="A1605" t="s">
        <v>2146</v>
      </c>
      <c r="B1605" t="s">
        <v>27</v>
      </c>
      <c r="C1605" t="str">
        <f>_xlfn.XLOOKUP(Table6[[#This Row],[app_id]],Table5[app_id],Table5[app_name],"",0)</f>
        <v>BankNow</v>
      </c>
      <c r="D1605" t="str">
        <f>_xlfn.XLOOKUP(Table6[[#This Row],[app_id]],Table5[app_id],Table5[category],"",0)</f>
        <v>Finance</v>
      </c>
      <c r="E1605" t="s">
        <v>546</v>
      </c>
      <c r="F1605" t="s">
        <v>548</v>
      </c>
      <c r="G1605" t="s">
        <v>69</v>
      </c>
      <c r="H1605" t="s">
        <v>535</v>
      </c>
      <c r="I1605">
        <v>11</v>
      </c>
      <c r="J1605">
        <v>3.3</v>
      </c>
      <c r="K1605" t="s">
        <v>258</v>
      </c>
      <c r="L1605" t="s">
        <v>258</v>
      </c>
      <c r="M1605" t="s">
        <v>258</v>
      </c>
      <c r="N1605" s="5">
        <v>0</v>
      </c>
    </row>
    <row r="1606" spans="1:14" x14ac:dyDescent="0.25">
      <c r="A1606" t="s">
        <v>2147</v>
      </c>
      <c r="B1606" t="s">
        <v>31</v>
      </c>
      <c r="C1606" t="str">
        <f>_xlfn.XLOOKUP(Table6[[#This Row],[app_id]],Table5[app_id],Table5[app_name],"",0)</f>
        <v>CreditHub</v>
      </c>
      <c r="D1606" t="str">
        <f>_xlfn.XLOOKUP(Table6[[#This Row],[app_id]],Table5[app_id],Table5[category],"",0)</f>
        <v>Finance</v>
      </c>
      <c r="E1606" t="s">
        <v>537</v>
      </c>
      <c r="F1606" t="s">
        <v>538</v>
      </c>
      <c r="G1606" t="s">
        <v>26</v>
      </c>
      <c r="H1606" t="s">
        <v>535</v>
      </c>
      <c r="I1606">
        <v>12</v>
      </c>
      <c r="J1606">
        <v>3.6</v>
      </c>
      <c r="K1606" t="s">
        <v>258</v>
      </c>
      <c r="L1606" t="s">
        <v>257</v>
      </c>
      <c r="M1606" t="s">
        <v>258</v>
      </c>
      <c r="N1606" s="5">
        <v>0</v>
      </c>
    </row>
    <row r="1607" spans="1:14" x14ac:dyDescent="0.25">
      <c r="A1607" t="s">
        <v>2148</v>
      </c>
      <c r="B1607" t="s">
        <v>36</v>
      </c>
      <c r="C1607" t="str">
        <f>_xlfn.XLOOKUP(Table6[[#This Row],[app_id]],Table5[app_id],Table5[app_name],"",0)</f>
        <v>PayPlus</v>
      </c>
      <c r="D1607" t="str">
        <f>_xlfn.XLOOKUP(Table6[[#This Row],[app_id]],Table5[app_id],Table5[category],"",0)</f>
        <v>Finance</v>
      </c>
      <c r="E1607" t="s">
        <v>537</v>
      </c>
      <c r="F1607" t="s">
        <v>548</v>
      </c>
      <c r="G1607" t="s">
        <v>35</v>
      </c>
      <c r="H1607" t="s">
        <v>535</v>
      </c>
      <c r="I1607">
        <v>29</v>
      </c>
      <c r="J1607">
        <v>11.9</v>
      </c>
      <c r="K1607" t="s">
        <v>257</v>
      </c>
      <c r="L1607" t="s">
        <v>257</v>
      </c>
      <c r="M1607" t="s">
        <v>258</v>
      </c>
      <c r="N1607" s="5">
        <v>0</v>
      </c>
    </row>
    <row r="1608" spans="1:14" x14ac:dyDescent="0.25">
      <c r="A1608" t="s">
        <v>2149</v>
      </c>
      <c r="B1608" t="s">
        <v>39</v>
      </c>
      <c r="C1608" t="str">
        <f>_xlfn.XLOOKUP(Table6[[#This Row],[app_id]],Table5[app_id],Table5[app_name],"",0)</f>
        <v>BankPlus</v>
      </c>
      <c r="D1608" t="str">
        <f>_xlfn.XLOOKUP(Table6[[#This Row],[app_id]],Table5[app_id],Table5[category],"",0)</f>
        <v>Finance</v>
      </c>
      <c r="E1608" t="s">
        <v>533</v>
      </c>
      <c r="F1608" t="s">
        <v>534</v>
      </c>
      <c r="G1608" t="s">
        <v>35</v>
      </c>
      <c r="H1608" t="s">
        <v>540</v>
      </c>
      <c r="I1608">
        <v>30</v>
      </c>
      <c r="J1608">
        <v>15</v>
      </c>
      <c r="K1608" t="s">
        <v>257</v>
      </c>
      <c r="L1608" t="s">
        <v>257</v>
      </c>
      <c r="M1608" t="s">
        <v>258</v>
      </c>
      <c r="N1608" s="5">
        <v>0</v>
      </c>
    </row>
    <row r="1609" spans="1:14" x14ac:dyDescent="0.25">
      <c r="A1609" t="s">
        <v>2150</v>
      </c>
      <c r="B1609" t="s">
        <v>42</v>
      </c>
      <c r="C1609" t="str">
        <f>_xlfn.XLOOKUP(Table6[[#This Row],[app_id]],Table5[app_id],Table5[app_name],"",0)</f>
        <v>CoinPlus</v>
      </c>
      <c r="D1609" t="str">
        <f>_xlfn.XLOOKUP(Table6[[#This Row],[app_id]],Table5[app_id],Table5[category],"",0)</f>
        <v>Finance</v>
      </c>
      <c r="E1609" t="s">
        <v>533</v>
      </c>
      <c r="F1609" t="s">
        <v>538</v>
      </c>
      <c r="G1609" t="s">
        <v>46</v>
      </c>
      <c r="H1609" t="s">
        <v>535</v>
      </c>
      <c r="I1609">
        <v>78</v>
      </c>
      <c r="J1609">
        <v>3.3</v>
      </c>
      <c r="K1609" t="s">
        <v>257</v>
      </c>
      <c r="L1609" t="s">
        <v>257</v>
      </c>
      <c r="M1609" t="s">
        <v>258</v>
      </c>
      <c r="N1609" s="5">
        <v>19.149999999999999</v>
      </c>
    </row>
    <row r="1610" spans="1:14" x14ac:dyDescent="0.25">
      <c r="A1610" t="s">
        <v>2151</v>
      </c>
      <c r="B1610" t="s">
        <v>47</v>
      </c>
      <c r="C1610" t="str">
        <f>_xlfn.XLOOKUP(Table6[[#This Row],[app_id]],Table5[app_id],Table5[app_name],"",0)</f>
        <v>CreditOne</v>
      </c>
      <c r="D1610" t="str">
        <f>_xlfn.XLOOKUP(Table6[[#This Row],[app_id]],Table5[app_id],Table5[category],"",0)</f>
        <v>Finance</v>
      </c>
      <c r="E1610" t="s">
        <v>546</v>
      </c>
      <c r="F1610" t="s">
        <v>538</v>
      </c>
      <c r="G1610" t="s">
        <v>69</v>
      </c>
      <c r="H1610" t="s">
        <v>535</v>
      </c>
      <c r="I1610">
        <v>24</v>
      </c>
      <c r="J1610">
        <v>6.8</v>
      </c>
      <c r="K1610" t="s">
        <v>258</v>
      </c>
      <c r="L1610" t="s">
        <v>257</v>
      </c>
      <c r="M1610" t="s">
        <v>258</v>
      </c>
      <c r="N1610" s="5">
        <v>0</v>
      </c>
    </row>
    <row r="1611" spans="1:14" x14ac:dyDescent="0.25">
      <c r="A1611" t="s">
        <v>2152</v>
      </c>
      <c r="B1611" t="s">
        <v>49</v>
      </c>
      <c r="C1611" t="str">
        <f>_xlfn.XLOOKUP(Table6[[#This Row],[app_id]],Table5[app_id],Table5[app_name],"",0)</f>
        <v>PayPro</v>
      </c>
      <c r="D1611" t="str">
        <f>_xlfn.XLOOKUP(Table6[[#This Row],[app_id]],Table5[app_id],Table5[category],"",0)</f>
        <v>Finance</v>
      </c>
      <c r="E1611" t="s">
        <v>546</v>
      </c>
      <c r="F1611" t="s">
        <v>538</v>
      </c>
      <c r="G1611" t="s">
        <v>18</v>
      </c>
      <c r="H1611" t="s">
        <v>535</v>
      </c>
      <c r="I1611">
        <v>20</v>
      </c>
      <c r="J1611">
        <v>10.6</v>
      </c>
      <c r="K1611" t="s">
        <v>258</v>
      </c>
      <c r="L1611" t="s">
        <v>258</v>
      </c>
      <c r="M1611" t="s">
        <v>257</v>
      </c>
      <c r="N1611" s="5">
        <v>0</v>
      </c>
    </row>
    <row r="1612" spans="1:14" x14ac:dyDescent="0.25">
      <c r="A1612" t="s">
        <v>2153</v>
      </c>
      <c r="B1612" t="s">
        <v>51</v>
      </c>
      <c r="C1612" t="str">
        <f>_xlfn.XLOOKUP(Table6[[#This Row],[app_id]],Table5[app_id],Table5[app_name],"",0)</f>
        <v>Creditly</v>
      </c>
      <c r="D1612" t="str">
        <f>_xlfn.XLOOKUP(Table6[[#This Row],[app_id]],Table5[app_id],Table5[category],"",0)</f>
        <v>Finance</v>
      </c>
      <c r="E1612" t="s">
        <v>546</v>
      </c>
      <c r="F1612" t="s">
        <v>548</v>
      </c>
      <c r="G1612" t="s">
        <v>23</v>
      </c>
      <c r="H1612" t="s">
        <v>535</v>
      </c>
      <c r="I1612">
        <v>6</v>
      </c>
      <c r="J1612">
        <v>5.4</v>
      </c>
      <c r="K1612" t="s">
        <v>258</v>
      </c>
      <c r="L1612" t="s">
        <v>258</v>
      </c>
      <c r="M1612" t="s">
        <v>257</v>
      </c>
      <c r="N1612" s="5">
        <v>0</v>
      </c>
    </row>
    <row r="1613" spans="1:14" x14ac:dyDescent="0.25">
      <c r="A1613" t="s">
        <v>2154</v>
      </c>
      <c r="B1613" t="s">
        <v>53</v>
      </c>
      <c r="C1613" t="str">
        <f>_xlfn.XLOOKUP(Table6[[#This Row],[app_id]],Table5[app_id],Table5[app_name],"",0)</f>
        <v>PayX</v>
      </c>
      <c r="D1613" t="str">
        <f>_xlfn.XLOOKUP(Table6[[#This Row],[app_id]],Table5[app_id],Table5[category],"",0)</f>
        <v>Finance</v>
      </c>
      <c r="E1613" t="s">
        <v>533</v>
      </c>
      <c r="F1613" t="s">
        <v>538</v>
      </c>
      <c r="G1613" t="s">
        <v>46</v>
      </c>
      <c r="H1613" t="s">
        <v>535</v>
      </c>
      <c r="I1613">
        <v>48</v>
      </c>
      <c r="J1613">
        <v>13.8</v>
      </c>
      <c r="K1613" t="s">
        <v>257</v>
      </c>
      <c r="L1613" t="s">
        <v>257</v>
      </c>
      <c r="M1613" t="s">
        <v>257</v>
      </c>
      <c r="N1613" s="5">
        <v>0</v>
      </c>
    </row>
    <row r="1614" spans="1:14" x14ac:dyDescent="0.25">
      <c r="A1614" t="s">
        <v>2155</v>
      </c>
      <c r="B1614" t="s">
        <v>56</v>
      </c>
      <c r="C1614" t="str">
        <f>_xlfn.XLOOKUP(Table6[[#This Row],[app_id]],Table5[app_id],Table5[app_name],"",0)</f>
        <v>DealGo</v>
      </c>
      <c r="D1614" t="str">
        <f>_xlfn.XLOOKUP(Table6[[#This Row],[app_id]],Table5[app_id],Table5[category],"",0)</f>
        <v>Shopping</v>
      </c>
      <c r="E1614" t="s">
        <v>546</v>
      </c>
      <c r="F1614" t="s">
        <v>534</v>
      </c>
      <c r="G1614" t="s">
        <v>61</v>
      </c>
      <c r="H1614" t="s">
        <v>535</v>
      </c>
      <c r="I1614">
        <v>27</v>
      </c>
      <c r="J1614">
        <v>13.6</v>
      </c>
      <c r="K1614" t="s">
        <v>257</v>
      </c>
      <c r="L1614" t="s">
        <v>257</v>
      </c>
      <c r="M1614" t="s">
        <v>258</v>
      </c>
      <c r="N1614" s="5">
        <v>0</v>
      </c>
    </row>
    <row r="1615" spans="1:14" x14ac:dyDescent="0.25">
      <c r="A1615" t="s">
        <v>2156</v>
      </c>
      <c r="B1615" t="s">
        <v>62</v>
      </c>
      <c r="C1615" t="str">
        <f>_xlfn.XLOOKUP(Table6[[#This Row],[app_id]],Table5[app_id],Table5[app_name],"",0)</f>
        <v>MallNow</v>
      </c>
      <c r="D1615" t="str">
        <f>_xlfn.XLOOKUP(Table6[[#This Row],[app_id]],Table5[app_id],Table5[category],"",0)</f>
        <v>Shopping</v>
      </c>
      <c r="E1615" t="s">
        <v>557</v>
      </c>
      <c r="F1615" t="s">
        <v>538</v>
      </c>
      <c r="G1615" t="s">
        <v>69</v>
      </c>
      <c r="H1615" t="s">
        <v>535</v>
      </c>
      <c r="I1615">
        <v>90</v>
      </c>
      <c r="J1615">
        <v>10.8</v>
      </c>
      <c r="K1615" t="s">
        <v>257</v>
      </c>
      <c r="L1615" t="s">
        <v>257</v>
      </c>
      <c r="M1615" t="s">
        <v>258</v>
      </c>
      <c r="N1615" s="5">
        <v>7.91</v>
      </c>
    </row>
    <row r="1616" spans="1:14" x14ac:dyDescent="0.25">
      <c r="A1616" t="s">
        <v>2157</v>
      </c>
      <c r="B1616" t="s">
        <v>65</v>
      </c>
      <c r="C1616" t="str">
        <f>_xlfn.XLOOKUP(Table6[[#This Row],[app_id]],Table5[app_id],Table5[app_name],"",0)</f>
        <v>DealPro</v>
      </c>
      <c r="D1616" t="str">
        <f>_xlfn.XLOOKUP(Table6[[#This Row],[app_id]],Table5[app_id],Table5[category],"",0)</f>
        <v>Shopping</v>
      </c>
      <c r="E1616" t="s">
        <v>537</v>
      </c>
      <c r="F1616" t="s">
        <v>534</v>
      </c>
      <c r="G1616" t="s">
        <v>18</v>
      </c>
      <c r="H1616" t="s">
        <v>535</v>
      </c>
      <c r="I1616">
        <v>94</v>
      </c>
      <c r="J1616">
        <v>10.7</v>
      </c>
      <c r="K1616" t="s">
        <v>257</v>
      </c>
      <c r="L1616" t="s">
        <v>257</v>
      </c>
      <c r="M1616" t="s">
        <v>258</v>
      </c>
      <c r="N1616" s="5">
        <v>83.76</v>
      </c>
    </row>
    <row r="1617" spans="1:14" x14ac:dyDescent="0.25">
      <c r="A1617" t="s">
        <v>2158</v>
      </c>
      <c r="B1617" t="s">
        <v>67</v>
      </c>
      <c r="C1617" t="str">
        <f>_xlfn.XLOOKUP(Table6[[#This Row],[app_id]],Table5[app_id],Table5[app_name],"",0)</f>
        <v>StyleNow</v>
      </c>
      <c r="D1617" t="str">
        <f>_xlfn.XLOOKUP(Table6[[#This Row],[app_id]],Table5[app_id],Table5[category],"",0)</f>
        <v>Shopping</v>
      </c>
      <c r="E1617" t="s">
        <v>537</v>
      </c>
      <c r="F1617" t="s">
        <v>534</v>
      </c>
      <c r="G1617" t="s">
        <v>18</v>
      </c>
      <c r="H1617" t="s">
        <v>535</v>
      </c>
      <c r="I1617">
        <v>28</v>
      </c>
      <c r="J1617">
        <v>7</v>
      </c>
      <c r="K1617" t="s">
        <v>257</v>
      </c>
      <c r="L1617" t="s">
        <v>258</v>
      </c>
      <c r="M1617" t="s">
        <v>257</v>
      </c>
      <c r="N1617" s="5">
        <v>60.91</v>
      </c>
    </row>
    <row r="1618" spans="1:14" x14ac:dyDescent="0.25">
      <c r="A1618" t="s">
        <v>2159</v>
      </c>
      <c r="B1618" t="s">
        <v>70</v>
      </c>
      <c r="C1618" t="str">
        <f>_xlfn.XLOOKUP(Table6[[#This Row],[app_id]],Table5[app_id],Table5[app_name],"",0)</f>
        <v>DealCloud</v>
      </c>
      <c r="D1618" t="str">
        <f>_xlfn.XLOOKUP(Table6[[#This Row],[app_id]],Table5[app_id],Table5[category],"",0)</f>
        <v>Shopping</v>
      </c>
      <c r="E1618" t="s">
        <v>537</v>
      </c>
      <c r="F1618" t="s">
        <v>534</v>
      </c>
      <c r="G1618" t="s">
        <v>35</v>
      </c>
      <c r="H1618" t="s">
        <v>535</v>
      </c>
      <c r="I1618">
        <v>10</v>
      </c>
      <c r="J1618">
        <v>3.8</v>
      </c>
      <c r="K1618" t="s">
        <v>258</v>
      </c>
      <c r="L1618" t="s">
        <v>258</v>
      </c>
      <c r="M1618" t="s">
        <v>258</v>
      </c>
      <c r="N1618" s="5">
        <v>39.26</v>
      </c>
    </row>
    <row r="1619" spans="1:14" x14ac:dyDescent="0.25">
      <c r="A1619" t="s">
        <v>2160</v>
      </c>
      <c r="B1619" t="s">
        <v>72</v>
      </c>
      <c r="C1619" t="str">
        <f>_xlfn.XLOOKUP(Table6[[#This Row],[app_id]],Table5[app_id],Table5[app_name],"",0)</f>
        <v>CartCloud</v>
      </c>
      <c r="D1619" t="str">
        <f>_xlfn.XLOOKUP(Table6[[#This Row],[app_id]],Table5[app_id],Table5[category],"",0)</f>
        <v>Shopping</v>
      </c>
      <c r="E1619" t="s">
        <v>552</v>
      </c>
      <c r="F1619" t="s">
        <v>534</v>
      </c>
      <c r="G1619" t="s">
        <v>46</v>
      </c>
      <c r="H1619" t="s">
        <v>535</v>
      </c>
      <c r="I1619">
        <v>55</v>
      </c>
      <c r="J1619">
        <v>20.100000000000001</v>
      </c>
      <c r="K1619" t="s">
        <v>257</v>
      </c>
      <c r="L1619" t="s">
        <v>258</v>
      </c>
      <c r="M1619" t="s">
        <v>257</v>
      </c>
      <c r="N1619" s="5">
        <v>0</v>
      </c>
    </row>
    <row r="1620" spans="1:14" x14ac:dyDescent="0.25">
      <c r="A1620" t="s">
        <v>2161</v>
      </c>
      <c r="B1620" t="s">
        <v>74</v>
      </c>
      <c r="C1620" t="str">
        <f>_xlfn.XLOOKUP(Table6[[#This Row],[app_id]],Table5[app_id],Table5[app_name],"",0)</f>
        <v>CartMate</v>
      </c>
      <c r="D1620" t="str">
        <f>_xlfn.XLOOKUP(Table6[[#This Row],[app_id]],Table5[app_id],Table5[category],"",0)</f>
        <v>Shopping</v>
      </c>
      <c r="E1620" t="s">
        <v>537</v>
      </c>
      <c r="F1620" t="s">
        <v>628</v>
      </c>
      <c r="G1620" t="s">
        <v>18</v>
      </c>
      <c r="H1620" t="s">
        <v>535</v>
      </c>
      <c r="I1620">
        <v>18</v>
      </c>
      <c r="J1620">
        <v>12.3</v>
      </c>
      <c r="K1620" t="s">
        <v>258</v>
      </c>
      <c r="L1620" t="s">
        <v>257</v>
      </c>
      <c r="M1620" t="s">
        <v>258</v>
      </c>
      <c r="N1620" s="5">
        <v>0</v>
      </c>
    </row>
    <row r="1621" spans="1:14" x14ac:dyDescent="0.25">
      <c r="A1621" t="s">
        <v>2162</v>
      </c>
      <c r="B1621" t="s">
        <v>76</v>
      </c>
      <c r="C1621" t="str">
        <f>_xlfn.XLOOKUP(Table6[[#This Row],[app_id]],Table5[app_id],Table5[app_name],"",0)</f>
        <v>BazaarOne</v>
      </c>
      <c r="D1621" t="str">
        <f>_xlfn.XLOOKUP(Table6[[#This Row],[app_id]],Table5[app_id],Table5[category],"",0)</f>
        <v>Shopping</v>
      </c>
      <c r="E1621" t="s">
        <v>537</v>
      </c>
      <c r="F1621" t="s">
        <v>538</v>
      </c>
      <c r="G1621" t="s">
        <v>69</v>
      </c>
      <c r="H1621" t="s">
        <v>535</v>
      </c>
      <c r="I1621">
        <v>13</v>
      </c>
      <c r="J1621">
        <v>21.4</v>
      </c>
      <c r="K1621" t="s">
        <v>258</v>
      </c>
      <c r="L1621" t="s">
        <v>258</v>
      </c>
      <c r="M1621" t="s">
        <v>257</v>
      </c>
      <c r="N1621" s="5">
        <v>0</v>
      </c>
    </row>
    <row r="1622" spans="1:14" x14ac:dyDescent="0.25">
      <c r="A1622" t="s">
        <v>2163</v>
      </c>
      <c r="B1622" t="s">
        <v>78</v>
      </c>
      <c r="C1622" t="str">
        <f>_xlfn.XLOOKUP(Table6[[#This Row],[app_id]],Table5[app_id],Table5[app_name],"",0)</f>
        <v>StyleOne</v>
      </c>
      <c r="D1622" t="str">
        <f>_xlfn.XLOOKUP(Table6[[#This Row],[app_id]],Table5[app_id],Table5[category],"",0)</f>
        <v>Shopping</v>
      </c>
      <c r="E1622" t="s">
        <v>546</v>
      </c>
      <c r="F1622" t="s">
        <v>538</v>
      </c>
      <c r="G1622" t="s">
        <v>35</v>
      </c>
      <c r="H1622" t="s">
        <v>535</v>
      </c>
      <c r="I1622">
        <v>23</v>
      </c>
      <c r="J1622">
        <v>17.899999999999999</v>
      </c>
      <c r="K1622" t="s">
        <v>258</v>
      </c>
      <c r="L1622" t="s">
        <v>258</v>
      </c>
      <c r="M1622" t="s">
        <v>258</v>
      </c>
      <c r="N1622" s="5">
        <v>0</v>
      </c>
    </row>
    <row r="1623" spans="1:14" x14ac:dyDescent="0.25">
      <c r="A1623" t="s">
        <v>2164</v>
      </c>
      <c r="B1623" t="s">
        <v>80</v>
      </c>
      <c r="C1623" t="str">
        <f>_xlfn.XLOOKUP(Table6[[#This Row],[app_id]],Table5[app_id],Table5[app_name],"",0)</f>
        <v>Cartly</v>
      </c>
      <c r="D1623" t="str">
        <f>_xlfn.XLOOKUP(Table6[[#This Row],[app_id]],Table5[app_id],Table5[category],"",0)</f>
        <v>Shopping</v>
      </c>
      <c r="E1623" t="s">
        <v>533</v>
      </c>
      <c r="F1623" t="s">
        <v>538</v>
      </c>
      <c r="G1623" t="s">
        <v>23</v>
      </c>
      <c r="H1623" t="s">
        <v>535</v>
      </c>
      <c r="I1623">
        <v>13</v>
      </c>
      <c r="J1623">
        <v>21.3</v>
      </c>
      <c r="K1623" t="s">
        <v>258</v>
      </c>
      <c r="L1623" t="s">
        <v>257</v>
      </c>
      <c r="M1623" t="s">
        <v>258</v>
      </c>
      <c r="N1623" s="5">
        <v>0</v>
      </c>
    </row>
    <row r="1624" spans="1:14" x14ac:dyDescent="0.25">
      <c r="A1624" t="s">
        <v>2165</v>
      </c>
      <c r="B1624" t="s">
        <v>83</v>
      </c>
      <c r="C1624" t="str">
        <f>_xlfn.XLOOKUP(Table6[[#This Row],[app_id]],Table5[app_id],Table5[app_name],"",0)</f>
        <v>BazaarCloud</v>
      </c>
      <c r="D1624" t="str">
        <f>_xlfn.XLOOKUP(Table6[[#This Row],[app_id]],Table5[app_id],Table5[category],"",0)</f>
        <v>Shopping</v>
      </c>
      <c r="E1624" t="s">
        <v>533</v>
      </c>
      <c r="F1624" t="s">
        <v>538</v>
      </c>
      <c r="G1624" t="s">
        <v>26</v>
      </c>
      <c r="H1624" t="s">
        <v>535</v>
      </c>
      <c r="I1624">
        <v>38</v>
      </c>
      <c r="J1624">
        <v>14.9</v>
      </c>
      <c r="K1624" t="s">
        <v>257</v>
      </c>
      <c r="L1624" t="s">
        <v>257</v>
      </c>
      <c r="M1624" t="s">
        <v>258</v>
      </c>
      <c r="N1624" s="5">
        <v>0</v>
      </c>
    </row>
    <row r="1625" spans="1:14" x14ac:dyDescent="0.25">
      <c r="A1625" t="s">
        <v>2166</v>
      </c>
      <c r="B1625" t="s">
        <v>85</v>
      </c>
      <c r="C1625" t="str">
        <f>_xlfn.XLOOKUP(Table6[[#This Row],[app_id]],Table5[app_id],Table5[app_name],"",0)</f>
        <v>CartPro</v>
      </c>
      <c r="D1625" t="str">
        <f>_xlfn.XLOOKUP(Table6[[#This Row],[app_id]],Table5[app_id],Table5[category],"",0)</f>
        <v>Shopping</v>
      </c>
      <c r="E1625" t="s">
        <v>537</v>
      </c>
      <c r="F1625" t="s">
        <v>538</v>
      </c>
      <c r="G1625" t="s">
        <v>61</v>
      </c>
      <c r="H1625" t="s">
        <v>535</v>
      </c>
      <c r="I1625">
        <v>12</v>
      </c>
      <c r="J1625">
        <v>21.4</v>
      </c>
      <c r="K1625" t="s">
        <v>258</v>
      </c>
      <c r="L1625" t="s">
        <v>258</v>
      </c>
      <c r="M1625" t="s">
        <v>257</v>
      </c>
      <c r="N1625" s="5">
        <v>0</v>
      </c>
    </row>
    <row r="1626" spans="1:14" x14ac:dyDescent="0.25">
      <c r="A1626" t="s">
        <v>2167</v>
      </c>
      <c r="B1626" t="s">
        <v>87</v>
      </c>
      <c r="C1626" t="str">
        <f>_xlfn.XLOOKUP(Table6[[#This Row],[app_id]],Table5[app_id],Table5[app_name],"",0)</f>
        <v>RunPlus</v>
      </c>
      <c r="D1626" t="str">
        <f>_xlfn.XLOOKUP(Table6[[#This Row],[app_id]],Table5[app_id],Table5[category],"",0)</f>
        <v>Fitness</v>
      </c>
      <c r="E1626" t="s">
        <v>533</v>
      </c>
      <c r="F1626" t="s">
        <v>534</v>
      </c>
      <c r="G1626" t="s">
        <v>46</v>
      </c>
      <c r="H1626" t="s">
        <v>535</v>
      </c>
      <c r="I1626">
        <v>89</v>
      </c>
      <c r="J1626">
        <v>24.4</v>
      </c>
      <c r="K1626" t="s">
        <v>257</v>
      </c>
      <c r="L1626" t="s">
        <v>257</v>
      </c>
      <c r="M1626" t="s">
        <v>258</v>
      </c>
      <c r="N1626" s="5">
        <v>0</v>
      </c>
    </row>
    <row r="1627" spans="1:14" x14ac:dyDescent="0.25">
      <c r="A1627" t="s">
        <v>2168</v>
      </c>
      <c r="B1627" t="s">
        <v>90</v>
      </c>
      <c r="C1627" t="str">
        <f>_xlfn.XLOOKUP(Table6[[#This Row],[app_id]],Table5[app_id],Table5[app_name],"",0)</f>
        <v>TrainCloud</v>
      </c>
      <c r="D1627" t="str">
        <f>_xlfn.XLOOKUP(Table6[[#This Row],[app_id]],Table5[app_id],Table5[category],"",0)</f>
        <v>Fitness</v>
      </c>
      <c r="E1627" t="s">
        <v>533</v>
      </c>
      <c r="F1627" t="s">
        <v>538</v>
      </c>
      <c r="G1627" t="s">
        <v>46</v>
      </c>
      <c r="H1627" t="s">
        <v>535</v>
      </c>
      <c r="I1627">
        <v>27</v>
      </c>
      <c r="J1627">
        <v>28.8</v>
      </c>
      <c r="K1627" t="s">
        <v>258</v>
      </c>
      <c r="L1627" t="s">
        <v>258</v>
      </c>
      <c r="M1627" t="s">
        <v>257</v>
      </c>
      <c r="N1627" s="5">
        <v>69.62</v>
      </c>
    </row>
    <row r="1628" spans="1:14" x14ac:dyDescent="0.25">
      <c r="A1628" t="s">
        <v>2169</v>
      </c>
      <c r="B1628" t="s">
        <v>92</v>
      </c>
      <c r="C1628" t="str">
        <f>_xlfn.XLOOKUP(Table6[[#This Row],[app_id]],Table5[app_id],Table5[app_name],"",0)</f>
        <v>Trainly</v>
      </c>
      <c r="D1628" t="str">
        <f>_xlfn.XLOOKUP(Table6[[#This Row],[app_id]],Table5[app_id],Table5[category],"",0)</f>
        <v>Fitness</v>
      </c>
      <c r="E1628" t="s">
        <v>533</v>
      </c>
      <c r="F1628" t="s">
        <v>534</v>
      </c>
      <c r="G1628" t="s">
        <v>46</v>
      </c>
      <c r="H1628" t="s">
        <v>535</v>
      </c>
      <c r="I1628">
        <v>26</v>
      </c>
      <c r="J1628">
        <v>34.700000000000003</v>
      </c>
      <c r="K1628" t="s">
        <v>257</v>
      </c>
      <c r="L1628" t="s">
        <v>257</v>
      </c>
      <c r="M1628" t="s">
        <v>258</v>
      </c>
      <c r="N1628" s="5">
        <v>0</v>
      </c>
    </row>
    <row r="1629" spans="1:14" x14ac:dyDescent="0.25">
      <c r="A1629" t="s">
        <v>2170</v>
      </c>
      <c r="B1629" t="s">
        <v>94</v>
      </c>
      <c r="C1629" t="str">
        <f>_xlfn.XLOOKUP(Table6[[#This Row],[app_id]],Table5[app_id],Table5[app_name],"",0)</f>
        <v>LiftCloud</v>
      </c>
      <c r="D1629" t="str">
        <f>_xlfn.XLOOKUP(Table6[[#This Row],[app_id]],Table5[app_id],Table5[category],"",0)</f>
        <v>Fitness</v>
      </c>
      <c r="E1629" t="s">
        <v>537</v>
      </c>
      <c r="F1629" t="s">
        <v>548</v>
      </c>
      <c r="G1629" t="s">
        <v>69</v>
      </c>
      <c r="H1629" t="s">
        <v>535</v>
      </c>
      <c r="I1629">
        <v>79</v>
      </c>
      <c r="J1629">
        <v>35.1</v>
      </c>
      <c r="K1629" t="s">
        <v>257</v>
      </c>
      <c r="L1629" t="s">
        <v>257</v>
      </c>
      <c r="M1629" t="s">
        <v>258</v>
      </c>
      <c r="N1629" s="5">
        <v>0</v>
      </c>
    </row>
    <row r="1630" spans="1:14" x14ac:dyDescent="0.25">
      <c r="A1630" t="s">
        <v>2171</v>
      </c>
      <c r="B1630" t="s">
        <v>96</v>
      </c>
      <c r="C1630" t="str">
        <f>_xlfn.XLOOKUP(Table6[[#This Row],[app_id]],Table5[app_id],Table5[app_name],"",0)</f>
        <v>MoveNow</v>
      </c>
      <c r="D1630" t="str">
        <f>_xlfn.XLOOKUP(Table6[[#This Row],[app_id]],Table5[app_id],Table5[category],"",0)</f>
        <v>Fitness</v>
      </c>
      <c r="E1630" t="s">
        <v>552</v>
      </c>
      <c r="F1630" t="s">
        <v>538</v>
      </c>
      <c r="G1630" t="s">
        <v>26</v>
      </c>
      <c r="H1630" t="s">
        <v>535</v>
      </c>
      <c r="I1630">
        <v>25</v>
      </c>
      <c r="J1630">
        <v>23.2</v>
      </c>
      <c r="K1630" t="s">
        <v>258</v>
      </c>
      <c r="L1630" t="s">
        <v>257</v>
      </c>
      <c r="M1630" t="s">
        <v>258</v>
      </c>
      <c r="N1630" s="5">
        <v>0</v>
      </c>
    </row>
    <row r="1631" spans="1:14" x14ac:dyDescent="0.25">
      <c r="A1631" t="s">
        <v>2172</v>
      </c>
      <c r="B1631" t="s">
        <v>98</v>
      </c>
      <c r="C1631" t="str">
        <f>_xlfn.XLOOKUP(Table6[[#This Row],[app_id]],Table5[app_id],Table5[app_name],"",0)</f>
        <v>ActiveMate</v>
      </c>
      <c r="D1631" t="str">
        <f>_xlfn.XLOOKUP(Table6[[#This Row],[app_id]],Table5[app_id],Table5[category],"",0)</f>
        <v>Fitness</v>
      </c>
      <c r="E1631" t="s">
        <v>546</v>
      </c>
      <c r="F1631" t="s">
        <v>538</v>
      </c>
      <c r="G1631" t="s">
        <v>46</v>
      </c>
      <c r="H1631" t="s">
        <v>535</v>
      </c>
      <c r="I1631">
        <v>69</v>
      </c>
      <c r="J1631">
        <v>38.4</v>
      </c>
      <c r="K1631" t="s">
        <v>257</v>
      </c>
      <c r="L1631" t="s">
        <v>258</v>
      </c>
      <c r="M1631" t="s">
        <v>257</v>
      </c>
      <c r="N1631" s="5">
        <v>0</v>
      </c>
    </row>
    <row r="1632" spans="1:14" x14ac:dyDescent="0.25">
      <c r="A1632" t="s">
        <v>2173</v>
      </c>
      <c r="B1632" t="s">
        <v>100</v>
      </c>
      <c r="C1632" t="str">
        <f>_xlfn.XLOOKUP(Table6[[#This Row],[app_id]],Table5[app_id],Table5[app_name],"",0)</f>
        <v>RunGo</v>
      </c>
      <c r="D1632" t="str">
        <f>_xlfn.XLOOKUP(Table6[[#This Row],[app_id]],Table5[app_id],Table5[category],"",0)</f>
        <v>Fitness</v>
      </c>
      <c r="E1632" t="s">
        <v>537</v>
      </c>
      <c r="F1632" t="s">
        <v>534</v>
      </c>
      <c r="G1632" t="s">
        <v>61</v>
      </c>
      <c r="H1632" t="s">
        <v>535</v>
      </c>
      <c r="I1632">
        <v>53</v>
      </c>
      <c r="J1632">
        <v>28.9</v>
      </c>
      <c r="K1632" t="s">
        <v>257</v>
      </c>
      <c r="L1632" t="s">
        <v>257</v>
      </c>
      <c r="M1632" t="s">
        <v>258</v>
      </c>
      <c r="N1632" s="5">
        <v>0</v>
      </c>
    </row>
    <row r="1633" spans="1:14" x14ac:dyDescent="0.25">
      <c r="A1633" t="s">
        <v>2174</v>
      </c>
      <c r="B1633" t="s">
        <v>102</v>
      </c>
      <c r="C1633" t="str">
        <f>_xlfn.XLOOKUP(Table6[[#This Row],[app_id]],Table5[app_id],Table5[app_name],"",0)</f>
        <v>LiftPro</v>
      </c>
      <c r="D1633" t="str">
        <f>_xlfn.XLOOKUP(Table6[[#This Row],[app_id]],Table5[app_id],Table5[category],"",0)</f>
        <v>Fitness</v>
      </c>
      <c r="E1633" t="s">
        <v>533</v>
      </c>
      <c r="F1633" t="s">
        <v>534</v>
      </c>
      <c r="G1633" t="s">
        <v>35</v>
      </c>
      <c r="H1633" t="s">
        <v>535</v>
      </c>
      <c r="I1633">
        <v>68</v>
      </c>
      <c r="J1633">
        <v>27.8</v>
      </c>
      <c r="K1633" t="s">
        <v>257</v>
      </c>
      <c r="L1633" t="s">
        <v>257</v>
      </c>
      <c r="M1633" t="s">
        <v>258</v>
      </c>
      <c r="N1633" s="5">
        <v>19.03</v>
      </c>
    </row>
    <row r="1634" spans="1:14" x14ac:dyDescent="0.25">
      <c r="A1634" t="s">
        <v>2175</v>
      </c>
      <c r="B1634" t="s">
        <v>104</v>
      </c>
      <c r="C1634" t="str">
        <f>_xlfn.XLOOKUP(Table6[[#This Row],[app_id]],Table5[app_id],Table5[app_name],"",0)</f>
        <v>LiftPro</v>
      </c>
      <c r="D1634" t="str">
        <f>_xlfn.XLOOKUP(Table6[[#This Row],[app_id]],Table5[app_id],Table5[category],"",0)</f>
        <v>Fitness</v>
      </c>
      <c r="E1634" t="s">
        <v>546</v>
      </c>
      <c r="F1634" t="s">
        <v>534</v>
      </c>
      <c r="G1634" t="s">
        <v>69</v>
      </c>
      <c r="H1634" t="s">
        <v>535</v>
      </c>
      <c r="I1634">
        <v>59</v>
      </c>
      <c r="J1634">
        <v>16.7</v>
      </c>
      <c r="K1634" t="s">
        <v>257</v>
      </c>
      <c r="L1634" t="s">
        <v>257</v>
      </c>
      <c r="M1634" t="s">
        <v>258</v>
      </c>
      <c r="N1634" s="5">
        <v>0</v>
      </c>
    </row>
    <row r="1635" spans="1:14" x14ac:dyDescent="0.25">
      <c r="A1635" t="s">
        <v>2176</v>
      </c>
      <c r="B1635" t="s">
        <v>105</v>
      </c>
      <c r="C1635" t="str">
        <f>_xlfn.XLOOKUP(Table6[[#This Row],[app_id]],Table5[app_id],Table5[app_name],"",0)</f>
        <v>Liftly</v>
      </c>
      <c r="D1635" t="str">
        <f>_xlfn.XLOOKUP(Table6[[#This Row],[app_id]],Table5[app_id],Table5[category],"",0)</f>
        <v>Fitness</v>
      </c>
      <c r="E1635" t="s">
        <v>546</v>
      </c>
      <c r="F1635" t="s">
        <v>538</v>
      </c>
      <c r="G1635" t="s">
        <v>23</v>
      </c>
      <c r="H1635" t="s">
        <v>535</v>
      </c>
      <c r="I1635">
        <v>17</v>
      </c>
      <c r="J1635">
        <v>29.5</v>
      </c>
      <c r="K1635" t="s">
        <v>258</v>
      </c>
      <c r="L1635" t="s">
        <v>258</v>
      </c>
      <c r="M1635" t="s">
        <v>258</v>
      </c>
      <c r="N1635" s="5">
        <v>32.99</v>
      </c>
    </row>
    <row r="1636" spans="1:14" x14ac:dyDescent="0.25">
      <c r="A1636" t="s">
        <v>2177</v>
      </c>
      <c r="B1636" t="s">
        <v>107</v>
      </c>
      <c r="C1636" t="str">
        <f>_xlfn.XLOOKUP(Table6[[#This Row],[app_id]],Table5[app_id],Table5[app_name],"",0)</f>
        <v>YogaHub</v>
      </c>
      <c r="D1636" t="str">
        <f>_xlfn.XLOOKUP(Table6[[#This Row],[app_id]],Table5[app_id],Table5[category],"",0)</f>
        <v>Fitness</v>
      </c>
      <c r="E1636" t="s">
        <v>537</v>
      </c>
      <c r="F1636" t="s">
        <v>534</v>
      </c>
      <c r="G1636" t="s">
        <v>69</v>
      </c>
      <c r="H1636" t="s">
        <v>535</v>
      </c>
      <c r="I1636">
        <v>74</v>
      </c>
      <c r="J1636">
        <v>38.299999999999997</v>
      </c>
      <c r="K1636" t="s">
        <v>257</v>
      </c>
      <c r="L1636" t="s">
        <v>257</v>
      </c>
      <c r="M1636" t="s">
        <v>258</v>
      </c>
      <c r="N1636" s="5">
        <v>0</v>
      </c>
    </row>
    <row r="1637" spans="1:14" x14ac:dyDescent="0.25">
      <c r="A1637" t="s">
        <v>2178</v>
      </c>
      <c r="B1637" t="s">
        <v>109</v>
      </c>
      <c r="C1637" t="str">
        <f>_xlfn.XLOOKUP(Table6[[#This Row],[app_id]],Table5[app_id],Table5[app_name],"",0)</f>
        <v>MoveGo</v>
      </c>
      <c r="D1637" t="str">
        <f>_xlfn.XLOOKUP(Table6[[#This Row],[app_id]],Table5[app_id],Table5[category],"",0)</f>
        <v>Fitness</v>
      </c>
      <c r="E1637" t="s">
        <v>557</v>
      </c>
      <c r="F1637" t="s">
        <v>628</v>
      </c>
      <c r="G1637" t="s">
        <v>35</v>
      </c>
      <c r="H1637" t="s">
        <v>535</v>
      </c>
      <c r="I1637">
        <v>19</v>
      </c>
      <c r="J1637">
        <v>26.5</v>
      </c>
      <c r="K1637" t="s">
        <v>257</v>
      </c>
      <c r="L1637" t="s">
        <v>257</v>
      </c>
      <c r="M1637" t="s">
        <v>258</v>
      </c>
      <c r="N1637" s="5">
        <v>2.19</v>
      </c>
    </row>
    <row r="1638" spans="1:14" x14ac:dyDescent="0.25">
      <c r="A1638" t="s">
        <v>2179</v>
      </c>
      <c r="B1638" t="s">
        <v>111</v>
      </c>
      <c r="C1638" t="str">
        <f>_xlfn.XLOOKUP(Table6[[#This Row],[app_id]],Table5[app_id],Table5[app_name],"",0)</f>
        <v>BrightNow</v>
      </c>
      <c r="D1638" t="str">
        <f>_xlfn.XLOOKUP(Table6[[#This Row],[app_id]],Table5[app_id],Table5[category],"",0)</f>
        <v>Education</v>
      </c>
      <c r="E1638" t="s">
        <v>537</v>
      </c>
      <c r="F1638" t="s">
        <v>538</v>
      </c>
      <c r="G1638" t="s">
        <v>26</v>
      </c>
      <c r="H1638" t="s">
        <v>535</v>
      </c>
      <c r="I1638">
        <v>9</v>
      </c>
      <c r="J1638">
        <v>20.7</v>
      </c>
      <c r="K1638" t="s">
        <v>258</v>
      </c>
      <c r="L1638" t="s">
        <v>258</v>
      </c>
      <c r="M1638" t="s">
        <v>258</v>
      </c>
      <c r="N1638" s="5">
        <v>0</v>
      </c>
    </row>
    <row r="1639" spans="1:14" x14ac:dyDescent="0.25">
      <c r="A1639" t="s">
        <v>2180</v>
      </c>
      <c r="B1639" t="s">
        <v>114</v>
      </c>
      <c r="C1639" t="str">
        <f>_xlfn.XLOOKUP(Table6[[#This Row],[app_id]],Table5[app_id],Table5[app_name],"",0)</f>
        <v>StudyCloud</v>
      </c>
      <c r="D1639" t="str">
        <f>_xlfn.XLOOKUP(Table6[[#This Row],[app_id]],Table5[app_id],Table5[category],"",0)</f>
        <v>Education</v>
      </c>
      <c r="E1639" t="s">
        <v>533</v>
      </c>
      <c r="F1639" t="s">
        <v>534</v>
      </c>
      <c r="G1639" t="s">
        <v>30</v>
      </c>
      <c r="H1639" t="s">
        <v>535</v>
      </c>
      <c r="I1639">
        <v>8</v>
      </c>
      <c r="J1639">
        <v>9.4</v>
      </c>
      <c r="K1639" t="s">
        <v>258</v>
      </c>
      <c r="L1639" t="s">
        <v>258</v>
      </c>
      <c r="M1639" t="s">
        <v>258</v>
      </c>
      <c r="N1639" s="5">
        <v>16.309999999999999</v>
      </c>
    </row>
    <row r="1640" spans="1:14" x14ac:dyDescent="0.25">
      <c r="A1640" t="s">
        <v>2181</v>
      </c>
      <c r="B1640" t="s">
        <v>116</v>
      </c>
      <c r="C1640" t="str">
        <f>_xlfn.XLOOKUP(Table6[[#This Row],[app_id]],Table5[app_id],Table5[app_name],"",0)</f>
        <v>SkillNow</v>
      </c>
      <c r="D1640" t="str">
        <f>_xlfn.XLOOKUP(Table6[[#This Row],[app_id]],Table5[app_id],Table5[category],"",0)</f>
        <v>Education</v>
      </c>
      <c r="E1640" t="s">
        <v>557</v>
      </c>
      <c r="F1640" t="s">
        <v>548</v>
      </c>
      <c r="G1640" t="s">
        <v>69</v>
      </c>
      <c r="H1640" t="s">
        <v>535</v>
      </c>
      <c r="I1640">
        <v>21</v>
      </c>
      <c r="J1640">
        <v>13.2</v>
      </c>
      <c r="K1640" t="s">
        <v>258</v>
      </c>
      <c r="L1640" t="s">
        <v>257</v>
      </c>
      <c r="M1640" t="s">
        <v>257</v>
      </c>
      <c r="N1640" s="5">
        <v>0</v>
      </c>
    </row>
    <row r="1641" spans="1:14" x14ac:dyDescent="0.25">
      <c r="A1641" t="s">
        <v>2182</v>
      </c>
      <c r="B1641" t="s">
        <v>118</v>
      </c>
      <c r="C1641" t="str">
        <f>_xlfn.XLOOKUP(Table6[[#This Row],[app_id]],Table5[app_id],Table5[app_name],"",0)</f>
        <v>LearnMate</v>
      </c>
      <c r="D1641" t="str">
        <f>_xlfn.XLOOKUP(Table6[[#This Row],[app_id]],Table5[app_id],Table5[category],"",0)</f>
        <v>Education</v>
      </c>
      <c r="E1641" t="s">
        <v>537</v>
      </c>
      <c r="F1641" t="s">
        <v>534</v>
      </c>
      <c r="G1641" t="s">
        <v>61</v>
      </c>
      <c r="H1641" t="s">
        <v>535</v>
      </c>
      <c r="I1641">
        <v>5</v>
      </c>
      <c r="J1641">
        <v>9.3000000000000007</v>
      </c>
      <c r="K1641" t="s">
        <v>258</v>
      </c>
      <c r="L1641" t="s">
        <v>258</v>
      </c>
      <c r="M1641" t="s">
        <v>257</v>
      </c>
      <c r="N1641" s="5">
        <v>0</v>
      </c>
    </row>
    <row r="1642" spans="1:14" x14ac:dyDescent="0.25">
      <c r="A1642" t="s">
        <v>2183</v>
      </c>
      <c r="B1642" t="s">
        <v>120</v>
      </c>
      <c r="C1642" t="str">
        <f>_xlfn.XLOOKUP(Table6[[#This Row],[app_id]],Table5[app_id],Table5[app_name],"",0)</f>
        <v>QuestNow</v>
      </c>
      <c r="D1642" t="str">
        <f>_xlfn.XLOOKUP(Table6[[#This Row],[app_id]],Table5[app_id],Table5[category],"",0)</f>
        <v>Education</v>
      </c>
      <c r="E1642" t="s">
        <v>546</v>
      </c>
      <c r="F1642" t="s">
        <v>534</v>
      </c>
      <c r="G1642" t="s">
        <v>35</v>
      </c>
      <c r="H1642" t="s">
        <v>535</v>
      </c>
      <c r="I1642">
        <v>5</v>
      </c>
      <c r="J1642">
        <v>30</v>
      </c>
      <c r="K1642" t="s">
        <v>258</v>
      </c>
      <c r="L1642" t="s">
        <v>258</v>
      </c>
      <c r="M1642" t="s">
        <v>257</v>
      </c>
      <c r="N1642" s="5">
        <v>45.48</v>
      </c>
    </row>
    <row r="1643" spans="1:14" x14ac:dyDescent="0.25">
      <c r="A1643" t="s">
        <v>2184</v>
      </c>
      <c r="B1643" t="s">
        <v>122</v>
      </c>
      <c r="C1643" t="str">
        <f>_xlfn.XLOOKUP(Table6[[#This Row],[app_id]],Table5[app_id],Table5[app_name],"",0)</f>
        <v>SkillHub</v>
      </c>
      <c r="D1643" t="str">
        <f>_xlfn.XLOOKUP(Table6[[#This Row],[app_id]],Table5[app_id],Table5[category],"",0)</f>
        <v>Education</v>
      </c>
      <c r="E1643" t="s">
        <v>546</v>
      </c>
      <c r="F1643" t="s">
        <v>534</v>
      </c>
      <c r="G1643" t="s">
        <v>30</v>
      </c>
      <c r="H1643" t="s">
        <v>535</v>
      </c>
      <c r="I1643">
        <v>14</v>
      </c>
      <c r="J1643">
        <v>35.799999999999997</v>
      </c>
      <c r="K1643" t="s">
        <v>258</v>
      </c>
      <c r="L1643" t="s">
        <v>258</v>
      </c>
      <c r="M1643" t="s">
        <v>257</v>
      </c>
      <c r="N1643" s="5">
        <v>0</v>
      </c>
    </row>
    <row r="1644" spans="1:14" x14ac:dyDescent="0.25">
      <c r="A1644" t="s">
        <v>2185</v>
      </c>
      <c r="B1644" t="s">
        <v>124</v>
      </c>
      <c r="C1644" t="str">
        <f>_xlfn.XLOOKUP(Table6[[#This Row],[app_id]],Table5[app_id],Table5[app_name],"",0)</f>
        <v>TutorCloud</v>
      </c>
      <c r="D1644" t="str">
        <f>_xlfn.XLOOKUP(Table6[[#This Row],[app_id]],Table5[app_id],Table5[category],"",0)</f>
        <v>Education</v>
      </c>
      <c r="E1644" t="s">
        <v>537</v>
      </c>
      <c r="F1644" t="s">
        <v>548</v>
      </c>
      <c r="G1644" t="s">
        <v>46</v>
      </c>
      <c r="H1644" t="s">
        <v>535</v>
      </c>
      <c r="I1644">
        <v>7</v>
      </c>
      <c r="J1644">
        <v>38</v>
      </c>
      <c r="K1644" t="s">
        <v>258</v>
      </c>
      <c r="L1644" t="s">
        <v>258</v>
      </c>
      <c r="M1644" t="s">
        <v>257</v>
      </c>
      <c r="N1644" s="5">
        <v>31.43</v>
      </c>
    </row>
    <row r="1645" spans="1:14" x14ac:dyDescent="0.25">
      <c r="A1645" t="s">
        <v>2186</v>
      </c>
      <c r="B1645" t="s">
        <v>126</v>
      </c>
      <c r="C1645" t="str">
        <f>_xlfn.XLOOKUP(Table6[[#This Row],[app_id]],Table5[app_id],Table5[app_name],"",0)</f>
        <v>SkillOne</v>
      </c>
      <c r="D1645" t="str">
        <f>_xlfn.XLOOKUP(Table6[[#This Row],[app_id]],Table5[app_id],Table5[category],"",0)</f>
        <v>Education</v>
      </c>
      <c r="E1645" t="s">
        <v>533</v>
      </c>
      <c r="F1645" t="s">
        <v>534</v>
      </c>
      <c r="G1645" t="s">
        <v>23</v>
      </c>
      <c r="H1645" t="s">
        <v>540</v>
      </c>
      <c r="I1645">
        <v>18</v>
      </c>
      <c r="J1645">
        <v>36.6</v>
      </c>
      <c r="K1645" t="s">
        <v>258</v>
      </c>
      <c r="L1645" t="s">
        <v>258</v>
      </c>
      <c r="M1645" t="s">
        <v>257</v>
      </c>
      <c r="N1645" s="5">
        <v>0</v>
      </c>
    </row>
    <row r="1646" spans="1:14" x14ac:dyDescent="0.25">
      <c r="A1646" t="s">
        <v>2187</v>
      </c>
      <c r="B1646" t="s">
        <v>128</v>
      </c>
      <c r="C1646" t="str">
        <f>_xlfn.XLOOKUP(Table6[[#This Row],[app_id]],Table5[app_id],Table5[app_name],"",0)</f>
        <v>LearnOne</v>
      </c>
      <c r="D1646" t="str">
        <f>_xlfn.XLOOKUP(Table6[[#This Row],[app_id]],Table5[app_id],Table5[category],"",0)</f>
        <v>Education</v>
      </c>
      <c r="E1646" t="s">
        <v>546</v>
      </c>
      <c r="F1646" t="s">
        <v>534</v>
      </c>
      <c r="G1646" t="s">
        <v>18</v>
      </c>
      <c r="H1646" t="s">
        <v>535</v>
      </c>
      <c r="I1646">
        <v>23</v>
      </c>
      <c r="J1646">
        <v>20.9</v>
      </c>
      <c r="K1646" t="s">
        <v>257</v>
      </c>
      <c r="L1646" t="s">
        <v>258</v>
      </c>
      <c r="M1646" t="s">
        <v>257</v>
      </c>
      <c r="N1646" s="5">
        <v>0</v>
      </c>
    </row>
    <row r="1647" spans="1:14" x14ac:dyDescent="0.25">
      <c r="A1647" t="s">
        <v>2188</v>
      </c>
      <c r="B1647" t="s">
        <v>130</v>
      </c>
      <c r="C1647" t="str">
        <f>_xlfn.XLOOKUP(Table6[[#This Row],[app_id]],Table5[app_id],Table5[app_name],"",0)</f>
        <v>LearnPlus</v>
      </c>
      <c r="D1647" t="str">
        <f>_xlfn.XLOOKUP(Table6[[#This Row],[app_id]],Table5[app_id],Table5[category],"",0)</f>
        <v>Education</v>
      </c>
      <c r="E1647" t="s">
        <v>533</v>
      </c>
      <c r="F1647" t="s">
        <v>534</v>
      </c>
      <c r="G1647" t="s">
        <v>69</v>
      </c>
      <c r="H1647" t="s">
        <v>535</v>
      </c>
      <c r="I1647">
        <v>28</v>
      </c>
      <c r="J1647">
        <v>39.200000000000003</v>
      </c>
      <c r="K1647" t="s">
        <v>258</v>
      </c>
      <c r="L1647" t="s">
        <v>257</v>
      </c>
      <c r="M1647" t="s">
        <v>258</v>
      </c>
      <c r="N1647" s="5">
        <v>7.79</v>
      </c>
    </row>
    <row r="1648" spans="1:14" x14ac:dyDescent="0.25">
      <c r="A1648" t="s">
        <v>2189</v>
      </c>
      <c r="B1648" t="s">
        <v>132</v>
      </c>
      <c r="C1648" t="str">
        <f>_xlfn.XLOOKUP(Table6[[#This Row],[app_id]],Table5[app_id],Table5[app_name],"",0)</f>
        <v>StudyPlus</v>
      </c>
      <c r="D1648" t="str">
        <f>_xlfn.XLOOKUP(Table6[[#This Row],[app_id]],Table5[app_id],Table5[category],"",0)</f>
        <v>Education</v>
      </c>
      <c r="E1648" t="s">
        <v>557</v>
      </c>
      <c r="F1648" t="s">
        <v>538</v>
      </c>
      <c r="G1648" t="s">
        <v>23</v>
      </c>
      <c r="H1648" t="s">
        <v>535</v>
      </c>
      <c r="I1648">
        <v>37</v>
      </c>
      <c r="J1648">
        <v>17.2</v>
      </c>
      <c r="K1648" t="s">
        <v>257</v>
      </c>
      <c r="L1648" t="s">
        <v>257</v>
      </c>
      <c r="M1648" t="s">
        <v>258</v>
      </c>
      <c r="N1648" s="5">
        <v>0</v>
      </c>
    </row>
    <row r="1649" spans="1:14" x14ac:dyDescent="0.25">
      <c r="A1649" t="s">
        <v>2190</v>
      </c>
      <c r="B1649" t="s">
        <v>134</v>
      </c>
      <c r="C1649" t="str">
        <f>_xlfn.XLOOKUP(Table6[[#This Row],[app_id]],Table5[app_id],Table5[app_name],"",0)</f>
        <v>StudyX</v>
      </c>
      <c r="D1649" t="str">
        <f>_xlfn.XLOOKUP(Table6[[#This Row],[app_id]],Table5[app_id],Table5[category],"",0)</f>
        <v>Education</v>
      </c>
      <c r="E1649" t="s">
        <v>546</v>
      </c>
      <c r="F1649" t="s">
        <v>534</v>
      </c>
      <c r="G1649" t="s">
        <v>23</v>
      </c>
      <c r="H1649" t="s">
        <v>535</v>
      </c>
      <c r="I1649">
        <v>12</v>
      </c>
      <c r="J1649">
        <v>39.1</v>
      </c>
      <c r="K1649" t="s">
        <v>258</v>
      </c>
      <c r="L1649" t="s">
        <v>257</v>
      </c>
      <c r="M1649" t="s">
        <v>258</v>
      </c>
      <c r="N1649" s="5">
        <v>87.31</v>
      </c>
    </row>
    <row r="1650" spans="1:14" x14ac:dyDescent="0.25">
      <c r="A1650" t="s">
        <v>2191</v>
      </c>
      <c r="B1650" t="s">
        <v>136</v>
      </c>
      <c r="C1650" t="str">
        <f>_xlfn.XLOOKUP(Table6[[#This Row],[app_id]],Table5[app_id],Table5[app_name],"",0)</f>
        <v>PlayPlus</v>
      </c>
      <c r="D1650" t="str">
        <f>_xlfn.XLOOKUP(Table6[[#This Row],[app_id]],Table5[app_id],Table5[category],"",0)</f>
        <v>Entertainment</v>
      </c>
      <c r="E1650" t="s">
        <v>557</v>
      </c>
      <c r="F1650" t="s">
        <v>534</v>
      </c>
      <c r="G1650" t="s">
        <v>18</v>
      </c>
      <c r="H1650" t="s">
        <v>535</v>
      </c>
      <c r="I1650">
        <v>62</v>
      </c>
      <c r="J1650">
        <v>11.2</v>
      </c>
      <c r="K1650" t="s">
        <v>257</v>
      </c>
      <c r="L1650" t="s">
        <v>258</v>
      </c>
      <c r="M1650" t="s">
        <v>258</v>
      </c>
      <c r="N1650" s="5">
        <v>0</v>
      </c>
    </row>
    <row r="1651" spans="1:14" x14ac:dyDescent="0.25">
      <c r="A1651" t="s">
        <v>2192</v>
      </c>
      <c r="B1651" t="s">
        <v>139</v>
      </c>
      <c r="C1651" t="str">
        <f>_xlfn.XLOOKUP(Table6[[#This Row],[app_id]],Table5[app_id],Table5[app_name],"",0)</f>
        <v>ShowMate</v>
      </c>
      <c r="D1651" t="str">
        <f>_xlfn.XLOOKUP(Table6[[#This Row],[app_id]],Table5[app_id],Table5[category],"",0)</f>
        <v>Entertainment</v>
      </c>
      <c r="E1651" t="s">
        <v>533</v>
      </c>
      <c r="F1651" t="s">
        <v>538</v>
      </c>
      <c r="G1651" t="s">
        <v>18</v>
      </c>
      <c r="H1651" t="s">
        <v>535</v>
      </c>
      <c r="I1651">
        <v>25</v>
      </c>
      <c r="J1651">
        <v>28</v>
      </c>
      <c r="K1651" t="s">
        <v>258</v>
      </c>
      <c r="L1651" t="s">
        <v>258</v>
      </c>
      <c r="M1651" t="s">
        <v>257</v>
      </c>
      <c r="N1651" s="5">
        <v>0</v>
      </c>
    </row>
    <row r="1652" spans="1:14" x14ac:dyDescent="0.25">
      <c r="A1652" t="s">
        <v>2193</v>
      </c>
      <c r="B1652" t="s">
        <v>141</v>
      </c>
      <c r="C1652" t="str">
        <f>_xlfn.XLOOKUP(Table6[[#This Row],[app_id]],Table5[app_id],Table5[app_name],"",0)</f>
        <v>VibeX</v>
      </c>
      <c r="D1652" t="str">
        <f>_xlfn.XLOOKUP(Table6[[#This Row],[app_id]],Table5[app_id],Table5[category],"",0)</f>
        <v>Entertainment</v>
      </c>
      <c r="E1652" t="s">
        <v>533</v>
      </c>
      <c r="F1652" t="s">
        <v>538</v>
      </c>
      <c r="G1652" t="s">
        <v>18</v>
      </c>
      <c r="H1652" t="s">
        <v>535</v>
      </c>
      <c r="I1652">
        <v>27</v>
      </c>
      <c r="J1652">
        <v>17.2</v>
      </c>
      <c r="K1652" t="s">
        <v>258</v>
      </c>
      <c r="L1652" t="s">
        <v>258</v>
      </c>
      <c r="M1652" t="s">
        <v>258</v>
      </c>
      <c r="N1652" s="5">
        <v>59.11</v>
      </c>
    </row>
    <row r="1653" spans="1:14" x14ac:dyDescent="0.25">
      <c r="A1653" t="s">
        <v>2194</v>
      </c>
      <c r="B1653" t="s">
        <v>143</v>
      </c>
      <c r="C1653" t="str">
        <f>_xlfn.XLOOKUP(Table6[[#This Row],[app_id]],Table5[app_id],Table5[app_name],"",0)</f>
        <v>BuzzNow</v>
      </c>
      <c r="D1653" t="str">
        <f>_xlfn.XLOOKUP(Table6[[#This Row],[app_id]],Table5[app_id],Table5[category],"",0)</f>
        <v>Entertainment</v>
      </c>
      <c r="E1653" t="s">
        <v>546</v>
      </c>
      <c r="F1653" t="s">
        <v>534</v>
      </c>
      <c r="G1653" t="s">
        <v>30</v>
      </c>
      <c r="H1653" t="s">
        <v>540</v>
      </c>
      <c r="I1653">
        <v>18</v>
      </c>
      <c r="J1653">
        <v>17.7</v>
      </c>
      <c r="K1653" t="s">
        <v>258</v>
      </c>
      <c r="L1653" t="s">
        <v>258</v>
      </c>
      <c r="M1653" t="s">
        <v>258</v>
      </c>
      <c r="N1653" s="5">
        <v>46.3</v>
      </c>
    </row>
    <row r="1654" spans="1:14" x14ac:dyDescent="0.25">
      <c r="A1654" t="s">
        <v>2195</v>
      </c>
      <c r="B1654" t="s">
        <v>145</v>
      </c>
      <c r="C1654" t="str">
        <f>_xlfn.XLOOKUP(Table6[[#This Row],[app_id]],Table5[app_id],Table5[app_name],"",0)</f>
        <v>StreamPlus</v>
      </c>
      <c r="D1654" t="str">
        <f>_xlfn.XLOOKUP(Table6[[#This Row],[app_id]],Table5[app_id],Table5[category],"",0)</f>
        <v>Entertainment</v>
      </c>
      <c r="E1654" t="s">
        <v>546</v>
      </c>
      <c r="F1654" t="s">
        <v>628</v>
      </c>
      <c r="G1654" t="s">
        <v>46</v>
      </c>
      <c r="H1654" t="s">
        <v>540</v>
      </c>
      <c r="I1654">
        <v>8</v>
      </c>
      <c r="J1654">
        <v>16.7</v>
      </c>
      <c r="K1654" t="s">
        <v>258</v>
      </c>
      <c r="L1654" t="s">
        <v>257</v>
      </c>
      <c r="M1654" t="s">
        <v>258</v>
      </c>
      <c r="N1654" s="5">
        <v>0</v>
      </c>
    </row>
    <row r="1655" spans="1:14" x14ac:dyDescent="0.25">
      <c r="A1655" t="s">
        <v>2196</v>
      </c>
      <c r="B1655" t="s">
        <v>147</v>
      </c>
      <c r="C1655" t="str">
        <f>_xlfn.XLOOKUP(Table6[[#This Row],[app_id]],Table5[app_id],Table5[app_name],"",0)</f>
        <v>Showly</v>
      </c>
      <c r="D1655" t="str">
        <f>_xlfn.XLOOKUP(Table6[[#This Row],[app_id]],Table5[app_id],Table5[category],"",0)</f>
        <v>Entertainment</v>
      </c>
      <c r="E1655" t="s">
        <v>533</v>
      </c>
      <c r="F1655" t="s">
        <v>538</v>
      </c>
      <c r="G1655" t="s">
        <v>61</v>
      </c>
      <c r="H1655" t="s">
        <v>535</v>
      </c>
      <c r="I1655">
        <v>17</v>
      </c>
      <c r="J1655">
        <v>9.1</v>
      </c>
      <c r="K1655" t="s">
        <v>258</v>
      </c>
      <c r="L1655" t="s">
        <v>257</v>
      </c>
      <c r="M1655" t="s">
        <v>258</v>
      </c>
      <c r="N1655" s="5">
        <v>0</v>
      </c>
    </row>
    <row r="1656" spans="1:14" x14ac:dyDescent="0.25">
      <c r="A1656" t="s">
        <v>2197</v>
      </c>
      <c r="B1656" t="s">
        <v>149</v>
      </c>
      <c r="C1656" t="str">
        <f>_xlfn.XLOOKUP(Table6[[#This Row],[app_id]],Table5[app_id],Table5[app_name],"",0)</f>
        <v>BuzzOne</v>
      </c>
      <c r="D1656" t="str">
        <f>_xlfn.XLOOKUP(Table6[[#This Row],[app_id]],Table5[app_id],Table5[category],"",0)</f>
        <v>Entertainment</v>
      </c>
      <c r="E1656" t="s">
        <v>546</v>
      </c>
      <c r="F1656" t="s">
        <v>628</v>
      </c>
      <c r="G1656" t="s">
        <v>35</v>
      </c>
      <c r="H1656" t="s">
        <v>535</v>
      </c>
      <c r="I1656">
        <v>77</v>
      </c>
      <c r="J1656">
        <v>36</v>
      </c>
      <c r="K1656" t="s">
        <v>257</v>
      </c>
      <c r="L1656" t="s">
        <v>257</v>
      </c>
      <c r="M1656" t="s">
        <v>258</v>
      </c>
      <c r="N1656" s="5">
        <v>0</v>
      </c>
    </row>
    <row r="1657" spans="1:14" x14ac:dyDescent="0.25">
      <c r="A1657" t="s">
        <v>2198</v>
      </c>
      <c r="B1657" t="s">
        <v>151</v>
      </c>
      <c r="C1657" t="str">
        <f>_xlfn.XLOOKUP(Table6[[#This Row],[app_id]],Table5[app_id],Table5[app_name],"",0)</f>
        <v>PlayHub</v>
      </c>
      <c r="D1657" t="str">
        <f>_xlfn.XLOOKUP(Table6[[#This Row],[app_id]],Table5[app_id],Table5[category],"",0)</f>
        <v>Entertainment</v>
      </c>
      <c r="E1657" t="s">
        <v>537</v>
      </c>
      <c r="F1657" t="s">
        <v>534</v>
      </c>
      <c r="G1657" t="s">
        <v>61</v>
      </c>
      <c r="H1657" t="s">
        <v>535</v>
      </c>
      <c r="I1657">
        <v>24</v>
      </c>
      <c r="J1657">
        <v>30.6</v>
      </c>
      <c r="K1657" t="s">
        <v>258</v>
      </c>
      <c r="L1657" t="s">
        <v>258</v>
      </c>
      <c r="M1657" t="s">
        <v>258</v>
      </c>
      <c r="N1657" s="5">
        <v>0</v>
      </c>
    </row>
    <row r="1658" spans="1:14" x14ac:dyDescent="0.25">
      <c r="A1658" t="s">
        <v>2199</v>
      </c>
      <c r="B1658" t="s">
        <v>153</v>
      </c>
      <c r="C1658" t="str">
        <f>_xlfn.XLOOKUP(Table6[[#This Row],[app_id]],Table5[app_id],Table5[app_name],"",0)</f>
        <v>CinemaGo</v>
      </c>
      <c r="D1658" t="str">
        <f>_xlfn.XLOOKUP(Table6[[#This Row],[app_id]],Table5[app_id],Table5[category],"",0)</f>
        <v>Entertainment</v>
      </c>
      <c r="E1658" t="s">
        <v>546</v>
      </c>
      <c r="F1658" t="s">
        <v>628</v>
      </c>
      <c r="G1658" t="s">
        <v>35</v>
      </c>
      <c r="H1658" t="s">
        <v>535</v>
      </c>
      <c r="I1658">
        <v>16</v>
      </c>
      <c r="J1658">
        <v>13</v>
      </c>
      <c r="K1658" t="s">
        <v>258</v>
      </c>
      <c r="L1658" t="s">
        <v>257</v>
      </c>
      <c r="M1658" t="s">
        <v>258</v>
      </c>
      <c r="N1658" s="5">
        <v>0</v>
      </c>
    </row>
    <row r="1659" spans="1:14" x14ac:dyDescent="0.25">
      <c r="A1659" t="s">
        <v>2200</v>
      </c>
      <c r="B1659" t="s">
        <v>155</v>
      </c>
      <c r="C1659" t="str">
        <f>_xlfn.XLOOKUP(Table6[[#This Row],[app_id]],Table5[app_id],Table5[app_name],"",0)</f>
        <v>LaughX</v>
      </c>
      <c r="D1659" t="str">
        <f>_xlfn.XLOOKUP(Table6[[#This Row],[app_id]],Table5[app_id],Table5[category],"",0)</f>
        <v>Entertainment</v>
      </c>
      <c r="E1659" t="s">
        <v>546</v>
      </c>
      <c r="F1659" t="s">
        <v>534</v>
      </c>
      <c r="G1659" t="s">
        <v>18</v>
      </c>
      <c r="H1659" t="s">
        <v>535</v>
      </c>
      <c r="I1659">
        <v>12</v>
      </c>
      <c r="J1659">
        <v>28.9</v>
      </c>
      <c r="K1659" t="s">
        <v>258</v>
      </c>
      <c r="L1659" t="s">
        <v>258</v>
      </c>
      <c r="M1659" t="s">
        <v>257</v>
      </c>
      <c r="N1659" s="5">
        <v>0</v>
      </c>
    </row>
    <row r="1660" spans="1:14" x14ac:dyDescent="0.25">
      <c r="A1660" t="s">
        <v>2201</v>
      </c>
      <c r="B1660" t="s">
        <v>157</v>
      </c>
      <c r="C1660" t="str">
        <f>_xlfn.XLOOKUP(Table6[[#This Row],[app_id]],Table5[app_id],Table5[app_name],"",0)</f>
        <v>CinemaHub</v>
      </c>
      <c r="D1660" t="str">
        <f>_xlfn.XLOOKUP(Table6[[#This Row],[app_id]],Table5[app_id],Table5[category],"",0)</f>
        <v>Entertainment</v>
      </c>
      <c r="E1660" t="s">
        <v>537</v>
      </c>
      <c r="F1660" t="s">
        <v>534</v>
      </c>
      <c r="G1660" t="s">
        <v>23</v>
      </c>
      <c r="H1660" t="s">
        <v>535</v>
      </c>
      <c r="I1660">
        <v>2</v>
      </c>
      <c r="J1660">
        <v>35.700000000000003</v>
      </c>
      <c r="K1660" t="s">
        <v>258</v>
      </c>
      <c r="L1660" t="s">
        <v>258</v>
      </c>
      <c r="M1660" t="s">
        <v>258</v>
      </c>
      <c r="N1660" s="5">
        <v>0</v>
      </c>
    </row>
    <row r="1661" spans="1:14" x14ac:dyDescent="0.25">
      <c r="A1661" t="s">
        <v>2202</v>
      </c>
      <c r="B1661" t="s">
        <v>159</v>
      </c>
      <c r="C1661" t="str">
        <f>_xlfn.XLOOKUP(Table6[[#This Row],[app_id]],Table5[app_id],Table5[app_name],"",0)</f>
        <v>ShowPro</v>
      </c>
      <c r="D1661" t="str">
        <f>_xlfn.XLOOKUP(Table6[[#This Row],[app_id]],Table5[app_id],Table5[category],"",0)</f>
        <v>Entertainment</v>
      </c>
      <c r="E1661" t="s">
        <v>537</v>
      </c>
      <c r="F1661" t="s">
        <v>538</v>
      </c>
      <c r="G1661" t="s">
        <v>46</v>
      </c>
      <c r="H1661" t="s">
        <v>535</v>
      </c>
      <c r="I1661">
        <v>26</v>
      </c>
      <c r="J1661">
        <v>27.6</v>
      </c>
      <c r="K1661" t="s">
        <v>258</v>
      </c>
      <c r="L1661" t="s">
        <v>257</v>
      </c>
      <c r="M1661" t="s">
        <v>258</v>
      </c>
      <c r="N1661" s="5">
        <v>0</v>
      </c>
    </row>
    <row r="1662" spans="1:14" x14ac:dyDescent="0.25">
      <c r="A1662" t="s">
        <v>2203</v>
      </c>
      <c r="B1662" t="s">
        <v>161</v>
      </c>
      <c r="C1662" t="str">
        <f>_xlfn.XLOOKUP(Table6[[#This Row],[app_id]],Table5[app_id],Table5[app_name],"",0)</f>
        <v>FoodPlus</v>
      </c>
      <c r="D1662" t="str">
        <f>_xlfn.XLOOKUP(Table6[[#This Row],[app_id]],Table5[app_id],Table5[category],"",0)</f>
        <v>Food Delivery</v>
      </c>
      <c r="E1662" t="s">
        <v>537</v>
      </c>
      <c r="F1662" t="s">
        <v>534</v>
      </c>
      <c r="G1662" t="s">
        <v>69</v>
      </c>
      <c r="H1662" t="s">
        <v>535</v>
      </c>
      <c r="I1662">
        <v>11</v>
      </c>
      <c r="J1662">
        <v>15.6</v>
      </c>
      <c r="K1662" t="s">
        <v>258</v>
      </c>
      <c r="L1662" t="s">
        <v>258</v>
      </c>
      <c r="M1662" t="s">
        <v>258</v>
      </c>
      <c r="N1662" s="5">
        <v>0</v>
      </c>
    </row>
    <row r="1663" spans="1:14" x14ac:dyDescent="0.25">
      <c r="A1663" t="s">
        <v>2204</v>
      </c>
      <c r="B1663" t="s">
        <v>164</v>
      </c>
      <c r="C1663" t="str">
        <f>_xlfn.XLOOKUP(Table6[[#This Row],[app_id]],Table5[app_id],Table5[app_name],"",0)</f>
        <v>BiteGo</v>
      </c>
      <c r="D1663" t="str">
        <f>_xlfn.XLOOKUP(Table6[[#This Row],[app_id]],Table5[app_id],Table5[category],"",0)</f>
        <v>Food Delivery</v>
      </c>
      <c r="E1663" t="s">
        <v>557</v>
      </c>
      <c r="F1663" t="s">
        <v>538</v>
      </c>
      <c r="G1663" t="s">
        <v>61</v>
      </c>
      <c r="H1663" t="s">
        <v>535</v>
      </c>
      <c r="I1663">
        <v>27</v>
      </c>
      <c r="J1663">
        <v>12.4</v>
      </c>
      <c r="K1663" t="s">
        <v>258</v>
      </c>
      <c r="L1663" t="s">
        <v>257</v>
      </c>
      <c r="M1663" t="s">
        <v>258</v>
      </c>
      <c r="N1663" s="5">
        <v>18.82</v>
      </c>
    </row>
    <row r="1664" spans="1:14" x14ac:dyDescent="0.25">
      <c r="A1664" t="s">
        <v>2205</v>
      </c>
      <c r="B1664" t="s">
        <v>166</v>
      </c>
      <c r="C1664" t="str">
        <f>_xlfn.XLOOKUP(Table6[[#This Row],[app_id]],Table5[app_id],Table5[app_name],"",0)</f>
        <v>OrderCloud</v>
      </c>
      <c r="D1664" t="str">
        <f>_xlfn.XLOOKUP(Table6[[#This Row],[app_id]],Table5[app_id],Table5[category],"",0)</f>
        <v>Food Delivery</v>
      </c>
      <c r="E1664" t="s">
        <v>537</v>
      </c>
      <c r="F1664" t="s">
        <v>538</v>
      </c>
      <c r="G1664" t="s">
        <v>26</v>
      </c>
      <c r="H1664" t="s">
        <v>535</v>
      </c>
      <c r="I1664">
        <v>91</v>
      </c>
      <c r="J1664">
        <v>18.399999999999999</v>
      </c>
      <c r="K1664" t="s">
        <v>257</v>
      </c>
      <c r="L1664" t="s">
        <v>257</v>
      </c>
      <c r="M1664" t="s">
        <v>257</v>
      </c>
      <c r="N1664" s="5">
        <v>0</v>
      </c>
    </row>
    <row r="1665" spans="1:14" x14ac:dyDescent="0.25">
      <c r="A1665" t="s">
        <v>2206</v>
      </c>
      <c r="B1665" t="s">
        <v>168</v>
      </c>
      <c r="C1665" t="str">
        <f>_xlfn.XLOOKUP(Table6[[#This Row],[app_id]],Table5[app_id],Table5[app_name],"",0)</f>
        <v>DinePlus</v>
      </c>
      <c r="D1665" t="str">
        <f>_xlfn.XLOOKUP(Table6[[#This Row],[app_id]],Table5[app_id],Table5[category],"",0)</f>
        <v>Food Delivery</v>
      </c>
      <c r="E1665" t="s">
        <v>533</v>
      </c>
      <c r="F1665" t="s">
        <v>534</v>
      </c>
      <c r="G1665" t="s">
        <v>18</v>
      </c>
      <c r="H1665" t="s">
        <v>535</v>
      </c>
      <c r="I1665">
        <v>24</v>
      </c>
      <c r="J1665">
        <v>14.2</v>
      </c>
      <c r="K1665" t="s">
        <v>258</v>
      </c>
      <c r="L1665" t="s">
        <v>258</v>
      </c>
      <c r="M1665" t="s">
        <v>258</v>
      </c>
      <c r="N1665" s="5">
        <v>0</v>
      </c>
    </row>
    <row r="1666" spans="1:14" x14ac:dyDescent="0.25">
      <c r="A1666" t="s">
        <v>2207</v>
      </c>
      <c r="B1666" t="s">
        <v>170</v>
      </c>
      <c r="C1666" t="str">
        <f>_xlfn.XLOOKUP(Table6[[#This Row],[app_id]],Table5[app_id],Table5[app_name],"",0)</f>
        <v>SnackX</v>
      </c>
      <c r="D1666" t="str">
        <f>_xlfn.XLOOKUP(Table6[[#This Row],[app_id]],Table5[app_id],Table5[category],"",0)</f>
        <v>Food Delivery</v>
      </c>
      <c r="E1666" t="s">
        <v>537</v>
      </c>
      <c r="F1666" t="s">
        <v>534</v>
      </c>
      <c r="G1666" t="s">
        <v>61</v>
      </c>
      <c r="H1666" t="s">
        <v>535</v>
      </c>
      <c r="I1666">
        <v>9</v>
      </c>
      <c r="J1666">
        <v>3.7</v>
      </c>
      <c r="K1666" t="s">
        <v>258</v>
      </c>
      <c r="L1666" t="s">
        <v>257</v>
      </c>
      <c r="M1666" t="s">
        <v>258</v>
      </c>
      <c r="N1666" s="5">
        <v>65.319999999999993</v>
      </c>
    </row>
    <row r="1667" spans="1:14" x14ac:dyDescent="0.25">
      <c r="A1667" t="s">
        <v>2208</v>
      </c>
      <c r="B1667" t="s">
        <v>172</v>
      </c>
      <c r="C1667" t="str">
        <f>_xlfn.XLOOKUP(Table6[[#This Row],[app_id]],Table5[app_id],Table5[app_name],"",0)</f>
        <v>FoodOne</v>
      </c>
      <c r="D1667" t="str">
        <f>_xlfn.XLOOKUP(Table6[[#This Row],[app_id]],Table5[app_id],Table5[category],"",0)</f>
        <v>Food Delivery</v>
      </c>
      <c r="E1667" t="s">
        <v>552</v>
      </c>
      <c r="F1667" t="s">
        <v>538</v>
      </c>
      <c r="G1667" t="s">
        <v>30</v>
      </c>
      <c r="H1667" t="s">
        <v>535</v>
      </c>
      <c r="I1667">
        <v>18</v>
      </c>
      <c r="J1667">
        <v>22.6</v>
      </c>
      <c r="K1667" t="s">
        <v>258</v>
      </c>
      <c r="L1667" t="s">
        <v>257</v>
      </c>
      <c r="M1667" t="s">
        <v>258</v>
      </c>
      <c r="N1667" s="5">
        <v>0</v>
      </c>
    </row>
    <row r="1668" spans="1:14" x14ac:dyDescent="0.25">
      <c r="A1668" t="s">
        <v>2209</v>
      </c>
      <c r="B1668" t="s">
        <v>174</v>
      </c>
      <c r="C1668" t="str">
        <f>_xlfn.XLOOKUP(Table6[[#This Row],[app_id]],Table5[app_id],Table5[app_name],"",0)</f>
        <v>MealMate</v>
      </c>
      <c r="D1668" t="str">
        <f>_xlfn.XLOOKUP(Table6[[#This Row],[app_id]],Table5[app_id],Table5[category],"",0)</f>
        <v>Food Delivery</v>
      </c>
      <c r="E1668" t="s">
        <v>546</v>
      </c>
      <c r="F1668" t="s">
        <v>548</v>
      </c>
      <c r="G1668" t="s">
        <v>61</v>
      </c>
      <c r="H1668" t="s">
        <v>535</v>
      </c>
      <c r="I1668">
        <v>24</v>
      </c>
      <c r="J1668">
        <v>11.5</v>
      </c>
      <c r="K1668" t="s">
        <v>258</v>
      </c>
      <c r="L1668" t="s">
        <v>257</v>
      </c>
      <c r="M1668" t="s">
        <v>258</v>
      </c>
      <c r="N1668" s="5">
        <v>13</v>
      </c>
    </row>
    <row r="1669" spans="1:14" x14ac:dyDescent="0.25">
      <c r="A1669" t="s">
        <v>2210</v>
      </c>
      <c r="B1669" t="s">
        <v>176</v>
      </c>
      <c r="C1669" t="str">
        <f>_xlfn.XLOOKUP(Table6[[#This Row],[app_id]],Table5[app_id],Table5[app_name],"",0)</f>
        <v>SnackHub</v>
      </c>
      <c r="D1669" t="str">
        <f>_xlfn.XLOOKUP(Table6[[#This Row],[app_id]],Table5[app_id],Table5[category],"",0)</f>
        <v>Food Delivery</v>
      </c>
      <c r="E1669" t="s">
        <v>557</v>
      </c>
      <c r="F1669" t="s">
        <v>534</v>
      </c>
      <c r="G1669" t="s">
        <v>69</v>
      </c>
      <c r="H1669" t="s">
        <v>535</v>
      </c>
      <c r="I1669">
        <v>18</v>
      </c>
      <c r="J1669">
        <v>8.1999999999999993</v>
      </c>
      <c r="K1669" t="s">
        <v>258</v>
      </c>
      <c r="L1669" t="s">
        <v>258</v>
      </c>
      <c r="M1669" t="s">
        <v>257</v>
      </c>
      <c r="N1669" s="5">
        <v>0</v>
      </c>
    </row>
    <row r="1670" spans="1:14" x14ac:dyDescent="0.25">
      <c r="A1670" t="s">
        <v>2211</v>
      </c>
      <c r="B1670" t="s">
        <v>178</v>
      </c>
      <c r="C1670" t="str">
        <f>_xlfn.XLOOKUP(Table6[[#This Row],[app_id]],Table5[app_id],Table5[app_name],"",0)</f>
        <v>BiteCloud</v>
      </c>
      <c r="D1670" t="str">
        <f>_xlfn.XLOOKUP(Table6[[#This Row],[app_id]],Table5[app_id],Table5[category],"",0)</f>
        <v>Food Delivery</v>
      </c>
      <c r="E1670" t="s">
        <v>557</v>
      </c>
      <c r="F1670" t="s">
        <v>538</v>
      </c>
      <c r="G1670" t="s">
        <v>46</v>
      </c>
      <c r="H1670" t="s">
        <v>535</v>
      </c>
      <c r="I1670">
        <v>23</v>
      </c>
      <c r="J1670">
        <v>12.7</v>
      </c>
      <c r="K1670" t="s">
        <v>258</v>
      </c>
      <c r="L1670" t="s">
        <v>257</v>
      </c>
      <c r="M1670" t="s">
        <v>258</v>
      </c>
      <c r="N1670" s="5">
        <v>92.79</v>
      </c>
    </row>
    <row r="1671" spans="1:14" x14ac:dyDescent="0.25">
      <c r="A1671" t="s">
        <v>2212</v>
      </c>
      <c r="B1671" t="s">
        <v>180</v>
      </c>
      <c r="C1671" t="str">
        <f>_xlfn.XLOOKUP(Table6[[#This Row],[app_id]],Table5[app_id],Table5[app_name],"",0)</f>
        <v>PlatePlus</v>
      </c>
      <c r="D1671" t="str">
        <f>_xlfn.XLOOKUP(Table6[[#This Row],[app_id]],Table5[app_id],Table5[category],"",0)</f>
        <v>Food Delivery</v>
      </c>
      <c r="E1671" t="s">
        <v>533</v>
      </c>
      <c r="F1671" t="s">
        <v>538</v>
      </c>
      <c r="G1671" t="s">
        <v>46</v>
      </c>
      <c r="H1671" t="s">
        <v>535</v>
      </c>
      <c r="I1671">
        <v>26</v>
      </c>
      <c r="J1671">
        <v>9.9</v>
      </c>
      <c r="K1671" t="s">
        <v>258</v>
      </c>
      <c r="L1671" t="s">
        <v>257</v>
      </c>
      <c r="M1671" t="s">
        <v>258</v>
      </c>
      <c r="N1671" s="5">
        <v>0</v>
      </c>
    </row>
    <row r="1672" spans="1:14" x14ac:dyDescent="0.25">
      <c r="A1672" t="s">
        <v>2213</v>
      </c>
      <c r="B1672" t="s">
        <v>182</v>
      </c>
      <c r="C1672" t="str">
        <f>_xlfn.XLOOKUP(Table6[[#This Row],[app_id]],Table5[app_id],Table5[app_name],"",0)</f>
        <v>VoyageGo</v>
      </c>
      <c r="D1672" t="str">
        <f>_xlfn.XLOOKUP(Table6[[#This Row],[app_id]],Table5[app_id],Table5[category],"",0)</f>
        <v>Travel</v>
      </c>
      <c r="E1672" t="s">
        <v>533</v>
      </c>
      <c r="F1672" t="s">
        <v>534</v>
      </c>
      <c r="G1672" t="s">
        <v>23</v>
      </c>
      <c r="H1672" t="s">
        <v>540</v>
      </c>
      <c r="I1672">
        <v>90</v>
      </c>
      <c r="J1672">
        <v>21.9</v>
      </c>
      <c r="K1672" t="s">
        <v>257</v>
      </c>
      <c r="L1672" t="s">
        <v>258</v>
      </c>
      <c r="M1672" t="s">
        <v>258</v>
      </c>
      <c r="N1672" s="5">
        <v>0</v>
      </c>
    </row>
    <row r="1673" spans="1:14" x14ac:dyDescent="0.25">
      <c r="A1673" t="s">
        <v>2214</v>
      </c>
      <c r="B1673" t="s">
        <v>185</v>
      </c>
      <c r="C1673" t="str">
        <f>_xlfn.XLOOKUP(Table6[[#This Row],[app_id]],Table5[app_id],Table5[app_name],"",0)</f>
        <v>TripOne</v>
      </c>
      <c r="D1673" t="str">
        <f>_xlfn.XLOOKUP(Table6[[#This Row],[app_id]],Table5[app_id],Table5[category],"",0)</f>
        <v>Travel</v>
      </c>
      <c r="E1673" t="s">
        <v>533</v>
      </c>
      <c r="F1673" t="s">
        <v>534</v>
      </c>
      <c r="G1673" t="s">
        <v>35</v>
      </c>
      <c r="H1673" t="s">
        <v>535</v>
      </c>
      <c r="I1673">
        <v>54</v>
      </c>
      <c r="J1673">
        <v>5.0999999999999996</v>
      </c>
      <c r="K1673" t="s">
        <v>257</v>
      </c>
      <c r="L1673" t="s">
        <v>258</v>
      </c>
      <c r="M1673" t="s">
        <v>257</v>
      </c>
      <c r="N1673" s="5">
        <v>0</v>
      </c>
    </row>
    <row r="1674" spans="1:14" x14ac:dyDescent="0.25">
      <c r="A1674" t="s">
        <v>2215</v>
      </c>
      <c r="B1674" t="s">
        <v>187</v>
      </c>
      <c r="C1674" t="str">
        <f>_xlfn.XLOOKUP(Table6[[#This Row],[app_id]],Table5[app_id],Table5[app_name],"",0)</f>
        <v>FlyGo</v>
      </c>
      <c r="D1674" t="str">
        <f>_xlfn.XLOOKUP(Table6[[#This Row],[app_id]],Table5[app_id],Table5[category],"",0)</f>
        <v>Travel</v>
      </c>
      <c r="E1674" t="s">
        <v>557</v>
      </c>
      <c r="F1674" t="s">
        <v>534</v>
      </c>
      <c r="G1674" t="s">
        <v>69</v>
      </c>
      <c r="H1674" t="s">
        <v>535</v>
      </c>
      <c r="I1674">
        <v>23</v>
      </c>
      <c r="J1674">
        <v>11</v>
      </c>
      <c r="K1674" t="s">
        <v>258</v>
      </c>
      <c r="L1674" t="s">
        <v>257</v>
      </c>
      <c r="M1674" t="s">
        <v>258</v>
      </c>
      <c r="N1674" s="5">
        <v>12.87</v>
      </c>
    </row>
    <row r="1675" spans="1:14" x14ac:dyDescent="0.25">
      <c r="A1675" t="s">
        <v>2216</v>
      </c>
      <c r="B1675" t="s">
        <v>189</v>
      </c>
      <c r="C1675" t="str">
        <f>_xlfn.XLOOKUP(Table6[[#This Row],[app_id]],Table5[app_id],Table5[app_name],"",0)</f>
        <v>MapX</v>
      </c>
      <c r="D1675" t="str">
        <f>_xlfn.XLOOKUP(Table6[[#This Row],[app_id]],Table5[app_id],Table5[category],"",0)</f>
        <v>Travel</v>
      </c>
      <c r="E1675" t="s">
        <v>557</v>
      </c>
      <c r="F1675" t="s">
        <v>534</v>
      </c>
      <c r="G1675" t="s">
        <v>26</v>
      </c>
      <c r="H1675" t="s">
        <v>535</v>
      </c>
      <c r="I1675">
        <v>71</v>
      </c>
      <c r="J1675">
        <v>7.2</v>
      </c>
      <c r="K1675" t="s">
        <v>257</v>
      </c>
      <c r="L1675" t="s">
        <v>257</v>
      </c>
      <c r="M1675" t="s">
        <v>258</v>
      </c>
      <c r="N1675" s="5">
        <v>0</v>
      </c>
    </row>
    <row r="1676" spans="1:14" x14ac:dyDescent="0.25">
      <c r="A1676" t="s">
        <v>2217</v>
      </c>
      <c r="B1676" t="s">
        <v>191</v>
      </c>
      <c r="C1676" t="str">
        <f>_xlfn.XLOOKUP(Table6[[#This Row],[app_id]],Table5[app_id],Table5[app_name],"",0)</f>
        <v>StayX</v>
      </c>
      <c r="D1676" t="str">
        <f>_xlfn.XLOOKUP(Table6[[#This Row],[app_id]],Table5[app_id],Table5[category],"",0)</f>
        <v>Travel</v>
      </c>
      <c r="E1676" t="s">
        <v>537</v>
      </c>
      <c r="F1676" t="s">
        <v>534</v>
      </c>
      <c r="G1676" t="s">
        <v>26</v>
      </c>
      <c r="H1676" t="s">
        <v>535</v>
      </c>
      <c r="I1676">
        <v>94</v>
      </c>
      <c r="J1676">
        <v>4.4000000000000004</v>
      </c>
      <c r="K1676" t="s">
        <v>257</v>
      </c>
      <c r="L1676" t="s">
        <v>257</v>
      </c>
      <c r="M1676" t="s">
        <v>258</v>
      </c>
      <c r="N1676" s="5">
        <v>0</v>
      </c>
    </row>
    <row r="1677" spans="1:14" x14ac:dyDescent="0.25">
      <c r="A1677" t="s">
        <v>2218</v>
      </c>
      <c r="B1677" t="s">
        <v>193</v>
      </c>
      <c r="C1677" t="str">
        <f>_xlfn.XLOOKUP(Table6[[#This Row],[app_id]],Table5[app_id],Table5[app_name],"",0)</f>
        <v>GoNow</v>
      </c>
      <c r="D1677" t="str">
        <f>_xlfn.XLOOKUP(Table6[[#This Row],[app_id]],Table5[app_id],Table5[category],"",0)</f>
        <v>Travel</v>
      </c>
      <c r="E1677" t="s">
        <v>557</v>
      </c>
      <c r="F1677" t="s">
        <v>534</v>
      </c>
      <c r="G1677" t="s">
        <v>18</v>
      </c>
      <c r="H1677" t="s">
        <v>535</v>
      </c>
      <c r="I1677">
        <v>3</v>
      </c>
      <c r="J1677">
        <v>19.5</v>
      </c>
      <c r="K1677" t="s">
        <v>258</v>
      </c>
      <c r="L1677" t="s">
        <v>257</v>
      </c>
      <c r="M1677" t="s">
        <v>258</v>
      </c>
      <c r="N1677" s="5">
        <v>0</v>
      </c>
    </row>
    <row r="1678" spans="1:14" x14ac:dyDescent="0.25">
      <c r="A1678" t="s">
        <v>2219</v>
      </c>
      <c r="B1678" t="s">
        <v>195</v>
      </c>
      <c r="C1678" t="str">
        <f>_xlfn.XLOOKUP(Table6[[#This Row],[app_id]],Table5[app_id],Table5[app_name],"",0)</f>
        <v>RouteGo</v>
      </c>
      <c r="D1678" t="str">
        <f>_xlfn.XLOOKUP(Table6[[#This Row],[app_id]],Table5[app_id],Table5[category],"",0)</f>
        <v>Travel</v>
      </c>
      <c r="E1678" t="s">
        <v>533</v>
      </c>
      <c r="F1678" t="s">
        <v>534</v>
      </c>
      <c r="G1678" t="s">
        <v>46</v>
      </c>
      <c r="H1678" t="s">
        <v>535</v>
      </c>
      <c r="I1678">
        <v>16</v>
      </c>
      <c r="J1678">
        <v>22.6</v>
      </c>
      <c r="K1678" t="s">
        <v>258</v>
      </c>
      <c r="L1678" t="s">
        <v>258</v>
      </c>
      <c r="M1678" t="s">
        <v>258</v>
      </c>
      <c r="N1678" s="5">
        <v>0</v>
      </c>
    </row>
    <row r="1679" spans="1:14" x14ac:dyDescent="0.25">
      <c r="A1679" t="s">
        <v>2220</v>
      </c>
      <c r="B1679" t="s">
        <v>197</v>
      </c>
      <c r="C1679" t="str">
        <f>_xlfn.XLOOKUP(Table6[[#This Row],[app_id]],Table5[app_id],Table5[app_name],"",0)</f>
        <v>TripGo</v>
      </c>
      <c r="D1679" t="str">
        <f>_xlfn.XLOOKUP(Table6[[#This Row],[app_id]],Table5[app_id],Table5[category],"",0)</f>
        <v>Travel</v>
      </c>
      <c r="E1679" t="s">
        <v>546</v>
      </c>
      <c r="F1679" t="s">
        <v>548</v>
      </c>
      <c r="G1679" t="s">
        <v>35</v>
      </c>
      <c r="H1679" t="s">
        <v>535</v>
      </c>
      <c r="I1679">
        <v>40</v>
      </c>
      <c r="J1679">
        <v>3.1</v>
      </c>
      <c r="K1679" t="s">
        <v>257</v>
      </c>
      <c r="L1679" t="s">
        <v>257</v>
      </c>
      <c r="M1679" t="s">
        <v>258</v>
      </c>
      <c r="N1679" s="5">
        <v>88.84</v>
      </c>
    </row>
    <row r="1680" spans="1:14" x14ac:dyDescent="0.25">
      <c r="A1680" t="s">
        <v>2221</v>
      </c>
      <c r="B1680" t="s">
        <v>199</v>
      </c>
      <c r="C1680" t="str">
        <f>_xlfn.XLOOKUP(Table6[[#This Row],[app_id]],Table5[app_id],Table5[app_name],"",0)</f>
        <v>Flyly</v>
      </c>
      <c r="D1680" t="str">
        <f>_xlfn.XLOOKUP(Table6[[#This Row],[app_id]],Table5[app_id],Table5[category],"",0)</f>
        <v>Travel</v>
      </c>
      <c r="E1680" t="s">
        <v>537</v>
      </c>
      <c r="F1680" t="s">
        <v>538</v>
      </c>
      <c r="G1680" t="s">
        <v>26</v>
      </c>
      <c r="H1680" t="s">
        <v>535</v>
      </c>
      <c r="I1680">
        <v>56</v>
      </c>
      <c r="J1680">
        <v>16.600000000000001</v>
      </c>
      <c r="K1680" t="s">
        <v>257</v>
      </c>
      <c r="L1680" t="s">
        <v>257</v>
      </c>
      <c r="M1680" t="s">
        <v>258</v>
      </c>
      <c r="N1680" s="5">
        <v>0</v>
      </c>
    </row>
    <row r="1681" spans="1:14" x14ac:dyDescent="0.25">
      <c r="A1681" t="s">
        <v>2222</v>
      </c>
      <c r="B1681" t="s">
        <v>201</v>
      </c>
      <c r="C1681" t="str">
        <f>_xlfn.XLOOKUP(Table6[[#This Row],[app_id]],Table5[app_id],Table5[app_name],"",0)</f>
        <v>TripPro</v>
      </c>
      <c r="D1681" t="str">
        <f>_xlfn.XLOOKUP(Table6[[#This Row],[app_id]],Table5[app_id],Table5[category],"",0)</f>
        <v>Travel</v>
      </c>
      <c r="E1681" t="s">
        <v>537</v>
      </c>
      <c r="F1681" t="s">
        <v>534</v>
      </c>
      <c r="G1681" t="s">
        <v>30</v>
      </c>
      <c r="H1681" t="s">
        <v>535</v>
      </c>
      <c r="I1681">
        <v>27</v>
      </c>
      <c r="J1681">
        <v>22.5</v>
      </c>
      <c r="K1681" t="s">
        <v>258</v>
      </c>
      <c r="L1681" t="s">
        <v>257</v>
      </c>
      <c r="M1681" t="s">
        <v>258</v>
      </c>
      <c r="N1681" s="5">
        <v>0</v>
      </c>
    </row>
    <row r="1682" spans="1:14" x14ac:dyDescent="0.25">
      <c r="A1682" t="s">
        <v>2223</v>
      </c>
      <c r="B1682" t="s">
        <v>203</v>
      </c>
      <c r="C1682" t="str">
        <f>_xlfn.XLOOKUP(Table6[[#This Row],[app_id]],Table5[app_id],Table5[app_name],"",0)</f>
        <v>Focusly</v>
      </c>
      <c r="D1682" t="str">
        <f>_xlfn.XLOOKUP(Table6[[#This Row],[app_id]],Table5[app_id],Table5[category],"",0)</f>
        <v>Productivity</v>
      </c>
      <c r="E1682" t="s">
        <v>546</v>
      </c>
      <c r="F1682" t="s">
        <v>538</v>
      </c>
      <c r="G1682" t="s">
        <v>69</v>
      </c>
      <c r="H1682" t="s">
        <v>535</v>
      </c>
      <c r="I1682">
        <v>16</v>
      </c>
      <c r="J1682">
        <v>17</v>
      </c>
      <c r="K1682" t="s">
        <v>258</v>
      </c>
      <c r="L1682" t="s">
        <v>258</v>
      </c>
      <c r="M1682" t="s">
        <v>257</v>
      </c>
      <c r="N1682" s="5">
        <v>0</v>
      </c>
    </row>
    <row r="1683" spans="1:14" x14ac:dyDescent="0.25">
      <c r="A1683" t="s">
        <v>2224</v>
      </c>
      <c r="B1683" t="s">
        <v>206</v>
      </c>
      <c r="C1683" t="str">
        <f>_xlfn.XLOOKUP(Table6[[#This Row],[app_id]],Table5[app_id],Table5[app_name],"",0)</f>
        <v>DeskX</v>
      </c>
      <c r="D1683" t="str">
        <f>_xlfn.XLOOKUP(Table6[[#This Row],[app_id]],Table5[app_id],Table5[category],"",0)</f>
        <v>Productivity</v>
      </c>
      <c r="E1683" t="s">
        <v>533</v>
      </c>
      <c r="F1683" t="s">
        <v>538</v>
      </c>
      <c r="G1683" t="s">
        <v>23</v>
      </c>
      <c r="H1683" t="s">
        <v>535</v>
      </c>
      <c r="I1683">
        <v>16</v>
      </c>
      <c r="J1683">
        <v>13.5</v>
      </c>
      <c r="K1683" t="s">
        <v>257</v>
      </c>
      <c r="L1683" t="s">
        <v>258</v>
      </c>
      <c r="M1683" t="s">
        <v>257</v>
      </c>
      <c r="N1683" s="5">
        <v>0</v>
      </c>
    </row>
    <row r="1684" spans="1:14" x14ac:dyDescent="0.25">
      <c r="A1684" t="s">
        <v>2225</v>
      </c>
      <c r="B1684" t="s">
        <v>208</v>
      </c>
      <c r="C1684" t="str">
        <f>_xlfn.XLOOKUP(Table6[[#This Row],[app_id]],Table5[app_id],Table5[app_name],"",0)</f>
        <v>DonePro</v>
      </c>
      <c r="D1684" t="str">
        <f>_xlfn.XLOOKUP(Table6[[#This Row],[app_id]],Table5[app_id],Table5[category],"",0)</f>
        <v>Productivity</v>
      </c>
      <c r="E1684" t="s">
        <v>537</v>
      </c>
      <c r="F1684" t="s">
        <v>534</v>
      </c>
      <c r="G1684" t="s">
        <v>23</v>
      </c>
      <c r="H1684" t="s">
        <v>535</v>
      </c>
      <c r="I1684">
        <v>28</v>
      </c>
      <c r="J1684">
        <v>21</v>
      </c>
      <c r="K1684" t="s">
        <v>258</v>
      </c>
      <c r="L1684" t="s">
        <v>258</v>
      </c>
      <c r="M1684" t="s">
        <v>258</v>
      </c>
      <c r="N1684" s="5">
        <v>0</v>
      </c>
    </row>
    <row r="1685" spans="1:14" x14ac:dyDescent="0.25">
      <c r="A1685" t="s">
        <v>2226</v>
      </c>
      <c r="B1685" t="s">
        <v>210</v>
      </c>
      <c r="C1685" t="str">
        <f>_xlfn.XLOOKUP(Table6[[#This Row],[app_id]],Table5[app_id],Table5[app_name],"",0)</f>
        <v>NotePlus</v>
      </c>
      <c r="D1685" t="str">
        <f>_xlfn.XLOOKUP(Table6[[#This Row],[app_id]],Table5[app_id],Table5[category],"",0)</f>
        <v>Productivity</v>
      </c>
      <c r="E1685" t="s">
        <v>546</v>
      </c>
      <c r="F1685" t="s">
        <v>538</v>
      </c>
      <c r="G1685" t="s">
        <v>61</v>
      </c>
      <c r="H1685" t="s">
        <v>535</v>
      </c>
      <c r="I1685">
        <v>52</v>
      </c>
      <c r="J1685">
        <v>14.2</v>
      </c>
      <c r="K1685" t="s">
        <v>257</v>
      </c>
      <c r="L1685" t="s">
        <v>257</v>
      </c>
      <c r="M1685" t="s">
        <v>258</v>
      </c>
      <c r="N1685" s="5">
        <v>0</v>
      </c>
    </row>
    <row r="1686" spans="1:14" x14ac:dyDescent="0.25">
      <c r="A1686" t="s">
        <v>2227</v>
      </c>
      <c r="B1686" t="s">
        <v>212</v>
      </c>
      <c r="C1686" t="str">
        <f>_xlfn.XLOOKUP(Table6[[#This Row],[app_id]],Table5[app_id],Table5[app_name],"",0)</f>
        <v>SyncPlus</v>
      </c>
      <c r="D1686" t="str">
        <f>_xlfn.XLOOKUP(Table6[[#This Row],[app_id]],Table5[app_id],Table5[category],"",0)</f>
        <v>Productivity</v>
      </c>
      <c r="E1686" t="s">
        <v>533</v>
      </c>
      <c r="F1686" t="s">
        <v>538</v>
      </c>
      <c r="G1686" t="s">
        <v>46</v>
      </c>
      <c r="H1686" t="s">
        <v>535</v>
      </c>
      <c r="I1686">
        <v>59</v>
      </c>
      <c r="J1686">
        <v>4.5999999999999996</v>
      </c>
      <c r="K1686" t="s">
        <v>257</v>
      </c>
      <c r="L1686" t="s">
        <v>257</v>
      </c>
      <c r="M1686" t="s">
        <v>258</v>
      </c>
      <c r="N1686" s="5">
        <v>83.56</v>
      </c>
    </row>
    <row r="1687" spans="1:14" x14ac:dyDescent="0.25">
      <c r="A1687" t="s">
        <v>2228</v>
      </c>
      <c r="B1687" t="s">
        <v>214</v>
      </c>
      <c r="C1687" t="str">
        <f>_xlfn.XLOOKUP(Table6[[#This Row],[app_id]],Table5[app_id],Table5[app_name],"",0)</f>
        <v>NoteOne</v>
      </c>
      <c r="D1687" t="str">
        <f>_xlfn.XLOOKUP(Table6[[#This Row],[app_id]],Table5[app_id],Table5[category],"",0)</f>
        <v>Productivity</v>
      </c>
      <c r="E1687" t="s">
        <v>557</v>
      </c>
      <c r="F1687" t="s">
        <v>534</v>
      </c>
      <c r="G1687" t="s">
        <v>35</v>
      </c>
      <c r="H1687" t="s">
        <v>535</v>
      </c>
      <c r="I1687">
        <v>70</v>
      </c>
      <c r="J1687">
        <v>16.3</v>
      </c>
      <c r="K1687" t="s">
        <v>257</v>
      </c>
      <c r="L1687" t="s">
        <v>257</v>
      </c>
      <c r="M1687" t="s">
        <v>258</v>
      </c>
      <c r="N1687" s="5">
        <v>55.14</v>
      </c>
    </row>
    <row r="1688" spans="1:14" x14ac:dyDescent="0.25">
      <c r="A1688" t="s">
        <v>2229</v>
      </c>
      <c r="B1688" t="s">
        <v>216</v>
      </c>
      <c r="C1688" t="str">
        <f>_xlfn.XLOOKUP(Table6[[#This Row],[app_id]],Table5[app_id],Table5[app_name],"",0)</f>
        <v>NoteMate</v>
      </c>
      <c r="D1688" t="str">
        <f>_xlfn.XLOOKUP(Table6[[#This Row],[app_id]],Table5[app_id],Table5[category],"",0)</f>
        <v>Productivity</v>
      </c>
      <c r="E1688" t="s">
        <v>546</v>
      </c>
      <c r="F1688" t="s">
        <v>538</v>
      </c>
      <c r="G1688" t="s">
        <v>18</v>
      </c>
      <c r="H1688" t="s">
        <v>535</v>
      </c>
      <c r="I1688">
        <v>94</v>
      </c>
      <c r="J1688">
        <v>15.3</v>
      </c>
      <c r="K1688" t="s">
        <v>257</v>
      </c>
      <c r="L1688" t="s">
        <v>257</v>
      </c>
      <c r="M1688" t="s">
        <v>257</v>
      </c>
      <c r="N1688" s="5">
        <v>11.09</v>
      </c>
    </row>
    <row r="1689" spans="1:14" x14ac:dyDescent="0.25">
      <c r="A1689" t="s">
        <v>2230</v>
      </c>
      <c r="B1689" t="s">
        <v>218</v>
      </c>
      <c r="C1689" t="str">
        <f>_xlfn.XLOOKUP(Table6[[#This Row],[app_id]],Table5[app_id],Table5[app_name],"",0)</f>
        <v>PlanPlus</v>
      </c>
      <c r="D1689" t="str">
        <f>_xlfn.XLOOKUP(Table6[[#This Row],[app_id]],Table5[app_id],Table5[category],"",0)</f>
        <v>Productivity</v>
      </c>
      <c r="E1689" t="s">
        <v>533</v>
      </c>
      <c r="F1689" t="s">
        <v>538</v>
      </c>
      <c r="G1689" t="s">
        <v>26</v>
      </c>
      <c r="H1689" t="s">
        <v>535</v>
      </c>
      <c r="I1689">
        <v>11</v>
      </c>
      <c r="J1689">
        <v>20.6</v>
      </c>
      <c r="K1689" t="s">
        <v>258</v>
      </c>
      <c r="L1689" t="s">
        <v>258</v>
      </c>
      <c r="M1689" t="s">
        <v>258</v>
      </c>
      <c r="N1689" s="5">
        <v>0</v>
      </c>
    </row>
    <row r="1690" spans="1:14" x14ac:dyDescent="0.25">
      <c r="A1690" t="s">
        <v>2231</v>
      </c>
      <c r="B1690" t="s">
        <v>220</v>
      </c>
      <c r="C1690" t="str">
        <f>_xlfn.XLOOKUP(Table6[[#This Row],[app_id]],Table5[app_id],Table5[app_name],"",0)</f>
        <v>PlanMate</v>
      </c>
      <c r="D1690" t="str">
        <f>_xlfn.XLOOKUP(Table6[[#This Row],[app_id]],Table5[app_id],Table5[category],"",0)</f>
        <v>Productivity</v>
      </c>
      <c r="E1690" t="s">
        <v>546</v>
      </c>
      <c r="F1690" t="s">
        <v>534</v>
      </c>
      <c r="G1690" t="s">
        <v>18</v>
      </c>
      <c r="H1690" t="s">
        <v>535</v>
      </c>
      <c r="I1690">
        <v>53</v>
      </c>
      <c r="J1690">
        <v>21.3</v>
      </c>
      <c r="K1690" t="s">
        <v>257</v>
      </c>
      <c r="L1690" t="s">
        <v>258</v>
      </c>
      <c r="M1690" t="s">
        <v>258</v>
      </c>
      <c r="N1690" s="5">
        <v>0</v>
      </c>
    </row>
    <row r="1691" spans="1:14" x14ac:dyDescent="0.25">
      <c r="A1691" t="s">
        <v>2232</v>
      </c>
      <c r="B1691" t="s">
        <v>222</v>
      </c>
      <c r="C1691" t="str">
        <f>_xlfn.XLOOKUP(Table6[[#This Row],[app_id]],Table5[app_id],Table5[app_name],"",0)</f>
        <v>SyncPlus</v>
      </c>
      <c r="D1691" t="str">
        <f>_xlfn.XLOOKUP(Table6[[#This Row],[app_id]],Table5[app_id],Table5[category],"",0)</f>
        <v>Productivity</v>
      </c>
      <c r="E1691" t="s">
        <v>537</v>
      </c>
      <c r="F1691" t="s">
        <v>534</v>
      </c>
      <c r="G1691" t="s">
        <v>35</v>
      </c>
      <c r="H1691" t="s">
        <v>535</v>
      </c>
      <c r="I1691">
        <v>49</v>
      </c>
      <c r="J1691">
        <v>10.3</v>
      </c>
      <c r="K1691" t="s">
        <v>257</v>
      </c>
      <c r="L1691" t="s">
        <v>257</v>
      </c>
      <c r="M1691" t="s">
        <v>258</v>
      </c>
      <c r="N1691" s="5">
        <v>0</v>
      </c>
    </row>
    <row r="1692" spans="1:14" x14ac:dyDescent="0.25">
      <c r="A1692" t="s">
        <v>2233</v>
      </c>
      <c r="B1692" t="s">
        <v>223</v>
      </c>
      <c r="C1692" t="str">
        <f>_xlfn.XLOOKUP(Table6[[#This Row],[app_id]],Table5[app_id],Table5[app_name],"",0)</f>
        <v>ClinicPro</v>
      </c>
      <c r="D1692" t="str">
        <f>_xlfn.XLOOKUP(Table6[[#This Row],[app_id]],Table5[app_id],Table5[category],"",0)</f>
        <v>Health</v>
      </c>
      <c r="E1692" t="s">
        <v>546</v>
      </c>
      <c r="F1692" t="s">
        <v>548</v>
      </c>
      <c r="G1692" t="s">
        <v>69</v>
      </c>
      <c r="H1692" t="s">
        <v>535</v>
      </c>
      <c r="I1692">
        <v>46</v>
      </c>
      <c r="J1692">
        <v>14.3</v>
      </c>
      <c r="K1692" t="s">
        <v>257</v>
      </c>
      <c r="L1692" t="s">
        <v>257</v>
      </c>
      <c r="M1692" t="s">
        <v>258</v>
      </c>
      <c r="N1692" s="5">
        <v>0</v>
      </c>
    </row>
    <row r="1693" spans="1:14" x14ac:dyDescent="0.25">
      <c r="A1693" t="s">
        <v>2234</v>
      </c>
      <c r="B1693" t="s">
        <v>226</v>
      </c>
      <c r="C1693" t="str">
        <f>_xlfn.XLOOKUP(Table6[[#This Row],[app_id]],Table5[app_id],Table5[app_name],"",0)</f>
        <v>MindMate</v>
      </c>
      <c r="D1693" t="str">
        <f>_xlfn.XLOOKUP(Table6[[#This Row],[app_id]],Table5[app_id],Table5[category],"",0)</f>
        <v>Health</v>
      </c>
      <c r="E1693" t="s">
        <v>537</v>
      </c>
      <c r="F1693" t="s">
        <v>538</v>
      </c>
      <c r="G1693" t="s">
        <v>30</v>
      </c>
      <c r="H1693" t="s">
        <v>535</v>
      </c>
      <c r="I1693">
        <v>21</v>
      </c>
      <c r="J1693">
        <v>13.6</v>
      </c>
      <c r="K1693" t="s">
        <v>258</v>
      </c>
      <c r="L1693" t="s">
        <v>257</v>
      </c>
      <c r="M1693" t="s">
        <v>258</v>
      </c>
      <c r="N1693" s="5">
        <v>0</v>
      </c>
    </row>
    <row r="1694" spans="1:14" x14ac:dyDescent="0.25">
      <c r="A1694" t="s">
        <v>2235</v>
      </c>
      <c r="B1694" t="s">
        <v>228</v>
      </c>
      <c r="C1694" t="str">
        <f>_xlfn.XLOOKUP(Table6[[#This Row],[app_id]],Table5[app_id],Table5[app_name],"",0)</f>
        <v>ClinicOne</v>
      </c>
      <c r="D1694" t="str">
        <f>_xlfn.XLOOKUP(Table6[[#This Row],[app_id]],Table5[app_id],Table5[category],"",0)</f>
        <v>Health</v>
      </c>
      <c r="E1694" t="s">
        <v>533</v>
      </c>
      <c r="F1694" t="s">
        <v>548</v>
      </c>
      <c r="G1694" t="s">
        <v>26</v>
      </c>
      <c r="H1694" t="s">
        <v>535</v>
      </c>
      <c r="I1694">
        <v>22</v>
      </c>
      <c r="J1694">
        <v>3.4</v>
      </c>
      <c r="K1694" t="s">
        <v>258</v>
      </c>
      <c r="L1694" t="s">
        <v>258</v>
      </c>
      <c r="M1694" t="s">
        <v>258</v>
      </c>
      <c r="N1694" s="5">
        <v>0</v>
      </c>
    </row>
    <row r="1695" spans="1:14" x14ac:dyDescent="0.25">
      <c r="A1695" t="s">
        <v>2236</v>
      </c>
      <c r="B1695" t="s">
        <v>230</v>
      </c>
      <c r="C1695" t="str">
        <f>_xlfn.XLOOKUP(Table6[[#This Row],[app_id]],Table5[app_id],Table5[app_name],"",0)</f>
        <v>WellMate</v>
      </c>
      <c r="D1695" t="str">
        <f>_xlfn.XLOOKUP(Table6[[#This Row],[app_id]],Table5[app_id],Table5[category],"",0)</f>
        <v>Health</v>
      </c>
      <c r="E1695" t="s">
        <v>546</v>
      </c>
      <c r="F1695" t="s">
        <v>534</v>
      </c>
      <c r="G1695" t="s">
        <v>46</v>
      </c>
      <c r="H1695" t="s">
        <v>535</v>
      </c>
      <c r="I1695">
        <v>92</v>
      </c>
      <c r="J1695">
        <v>11.8</v>
      </c>
      <c r="K1695" t="s">
        <v>257</v>
      </c>
      <c r="L1695" t="s">
        <v>258</v>
      </c>
      <c r="M1695" t="s">
        <v>258</v>
      </c>
      <c r="N1695" s="5">
        <v>0</v>
      </c>
    </row>
    <row r="1696" spans="1:14" x14ac:dyDescent="0.25">
      <c r="A1696" t="s">
        <v>2237</v>
      </c>
      <c r="B1696" t="s">
        <v>232</v>
      </c>
      <c r="C1696" t="str">
        <f>_xlfn.XLOOKUP(Table6[[#This Row],[app_id]],Table5[app_id],Table5[app_name],"",0)</f>
        <v>MediMate</v>
      </c>
      <c r="D1696" t="str">
        <f>_xlfn.XLOOKUP(Table6[[#This Row],[app_id]],Table5[app_id],Table5[category],"",0)</f>
        <v>Health</v>
      </c>
      <c r="E1696" t="s">
        <v>537</v>
      </c>
      <c r="F1696" t="s">
        <v>538</v>
      </c>
      <c r="G1696" t="s">
        <v>26</v>
      </c>
      <c r="H1696" t="s">
        <v>535</v>
      </c>
      <c r="I1696">
        <v>48</v>
      </c>
      <c r="J1696">
        <v>14.5</v>
      </c>
      <c r="K1696" t="s">
        <v>257</v>
      </c>
      <c r="L1696" t="s">
        <v>258</v>
      </c>
      <c r="M1696" t="s">
        <v>258</v>
      </c>
      <c r="N1696" s="5">
        <v>0</v>
      </c>
    </row>
    <row r="1697" spans="1:14" x14ac:dyDescent="0.25">
      <c r="A1697" t="s">
        <v>2238</v>
      </c>
      <c r="B1697" t="s">
        <v>234</v>
      </c>
      <c r="C1697" t="str">
        <f>_xlfn.XLOOKUP(Table6[[#This Row],[app_id]],Table5[app_id],Table5[app_name],"",0)</f>
        <v>WellNow</v>
      </c>
      <c r="D1697" t="str">
        <f>_xlfn.XLOOKUP(Table6[[#This Row],[app_id]],Table5[app_id],Table5[category],"",0)</f>
        <v>Health</v>
      </c>
      <c r="E1697" t="s">
        <v>546</v>
      </c>
      <c r="F1697" t="s">
        <v>538</v>
      </c>
      <c r="G1697" t="s">
        <v>61</v>
      </c>
      <c r="H1697" t="s">
        <v>535</v>
      </c>
      <c r="I1697">
        <v>21</v>
      </c>
      <c r="J1697">
        <v>14.8</v>
      </c>
      <c r="K1697" t="s">
        <v>258</v>
      </c>
      <c r="L1697" t="s">
        <v>257</v>
      </c>
      <c r="M1697" t="s">
        <v>257</v>
      </c>
      <c r="N1697" s="5">
        <v>0</v>
      </c>
    </row>
    <row r="1698" spans="1:14" x14ac:dyDescent="0.25">
      <c r="A1698" t="s">
        <v>2239</v>
      </c>
      <c r="B1698" t="s">
        <v>236</v>
      </c>
      <c r="C1698" t="str">
        <f>_xlfn.XLOOKUP(Table6[[#This Row],[app_id]],Table5[app_id],Table5[app_name],"",0)</f>
        <v>CareCloud</v>
      </c>
      <c r="D1698" t="str">
        <f>_xlfn.XLOOKUP(Table6[[#This Row],[app_id]],Table5[app_id],Table5[category],"",0)</f>
        <v>Health</v>
      </c>
      <c r="E1698" t="s">
        <v>537</v>
      </c>
      <c r="F1698" t="s">
        <v>534</v>
      </c>
      <c r="G1698" t="s">
        <v>26</v>
      </c>
      <c r="H1698" t="s">
        <v>535</v>
      </c>
      <c r="I1698">
        <v>74</v>
      </c>
      <c r="J1698">
        <v>14.7</v>
      </c>
      <c r="K1698" t="s">
        <v>257</v>
      </c>
      <c r="L1698" t="s">
        <v>257</v>
      </c>
      <c r="M1698" t="s">
        <v>258</v>
      </c>
      <c r="N1698" s="5">
        <v>0</v>
      </c>
    </row>
    <row r="1699" spans="1:14" x14ac:dyDescent="0.25">
      <c r="A1699" t="s">
        <v>2240</v>
      </c>
      <c r="B1699" t="s">
        <v>238</v>
      </c>
      <c r="C1699" t="str">
        <f>_xlfn.XLOOKUP(Table6[[#This Row],[app_id]],Table5[app_id],Table5[app_name],"",0)</f>
        <v>MediNow</v>
      </c>
      <c r="D1699" t="str">
        <f>_xlfn.XLOOKUP(Table6[[#This Row],[app_id]],Table5[app_id],Table5[category],"",0)</f>
        <v>Health</v>
      </c>
      <c r="E1699" t="s">
        <v>552</v>
      </c>
      <c r="F1699" t="s">
        <v>538</v>
      </c>
      <c r="G1699" t="s">
        <v>18</v>
      </c>
      <c r="H1699" t="s">
        <v>535</v>
      </c>
      <c r="I1699">
        <v>14</v>
      </c>
      <c r="J1699">
        <v>23.1</v>
      </c>
      <c r="K1699" t="s">
        <v>258</v>
      </c>
      <c r="L1699" t="s">
        <v>257</v>
      </c>
      <c r="M1699" t="s">
        <v>258</v>
      </c>
      <c r="N1699" s="5">
        <v>0</v>
      </c>
    </row>
    <row r="1700" spans="1:14" x14ac:dyDescent="0.25">
      <c r="A1700" t="s">
        <v>2241</v>
      </c>
      <c r="B1700" t="s">
        <v>240</v>
      </c>
      <c r="C1700" t="str">
        <f>_xlfn.XLOOKUP(Table6[[#This Row],[app_id]],Table5[app_id],Table5[app_name],"",0)</f>
        <v>MindPlus</v>
      </c>
      <c r="D1700" t="str">
        <f>_xlfn.XLOOKUP(Table6[[#This Row],[app_id]],Table5[app_id],Table5[category],"",0)</f>
        <v>Health</v>
      </c>
      <c r="E1700" t="s">
        <v>546</v>
      </c>
      <c r="F1700" t="s">
        <v>538</v>
      </c>
      <c r="G1700" t="s">
        <v>26</v>
      </c>
      <c r="H1700" t="s">
        <v>535</v>
      </c>
      <c r="I1700">
        <v>79</v>
      </c>
      <c r="J1700">
        <v>12.6</v>
      </c>
      <c r="K1700" t="s">
        <v>257</v>
      </c>
      <c r="L1700" t="s">
        <v>257</v>
      </c>
      <c r="M1700" t="s">
        <v>258</v>
      </c>
      <c r="N1700" s="5">
        <v>0</v>
      </c>
    </row>
    <row r="1701" spans="1:14" x14ac:dyDescent="0.25">
      <c r="A1701" t="s">
        <v>2242</v>
      </c>
      <c r="B1701" t="s">
        <v>242</v>
      </c>
      <c r="C1701" t="str">
        <f>_xlfn.XLOOKUP(Table6[[#This Row],[app_id]],Table5[app_id],Table5[app_name],"",0)</f>
        <v>MediCloud</v>
      </c>
      <c r="D1701" t="str">
        <f>_xlfn.XLOOKUP(Table6[[#This Row],[app_id]],Table5[app_id],Table5[category],"",0)</f>
        <v>Health</v>
      </c>
      <c r="E1701" t="s">
        <v>533</v>
      </c>
      <c r="F1701" t="s">
        <v>534</v>
      </c>
      <c r="G1701" t="s">
        <v>35</v>
      </c>
      <c r="H1701" t="s">
        <v>535</v>
      </c>
      <c r="I1701">
        <v>26</v>
      </c>
      <c r="J1701">
        <v>17.100000000000001</v>
      </c>
      <c r="K1701" t="s">
        <v>257</v>
      </c>
      <c r="L1701" t="s">
        <v>258</v>
      </c>
      <c r="M1701" t="s">
        <v>257</v>
      </c>
      <c r="N1701" s="5">
        <v>0</v>
      </c>
    </row>
    <row r="1702" spans="1:14" x14ac:dyDescent="0.25">
      <c r="A1702" t="s">
        <v>2243</v>
      </c>
      <c r="B1702" t="s">
        <v>12</v>
      </c>
      <c r="C1702" t="str">
        <f>_xlfn.XLOOKUP(Table6[[#This Row],[app_id]],Table5[app_id],Table5[app_name],"",0)</f>
        <v>InvestPro</v>
      </c>
      <c r="D1702" t="str">
        <f>_xlfn.XLOOKUP(Table6[[#This Row],[app_id]],Table5[app_id],Table5[category],"",0)</f>
        <v>Finance</v>
      </c>
      <c r="E1702" t="s">
        <v>552</v>
      </c>
      <c r="F1702" t="s">
        <v>534</v>
      </c>
      <c r="G1702" t="s">
        <v>18</v>
      </c>
      <c r="H1702" t="s">
        <v>535</v>
      </c>
      <c r="I1702">
        <v>6</v>
      </c>
      <c r="J1702">
        <v>13.5</v>
      </c>
      <c r="K1702" t="s">
        <v>258</v>
      </c>
      <c r="L1702" t="s">
        <v>257</v>
      </c>
      <c r="M1702" t="s">
        <v>258</v>
      </c>
      <c r="N1702" s="5">
        <v>0</v>
      </c>
    </row>
    <row r="1703" spans="1:14" x14ac:dyDescent="0.25">
      <c r="A1703" t="s">
        <v>2244</v>
      </c>
      <c r="B1703" t="s">
        <v>19</v>
      </c>
      <c r="C1703" t="str">
        <f>_xlfn.XLOOKUP(Table6[[#This Row],[app_id]],Table5[app_id],Table5[app_name],"",0)</f>
        <v>BankPro</v>
      </c>
      <c r="D1703" t="str">
        <f>_xlfn.XLOOKUP(Table6[[#This Row],[app_id]],Table5[app_id],Table5[category],"",0)</f>
        <v>Finance</v>
      </c>
      <c r="E1703" t="s">
        <v>533</v>
      </c>
      <c r="F1703" t="s">
        <v>548</v>
      </c>
      <c r="G1703" t="s">
        <v>46</v>
      </c>
      <c r="H1703" t="s">
        <v>535</v>
      </c>
      <c r="I1703">
        <v>16</v>
      </c>
      <c r="J1703">
        <v>11.5</v>
      </c>
      <c r="K1703" t="s">
        <v>257</v>
      </c>
      <c r="L1703" t="s">
        <v>257</v>
      </c>
      <c r="M1703" t="s">
        <v>258</v>
      </c>
      <c r="N1703" s="5">
        <v>0</v>
      </c>
    </row>
    <row r="1704" spans="1:14" x14ac:dyDescent="0.25">
      <c r="A1704" t="s">
        <v>2245</v>
      </c>
      <c r="B1704" t="s">
        <v>24</v>
      </c>
      <c r="C1704" t="str">
        <f>_xlfn.XLOOKUP(Table6[[#This Row],[app_id]],Table5[app_id],Table5[app_name],"",0)</f>
        <v>BankX</v>
      </c>
      <c r="D1704" t="str">
        <f>_xlfn.XLOOKUP(Table6[[#This Row],[app_id]],Table5[app_id],Table5[category],"",0)</f>
        <v>Finance</v>
      </c>
      <c r="E1704" t="s">
        <v>546</v>
      </c>
      <c r="F1704" t="s">
        <v>628</v>
      </c>
      <c r="G1704" t="s">
        <v>35</v>
      </c>
      <c r="H1704" t="s">
        <v>535</v>
      </c>
      <c r="I1704">
        <v>20</v>
      </c>
      <c r="J1704">
        <v>14.2</v>
      </c>
      <c r="K1704" t="s">
        <v>257</v>
      </c>
      <c r="L1704" t="s">
        <v>258</v>
      </c>
      <c r="M1704" t="s">
        <v>257</v>
      </c>
      <c r="N1704" s="5">
        <v>0</v>
      </c>
    </row>
    <row r="1705" spans="1:14" x14ac:dyDescent="0.25">
      <c r="A1705" t="s">
        <v>2246</v>
      </c>
      <c r="B1705" t="s">
        <v>27</v>
      </c>
      <c r="C1705" t="str">
        <f>_xlfn.XLOOKUP(Table6[[#This Row],[app_id]],Table5[app_id],Table5[app_name],"",0)</f>
        <v>BankNow</v>
      </c>
      <c r="D1705" t="str">
        <f>_xlfn.XLOOKUP(Table6[[#This Row],[app_id]],Table5[app_id],Table5[category],"",0)</f>
        <v>Finance</v>
      </c>
      <c r="E1705" t="s">
        <v>546</v>
      </c>
      <c r="F1705" t="s">
        <v>628</v>
      </c>
      <c r="G1705" t="s">
        <v>26</v>
      </c>
      <c r="H1705" t="s">
        <v>535</v>
      </c>
      <c r="I1705">
        <v>23</v>
      </c>
      <c r="J1705">
        <v>6.8</v>
      </c>
      <c r="K1705" t="s">
        <v>257</v>
      </c>
      <c r="L1705" t="s">
        <v>257</v>
      </c>
      <c r="M1705" t="s">
        <v>258</v>
      </c>
      <c r="N1705" s="5">
        <v>0</v>
      </c>
    </row>
    <row r="1706" spans="1:14" x14ac:dyDescent="0.25">
      <c r="A1706" t="s">
        <v>2247</v>
      </c>
      <c r="B1706" t="s">
        <v>31</v>
      </c>
      <c r="C1706" t="str">
        <f>_xlfn.XLOOKUP(Table6[[#This Row],[app_id]],Table5[app_id],Table5[app_name],"",0)</f>
        <v>CreditHub</v>
      </c>
      <c r="D1706" t="str">
        <f>_xlfn.XLOOKUP(Table6[[#This Row],[app_id]],Table5[app_id],Table5[category],"",0)</f>
        <v>Finance</v>
      </c>
      <c r="E1706" t="s">
        <v>552</v>
      </c>
      <c r="F1706" t="s">
        <v>538</v>
      </c>
      <c r="G1706" t="s">
        <v>30</v>
      </c>
      <c r="H1706" t="s">
        <v>535</v>
      </c>
      <c r="I1706">
        <v>25</v>
      </c>
      <c r="J1706">
        <v>4.5999999999999996</v>
      </c>
      <c r="K1706" t="s">
        <v>258</v>
      </c>
      <c r="L1706" t="s">
        <v>258</v>
      </c>
      <c r="M1706" t="s">
        <v>258</v>
      </c>
      <c r="N1706" s="5">
        <v>75.72</v>
      </c>
    </row>
    <row r="1707" spans="1:14" x14ac:dyDescent="0.25">
      <c r="A1707" t="s">
        <v>2248</v>
      </c>
      <c r="B1707" t="s">
        <v>36</v>
      </c>
      <c r="C1707" t="str">
        <f>_xlfn.XLOOKUP(Table6[[#This Row],[app_id]],Table5[app_id],Table5[app_name],"",0)</f>
        <v>PayPlus</v>
      </c>
      <c r="D1707" t="str">
        <f>_xlfn.XLOOKUP(Table6[[#This Row],[app_id]],Table5[app_id],Table5[category],"",0)</f>
        <v>Finance</v>
      </c>
      <c r="E1707" t="s">
        <v>533</v>
      </c>
      <c r="F1707" t="s">
        <v>534</v>
      </c>
      <c r="G1707" t="s">
        <v>23</v>
      </c>
      <c r="H1707" t="s">
        <v>535</v>
      </c>
      <c r="I1707">
        <v>16</v>
      </c>
      <c r="J1707">
        <v>18</v>
      </c>
      <c r="K1707" t="s">
        <v>258</v>
      </c>
      <c r="L1707" t="s">
        <v>258</v>
      </c>
      <c r="M1707" t="s">
        <v>258</v>
      </c>
      <c r="N1707" s="5">
        <v>41.38</v>
      </c>
    </row>
    <row r="1708" spans="1:14" x14ac:dyDescent="0.25">
      <c r="A1708" t="s">
        <v>2249</v>
      </c>
      <c r="B1708" t="s">
        <v>39</v>
      </c>
      <c r="C1708" t="str">
        <f>_xlfn.XLOOKUP(Table6[[#This Row],[app_id]],Table5[app_id],Table5[app_name],"",0)</f>
        <v>BankPlus</v>
      </c>
      <c r="D1708" t="str">
        <f>_xlfn.XLOOKUP(Table6[[#This Row],[app_id]],Table5[app_id],Table5[category],"",0)</f>
        <v>Finance</v>
      </c>
      <c r="E1708" t="s">
        <v>546</v>
      </c>
      <c r="F1708" t="s">
        <v>534</v>
      </c>
      <c r="G1708" t="s">
        <v>69</v>
      </c>
      <c r="H1708" t="s">
        <v>535</v>
      </c>
      <c r="I1708">
        <v>25</v>
      </c>
      <c r="J1708">
        <v>14.6</v>
      </c>
      <c r="K1708" t="s">
        <v>257</v>
      </c>
      <c r="L1708" t="s">
        <v>257</v>
      </c>
      <c r="M1708" t="s">
        <v>258</v>
      </c>
      <c r="N1708" s="5">
        <v>0</v>
      </c>
    </row>
    <row r="1709" spans="1:14" x14ac:dyDescent="0.25">
      <c r="A1709" t="s">
        <v>2250</v>
      </c>
      <c r="B1709" t="s">
        <v>42</v>
      </c>
      <c r="C1709" t="str">
        <f>_xlfn.XLOOKUP(Table6[[#This Row],[app_id]],Table5[app_id],Table5[app_name],"",0)</f>
        <v>CoinPlus</v>
      </c>
      <c r="D1709" t="str">
        <f>_xlfn.XLOOKUP(Table6[[#This Row],[app_id]],Table5[app_id],Table5[category],"",0)</f>
        <v>Finance</v>
      </c>
      <c r="E1709" t="s">
        <v>537</v>
      </c>
      <c r="F1709" t="s">
        <v>538</v>
      </c>
      <c r="G1709" t="s">
        <v>35</v>
      </c>
      <c r="H1709" t="s">
        <v>535</v>
      </c>
      <c r="I1709">
        <v>79</v>
      </c>
      <c r="J1709">
        <v>11.8</v>
      </c>
      <c r="K1709" t="s">
        <v>257</v>
      </c>
      <c r="L1709" t="s">
        <v>257</v>
      </c>
      <c r="M1709" t="s">
        <v>258</v>
      </c>
      <c r="N1709" s="5">
        <v>0</v>
      </c>
    </row>
    <row r="1710" spans="1:14" x14ac:dyDescent="0.25">
      <c r="A1710" t="s">
        <v>2251</v>
      </c>
      <c r="B1710" t="s">
        <v>47</v>
      </c>
      <c r="C1710" t="str">
        <f>_xlfn.XLOOKUP(Table6[[#This Row],[app_id]],Table5[app_id],Table5[app_name],"",0)</f>
        <v>CreditOne</v>
      </c>
      <c r="D1710" t="str">
        <f>_xlfn.XLOOKUP(Table6[[#This Row],[app_id]],Table5[app_id],Table5[category],"",0)</f>
        <v>Finance</v>
      </c>
      <c r="E1710" t="s">
        <v>546</v>
      </c>
      <c r="F1710" t="s">
        <v>534</v>
      </c>
      <c r="G1710" t="s">
        <v>46</v>
      </c>
      <c r="H1710" t="s">
        <v>535</v>
      </c>
      <c r="I1710">
        <v>21</v>
      </c>
      <c r="J1710">
        <v>6.6</v>
      </c>
      <c r="K1710" t="s">
        <v>257</v>
      </c>
      <c r="L1710" t="s">
        <v>257</v>
      </c>
      <c r="M1710" t="s">
        <v>258</v>
      </c>
      <c r="N1710" s="5">
        <v>0</v>
      </c>
    </row>
    <row r="1711" spans="1:14" x14ac:dyDescent="0.25">
      <c r="A1711" t="s">
        <v>2252</v>
      </c>
      <c r="B1711" t="s">
        <v>49</v>
      </c>
      <c r="C1711" t="str">
        <f>_xlfn.XLOOKUP(Table6[[#This Row],[app_id]],Table5[app_id],Table5[app_name],"",0)</f>
        <v>PayPro</v>
      </c>
      <c r="D1711" t="str">
        <f>_xlfn.XLOOKUP(Table6[[#This Row],[app_id]],Table5[app_id],Table5[category],"",0)</f>
        <v>Finance</v>
      </c>
      <c r="E1711" t="s">
        <v>546</v>
      </c>
      <c r="F1711" t="s">
        <v>538</v>
      </c>
      <c r="G1711" t="s">
        <v>30</v>
      </c>
      <c r="H1711" t="s">
        <v>535</v>
      </c>
      <c r="I1711">
        <v>72</v>
      </c>
      <c r="J1711">
        <v>18.5</v>
      </c>
      <c r="K1711" t="s">
        <v>257</v>
      </c>
      <c r="L1711" t="s">
        <v>257</v>
      </c>
      <c r="M1711" t="s">
        <v>258</v>
      </c>
      <c r="N1711" s="5">
        <v>0</v>
      </c>
    </row>
    <row r="1712" spans="1:14" x14ac:dyDescent="0.25">
      <c r="A1712" t="s">
        <v>2253</v>
      </c>
      <c r="B1712" t="s">
        <v>51</v>
      </c>
      <c r="C1712" t="str">
        <f>_xlfn.XLOOKUP(Table6[[#This Row],[app_id]],Table5[app_id],Table5[app_name],"",0)</f>
        <v>Creditly</v>
      </c>
      <c r="D1712" t="str">
        <f>_xlfn.XLOOKUP(Table6[[#This Row],[app_id]],Table5[app_id],Table5[category],"",0)</f>
        <v>Finance</v>
      </c>
      <c r="E1712" t="s">
        <v>533</v>
      </c>
      <c r="F1712" t="s">
        <v>534</v>
      </c>
      <c r="G1712" t="s">
        <v>18</v>
      </c>
      <c r="H1712" t="s">
        <v>535</v>
      </c>
      <c r="I1712">
        <v>14</v>
      </c>
      <c r="J1712">
        <v>23.3</v>
      </c>
      <c r="K1712" t="s">
        <v>258</v>
      </c>
      <c r="L1712" t="s">
        <v>258</v>
      </c>
      <c r="M1712" t="s">
        <v>257</v>
      </c>
      <c r="N1712" s="5">
        <v>0</v>
      </c>
    </row>
    <row r="1713" spans="1:14" x14ac:dyDescent="0.25">
      <c r="A1713" t="s">
        <v>2254</v>
      </c>
      <c r="B1713" t="s">
        <v>53</v>
      </c>
      <c r="C1713" t="str">
        <f>_xlfn.XLOOKUP(Table6[[#This Row],[app_id]],Table5[app_id],Table5[app_name],"",0)</f>
        <v>PayX</v>
      </c>
      <c r="D1713" t="str">
        <f>_xlfn.XLOOKUP(Table6[[#This Row],[app_id]],Table5[app_id],Table5[category],"",0)</f>
        <v>Finance</v>
      </c>
      <c r="E1713" t="s">
        <v>533</v>
      </c>
      <c r="F1713" t="s">
        <v>538</v>
      </c>
      <c r="G1713" t="s">
        <v>46</v>
      </c>
      <c r="H1713" t="s">
        <v>535</v>
      </c>
      <c r="I1713">
        <v>84</v>
      </c>
      <c r="J1713">
        <v>23.9</v>
      </c>
      <c r="K1713" t="s">
        <v>257</v>
      </c>
      <c r="L1713" t="s">
        <v>257</v>
      </c>
      <c r="M1713" t="s">
        <v>258</v>
      </c>
      <c r="N1713" s="5">
        <v>85.55</v>
      </c>
    </row>
    <row r="1714" spans="1:14" x14ac:dyDescent="0.25">
      <c r="A1714" t="s">
        <v>2255</v>
      </c>
      <c r="B1714" t="s">
        <v>56</v>
      </c>
      <c r="C1714" t="str">
        <f>_xlfn.XLOOKUP(Table6[[#This Row],[app_id]],Table5[app_id],Table5[app_name],"",0)</f>
        <v>DealGo</v>
      </c>
      <c r="D1714" t="str">
        <f>_xlfn.XLOOKUP(Table6[[#This Row],[app_id]],Table5[app_id],Table5[category],"",0)</f>
        <v>Shopping</v>
      </c>
      <c r="E1714" t="s">
        <v>533</v>
      </c>
      <c r="F1714" t="s">
        <v>534</v>
      </c>
      <c r="G1714" t="s">
        <v>18</v>
      </c>
      <c r="H1714" t="s">
        <v>535</v>
      </c>
      <c r="I1714">
        <v>5</v>
      </c>
      <c r="J1714">
        <v>13.5</v>
      </c>
      <c r="K1714" t="s">
        <v>258</v>
      </c>
      <c r="L1714" t="s">
        <v>258</v>
      </c>
      <c r="M1714" t="s">
        <v>257</v>
      </c>
      <c r="N1714" s="5">
        <v>0</v>
      </c>
    </row>
    <row r="1715" spans="1:14" x14ac:dyDescent="0.25">
      <c r="A1715" t="s">
        <v>2256</v>
      </c>
      <c r="B1715" t="s">
        <v>62</v>
      </c>
      <c r="C1715" t="str">
        <f>_xlfn.XLOOKUP(Table6[[#This Row],[app_id]],Table5[app_id],Table5[app_name],"",0)</f>
        <v>MallNow</v>
      </c>
      <c r="D1715" t="str">
        <f>_xlfn.XLOOKUP(Table6[[#This Row],[app_id]],Table5[app_id],Table5[category],"",0)</f>
        <v>Shopping</v>
      </c>
      <c r="E1715" t="s">
        <v>546</v>
      </c>
      <c r="F1715" t="s">
        <v>538</v>
      </c>
      <c r="G1715" t="s">
        <v>18</v>
      </c>
      <c r="H1715" t="s">
        <v>535</v>
      </c>
      <c r="I1715">
        <v>88</v>
      </c>
      <c r="J1715">
        <v>11.8</v>
      </c>
      <c r="K1715" t="s">
        <v>257</v>
      </c>
      <c r="L1715" t="s">
        <v>258</v>
      </c>
      <c r="M1715" t="s">
        <v>257</v>
      </c>
      <c r="N1715" s="5">
        <v>0</v>
      </c>
    </row>
    <row r="1716" spans="1:14" x14ac:dyDescent="0.25">
      <c r="A1716" t="s">
        <v>2257</v>
      </c>
      <c r="B1716" t="s">
        <v>65</v>
      </c>
      <c r="C1716" t="str">
        <f>_xlfn.XLOOKUP(Table6[[#This Row],[app_id]],Table5[app_id],Table5[app_name],"",0)</f>
        <v>DealPro</v>
      </c>
      <c r="D1716" t="str">
        <f>_xlfn.XLOOKUP(Table6[[#This Row],[app_id]],Table5[app_id],Table5[category],"",0)</f>
        <v>Shopping</v>
      </c>
      <c r="E1716" t="s">
        <v>533</v>
      </c>
      <c r="F1716" t="s">
        <v>534</v>
      </c>
      <c r="G1716" t="s">
        <v>69</v>
      </c>
      <c r="H1716" t="s">
        <v>535</v>
      </c>
      <c r="I1716">
        <v>25</v>
      </c>
      <c r="J1716">
        <v>8</v>
      </c>
      <c r="K1716" t="s">
        <v>258</v>
      </c>
      <c r="L1716" t="s">
        <v>257</v>
      </c>
      <c r="M1716" t="s">
        <v>258</v>
      </c>
      <c r="N1716" s="5">
        <v>0</v>
      </c>
    </row>
    <row r="1717" spans="1:14" x14ac:dyDescent="0.25">
      <c r="A1717" t="s">
        <v>2258</v>
      </c>
      <c r="B1717" t="s">
        <v>67</v>
      </c>
      <c r="C1717" t="str">
        <f>_xlfn.XLOOKUP(Table6[[#This Row],[app_id]],Table5[app_id],Table5[app_name],"",0)</f>
        <v>StyleNow</v>
      </c>
      <c r="D1717" t="str">
        <f>_xlfn.XLOOKUP(Table6[[#This Row],[app_id]],Table5[app_id],Table5[category],"",0)</f>
        <v>Shopping</v>
      </c>
      <c r="E1717" t="s">
        <v>537</v>
      </c>
      <c r="F1717" t="s">
        <v>548</v>
      </c>
      <c r="G1717" t="s">
        <v>35</v>
      </c>
      <c r="H1717" t="s">
        <v>535</v>
      </c>
      <c r="I1717">
        <v>19</v>
      </c>
      <c r="J1717">
        <v>15.3</v>
      </c>
      <c r="K1717" t="s">
        <v>257</v>
      </c>
      <c r="L1717" t="s">
        <v>258</v>
      </c>
      <c r="M1717" t="s">
        <v>258</v>
      </c>
      <c r="N1717" s="5">
        <v>0</v>
      </c>
    </row>
    <row r="1718" spans="1:14" x14ac:dyDescent="0.25">
      <c r="A1718" t="s">
        <v>2259</v>
      </c>
      <c r="B1718" t="s">
        <v>70</v>
      </c>
      <c r="C1718" t="str">
        <f>_xlfn.XLOOKUP(Table6[[#This Row],[app_id]],Table5[app_id],Table5[app_name],"",0)</f>
        <v>DealCloud</v>
      </c>
      <c r="D1718" t="str">
        <f>_xlfn.XLOOKUP(Table6[[#This Row],[app_id]],Table5[app_id],Table5[category],"",0)</f>
        <v>Shopping</v>
      </c>
      <c r="E1718" t="s">
        <v>546</v>
      </c>
      <c r="F1718" t="s">
        <v>628</v>
      </c>
      <c r="G1718" t="s">
        <v>35</v>
      </c>
      <c r="H1718" t="s">
        <v>535</v>
      </c>
      <c r="I1718">
        <v>14</v>
      </c>
      <c r="J1718">
        <v>20.2</v>
      </c>
      <c r="K1718" t="s">
        <v>258</v>
      </c>
      <c r="L1718" t="s">
        <v>257</v>
      </c>
      <c r="M1718" t="s">
        <v>258</v>
      </c>
      <c r="N1718" s="5">
        <v>0</v>
      </c>
    </row>
    <row r="1719" spans="1:14" x14ac:dyDescent="0.25">
      <c r="A1719" t="s">
        <v>2260</v>
      </c>
      <c r="B1719" t="s">
        <v>72</v>
      </c>
      <c r="C1719" t="str">
        <f>_xlfn.XLOOKUP(Table6[[#This Row],[app_id]],Table5[app_id],Table5[app_name],"",0)</f>
        <v>CartCloud</v>
      </c>
      <c r="D1719" t="str">
        <f>_xlfn.XLOOKUP(Table6[[#This Row],[app_id]],Table5[app_id],Table5[category],"",0)</f>
        <v>Shopping</v>
      </c>
      <c r="E1719" t="s">
        <v>546</v>
      </c>
      <c r="F1719" t="s">
        <v>538</v>
      </c>
      <c r="G1719" t="s">
        <v>35</v>
      </c>
      <c r="H1719" t="s">
        <v>540</v>
      </c>
      <c r="I1719">
        <v>28</v>
      </c>
      <c r="J1719">
        <v>16.100000000000001</v>
      </c>
      <c r="K1719" t="s">
        <v>258</v>
      </c>
      <c r="L1719" t="s">
        <v>258</v>
      </c>
      <c r="M1719" t="s">
        <v>258</v>
      </c>
      <c r="N1719" s="5">
        <v>0</v>
      </c>
    </row>
    <row r="1720" spans="1:14" x14ac:dyDescent="0.25">
      <c r="A1720" t="s">
        <v>2261</v>
      </c>
      <c r="B1720" t="s">
        <v>74</v>
      </c>
      <c r="C1720" t="str">
        <f>_xlfn.XLOOKUP(Table6[[#This Row],[app_id]],Table5[app_id],Table5[app_name],"",0)</f>
        <v>CartMate</v>
      </c>
      <c r="D1720" t="str">
        <f>_xlfn.XLOOKUP(Table6[[#This Row],[app_id]],Table5[app_id],Table5[category],"",0)</f>
        <v>Shopping</v>
      </c>
      <c r="E1720" t="s">
        <v>533</v>
      </c>
      <c r="F1720" t="s">
        <v>534</v>
      </c>
      <c r="G1720" t="s">
        <v>30</v>
      </c>
      <c r="H1720" t="s">
        <v>535</v>
      </c>
      <c r="I1720">
        <v>19</v>
      </c>
      <c r="J1720">
        <v>14.4</v>
      </c>
      <c r="K1720" t="s">
        <v>257</v>
      </c>
      <c r="L1720" t="s">
        <v>257</v>
      </c>
      <c r="M1720" t="s">
        <v>258</v>
      </c>
      <c r="N1720" s="5">
        <v>0</v>
      </c>
    </row>
    <row r="1721" spans="1:14" x14ac:dyDescent="0.25">
      <c r="A1721" t="s">
        <v>2262</v>
      </c>
      <c r="B1721" t="s">
        <v>76</v>
      </c>
      <c r="C1721" t="str">
        <f>_xlfn.XLOOKUP(Table6[[#This Row],[app_id]],Table5[app_id],Table5[app_name],"",0)</f>
        <v>BazaarOne</v>
      </c>
      <c r="D1721" t="str">
        <f>_xlfn.XLOOKUP(Table6[[#This Row],[app_id]],Table5[app_id],Table5[category],"",0)</f>
        <v>Shopping</v>
      </c>
      <c r="E1721" t="s">
        <v>537</v>
      </c>
      <c r="F1721" t="s">
        <v>538</v>
      </c>
      <c r="G1721" t="s">
        <v>61</v>
      </c>
      <c r="H1721" t="s">
        <v>535</v>
      </c>
      <c r="I1721">
        <v>26</v>
      </c>
      <c r="J1721">
        <v>5.6</v>
      </c>
      <c r="K1721" t="s">
        <v>258</v>
      </c>
      <c r="L1721" t="s">
        <v>257</v>
      </c>
      <c r="M1721" t="s">
        <v>258</v>
      </c>
      <c r="N1721" s="5">
        <v>0</v>
      </c>
    </row>
    <row r="1722" spans="1:14" x14ac:dyDescent="0.25">
      <c r="A1722" t="s">
        <v>2263</v>
      </c>
      <c r="B1722" t="s">
        <v>78</v>
      </c>
      <c r="C1722" t="str">
        <f>_xlfn.XLOOKUP(Table6[[#This Row],[app_id]],Table5[app_id],Table5[app_name],"",0)</f>
        <v>StyleOne</v>
      </c>
      <c r="D1722" t="str">
        <f>_xlfn.XLOOKUP(Table6[[#This Row],[app_id]],Table5[app_id],Table5[category],"",0)</f>
        <v>Shopping</v>
      </c>
      <c r="E1722" t="s">
        <v>537</v>
      </c>
      <c r="F1722" t="s">
        <v>538</v>
      </c>
      <c r="G1722" t="s">
        <v>46</v>
      </c>
      <c r="H1722" t="s">
        <v>535</v>
      </c>
      <c r="I1722">
        <v>54</v>
      </c>
      <c r="J1722">
        <v>23</v>
      </c>
      <c r="K1722" t="s">
        <v>257</v>
      </c>
      <c r="L1722" t="s">
        <v>257</v>
      </c>
      <c r="M1722" t="s">
        <v>258</v>
      </c>
      <c r="N1722" s="5">
        <v>29.62</v>
      </c>
    </row>
    <row r="1723" spans="1:14" x14ac:dyDescent="0.25">
      <c r="A1723" t="s">
        <v>2264</v>
      </c>
      <c r="B1723" t="s">
        <v>80</v>
      </c>
      <c r="C1723" t="str">
        <f>_xlfn.XLOOKUP(Table6[[#This Row],[app_id]],Table5[app_id],Table5[app_name],"",0)</f>
        <v>Cartly</v>
      </c>
      <c r="D1723" t="str">
        <f>_xlfn.XLOOKUP(Table6[[#This Row],[app_id]],Table5[app_id],Table5[category],"",0)</f>
        <v>Shopping</v>
      </c>
      <c r="E1723" t="s">
        <v>533</v>
      </c>
      <c r="F1723" t="s">
        <v>538</v>
      </c>
      <c r="G1723" t="s">
        <v>69</v>
      </c>
      <c r="H1723" t="s">
        <v>535</v>
      </c>
      <c r="I1723">
        <v>25</v>
      </c>
      <c r="J1723">
        <v>17.2</v>
      </c>
      <c r="K1723" t="s">
        <v>258</v>
      </c>
      <c r="L1723" t="s">
        <v>257</v>
      </c>
      <c r="M1723" t="s">
        <v>258</v>
      </c>
      <c r="N1723" s="5">
        <v>0</v>
      </c>
    </row>
    <row r="1724" spans="1:14" x14ac:dyDescent="0.25">
      <c r="A1724" t="s">
        <v>2265</v>
      </c>
      <c r="B1724" t="s">
        <v>83</v>
      </c>
      <c r="C1724" t="str">
        <f>_xlfn.XLOOKUP(Table6[[#This Row],[app_id]],Table5[app_id],Table5[app_name],"",0)</f>
        <v>BazaarCloud</v>
      </c>
      <c r="D1724" t="str">
        <f>_xlfn.XLOOKUP(Table6[[#This Row],[app_id]],Table5[app_id],Table5[category],"",0)</f>
        <v>Shopping</v>
      </c>
      <c r="E1724" t="s">
        <v>533</v>
      </c>
      <c r="F1724" t="s">
        <v>534</v>
      </c>
      <c r="G1724" t="s">
        <v>46</v>
      </c>
      <c r="H1724" t="s">
        <v>535</v>
      </c>
      <c r="I1724">
        <v>25</v>
      </c>
      <c r="J1724">
        <v>20.399999999999999</v>
      </c>
      <c r="K1724" t="s">
        <v>257</v>
      </c>
      <c r="L1724" t="s">
        <v>257</v>
      </c>
      <c r="M1724" t="s">
        <v>258</v>
      </c>
      <c r="N1724" s="5">
        <v>73.260000000000005</v>
      </c>
    </row>
    <row r="1725" spans="1:14" x14ac:dyDescent="0.25">
      <c r="A1725" t="s">
        <v>2266</v>
      </c>
      <c r="B1725" t="s">
        <v>85</v>
      </c>
      <c r="C1725" t="str">
        <f>_xlfn.XLOOKUP(Table6[[#This Row],[app_id]],Table5[app_id],Table5[app_name],"",0)</f>
        <v>CartPro</v>
      </c>
      <c r="D1725" t="str">
        <f>_xlfn.XLOOKUP(Table6[[#This Row],[app_id]],Table5[app_id],Table5[category],"",0)</f>
        <v>Shopping</v>
      </c>
      <c r="E1725" t="s">
        <v>552</v>
      </c>
      <c r="F1725" t="s">
        <v>538</v>
      </c>
      <c r="G1725" t="s">
        <v>46</v>
      </c>
      <c r="H1725" t="s">
        <v>535</v>
      </c>
      <c r="I1725">
        <v>18</v>
      </c>
      <c r="J1725">
        <v>19.600000000000001</v>
      </c>
      <c r="K1725" t="s">
        <v>258</v>
      </c>
      <c r="L1725" t="s">
        <v>258</v>
      </c>
      <c r="M1725" t="s">
        <v>257</v>
      </c>
      <c r="N1725" s="5">
        <v>0</v>
      </c>
    </row>
    <row r="1726" spans="1:14" x14ac:dyDescent="0.25">
      <c r="A1726" t="s">
        <v>2267</v>
      </c>
      <c r="B1726" t="s">
        <v>87</v>
      </c>
      <c r="C1726" t="str">
        <f>_xlfn.XLOOKUP(Table6[[#This Row],[app_id]],Table5[app_id],Table5[app_name],"",0)</f>
        <v>RunPlus</v>
      </c>
      <c r="D1726" t="str">
        <f>_xlfn.XLOOKUP(Table6[[#This Row],[app_id]],Table5[app_id],Table5[category],"",0)</f>
        <v>Fitness</v>
      </c>
      <c r="E1726" t="s">
        <v>546</v>
      </c>
      <c r="F1726" t="s">
        <v>534</v>
      </c>
      <c r="G1726" t="s">
        <v>69</v>
      </c>
      <c r="H1726" t="s">
        <v>535</v>
      </c>
      <c r="I1726">
        <v>40</v>
      </c>
      <c r="J1726">
        <v>11.6</v>
      </c>
      <c r="K1726" t="s">
        <v>257</v>
      </c>
      <c r="L1726" t="s">
        <v>257</v>
      </c>
      <c r="M1726" t="s">
        <v>258</v>
      </c>
      <c r="N1726" s="5">
        <v>0</v>
      </c>
    </row>
    <row r="1727" spans="1:14" x14ac:dyDescent="0.25">
      <c r="A1727" t="s">
        <v>2268</v>
      </c>
      <c r="B1727" t="s">
        <v>90</v>
      </c>
      <c r="C1727" t="str">
        <f>_xlfn.XLOOKUP(Table6[[#This Row],[app_id]],Table5[app_id],Table5[app_name],"",0)</f>
        <v>TrainCloud</v>
      </c>
      <c r="D1727" t="str">
        <f>_xlfn.XLOOKUP(Table6[[#This Row],[app_id]],Table5[app_id],Table5[category],"",0)</f>
        <v>Fitness</v>
      </c>
      <c r="E1727" t="s">
        <v>546</v>
      </c>
      <c r="F1727" t="s">
        <v>538</v>
      </c>
      <c r="G1727" t="s">
        <v>69</v>
      </c>
      <c r="H1727" t="s">
        <v>535</v>
      </c>
      <c r="I1727">
        <v>7</v>
      </c>
      <c r="J1727">
        <v>37.5</v>
      </c>
      <c r="K1727" t="s">
        <v>258</v>
      </c>
      <c r="L1727" t="s">
        <v>257</v>
      </c>
      <c r="M1727" t="s">
        <v>258</v>
      </c>
      <c r="N1727" s="5">
        <v>0</v>
      </c>
    </row>
    <row r="1728" spans="1:14" x14ac:dyDescent="0.25">
      <c r="A1728" t="s">
        <v>2269</v>
      </c>
      <c r="B1728" t="s">
        <v>92</v>
      </c>
      <c r="C1728" t="str">
        <f>_xlfn.XLOOKUP(Table6[[#This Row],[app_id]],Table5[app_id],Table5[app_name],"",0)</f>
        <v>Trainly</v>
      </c>
      <c r="D1728" t="str">
        <f>_xlfn.XLOOKUP(Table6[[#This Row],[app_id]],Table5[app_id],Table5[category],"",0)</f>
        <v>Fitness</v>
      </c>
      <c r="E1728" t="s">
        <v>533</v>
      </c>
      <c r="F1728" t="s">
        <v>534</v>
      </c>
      <c r="G1728" t="s">
        <v>69</v>
      </c>
      <c r="H1728" t="s">
        <v>535</v>
      </c>
      <c r="I1728">
        <v>95</v>
      </c>
      <c r="J1728">
        <v>8</v>
      </c>
      <c r="K1728" t="s">
        <v>257</v>
      </c>
      <c r="L1728" t="s">
        <v>257</v>
      </c>
      <c r="M1728" t="s">
        <v>258</v>
      </c>
      <c r="N1728" s="5">
        <v>0</v>
      </c>
    </row>
    <row r="1729" spans="1:14" x14ac:dyDescent="0.25">
      <c r="A1729" t="s">
        <v>2270</v>
      </c>
      <c r="B1729" t="s">
        <v>94</v>
      </c>
      <c r="C1729" t="str">
        <f>_xlfn.XLOOKUP(Table6[[#This Row],[app_id]],Table5[app_id],Table5[app_name],"",0)</f>
        <v>LiftCloud</v>
      </c>
      <c r="D1729" t="str">
        <f>_xlfn.XLOOKUP(Table6[[#This Row],[app_id]],Table5[app_id],Table5[category],"",0)</f>
        <v>Fitness</v>
      </c>
      <c r="E1729" t="s">
        <v>533</v>
      </c>
      <c r="F1729" t="s">
        <v>538</v>
      </c>
      <c r="G1729" t="s">
        <v>26</v>
      </c>
      <c r="H1729" t="s">
        <v>535</v>
      </c>
      <c r="I1729">
        <v>33</v>
      </c>
      <c r="J1729">
        <v>34.6</v>
      </c>
      <c r="K1729" t="s">
        <v>257</v>
      </c>
      <c r="L1729" t="s">
        <v>257</v>
      </c>
      <c r="M1729" t="s">
        <v>258</v>
      </c>
      <c r="N1729" s="5">
        <v>0</v>
      </c>
    </row>
    <row r="1730" spans="1:14" x14ac:dyDescent="0.25">
      <c r="A1730" t="s">
        <v>2271</v>
      </c>
      <c r="B1730" t="s">
        <v>96</v>
      </c>
      <c r="C1730" t="str">
        <f>_xlfn.XLOOKUP(Table6[[#This Row],[app_id]],Table5[app_id],Table5[app_name],"",0)</f>
        <v>MoveNow</v>
      </c>
      <c r="D1730" t="str">
        <f>_xlfn.XLOOKUP(Table6[[#This Row],[app_id]],Table5[app_id],Table5[category],"",0)</f>
        <v>Fitness</v>
      </c>
      <c r="E1730" t="s">
        <v>552</v>
      </c>
      <c r="F1730" t="s">
        <v>534</v>
      </c>
      <c r="G1730" t="s">
        <v>35</v>
      </c>
      <c r="H1730" t="s">
        <v>535</v>
      </c>
      <c r="I1730">
        <v>41</v>
      </c>
      <c r="J1730">
        <v>33.6</v>
      </c>
      <c r="K1730" t="s">
        <v>257</v>
      </c>
      <c r="L1730" t="s">
        <v>257</v>
      </c>
      <c r="M1730" t="s">
        <v>258</v>
      </c>
      <c r="N1730" s="5">
        <v>36.42</v>
      </c>
    </row>
    <row r="1731" spans="1:14" x14ac:dyDescent="0.25">
      <c r="A1731" t="s">
        <v>2272</v>
      </c>
      <c r="B1731" t="s">
        <v>98</v>
      </c>
      <c r="C1731" t="str">
        <f>_xlfn.XLOOKUP(Table6[[#This Row],[app_id]],Table5[app_id],Table5[app_name],"",0)</f>
        <v>ActiveMate</v>
      </c>
      <c r="D1731" t="str">
        <f>_xlfn.XLOOKUP(Table6[[#This Row],[app_id]],Table5[app_id],Table5[category],"",0)</f>
        <v>Fitness</v>
      </c>
      <c r="E1731" t="s">
        <v>533</v>
      </c>
      <c r="F1731" t="s">
        <v>538</v>
      </c>
      <c r="G1731" t="s">
        <v>18</v>
      </c>
      <c r="H1731" t="s">
        <v>535</v>
      </c>
      <c r="I1731">
        <v>10</v>
      </c>
      <c r="J1731">
        <v>39.9</v>
      </c>
      <c r="K1731" t="s">
        <v>258</v>
      </c>
      <c r="L1731" t="s">
        <v>258</v>
      </c>
      <c r="M1731" t="s">
        <v>258</v>
      </c>
      <c r="N1731" s="5">
        <v>0</v>
      </c>
    </row>
    <row r="1732" spans="1:14" x14ac:dyDescent="0.25">
      <c r="A1732" t="s">
        <v>2273</v>
      </c>
      <c r="B1732" t="s">
        <v>100</v>
      </c>
      <c r="C1732" t="str">
        <f>_xlfn.XLOOKUP(Table6[[#This Row],[app_id]],Table5[app_id],Table5[app_name],"",0)</f>
        <v>RunGo</v>
      </c>
      <c r="D1732" t="str">
        <f>_xlfn.XLOOKUP(Table6[[#This Row],[app_id]],Table5[app_id],Table5[category],"",0)</f>
        <v>Fitness</v>
      </c>
      <c r="E1732" t="s">
        <v>546</v>
      </c>
      <c r="F1732" t="s">
        <v>538</v>
      </c>
      <c r="G1732" t="s">
        <v>18</v>
      </c>
      <c r="H1732" t="s">
        <v>535</v>
      </c>
      <c r="I1732">
        <v>9</v>
      </c>
      <c r="J1732">
        <v>20.9</v>
      </c>
      <c r="K1732" t="s">
        <v>258</v>
      </c>
      <c r="L1732" t="s">
        <v>258</v>
      </c>
      <c r="M1732" t="s">
        <v>257</v>
      </c>
      <c r="N1732" s="5">
        <v>0</v>
      </c>
    </row>
    <row r="1733" spans="1:14" x14ac:dyDescent="0.25">
      <c r="A1733" t="s">
        <v>2274</v>
      </c>
      <c r="B1733" t="s">
        <v>102</v>
      </c>
      <c r="C1733" t="str">
        <f>_xlfn.XLOOKUP(Table6[[#This Row],[app_id]],Table5[app_id],Table5[app_name],"",0)</f>
        <v>LiftPro</v>
      </c>
      <c r="D1733" t="str">
        <f>_xlfn.XLOOKUP(Table6[[#This Row],[app_id]],Table5[app_id],Table5[category],"",0)</f>
        <v>Fitness</v>
      </c>
      <c r="E1733" t="s">
        <v>537</v>
      </c>
      <c r="F1733" t="s">
        <v>628</v>
      </c>
      <c r="G1733" t="s">
        <v>18</v>
      </c>
      <c r="H1733" t="s">
        <v>535</v>
      </c>
      <c r="I1733">
        <v>89</v>
      </c>
      <c r="J1733">
        <v>22</v>
      </c>
      <c r="K1733" t="s">
        <v>257</v>
      </c>
      <c r="L1733" t="s">
        <v>257</v>
      </c>
      <c r="M1733" t="s">
        <v>258</v>
      </c>
      <c r="N1733" s="5">
        <v>0</v>
      </c>
    </row>
    <row r="1734" spans="1:14" x14ac:dyDescent="0.25">
      <c r="A1734" t="s">
        <v>2275</v>
      </c>
      <c r="B1734" t="s">
        <v>104</v>
      </c>
      <c r="C1734" t="str">
        <f>_xlfn.XLOOKUP(Table6[[#This Row],[app_id]],Table5[app_id],Table5[app_name],"",0)</f>
        <v>LiftPro</v>
      </c>
      <c r="D1734" t="str">
        <f>_xlfn.XLOOKUP(Table6[[#This Row],[app_id]],Table5[app_id],Table5[category],"",0)</f>
        <v>Fitness</v>
      </c>
      <c r="E1734" t="s">
        <v>546</v>
      </c>
      <c r="F1734" t="s">
        <v>534</v>
      </c>
      <c r="G1734" t="s">
        <v>30</v>
      </c>
      <c r="H1734" t="s">
        <v>540</v>
      </c>
      <c r="I1734">
        <v>77</v>
      </c>
      <c r="J1734">
        <v>38.299999999999997</v>
      </c>
      <c r="K1734" t="s">
        <v>257</v>
      </c>
      <c r="L1734" t="s">
        <v>258</v>
      </c>
      <c r="M1734" t="s">
        <v>257</v>
      </c>
      <c r="N1734" s="5">
        <v>0</v>
      </c>
    </row>
    <row r="1735" spans="1:14" x14ac:dyDescent="0.25">
      <c r="A1735" t="s">
        <v>2276</v>
      </c>
      <c r="B1735" t="s">
        <v>105</v>
      </c>
      <c r="C1735" t="str">
        <f>_xlfn.XLOOKUP(Table6[[#This Row],[app_id]],Table5[app_id],Table5[app_name],"",0)</f>
        <v>Liftly</v>
      </c>
      <c r="D1735" t="str">
        <f>_xlfn.XLOOKUP(Table6[[#This Row],[app_id]],Table5[app_id],Table5[category],"",0)</f>
        <v>Fitness</v>
      </c>
      <c r="E1735" t="s">
        <v>552</v>
      </c>
      <c r="F1735" t="s">
        <v>534</v>
      </c>
      <c r="G1735" t="s">
        <v>18</v>
      </c>
      <c r="H1735" t="s">
        <v>540</v>
      </c>
      <c r="I1735">
        <v>22</v>
      </c>
      <c r="J1735">
        <v>30.2</v>
      </c>
      <c r="K1735" t="s">
        <v>258</v>
      </c>
      <c r="L1735" t="s">
        <v>257</v>
      </c>
      <c r="M1735" t="s">
        <v>258</v>
      </c>
      <c r="N1735" s="5">
        <v>21.35</v>
      </c>
    </row>
    <row r="1736" spans="1:14" x14ac:dyDescent="0.25">
      <c r="A1736" t="s">
        <v>2277</v>
      </c>
      <c r="B1736" t="s">
        <v>107</v>
      </c>
      <c r="C1736" t="str">
        <f>_xlfn.XLOOKUP(Table6[[#This Row],[app_id]],Table5[app_id],Table5[app_name],"",0)</f>
        <v>YogaHub</v>
      </c>
      <c r="D1736" t="str">
        <f>_xlfn.XLOOKUP(Table6[[#This Row],[app_id]],Table5[app_id],Table5[category],"",0)</f>
        <v>Fitness</v>
      </c>
      <c r="E1736" t="s">
        <v>557</v>
      </c>
      <c r="F1736" t="s">
        <v>538</v>
      </c>
      <c r="G1736" t="s">
        <v>61</v>
      </c>
      <c r="H1736" t="s">
        <v>535</v>
      </c>
      <c r="I1736">
        <v>29</v>
      </c>
      <c r="J1736">
        <v>18.5</v>
      </c>
      <c r="K1736" t="s">
        <v>257</v>
      </c>
      <c r="L1736" t="s">
        <v>257</v>
      </c>
      <c r="M1736" t="s">
        <v>258</v>
      </c>
      <c r="N1736" s="5">
        <v>0</v>
      </c>
    </row>
    <row r="1737" spans="1:14" x14ac:dyDescent="0.25">
      <c r="A1737" t="s">
        <v>2278</v>
      </c>
      <c r="B1737" t="s">
        <v>109</v>
      </c>
      <c r="C1737" t="str">
        <f>_xlfn.XLOOKUP(Table6[[#This Row],[app_id]],Table5[app_id],Table5[app_name],"",0)</f>
        <v>MoveGo</v>
      </c>
      <c r="D1737" t="str">
        <f>_xlfn.XLOOKUP(Table6[[#This Row],[app_id]],Table5[app_id],Table5[category],"",0)</f>
        <v>Fitness</v>
      </c>
      <c r="E1737" t="s">
        <v>533</v>
      </c>
      <c r="F1737" t="s">
        <v>534</v>
      </c>
      <c r="G1737" t="s">
        <v>30</v>
      </c>
      <c r="H1737" t="s">
        <v>535</v>
      </c>
      <c r="I1737">
        <v>14</v>
      </c>
      <c r="J1737">
        <v>20.3</v>
      </c>
      <c r="K1737" t="s">
        <v>258</v>
      </c>
      <c r="L1737" t="s">
        <v>258</v>
      </c>
      <c r="M1737" t="s">
        <v>258</v>
      </c>
      <c r="N1737" s="5">
        <v>37.270000000000003</v>
      </c>
    </row>
    <row r="1738" spans="1:14" x14ac:dyDescent="0.25">
      <c r="A1738" t="s">
        <v>2279</v>
      </c>
      <c r="B1738" t="s">
        <v>111</v>
      </c>
      <c r="C1738" t="str">
        <f>_xlfn.XLOOKUP(Table6[[#This Row],[app_id]],Table5[app_id],Table5[app_name],"",0)</f>
        <v>BrightNow</v>
      </c>
      <c r="D1738" t="str">
        <f>_xlfn.XLOOKUP(Table6[[#This Row],[app_id]],Table5[app_id],Table5[category],"",0)</f>
        <v>Education</v>
      </c>
      <c r="E1738" t="s">
        <v>552</v>
      </c>
      <c r="F1738" t="s">
        <v>534</v>
      </c>
      <c r="G1738" t="s">
        <v>23</v>
      </c>
      <c r="H1738" t="s">
        <v>535</v>
      </c>
      <c r="I1738">
        <v>84</v>
      </c>
      <c r="J1738">
        <v>8.9</v>
      </c>
      <c r="K1738" t="s">
        <v>257</v>
      </c>
      <c r="L1738" t="s">
        <v>258</v>
      </c>
      <c r="M1738" t="s">
        <v>258</v>
      </c>
      <c r="N1738" s="5">
        <v>0</v>
      </c>
    </row>
    <row r="1739" spans="1:14" x14ac:dyDescent="0.25">
      <c r="A1739" t="s">
        <v>2280</v>
      </c>
      <c r="B1739" t="s">
        <v>114</v>
      </c>
      <c r="C1739" t="str">
        <f>_xlfn.XLOOKUP(Table6[[#This Row],[app_id]],Table5[app_id],Table5[app_name],"",0)</f>
        <v>StudyCloud</v>
      </c>
      <c r="D1739" t="str">
        <f>_xlfn.XLOOKUP(Table6[[#This Row],[app_id]],Table5[app_id],Table5[category],"",0)</f>
        <v>Education</v>
      </c>
      <c r="E1739" t="s">
        <v>533</v>
      </c>
      <c r="F1739" t="s">
        <v>538</v>
      </c>
      <c r="G1739" t="s">
        <v>26</v>
      </c>
      <c r="H1739" t="s">
        <v>535</v>
      </c>
      <c r="I1739">
        <v>12</v>
      </c>
      <c r="J1739">
        <v>31.3</v>
      </c>
      <c r="K1739" t="s">
        <v>258</v>
      </c>
      <c r="L1739" t="s">
        <v>258</v>
      </c>
      <c r="M1739" t="s">
        <v>257</v>
      </c>
      <c r="N1739" s="5">
        <v>0</v>
      </c>
    </row>
    <row r="1740" spans="1:14" x14ac:dyDescent="0.25">
      <c r="A1740" t="s">
        <v>2281</v>
      </c>
      <c r="B1740" t="s">
        <v>116</v>
      </c>
      <c r="C1740" t="str">
        <f>_xlfn.XLOOKUP(Table6[[#This Row],[app_id]],Table5[app_id],Table5[app_name],"",0)</f>
        <v>SkillNow</v>
      </c>
      <c r="D1740" t="str">
        <f>_xlfn.XLOOKUP(Table6[[#This Row],[app_id]],Table5[app_id],Table5[category],"",0)</f>
        <v>Education</v>
      </c>
      <c r="E1740" t="s">
        <v>557</v>
      </c>
      <c r="F1740" t="s">
        <v>534</v>
      </c>
      <c r="G1740" t="s">
        <v>18</v>
      </c>
      <c r="H1740" t="s">
        <v>535</v>
      </c>
      <c r="I1740">
        <v>15</v>
      </c>
      <c r="J1740">
        <v>22.7</v>
      </c>
      <c r="K1740" t="s">
        <v>258</v>
      </c>
      <c r="L1740" t="s">
        <v>258</v>
      </c>
      <c r="M1740" t="s">
        <v>258</v>
      </c>
      <c r="N1740" s="5">
        <v>35.26</v>
      </c>
    </row>
    <row r="1741" spans="1:14" x14ac:dyDescent="0.25">
      <c r="A1741" t="s">
        <v>2282</v>
      </c>
      <c r="B1741" t="s">
        <v>118</v>
      </c>
      <c r="C1741" t="str">
        <f>_xlfn.XLOOKUP(Table6[[#This Row],[app_id]],Table5[app_id],Table5[app_name],"",0)</f>
        <v>LearnMate</v>
      </c>
      <c r="D1741" t="str">
        <f>_xlfn.XLOOKUP(Table6[[#This Row],[app_id]],Table5[app_id],Table5[category],"",0)</f>
        <v>Education</v>
      </c>
      <c r="E1741" t="s">
        <v>533</v>
      </c>
      <c r="F1741" t="s">
        <v>538</v>
      </c>
      <c r="G1741" t="s">
        <v>61</v>
      </c>
      <c r="H1741" t="s">
        <v>535</v>
      </c>
      <c r="I1741">
        <v>28</v>
      </c>
      <c r="J1741">
        <v>19.899999999999999</v>
      </c>
      <c r="K1741" t="s">
        <v>258</v>
      </c>
      <c r="L1741" t="s">
        <v>258</v>
      </c>
      <c r="M1741" t="s">
        <v>258</v>
      </c>
      <c r="N1741" s="5">
        <v>0</v>
      </c>
    </row>
    <row r="1742" spans="1:14" x14ac:dyDescent="0.25">
      <c r="A1742" t="s">
        <v>2283</v>
      </c>
      <c r="B1742" t="s">
        <v>120</v>
      </c>
      <c r="C1742" t="str">
        <f>_xlfn.XLOOKUP(Table6[[#This Row],[app_id]],Table5[app_id],Table5[app_name],"",0)</f>
        <v>QuestNow</v>
      </c>
      <c r="D1742" t="str">
        <f>_xlfn.XLOOKUP(Table6[[#This Row],[app_id]],Table5[app_id],Table5[category],"",0)</f>
        <v>Education</v>
      </c>
      <c r="E1742" t="s">
        <v>546</v>
      </c>
      <c r="F1742" t="s">
        <v>538</v>
      </c>
      <c r="G1742" t="s">
        <v>26</v>
      </c>
      <c r="H1742" t="s">
        <v>535</v>
      </c>
      <c r="I1742">
        <v>13</v>
      </c>
      <c r="J1742">
        <v>28.3</v>
      </c>
      <c r="K1742" t="s">
        <v>258</v>
      </c>
      <c r="L1742" t="s">
        <v>257</v>
      </c>
      <c r="M1742" t="s">
        <v>257</v>
      </c>
      <c r="N1742" s="5">
        <v>25.3</v>
      </c>
    </row>
    <row r="1743" spans="1:14" x14ac:dyDescent="0.25">
      <c r="A1743" t="s">
        <v>2284</v>
      </c>
      <c r="B1743" t="s">
        <v>122</v>
      </c>
      <c r="C1743" t="str">
        <f>_xlfn.XLOOKUP(Table6[[#This Row],[app_id]],Table5[app_id],Table5[app_name],"",0)</f>
        <v>SkillHub</v>
      </c>
      <c r="D1743" t="str">
        <f>_xlfn.XLOOKUP(Table6[[#This Row],[app_id]],Table5[app_id],Table5[category],"",0)</f>
        <v>Education</v>
      </c>
      <c r="E1743" t="s">
        <v>533</v>
      </c>
      <c r="F1743" t="s">
        <v>548</v>
      </c>
      <c r="G1743" t="s">
        <v>61</v>
      </c>
      <c r="H1743" t="s">
        <v>540</v>
      </c>
      <c r="I1743">
        <v>21</v>
      </c>
      <c r="J1743">
        <v>21.3</v>
      </c>
      <c r="K1743" t="s">
        <v>258</v>
      </c>
      <c r="L1743" t="s">
        <v>257</v>
      </c>
      <c r="M1743" t="s">
        <v>258</v>
      </c>
      <c r="N1743" s="5">
        <v>0</v>
      </c>
    </row>
    <row r="1744" spans="1:14" x14ac:dyDescent="0.25">
      <c r="A1744" t="s">
        <v>2285</v>
      </c>
      <c r="B1744" t="s">
        <v>124</v>
      </c>
      <c r="C1744" t="str">
        <f>_xlfn.XLOOKUP(Table6[[#This Row],[app_id]],Table5[app_id],Table5[app_name],"",0)</f>
        <v>TutorCloud</v>
      </c>
      <c r="D1744" t="str">
        <f>_xlfn.XLOOKUP(Table6[[#This Row],[app_id]],Table5[app_id],Table5[category],"",0)</f>
        <v>Education</v>
      </c>
      <c r="E1744" t="s">
        <v>537</v>
      </c>
      <c r="F1744" t="s">
        <v>534</v>
      </c>
      <c r="G1744" t="s">
        <v>46</v>
      </c>
      <c r="H1744" t="s">
        <v>535</v>
      </c>
      <c r="I1744">
        <v>24</v>
      </c>
      <c r="J1744">
        <v>22.6</v>
      </c>
      <c r="K1744" t="s">
        <v>258</v>
      </c>
      <c r="L1744" t="s">
        <v>258</v>
      </c>
      <c r="M1744" t="s">
        <v>257</v>
      </c>
      <c r="N1744" s="5">
        <v>21.56</v>
      </c>
    </row>
    <row r="1745" spans="1:14" x14ac:dyDescent="0.25">
      <c r="A1745" t="s">
        <v>2286</v>
      </c>
      <c r="B1745" t="s">
        <v>126</v>
      </c>
      <c r="C1745" t="str">
        <f>_xlfn.XLOOKUP(Table6[[#This Row],[app_id]],Table5[app_id],Table5[app_name],"",0)</f>
        <v>SkillOne</v>
      </c>
      <c r="D1745" t="str">
        <f>_xlfn.XLOOKUP(Table6[[#This Row],[app_id]],Table5[app_id],Table5[category],"",0)</f>
        <v>Education</v>
      </c>
      <c r="E1745" t="s">
        <v>546</v>
      </c>
      <c r="F1745" t="s">
        <v>548</v>
      </c>
      <c r="G1745" t="s">
        <v>30</v>
      </c>
      <c r="H1745" t="s">
        <v>540</v>
      </c>
      <c r="I1745">
        <v>44</v>
      </c>
      <c r="J1745">
        <v>11.9</v>
      </c>
      <c r="K1745" t="s">
        <v>257</v>
      </c>
      <c r="L1745" t="s">
        <v>257</v>
      </c>
      <c r="M1745" t="s">
        <v>258</v>
      </c>
      <c r="N1745" s="5">
        <v>0</v>
      </c>
    </row>
    <row r="1746" spans="1:14" x14ac:dyDescent="0.25">
      <c r="A1746" t="s">
        <v>2287</v>
      </c>
      <c r="B1746" t="s">
        <v>128</v>
      </c>
      <c r="C1746" t="str">
        <f>_xlfn.XLOOKUP(Table6[[#This Row],[app_id]],Table5[app_id],Table5[app_name],"",0)</f>
        <v>LearnOne</v>
      </c>
      <c r="D1746" t="str">
        <f>_xlfn.XLOOKUP(Table6[[#This Row],[app_id]],Table5[app_id],Table5[category],"",0)</f>
        <v>Education</v>
      </c>
      <c r="E1746" t="s">
        <v>546</v>
      </c>
      <c r="F1746" t="s">
        <v>538</v>
      </c>
      <c r="G1746" t="s">
        <v>46</v>
      </c>
      <c r="H1746" t="s">
        <v>535</v>
      </c>
      <c r="I1746">
        <v>18</v>
      </c>
      <c r="J1746">
        <v>30.9</v>
      </c>
      <c r="K1746" t="s">
        <v>258</v>
      </c>
      <c r="L1746" t="s">
        <v>257</v>
      </c>
      <c r="M1746" t="s">
        <v>258</v>
      </c>
      <c r="N1746" s="5">
        <v>44.08</v>
      </c>
    </row>
    <row r="1747" spans="1:14" x14ac:dyDescent="0.25">
      <c r="A1747" t="s">
        <v>2288</v>
      </c>
      <c r="B1747" t="s">
        <v>130</v>
      </c>
      <c r="C1747" t="str">
        <f>_xlfn.XLOOKUP(Table6[[#This Row],[app_id]],Table5[app_id],Table5[app_name],"",0)</f>
        <v>LearnPlus</v>
      </c>
      <c r="D1747" t="str">
        <f>_xlfn.XLOOKUP(Table6[[#This Row],[app_id]],Table5[app_id],Table5[category],"",0)</f>
        <v>Education</v>
      </c>
      <c r="E1747" t="s">
        <v>533</v>
      </c>
      <c r="F1747" t="s">
        <v>534</v>
      </c>
      <c r="G1747" t="s">
        <v>69</v>
      </c>
      <c r="H1747" t="s">
        <v>535</v>
      </c>
      <c r="I1747">
        <v>23</v>
      </c>
      <c r="J1747">
        <v>40.5</v>
      </c>
      <c r="K1747" t="s">
        <v>258</v>
      </c>
      <c r="L1747" t="s">
        <v>257</v>
      </c>
      <c r="M1747" t="s">
        <v>258</v>
      </c>
      <c r="N1747" s="5">
        <v>0</v>
      </c>
    </row>
    <row r="1748" spans="1:14" x14ac:dyDescent="0.25">
      <c r="A1748" t="s">
        <v>2289</v>
      </c>
      <c r="B1748" t="s">
        <v>132</v>
      </c>
      <c r="C1748" t="str">
        <f>_xlfn.XLOOKUP(Table6[[#This Row],[app_id]],Table5[app_id],Table5[app_name],"",0)</f>
        <v>StudyPlus</v>
      </c>
      <c r="D1748" t="str">
        <f>_xlfn.XLOOKUP(Table6[[#This Row],[app_id]],Table5[app_id],Table5[category],"",0)</f>
        <v>Education</v>
      </c>
      <c r="E1748" t="s">
        <v>537</v>
      </c>
      <c r="F1748" t="s">
        <v>534</v>
      </c>
      <c r="G1748" t="s">
        <v>46</v>
      </c>
      <c r="H1748" t="s">
        <v>540</v>
      </c>
      <c r="I1748">
        <v>24</v>
      </c>
      <c r="J1748">
        <v>24</v>
      </c>
      <c r="K1748" t="s">
        <v>258</v>
      </c>
      <c r="L1748" t="s">
        <v>258</v>
      </c>
      <c r="M1748" t="s">
        <v>258</v>
      </c>
      <c r="N1748" s="5">
        <v>0</v>
      </c>
    </row>
    <row r="1749" spans="1:14" x14ac:dyDescent="0.25">
      <c r="A1749" t="s">
        <v>2290</v>
      </c>
      <c r="B1749" t="s">
        <v>134</v>
      </c>
      <c r="C1749" t="str">
        <f>_xlfn.XLOOKUP(Table6[[#This Row],[app_id]],Table5[app_id],Table5[app_name],"",0)</f>
        <v>StudyX</v>
      </c>
      <c r="D1749" t="str">
        <f>_xlfn.XLOOKUP(Table6[[#This Row],[app_id]],Table5[app_id],Table5[category],"",0)</f>
        <v>Education</v>
      </c>
      <c r="E1749" t="s">
        <v>533</v>
      </c>
      <c r="F1749" t="s">
        <v>534</v>
      </c>
      <c r="G1749" t="s">
        <v>18</v>
      </c>
      <c r="H1749" t="s">
        <v>540</v>
      </c>
      <c r="I1749">
        <v>51</v>
      </c>
      <c r="J1749">
        <v>23.9</v>
      </c>
      <c r="K1749" t="s">
        <v>257</v>
      </c>
      <c r="L1749" t="s">
        <v>258</v>
      </c>
      <c r="M1749" t="s">
        <v>257</v>
      </c>
      <c r="N1749" s="5">
        <v>30.48</v>
      </c>
    </row>
    <row r="1750" spans="1:14" x14ac:dyDescent="0.25">
      <c r="A1750" t="s">
        <v>2291</v>
      </c>
      <c r="B1750" t="s">
        <v>136</v>
      </c>
      <c r="C1750" t="str">
        <f>_xlfn.XLOOKUP(Table6[[#This Row],[app_id]],Table5[app_id],Table5[app_name],"",0)</f>
        <v>PlayPlus</v>
      </c>
      <c r="D1750" t="str">
        <f>_xlfn.XLOOKUP(Table6[[#This Row],[app_id]],Table5[app_id],Table5[category],"",0)</f>
        <v>Entertainment</v>
      </c>
      <c r="E1750" t="s">
        <v>533</v>
      </c>
      <c r="F1750" t="s">
        <v>538</v>
      </c>
      <c r="G1750" t="s">
        <v>35</v>
      </c>
      <c r="H1750" t="s">
        <v>535</v>
      </c>
      <c r="I1750">
        <v>71</v>
      </c>
      <c r="J1750">
        <v>15.6</v>
      </c>
      <c r="K1750" t="s">
        <v>257</v>
      </c>
      <c r="L1750" t="s">
        <v>258</v>
      </c>
      <c r="M1750" t="s">
        <v>258</v>
      </c>
      <c r="N1750" s="5">
        <v>0</v>
      </c>
    </row>
    <row r="1751" spans="1:14" x14ac:dyDescent="0.25">
      <c r="A1751" t="s">
        <v>2292</v>
      </c>
      <c r="B1751" t="s">
        <v>139</v>
      </c>
      <c r="C1751" t="str">
        <f>_xlfn.XLOOKUP(Table6[[#This Row],[app_id]],Table5[app_id],Table5[app_name],"",0)</f>
        <v>ShowMate</v>
      </c>
      <c r="D1751" t="str">
        <f>_xlfn.XLOOKUP(Table6[[#This Row],[app_id]],Table5[app_id],Table5[category],"",0)</f>
        <v>Entertainment</v>
      </c>
      <c r="E1751" t="s">
        <v>546</v>
      </c>
      <c r="F1751" t="s">
        <v>534</v>
      </c>
      <c r="G1751" t="s">
        <v>69</v>
      </c>
      <c r="H1751" t="s">
        <v>535</v>
      </c>
      <c r="I1751">
        <v>19</v>
      </c>
      <c r="J1751">
        <v>8.4</v>
      </c>
      <c r="K1751" t="s">
        <v>258</v>
      </c>
      <c r="L1751" t="s">
        <v>257</v>
      </c>
      <c r="M1751" t="s">
        <v>257</v>
      </c>
      <c r="N1751" s="5">
        <v>48.6</v>
      </c>
    </row>
    <row r="1752" spans="1:14" x14ac:dyDescent="0.25">
      <c r="A1752" t="s">
        <v>2293</v>
      </c>
      <c r="B1752" t="s">
        <v>141</v>
      </c>
      <c r="C1752" t="str">
        <f>_xlfn.XLOOKUP(Table6[[#This Row],[app_id]],Table5[app_id],Table5[app_name],"",0)</f>
        <v>VibeX</v>
      </c>
      <c r="D1752" t="str">
        <f>_xlfn.XLOOKUP(Table6[[#This Row],[app_id]],Table5[app_id],Table5[category],"",0)</f>
        <v>Entertainment</v>
      </c>
      <c r="E1752" t="s">
        <v>537</v>
      </c>
      <c r="F1752" t="s">
        <v>534</v>
      </c>
      <c r="G1752" t="s">
        <v>18</v>
      </c>
      <c r="H1752" t="s">
        <v>535</v>
      </c>
      <c r="I1752">
        <v>8</v>
      </c>
      <c r="J1752">
        <v>15.2</v>
      </c>
      <c r="K1752" t="s">
        <v>258</v>
      </c>
      <c r="L1752" t="s">
        <v>257</v>
      </c>
      <c r="M1752" t="s">
        <v>257</v>
      </c>
      <c r="N1752" s="5">
        <v>21.51</v>
      </c>
    </row>
    <row r="1753" spans="1:14" x14ac:dyDescent="0.25">
      <c r="A1753" t="s">
        <v>2294</v>
      </c>
      <c r="B1753" t="s">
        <v>143</v>
      </c>
      <c r="C1753" t="str">
        <f>_xlfn.XLOOKUP(Table6[[#This Row],[app_id]],Table5[app_id],Table5[app_name],"",0)</f>
        <v>BuzzNow</v>
      </c>
      <c r="D1753" t="str">
        <f>_xlfn.XLOOKUP(Table6[[#This Row],[app_id]],Table5[app_id],Table5[category],"",0)</f>
        <v>Entertainment</v>
      </c>
      <c r="E1753" t="s">
        <v>537</v>
      </c>
      <c r="F1753" t="s">
        <v>534</v>
      </c>
      <c r="G1753" t="s">
        <v>26</v>
      </c>
      <c r="H1753" t="s">
        <v>535</v>
      </c>
      <c r="I1753">
        <v>39</v>
      </c>
      <c r="J1753">
        <v>26.8</v>
      </c>
      <c r="K1753" t="s">
        <v>257</v>
      </c>
      <c r="L1753" t="s">
        <v>257</v>
      </c>
      <c r="M1753" t="s">
        <v>258</v>
      </c>
      <c r="N1753" s="5">
        <v>0</v>
      </c>
    </row>
    <row r="1754" spans="1:14" x14ac:dyDescent="0.25">
      <c r="A1754" t="s">
        <v>2295</v>
      </c>
      <c r="B1754" t="s">
        <v>145</v>
      </c>
      <c r="C1754" t="str">
        <f>_xlfn.XLOOKUP(Table6[[#This Row],[app_id]],Table5[app_id],Table5[app_name],"",0)</f>
        <v>StreamPlus</v>
      </c>
      <c r="D1754" t="str">
        <f>_xlfn.XLOOKUP(Table6[[#This Row],[app_id]],Table5[app_id],Table5[category],"",0)</f>
        <v>Entertainment</v>
      </c>
      <c r="E1754" t="s">
        <v>546</v>
      </c>
      <c r="F1754" t="s">
        <v>534</v>
      </c>
      <c r="G1754" t="s">
        <v>61</v>
      </c>
      <c r="H1754" t="s">
        <v>535</v>
      </c>
      <c r="I1754">
        <v>90</v>
      </c>
      <c r="J1754">
        <v>39.1</v>
      </c>
      <c r="K1754" t="s">
        <v>257</v>
      </c>
      <c r="L1754" t="s">
        <v>257</v>
      </c>
      <c r="M1754" t="s">
        <v>258</v>
      </c>
      <c r="N1754" s="5">
        <v>0</v>
      </c>
    </row>
    <row r="1755" spans="1:14" x14ac:dyDescent="0.25">
      <c r="A1755" t="s">
        <v>2296</v>
      </c>
      <c r="B1755" t="s">
        <v>147</v>
      </c>
      <c r="C1755" t="str">
        <f>_xlfn.XLOOKUP(Table6[[#This Row],[app_id]],Table5[app_id],Table5[app_name],"",0)</f>
        <v>Showly</v>
      </c>
      <c r="D1755" t="str">
        <f>_xlfn.XLOOKUP(Table6[[#This Row],[app_id]],Table5[app_id],Table5[category],"",0)</f>
        <v>Entertainment</v>
      </c>
      <c r="E1755" t="s">
        <v>537</v>
      </c>
      <c r="F1755" t="s">
        <v>538</v>
      </c>
      <c r="G1755" t="s">
        <v>23</v>
      </c>
      <c r="H1755" t="s">
        <v>540</v>
      </c>
      <c r="I1755">
        <v>39</v>
      </c>
      <c r="J1755">
        <v>33.799999999999997</v>
      </c>
      <c r="K1755" t="s">
        <v>257</v>
      </c>
      <c r="L1755" t="s">
        <v>257</v>
      </c>
      <c r="M1755" t="s">
        <v>258</v>
      </c>
      <c r="N1755" s="5">
        <v>0</v>
      </c>
    </row>
    <row r="1756" spans="1:14" x14ac:dyDescent="0.25">
      <c r="A1756" t="s">
        <v>2297</v>
      </c>
      <c r="B1756" t="s">
        <v>149</v>
      </c>
      <c r="C1756" t="str">
        <f>_xlfn.XLOOKUP(Table6[[#This Row],[app_id]],Table5[app_id],Table5[app_name],"",0)</f>
        <v>BuzzOne</v>
      </c>
      <c r="D1756" t="str">
        <f>_xlfn.XLOOKUP(Table6[[#This Row],[app_id]],Table5[app_id],Table5[category],"",0)</f>
        <v>Entertainment</v>
      </c>
      <c r="E1756" t="s">
        <v>557</v>
      </c>
      <c r="F1756" t="s">
        <v>538</v>
      </c>
      <c r="G1756" t="s">
        <v>35</v>
      </c>
      <c r="H1756" t="s">
        <v>535</v>
      </c>
      <c r="I1756">
        <v>91</v>
      </c>
      <c r="J1756">
        <v>14.5</v>
      </c>
      <c r="K1756" t="s">
        <v>257</v>
      </c>
      <c r="L1756" t="s">
        <v>257</v>
      </c>
      <c r="M1756" t="s">
        <v>258</v>
      </c>
      <c r="N1756" s="5">
        <v>0</v>
      </c>
    </row>
    <row r="1757" spans="1:14" x14ac:dyDescent="0.25">
      <c r="A1757" t="s">
        <v>2298</v>
      </c>
      <c r="B1757" t="s">
        <v>151</v>
      </c>
      <c r="C1757" t="str">
        <f>_xlfn.XLOOKUP(Table6[[#This Row],[app_id]],Table5[app_id],Table5[app_name],"",0)</f>
        <v>PlayHub</v>
      </c>
      <c r="D1757" t="str">
        <f>_xlfn.XLOOKUP(Table6[[#This Row],[app_id]],Table5[app_id],Table5[category],"",0)</f>
        <v>Entertainment</v>
      </c>
      <c r="E1757" t="s">
        <v>552</v>
      </c>
      <c r="F1757" t="s">
        <v>538</v>
      </c>
      <c r="G1757" t="s">
        <v>35</v>
      </c>
      <c r="H1757" t="s">
        <v>535</v>
      </c>
      <c r="I1757">
        <v>61</v>
      </c>
      <c r="J1757">
        <v>32.700000000000003</v>
      </c>
      <c r="K1757" t="s">
        <v>257</v>
      </c>
      <c r="L1757" t="s">
        <v>257</v>
      </c>
      <c r="M1757" t="s">
        <v>258</v>
      </c>
      <c r="N1757" s="5">
        <v>29.16</v>
      </c>
    </row>
    <row r="1758" spans="1:14" x14ac:dyDescent="0.25">
      <c r="A1758" t="s">
        <v>2299</v>
      </c>
      <c r="B1758" t="s">
        <v>153</v>
      </c>
      <c r="C1758" t="str">
        <f>_xlfn.XLOOKUP(Table6[[#This Row],[app_id]],Table5[app_id],Table5[app_name],"",0)</f>
        <v>CinemaGo</v>
      </c>
      <c r="D1758" t="str">
        <f>_xlfn.XLOOKUP(Table6[[#This Row],[app_id]],Table5[app_id],Table5[category],"",0)</f>
        <v>Entertainment</v>
      </c>
      <c r="E1758" t="s">
        <v>546</v>
      </c>
      <c r="F1758" t="s">
        <v>534</v>
      </c>
      <c r="G1758" t="s">
        <v>26</v>
      </c>
      <c r="H1758" t="s">
        <v>535</v>
      </c>
      <c r="I1758">
        <v>46</v>
      </c>
      <c r="J1758">
        <v>17.7</v>
      </c>
      <c r="K1758" t="s">
        <v>257</v>
      </c>
      <c r="L1758" t="s">
        <v>257</v>
      </c>
      <c r="M1758" t="s">
        <v>258</v>
      </c>
      <c r="N1758" s="5">
        <v>0</v>
      </c>
    </row>
    <row r="1759" spans="1:14" x14ac:dyDescent="0.25">
      <c r="A1759" t="s">
        <v>2300</v>
      </c>
      <c r="B1759" t="s">
        <v>155</v>
      </c>
      <c r="C1759" t="str">
        <f>_xlfn.XLOOKUP(Table6[[#This Row],[app_id]],Table5[app_id],Table5[app_name],"",0)</f>
        <v>LaughX</v>
      </c>
      <c r="D1759" t="str">
        <f>_xlfn.XLOOKUP(Table6[[#This Row],[app_id]],Table5[app_id],Table5[category],"",0)</f>
        <v>Entertainment</v>
      </c>
      <c r="E1759" t="s">
        <v>533</v>
      </c>
      <c r="F1759" t="s">
        <v>538</v>
      </c>
      <c r="G1759" t="s">
        <v>35</v>
      </c>
      <c r="H1759" t="s">
        <v>535</v>
      </c>
      <c r="I1759">
        <v>14</v>
      </c>
      <c r="J1759">
        <v>9.1</v>
      </c>
      <c r="K1759" t="s">
        <v>258</v>
      </c>
      <c r="L1759" t="s">
        <v>257</v>
      </c>
      <c r="M1759" t="s">
        <v>257</v>
      </c>
      <c r="N1759" s="5">
        <v>0</v>
      </c>
    </row>
    <row r="1760" spans="1:14" x14ac:dyDescent="0.25">
      <c r="A1760" t="s">
        <v>2301</v>
      </c>
      <c r="B1760" t="s">
        <v>157</v>
      </c>
      <c r="C1760" t="str">
        <f>_xlfn.XLOOKUP(Table6[[#This Row],[app_id]],Table5[app_id],Table5[app_name],"",0)</f>
        <v>CinemaHub</v>
      </c>
      <c r="D1760" t="str">
        <f>_xlfn.XLOOKUP(Table6[[#This Row],[app_id]],Table5[app_id],Table5[category],"",0)</f>
        <v>Entertainment</v>
      </c>
      <c r="E1760" t="s">
        <v>533</v>
      </c>
      <c r="F1760" t="s">
        <v>538</v>
      </c>
      <c r="G1760" t="s">
        <v>61</v>
      </c>
      <c r="H1760" t="s">
        <v>535</v>
      </c>
      <c r="I1760">
        <v>52</v>
      </c>
      <c r="J1760">
        <v>20.9</v>
      </c>
      <c r="K1760" t="s">
        <v>257</v>
      </c>
      <c r="L1760" t="s">
        <v>257</v>
      </c>
      <c r="M1760" t="s">
        <v>258</v>
      </c>
      <c r="N1760" s="5">
        <v>0</v>
      </c>
    </row>
    <row r="1761" spans="1:14" x14ac:dyDescent="0.25">
      <c r="A1761" t="s">
        <v>2302</v>
      </c>
      <c r="B1761" t="s">
        <v>159</v>
      </c>
      <c r="C1761" t="str">
        <f>_xlfn.XLOOKUP(Table6[[#This Row],[app_id]],Table5[app_id],Table5[app_name],"",0)</f>
        <v>ShowPro</v>
      </c>
      <c r="D1761" t="str">
        <f>_xlfn.XLOOKUP(Table6[[#This Row],[app_id]],Table5[app_id],Table5[category],"",0)</f>
        <v>Entertainment</v>
      </c>
      <c r="E1761" t="s">
        <v>537</v>
      </c>
      <c r="F1761" t="s">
        <v>534</v>
      </c>
      <c r="G1761" t="s">
        <v>30</v>
      </c>
      <c r="H1761" t="s">
        <v>535</v>
      </c>
      <c r="I1761">
        <v>28</v>
      </c>
      <c r="J1761">
        <v>35.200000000000003</v>
      </c>
      <c r="K1761" t="s">
        <v>257</v>
      </c>
      <c r="L1761" t="s">
        <v>257</v>
      </c>
      <c r="M1761" t="s">
        <v>258</v>
      </c>
      <c r="N1761" s="5">
        <v>0</v>
      </c>
    </row>
    <row r="1762" spans="1:14" x14ac:dyDescent="0.25">
      <c r="A1762" t="s">
        <v>2303</v>
      </c>
      <c r="B1762" t="s">
        <v>161</v>
      </c>
      <c r="C1762" t="str">
        <f>_xlfn.XLOOKUP(Table6[[#This Row],[app_id]],Table5[app_id],Table5[app_name],"",0)</f>
        <v>FoodPlus</v>
      </c>
      <c r="D1762" t="str">
        <f>_xlfn.XLOOKUP(Table6[[#This Row],[app_id]],Table5[app_id],Table5[category],"",0)</f>
        <v>Food Delivery</v>
      </c>
      <c r="E1762" t="s">
        <v>537</v>
      </c>
      <c r="F1762" t="s">
        <v>534</v>
      </c>
      <c r="G1762" t="s">
        <v>30</v>
      </c>
      <c r="H1762" t="s">
        <v>535</v>
      </c>
      <c r="I1762">
        <v>72</v>
      </c>
      <c r="J1762">
        <v>4.5999999999999996</v>
      </c>
      <c r="K1762" t="s">
        <v>257</v>
      </c>
      <c r="L1762" t="s">
        <v>258</v>
      </c>
      <c r="M1762" t="s">
        <v>257</v>
      </c>
      <c r="N1762" s="5">
        <v>0</v>
      </c>
    </row>
    <row r="1763" spans="1:14" x14ac:dyDescent="0.25">
      <c r="A1763" t="s">
        <v>2304</v>
      </c>
      <c r="B1763" t="s">
        <v>164</v>
      </c>
      <c r="C1763" t="str">
        <f>_xlfn.XLOOKUP(Table6[[#This Row],[app_id]],Table5[app_id],Table5[app_name],"",0)</f>
        <v>BiteGo</v>
      </c>
      <c r="D1763" t="str">
        <f>_xlfn.XLOOKUP(Table6[[#This Row],[app_id]],Table5[app_id],Table5[category],"",0)</f>
        <v>Food Delivery</v>
      </c>
      <c r="E1763" t="s">
        <v>533</v>
      </c>
      <c r="F1763" t="s">
        <v>534</v>
      </c>
      <c r="G1763" t="s">
        <v>26</v>
      </c>
      <c r="H1763" t="s">
        <v>535</v>
      </c>
      <c r="I1763">
        <v>11</v>
      </c>
      <c r="J1763">
        <v>5</v>
      </c>
      <c r="K1763" t="s">
        <v>258</v>
      </c>
      <c r="L1763" t="s">
        <v>257</v>
      </c>
      <c r="M1763" t="s">
        <v>257</v>
      </c>
      <c r="N1763" s="5">
        <v>0</v>
      </c>
    </row>
    <row r="1764" spans="1:14" x14ac:dyDescent="0.25">
      <c r="A1764" t="s">
        <v>2305</v>
      </c>
      <c r="B1764" t="s">
        <v>166</v>
      </c>
      <c r="C1764" t="str">
        <f>_xlfn.XLOOKUP(Table6[[#This Row],[app_id]],Table5[app_id],Table5[app_name],"",0)</f>
        <v>OrderCloud</v>
      </c>
      <c r="D1764" t="str">
        <f>_xlfn.XLOOKUP(Table6[[#This Row],[app_id]],Table5[app_id],Table5[category],"",0)</f>
        <v>Food Delivery</v>
      </c>
      <c r="E1764" t="s">
        <v>537</v>
      </c>
      <c r="F1764" t="s">
        <v>538</v>
      </c>
      <c r="G1764" t="s">
        <v>35</v>
      </c>
      <c r="H1764" t="s">
        <v>535</v>
      </c>
      <c r="I1764">
        <v>14</v>
      </c>
      <c r="J1764">
        <v>8.4</v>
      </c>
      <c r="K1764" t="s">
        <v>258</v>
      </c>
      <c r="L1764" t="s">
        <v>257</v>
      </c>
      <c r="M1764" t="s">
        <v>258</v>
      </c>
      <c r="N1764" s="5">
        <v>0</v>
      </c>
    </row>
    <row r="1765" spans="1:14" x14ac:dyDescent="0.25">
      <c r="A1765" t="s">
        <v>2306</v>
      </c>
      <c r="B1765" t="s">
        <v>168</v>
      </c>
      <c r="C1765" t="str">
        <f>_xlfn.XLOOKUP(Table6[[#This Row],[app_id]],Table5[app_id],Table5[app_name],"",0)</f>
        <v>DinePlus</v>
      </c>
      <c r="D1765" t="str">
        <f>_xlfn.XLOOKUP(Table6[[#This Row],[app_id]],Table5[app_id],Table5[category],"",0)</f>
        <v>Food Delivery</v>
      </c>
      <c r="E1765" t="s">
        <v>546</v>
      </c>
      <c r="F1765" t="s">
        <v>538</v>
      </c>
      <c r="G1765" t="s">
        <v>23</v>
      </c>
      <c r="H1765" t="s">
        <v>535</v>
      </c>
      <c r="I1765">
        <v>14</v>
      </c>
      <c r="J1765">
        <v>23.8</v>
      </c>
      <c r="K1765" t="s">
        <v>258</v>
      </c>
      <c r="L1765" t="s">
        <v>257</v>
      </c>
      <c r="M1765" t="s">
        <v>258</v>
      </c>
      <c r="N1765" s="5">
        <v>2.5499999999999998</v>
      </c>
    </row>
    <row r="1766" spans="1:14" x14ac:dyDescent="0.25">
      <c r="A1766" t="s">
        <v>2307</v>
      </c>
      <c r="B1766" t="s">
        <v>170</v>
      </c>
      <c r="C1766" t="str">
        <f>_xlfn.XLOOKUP(Table6[[#This Row],[app_id]],Table5[app_id],Table5[app_name],"",0)</f>
        <v>SnackX</v>
      </c>
      <c r="D1766" t="str">
        <f>_xlfn.XLOOKUP(Table6[[#This Row],[app_id]],Table5[app_id],Table5[category],"",0)</f>
        <v>Food Delivery</v>
      </c>
      <c r="E1766" t="s">
        <v>533</v>
      </c>
      <c r="F1766" t="s">
        <v>534</v>
      </c>
      <c r="G1766" t="s">
        <v>18</v>
      </c>
      <c r="H1766" t="s">
        <v>535</v>
      </c>
      <c r="I1766">
        <v>19</v>
      </c>
      <c r="J1766">
        <v>9.9</v>
      </c>
      <c r="K1766" t="s">
        <v>257</v>
      </c>
      <c r="L1766" t="s">
        <v>257</v>
      </c>
      <c r="M1766" t="s">
        <v>258</v>
      </c>
      <c r="N1766" s="5">
        <v>8.94</v>
      </c>
    </row>
    <row r="1767" spans="1:14" x14ac:dyDescent="0.25">
      <c r="A1767" t="s">
        <v>2308</v>
      </c>
      <c r="B1767" t="s">
        <v>172</v>
      </c>
      <c r="C1767" t="str">
        <f>_xlfn.XLOOKUP(Table6[[#This Row],[app_id]],Table5[app_id],Table5[app_name],"",0)</f>
        <v>FoodOne</v>
      </c>
      <c r="D1767" t="str">
        <f>_xlfn.XLOOKUP(Table6[[#This Row],[app_id]],Table5[app_id],Table5[category],"",0)</f>
        <v>Food Delivery</v>
      </c>
      <c r="E1767" t="s">
        <v>533</v>
      </c>
      <c r="F1767" t="s">
        <v>534</v>
      </c>
      <c r="G1767" t="s">
        <v>26</v>
      </c>
      <c r="H1767" t="s">
        <v>535</v>
      </c>
      <c r="I1767">
        <v>73</v>
      </c>
      <c r="J1767">
        <v>9.1</v>
      </c>
      <c r="K1767" t="s">
        <v>257</v>
      </c>
      <c r="L1767" t="s">
        <v>257</v>
      </c>
      <c r="M1767" t="s">
        <v>258</v>
      </c>
      <c r="N1767" s="5">
        <v>0</v>
      </c>
    </row>
    <row r="1768" spans="1:14" x14ac:dyDescent="0.25">
      <c r="A1768" t="s">
        <v>2309</v>
      </c>
      <c r="B1768" t="s">
        <v>174</v>
      </c>
      <c r="C1768" t="str">
        <f>_xlfn.XLOOKUP(Table6[[#This Row],[app_id]],Table5[app_id],Table5[app_name],"",0)</f>
        <v>MealMate</v>
      </c>
      <c r="D1768" t="str">
        <f>_xlfn.XLOOKUP(Table6[[#This Row],[app_id]],Table5[app_id],Table5[category],"",0)</f>
        <v>Food Delivery</v>
      </c>
      <c r="E1768" t="s">
        <v>533</v>
      </c>
      <c r="F1768" t="s">
        <v>534</v>
      </c>
      <c r="G1768" t="s">
        <v>26</v>
      </c>
      <c r="H1768" t="s">
        <v>535</v>
      </c>
      <c r="I1768">
        <v>62</v>
      </c>
      <c r="J1768">
        <v>22.3</v>
      </c>
      <c r="K1768" t="s">
        <v>257</v>
      </c>
      <c r="L1768" t="s">
        <v>257</v>
      </c>
      <c r="M1768" t="s">
        <v>258</v>
      </c>
      <c r="N1768" s="5">
        <v>0</v>
      </c>
    </row>
    <row r="1769" spans="1:14" x14ac:dyDescent="0.25">
      <c r="A1769" t="s">
        <v>2310</v>
      </c>
      <c r="B1769" t="s">
        <v>176</v>
      </c>
      <c r="C1769" t="str">
        <f>_xlfn.XLOOKUP(Table6[[#This Row],[app_id]],Table5[app_id],Table5[app_name],"",0)</f>
        <v>SnackHub</v>
      </c>
      <c r="D1769" t="str">
        <f>_xlfn.XLOOKUP(Table6[[#This Row],[app_id]],Table5[app_id],Table5[category],"",0)</f>
        <v>Food Delivery</v>
      </c>
      <c r="E1769" t="s">
        <v>533</v>
      </c>
      <c r="F1769" t="s">
        <v>534</v>
      </c>
      <c r="G1769" t="s">
        <v>35</v>
      </c>
      <c r="H1769" t="s">
        <v>535</v>
      </c>
      <c r="I1769">
        <v>3</v>
      </c>
      <c r="J1769">
        <v>12.1</v>
      </c>
      <c r="K1769" t="s">
        <v>258</v>
      </c>
      <c r="L1769" t="s">
        <v>258</v>
      </c>
      <c r="M1769" t="s">
        <v>257</v>
      </c>
      <c r="N1769" s="5">
        <v>0</v>
      </c>
    </row>
    <row r="1770" spans="1:14" x14ac:dyDescent="0.25">
      <c r="A1770" t="s">
        <v>2311</v>
      </c>
      <c r="B1770" t="s">
        <v>178</v>
      </c>
      <c r="C1770" t="str">
        <f>_xlfn.XLOOKUP(Table6[[#This Row],[app_id]],Table5[app_id],Table5[app_name],"",0)</f>
        <v>BiteCloud</v>
      </c>
      <c r="D1770" t="str">
        <f>_xlfn.XLOOKUP(Table6[[#This Row],[app_id]],Table5[app_id],Table5[category],"",0)</f>
        <v>Food Delivery</v>
      </c>
      <c r="E1770" t="s">
        <v>533</v>
      </c>
      <c r="F1770" t="s">
        <v>534</v>
      </c>
      <c r="G1770" t="s">
        <v>46</v>
      </c>
      <c r="H1770" t="s">
        <v>535</v>
      </c>
      <c r="I1770">
        <v>23</v>
      </c>
      <c r="J1770">
        <v>6.6</v>
      </c>
      <c r="K1770" t="s">
        <v>258</v>
      </c>
      <c r="L1770" t="s">
        <v>258</v>
      </c>
      <c r="M1770" t="s">
        <v>258</v>
      </c>
      <c r="N1770" s="5">
        <v>37.44</v>
      </c>
    </row>
    <row r="1771" spans="1:14" x14ac:dyDescent="0.25">
      <c r="A1771" t="s">
        <v>2312</v>
      </c>
      <c r="B1771" t="s">
        <v>180</v>
      </c>
      <c r="C1771" t="str">
        <f>_xlfn.XLOOKUP(Table6[[#This Row],[app_id]],Table5[app_id],Table5[app_name],"",0)</f>
        <v>PlatePlus</v>
      </c>
      <c r="D1771" t="str">
        <f>_xlfn.XLOOKUP(Table6[[#This Row],[app_id]],Table5[app_id],Table5[category],"",0)</f>
        <v>Food Delivery</v>
      </c>
      <c r="E1771" t="s">
        <v>533</v>
      </c>
      <c r="F1771" t="s">
        <v>538</v>
      </c>
      <c r="G1771" t="s">
        <v>69</v>
      </c>
      <c r="H1771" t="s">
        <v>535</v>
      </c>
      <c r="I1771">
        <v>77</v>
      </c>
      <c r="J1771">
        <v>11.1</v>
      </c>
      <c r="K1771" t="s">
        <v>257</v>
      </c>
      <c r="L1771" t="s">
        <v>257</v>
      </c>
      <c r="M1771" t="s">
        <v>258</v>
      </c>
      <c r="N1771" s="5">
        <v>0</v>
      </c>
    </row>
    <row r="1772" spans="1:14" x14ac:dyDescent="0.25">
      <c r="A1772" t="s">
        <v>2313</v>
      </c>
      <c r="B1772" t="s">
        <v>182</v>
      </c>
      <c r="C1772" t="str">
        <f>_xlfn.XLOOKUP(Table6[[#This Row],[app_id]],Table5[app_id],Table5[app_name],"",0)</f>
        <v>VoyageGo</v>
      </c>
      <c r="D1772" t="str">
        <f>_xlfn.XLOOKUP(Table6[[#This Row],[app_id]],Table5[app_id],Table5[category],"",0)</f>
        <v>Travel</v>
      </c>
      <c r="E1772" t="s">
        <v>533</v>
      </c>
      <c r="F1772" t="s">
        <v>538</v>
      </c>
      <c r="G1772" t="s">
        <v>61</v>
      </c>
      <c r="H1772" t="s">
        <v>535</v>
      </c>
      <c r="I1772">
        <v>10</v>
      </c>
      <c r="J1772">
        <v>10.3</v>
      </c>
      <c r="K1772" t="s">
        <v>258</v>
      </c>
      <c r="L1772" t="s">
        <v>257</v>
      </c>
      <c r="M1772" t="s">
        <v>258</v>
      </c>
      <c r="N1772" s="5">
        <v>0</v>
      </c>
    </row>
    <row r="1773" spans="1:14" x14ac:dyDescent="0.25">
      <c r="A1773" t="s">
        <v>2314</v>
      </c>
      <c r="B1773" t="s">
        <v>185</v>
      </c>
      <c r="C1773" t="str">
        <f>_xlfn.XLOOKUP(Table6[[#This Row],[app_id]],Table5[app_id],Table5[app_name],"",0)</f>
        <v>TripOne</v>
      </c>
      <c r="D1773" t="str">
        <f>_xlfn.XLOOKUP(Table6[[#This Row],[app_id]],Table5[app_id],Table5[category],"",0)</f>
        <v>Travel</v>
      </c>
      <c r="E1773" t="s">
        <v>546</v>
      </c>
      <c r="F1773" t="s">
        <v>538</v>
      </c>
      <c r="G1773" t="s">
        <v>61</v>
      </c>
      <c r="H1773" t="s">
        <v>535</v>
      </c>
      <c r="I1773">
        <v>3</v>
      </c>
      <c r="J1773">
        <v>4.2</v>
      </c>
      <c r="K1773" t="s">
        <v>258</v>
      </c>
      <c r="L1773" t="s">
        <v>257</v>
      </c>
      <c r="M1773" t="s">
        <v>258</v>
      </c>
      <c r="N1773" s="5">
        <v>47.32</v>
      </c>
    </row>
    <row r="1774" spans="1:14" x14ac:dyDescent="0.25">
      <c r="A1774" t="s">
        <v>2315</v>
      </c>
      <c r="B1774" t="s">
        <v>187</v>
      </c>
      <c r="C1774" t="str">
        <f>_xlfn.XLOOKUP(Table6[[#This Row],[app_id]],Table5[app_id],Table5[app_name],"",0)</f>
        <v>FlyGo</v>
      </c>
      <c r="D1774" t="str">
        <f>_xlfn.XLOOKUP(Table6[[#This Row],[app_id]],Table5[app_id],Table5[category],"",0)</f>
        <v>Travel</v>
      </c>
      <c r="E1774" t="s">
        <v>533</v>
      </c>
      <c r="F1774" t="s">
        <v>538</v>
      </c>
      <c r="G1774" t="s">
        <v>46</v>
      </c>
      <c r="H1774" t="s">
        <v>535</v>
      </c>
      <c r="I1774">
        <v>26</v>
      </c>
      <c r="J1774">
        <v>15.6</v>
      </c>
      <c r="K1774" t="s">
        <v>258</v>
      </c>
      <c r="L1774" t="s">
        <v>258</v>
      </c>
      <c r="M1774" t="s">
        <v>258</v>
      </c>
      <c r="N1774" s="5">
        <v>0</v>
      </c>
    </row>
    <row r="1775" spans="1:14" x14ac:dyDescent="0.25">
      <c r="A1775" t="s">
        <v>2316</v>
      </c>
      <c r="B1775" t="s">
        <v>189</v>
      </c>
      <c r="C1775" t="str">
        <f>_xlfn.XLOOKUP(Table6[[#This Row],[app_id]],Table5[app_id],Table5[app_name],"",0)</f>
        <v>MapX</v>
      </c>
      <c r="D1775" t="str">
        <f>_xlfn.XLOOKUP(Table6[[#This Row],[app_id]],Table5[app_id],Table5[category],"",0)</f>
        <v>Travel</v>
      </c>
      <c r="E1775" t="s">
        <v>537</v>
      </c>
      <c r="F1775" t="s">
        <v>538</v>
      </c>
      <c r="G1775" t="s">
        <v>69</v>
      </c>
      <c r="H1775" t="s">
        <v>535</v>
      </c>
      <c r="I1775">
        <v>24</v>
      </c>
      <c r="J1775">
        <v>3.8</v>
      </c>
      <c r="K1775" t="s">
        <v>258</v>
      </c>
      <c r="L1775" t="s">
        <v>257</v>
      </c>
      <c r="M1775" t="s">
        <v>258</v>
      </c>
      <c r="N1775" s="5">
        <v>0</v>
      </c>
    </row>
    <row r="1776" spans="1:14" x14ac:dyDescent="0.25">
      <c r="A1776" t="s">
        <v>2317</v>
      </c>
      <c r="B1776" t="s">
        <v>191</v>
      </c>
      <c r="C1776" t="str">
        <f>_xlfn.XLOOKUP(Table6[[#This Row],[app_id]],Table5[app_id],Table5[app_name],"",0)</f>
        <v>StayX</v>
      </c>
      <c r="D1776" t="str">
        <f>_xlfn.XLOOKUP(Table6[[#This Row],[app_id]],Table5[app_id],Table5[category],"",0)</f>
        <v>Travel</v>
      </c>
      <c r="E1776" t="s">
        <v>546</v>
      </c>
      <c r="F1776" t="s">
        <v>534</v>
      </c>
      <c r="G1776" t="s">
        <v>61</v>
      </c>
      <c r="H1776" t="s">
        <v>535</v>
      </c>
      <c r="I1776">
        <v>61</v>
      </c>
      <c r="J1776">
        <v>21.7</v>
      </c>
      <c r="K1776" t="s">
        <v>257</v>
      </c>
      <c r="L1776" t="s">
        <v>257</v>
      </c>
      <c r="M1776" t="s">
        <v>258</v>
      </c>
      <c r="N1776" s="5">
        <v>0</v>
      </c>
    </row>
    <row r="1777" spans="1:14" x14ac:dyDescent="0.25">
      <c r="A1777" t="s">
        <v>2318</v>
      </c>
      <c r="B1777" t="s">
        <v>193</v>
      </c>
      <c r="C1777" t="str">
        <f>_xlfn.XLOOKUP(Table6[[#This Row],[app_id]],Table5[app_id],Table5[app_name],"",0)</f>
        <v>GoNow</v>
      </c>
      <c r="D1777" t="str">
        <f>_xlfn.XLOOKUP(Table6[[#This Row],[app_id]],Table5[app_id],Table5[category],"",0)</f>
        <v>Travel</v>
      </c>
      <c r="E1777" t="s">
        <v>533</v>
      </c>
      <c r="F1777" t="s">
        <v>534</v>
      </c>
      <c r="G1777" t="s">
        <v>30</v>
      </c>
      <c r="H1777" t="s">
        <v>535</v>
      </c>
      <c r="I1777">
        <v>70</v>
      </c>
      <c r="J1777">
        <v>19.399999999999999</v>
      </c>
      <c r="K1777" t="s">
        <v>257</v>
      </c>
      <c r="L1777" t="s">
        <v>258</v>
      </c>
      <c r="M1777" t="s">
        <v>257</v>
      </c>
      <c r="N1777" s="5">
        <v>0</v>
      </c>
    </row>
    <row r="1778" spans="1:14" x14ac:dyDescent="0.25">
      <c r="A1778" t="s">
        <v>2319</v>
      </c>
      <c r="B1778" t="s">
        <v>195</v>
      </c>
      <c r="C1778" t="str">
        <f>_xlfn.XLOOKUP(Table6[[#This Row],[app_id]],Table5[app_id],Table5[app_name],"",0)</f>
        <v>RouteGo</v>
      </c>
      <c r="D1778" t="str">
        <f>_xlfn.XLOOKUP(Table6[[#This Row],[app_id]],Table5[app_id],Table5[category],"",0)</f>
        <v>Travel</v>
      </c>
      <c r="E1778" t="s">
        <v>533</v>
      </c>
      <c r="F1778" t="s">
        <v>628</v>
      </c>
      <c r="G1778" t="s">
        <v>23</v>
      </c>
      <c r="H1778" t="s">
        <v>535</v>
      </c>
      <c r="I1778">
        <v>61</v>
      </c>
      <c r="J1778">
        <v>9.1</v>
      </c>
      <c r="K1778" t="s">
        <v>257</v>
      </c>
      <c r="L1778" t="s">
        <v>257</v>
      </c>
      <c r="M1778" t="s">
        <v>258</v>
      </c>
      <c r="N1778" s="5">
        <v>0</v>
      </c>
    </row>
    <row r="1779" spans="1:14" x14ac:dyDescent="0.25">
      <c r="A1779" t="s">
        <v>2320</v>
      </c>
      <c r="B1779" t="s">
        <v>197</v>
      </c>
      <c r="C1779" t="str">
        <f>_xlfn.XLOOKUP(Table6[[#This Row],[app_id]],Table5[app_id],Table5[app_name],"",0)</f>
        <v>TripGo</v>
      </c>
      <c r="D1779" t="str">
        <f>_xlfn.XLOOKUP(Table6[[#This Row],[app_id]],Table5[app_id],Table5[category],"",0)</f>
        <v>Travel</v>
      </c>
      <c r="E1779" t="s">
        <v>537</v>
      </c>
      <c r="F1779" t="s">
        <v>538</v>
      </c>
      <c r="G1779" t="s">
        <v>46</v>
      </c>
      <c r="H1779" t="s">
        <v>535</v>
      </c>
      <c r="I1779">
        <v>1</v>
      </c>
      <c r="J1779">
        <v>23.6</v>
      </c>
      <c r="K1779" t="s">
        <v>258</v>
      </c>
      <c r="L1779" t="s">
        <v>258</v>
      </c>
      <c r="M1779" t="s">
        <v>258</v>
      </c>
      <c r="N1779" s="5">
        <v>97.24</v>
      </c>
    </row>
    <row r="1780" spans="1:14" x14ac:dyDescent="0.25">
      <c r="A1780" t="s">
        <v>2321</v>
      </c>
      <c r="B1780" t="s">
        <v>199</v>
      </c>
      <c r="C1780" t="str">
        <f>_xlfn.XLOOKUP(Table6[[#This Row],[app_id]],Table5[app_id],Table5[app_name],"",0)</f>
        <v>Flyly</v>
      </c>
      <c r="D1780" t="str">
        <f>_xlfn.XLOOKUP(Table6[[#This Row],[app_id]],Table5[app_id],Table5[category],"",0)</f>
        <v>Travel</v>
      </c>
      <c r="E1780" t="s">
        <v>533</v>
      </c>
      <c r="F1780" t="s">
        <v>538</v>
      </c>
      <c r="G1780" t="s">
        <v>26</v>
      </c>
      <c r="H1780" t="s">
        <v>535</v>
      </c>
      <c r="I1780">
        <v>28</v>
      </c>
      <c r="J1780">
        <v>19</v>
      </c>
      <c r="K1780" t="s">
        <v>258</v>
      </c>
      <c r="L1780" t="s">
        <v>258</v>
      </c>
      <c r="M1780" t="s">
        <v>257</v>
      </c>
      <c r="N1780" s="5">
        <v>0</v>
      </c>
    </row>
    <row r="1781" spans="1:14" x14ac:dyDescent="0.25">
      <c r="A1781" t="s">
        <v>2322</v>
      </c>
      <c r="B1781" t="s">
        <v>201</v>
      </c>
      <c r="C1781" t="str">
        <f>_xlfn.XLOOKUP(Table6[[#This Row],[app_id]],Table5[app_id],Table5[app_name],"",0)</f>
        <v>TripPro</v>
      </c>
      <c r="D1781" t="str">
        <f>_xlfn.XLOOKUP(Table6[[#This Row],[app_id]],Table5[app_id],Table5[category],"",0)</f>
        <v>Travel</v>
      </c>
      <c r="E1781" t="s">
        <v>537</v>
      </c>
      <c r="F1781" t="s">
        <v>534</v>
      </c>
      <c r="G1781" t="s">
        <v>30</v>
      </c>
      <c r="H1781" t="s">
        <v>535</v>
      </c>
      <c r="I1781">
        <v>14</v>
      </c>
      <c r="J1781">
        <v>5.9</v>
      </c>
      <c r="K1781" t="s">
        <v>258</v>
      </c>
      <c r="L1781" t="s">
        <v>258</v>
      </c>
      <c r="M1781" t="s">
        <v>257</v>
      </c>
      <c r="N1781" s="5">
        <v>0</v>
      </c>
    </row>
    <row r="1782" spans="1:14" x14ac:dyDescent="0.25">
      <c r="A1782" t="s">
        <v>2323</v>
      </c>
      <c r="B1782" t="s">
        <v>203</v>
      </c>
      <c r="C1782" t="str">
        <f>_xlfn.XLOOKUP(Table6[[#This Row],[app_id]],Table5[app_id],Table5[app_name],"",0)</f>
        <v>Focusly</v>
      </c>
      <c r="D1782" t="str">
        <f>_xlfn.XLOOKUP(Table6[[#This Row],[app_id]],Table5[app_id],Table5[category],"",0)</f>
        <v>Productivity</v>
      </c>
      <c r="E1782" t="s">
        <v>537</v>
      </c>
      <c r="F1782" t="s">
        <v>538</v>
      </c>
      <c r="G1782" t="s">
        <v>26</v>
      </c>
      <c r="H1782" t="s">
        <v>535</v>
      </c>
      <c r="I1782">
        <v>46</v>
      </c>
      <c r="J1782">
        <v>4.4000000000000004</v>
      </c>
      <c r="K1782" t="s">
        <v>257</v>
      </c>
      <c r="L1782" t="s">
        <v>257</v>
      </c>
      <c r="M1782" t="s">
        <v>258</v>
      </c>
      <c r="N1782" s="5">
        <v>44.87</v>
      </c>
    </row>
    <row r="1783" spans="1:14" x14ac:dyDescent="0.25">
      <c r="A1783" t="s">
        <v>2324</v>
      </c>
      <c r="B1783" t="s">
        <v>206</v>
      </c>
      <c r="C1783" t="str">
        <f>_xlfn.XLOOKUP(Table6[[#This Row],[app_id]],Table5[app_id],Table5[app_name],"",0)</f>
        <v>DeskX</v>
      </c>
      <c r="D1783" t="str">
        <f>_xlfn.XLOOKUP(Table6[[#This Row],[app_id]],Table5[app_id],Table5[category],"",0)</f>
        <v>Productivity</v>
      </c>
      <c r="E1783" t="s">
        <v>533</v>
      </c>
      <c r="F1783" t="s">
        <v>538</v>
      </c>
      <c r="G1783" t="s">
        <v>46</v>
      </c>
      <c r="H1783" t="s">
        <v>535</v>
      </c>
      <c r="I1783">
        <v>5</v>
      </c>
      <c r="J1783">
        <v>8.1</v>
      </c>
      <c r="K1783" t="s">
        <v>258</v>
      </c>
      <c r="L1783" t="s">
        <v>257</v>
      </c>
      <c r="M1783" t="s">
        <v>258</v>
      </c>
      <c r="N1783" s="5">
        <v>0</v>
      </c>
    </row>
    <row r="1784" spans="1:14" x14ac:dyDescent="0.25">
      <c r="A1784" t="s">
        <v>2325</v>
      </c>
      <c r="B1784" t="s">
        <v>208</v>
      </c>
      <c r="C1784" t="str">
        <f>_xlfn.XLOOKUP(Table6[[#This Row],[app_id]],Table5[app_id],Table5[app_name],"",0)</f>
        <v>DonePro</v>
      </c>
      <c r="D1784" t="str">
        <f>_xlfn.XLOOKUP(Table6[[#This Row],[app_id]],Table5[app_id],Table5[category],"",0)</f>
        <v>Productivity</v>
      </c>
      <c r="E1784" t="s">
        <v>533</v>
      </c>
      <c r="F1784" t="s">
        <v>534</v>
      </c>
      <c r="G1784" t="s">
        <v>61</v>
      </c>
      <c r="H1784" t="s">
        <v>535</v>
      </c>
      <c r="I1784">
        <v>15</v>
      </c>
      <c r="J1784">
        <v>18.5</v>
      </c>
      <c r="K1784" t="s">
        <v>258</v>
      </c>
      <c r="L1784" t="s">
        <v>258</v>
      </c>
      <c r="M1784" t="s">
        <v>257</v>
      </c>
      <c r="N1784" s="5">
        <v>27.18</v>
      </c>
    </row>
    <row r="1785" spans="1:14" x14ac:dyDescent="0.25">
      <c r="A1785" t="s">
        <v>2326</v>
      </c>
      <c r="B1785" t="s">
        <v>210</v>
      </c>
      <c r="C1785" t="str">
        <f>_xlfn.XLOOKUP(Table6[[#This Row],[app_id]],Table5[app_id],Table5[app_name],"",0)</f>
        <v>NotePlus</v>
      </c>
      <c r="D1785" t="str">
        <f>_xlfn.XLOOKUP(Table6[[#This Row],[app_id]],Table5[app_id],Table5[category],"",0)</f>
        <v>Productivity</v>
      </c>
      <c r="E1785" t="s">
        <v>537</v>
      </c>
      <c r="F1785" t="s">
        <v>538</v>
      </c>
      <c r="G1785" t="s">
        <v>35</v>
      </c>
      <c r="H1785" t="s">
        <v>535</v>
      </c>
      <c r="I1785">
        <v>83</v>
      </c>
      <c r="J1785">
        <v>16.899999999999999</v>
      </c>
      <c r="K1785" t="s">
        <v>257</v>
      </c>
      <c r="L1785" t="s">
        <v>257</v>
      </c>
      <c r="M1785" t="s">
        <v>258</v>
      </c>
      <c r="N1785" s="5">
        <v>47.85</v>
      </c>
    </row>
    <row r="1786" spans="1:14" x14ac:dyDescent="0.25">
      <c r="A1786" t="s">
        <v>2327</v>
      </c>
      <c r="B1786" t="s">
        <v>212</v>
      </c>
      <c r="C1786" t="str">
        <f>_xlfn.XLOOKUP(Table6[[#This Row],[app_id]],Table5[app_id],Table5[app_name],"",0)</f>
        <v>SyncPlus</v>
      </c>
      <c r="D1786" t="str">
        <f>_xlfn.XLOOKUP(Table6[[#This Row],[app_id]],Table5[app_id],Table5[category],"",0)</f>
        <v>Productivity</v>
      </c>
      <c r="E1786" t="s">
        <v>533</v>
      </c>
      <c r="F1786" t="s">
        <v>534</v>
      </c>
      <c r="G1786" t="s">
        <v>30</v>
      </c>
      <c r="H1786" t="s">
        <v>535</v>
      </c>
      <c r="I1786">
        <v>28</v>
      </c>
      <c r="J1786">
        <v>17.8</v>
      </c>
      <c r="K1786" t="s">
        <v>258</v>
      </c>
      <c r="L1786" t="s">
        <v>258</v>
      </c>
      <c r="M1786" t="s">
        <v>258</v>
      </c>
      <c r="N1786" s="5">
        <v>63.46</v>
      </c>
    </row>
    <row r="1787" spans="1:14" x14ac:dyDescent="0.25">
      <c r="A1787" t="s">
        <v>2328</v>
      </c>
      <c r="B1787" t="s">
        <v>214</v>
      </c>
      <c r="C1787" t="str">
        <f>_xlfn.XLOOKUP(Table6[[#This Row],[app_id]],Table5[app_id],Table5[app_name],"",0)</f>
        <v>NoteOne</v>
      </c>
      <c r="D1787" t="str">
        <f>_xlfn.XLOOKUP(Table6[[#This Row],[app_id]],Table5[app_id],Table5[category],"",0)</f>
        <v>Productivity</v>
      </c>
      <c r="E1787" t="s">
        <v>533</v>
      </c>
      <c r="F1787" t="s">
        <v>538</v>
      </c>
      <c r="G1787" t="s">
        <v>69</v>
      </c>
      <c r="H1787" t="s">
        <v>540</v>
      </c>
      <c r="I1787">
        <v>54</v>
      </c>
      <c r="J1787">
        <v>7</v>
      </c>
      <c r="K1787" t="s">
        <v>257</v>
      </c>
      <c r="L1787" t="s">
        <v>257</v>
      </c>
      <c r="M1787" t="s">
        <v>258</v>
      </c>
      <c r="N1787" s="5">
        <v>0</v>
      </c>
    </row>
    <row r="1788" spans="1:14" x14ac:dyDescent="0.25">
      <c r="A1788" t="s">
        <v>2329</v>
      </c>
      <c r="B1788" t="s">
        <v>216</v>
      </c>
      <c r="C1788" t="str">
        <f>_xlfn.XLOOKUP(Table6[[#This Row],[app_id]],Table5[app_id],Table5[app_name],"",0)</f>
        <v>NoteMate</v>
      </c>
      <c r="D1788" t="str">
        <f>_xlfn.XLOOKUP(Table6[[#This Row],[app_id]],Table5[app_id],Table5[category],"",0)</f>
        <v>Productivity</v>
      </c>
      <c r="E1788" t="s">
        <v>533</v>
      </c>
      <c r="F1788" t="s">
        <v>534</v>
      </c>
      <c r="G1788" t="s">
        <v>30</v>
      </c>
      <c r="H1788" t="s">
        <v>535</v>
      </c>
      <c r="I1788">
        <v>25</v>
      </c>
      <c r="J1788">
        <v>12.1</v>
      </c>
      <c r="K1788" t="s">
        <v>258</v>
      </c>
      <c r="L1788" t="s">
        <v>257</v>
      </c>
      <c r="M1788" t="s">
        <v>258</v>
      </c>
      <c r="N1788" s="5">
        <v>0</v>
      </c>
    </row>
    <row r="1789" spans="1:14" x14ac:dyDescent="0.25">
      <c r="A1789" t="s">
        <v>2330</v>
      </c>
      <c r="B1789" t="s">
        <v>218</v>
      </c>
      <c r="C1789" t="str">
        <f>_xlfn.XLOOKUP(Table6[[#This Row],[app_id]],Table5[app_id],Table5[app_name],"",0)</f>
        <v>PlanPlus</v>
      </c>
      <c r="D1789" t="str">
        <f>_xlfn.XLOOKUP(Table6[[#This Row],[app_id]],Table5[app_id],Table5[category],"",0)</f>
        <v>Productivity</v>
      </c>
      <c r="E1789" t="s">
        <v>557</v>
      </c>
      <c r="F1789" t="s">
        <v>534</v>
      </c>
      <c r="G1789" t="s">
        <v>23</v>
      </c>
      <c r="H1789" t="s">
        <v>535</v>
      </c>
      <c r="I1789">
        <v>69</v>
      </c>
      <c r="J1789">
        <v>23.2</v>
      </c>
      <c r="K1789" t="s">
        <v>257</v>
      </c>
      <c r="L1789" t="s">
        <v>257</v>
      </c>
      <c r="M1789" t="s">
        <v>258</v>
      </c>
      <c r="N1789" s="5">
        <v>0</v>
      </c>
    </row>
    <row r="1790" spans="1:14" x14ac:dyDescent="0.25">
      <c r="A1790" t="s">
        <v>2331</v>
      </c>
      <c r="B1790" t="s">
        <v>220</v>
      </c>
      <c r="C1790" t="str">
        <f>_xlfn.XLOOKUP(Table6[[#This Row],[app_id]],Table5[app_id],Table5[app_name],"",0)</f>
        <v>PlanMate</v>
      </c>
      <c r="D1790" t="str">
        <f>_xlfn.XLOOKUP(Table6[[#This Row],[app_id]],Table5[app_id],Table5[category],"",0)</f>
        <v>Productivity</v>
      </c>
      <c r="E1790" t="s">
        <v>546</v>
      </c>
      <c r="F1790" t="s">
        <v>538</v>
      </c>
      <c r="G1790" t="s">
        <v>46</v>
      </c>
      <c r="H1790" t="s">
        <v>540</v>
      </c>
      <c r="I1790">
        <v>12</v>
      </c>
      <c r="J1790">
        <v>22.9</v>
      </c>
      <c r="K1790" t="s">
        <v>258</v>
      </c>
      <c r="L1790" t="s">
        <v>257</v>
      </c>
      <c r="M1790" t="s">
        <v>258</v>
      </c>
      <c r="N1790" s="5">
        <v>0</v>
      </c>
    </row>
    <row r="1791" spans="1:14" x14ac:dyDescent="0.25">
      <c r="A1791" t="s">
        <v>2332</v>
      </c>
      <c r="B1791" t="s">
        <v>222</v>
      </c>
      <c r="C1791" t="str">
        <f>_xlfn.XLOOKUP(Table6[[#This Row],[app_id]],Table5[app_id],Table5[app_name],"",0)</f>
        <v>SyncPlus</v>
      </c>
      <c r="D1791" t="str">
        <f>_xlfn.XLOOKUP(Table6[[#This Row],[app_id]],Table5[app_id],Table5[category],"",0)</f>
        <v>Productivity</v>
      </c>
      <c r="E1791" t="s">
        <v>537</v>
      </c>
      <c r="F1791" t="s">
        <v>538</v>
      </c>
      <c r="G1791" t="s">
        <v>23</v>
      </c>
      <c r="H1791" t="s">
        <v>535</v>
      </c>
      <c r="I1791">
        <v>22</v>
      </c>
      <c r="J1791">
        <v>13.3</v>
      </c>
      <c r="K1791" t="s">
        <v>258</v>
      </c>
      <c r="L1791" t="s">
        <v>257</v>
      </c>
      <c r="M1791" t="s">
        <v>258</v>
      </c>
      <c r="N1791" s="5">
        <v>0</v>
      </c>
    </row>
    <row r="1792" spans="1:14" x14ac:dyDescent="0.25">
      <c r="A1792" t="s">
        <v>2333</v>
      </c>
      <c r="B1792" t="s">
        <v>223</v>
      </c>
      <c r="C1792" t="str">
        <f>_xlfn.XLOOKUP(Table6[[#This Row],[app_id]],Table5[app_id],Table5[app_name],"",0)</f>
        <v>ClinicPro</v>
      </c>
      <c r="D1792" t="str">
        <f>_xlfn.XLOOKUP(Table6[[#This Row],[app_id]],Table5[app_id],Table5[category],"",0)</f>
        <v>Health</v>
      </c>
      <c r="E1792" t="s">
        <v>557</v>
      </c>
      <c r="F1792" t="s">
        <v>534</v>
      </c>
      <c r="G1792" t="s">
        <v>30</v>
      </c>
      <c r="H1792" t="s">
        <v>535</v>
      </c>
      <c r="I1792">
        <v>3</v>
      </c>
      <c r="J1792">
        <v>15</v>
      </c>
      <c r="K1792" t="s">
        <v>258</v>
      </c>
      <c r="L1792" t="s">
        <v>257</v>
      </c>
      <c r="M1792" t="s">
        <v>258</v>
      </c>
      <c r="N1792" s="5">
        <v>47.83</v>
      </c>
    </row>
    <row r="1793" spans="1:14" x14ac:dyDescent="0.25">
      <c r="A1793" t="s">
        <v>2334</v>
      </c>
      <c r="B1793" t="s">
        <v>226</v>
      </c>
      <c r="C1793" t="str">
        <f>_xlfn.XLOOKUP(Table6[[#This Row],[app_id]],Table5[app_id],Table5[app_name],"",0)</f>
        <v>MindMate</v>
      </c>
      <c r="D1793" t="str">
        <f>_xlfn.XLOOKUP(Table6[[#This Row],[app_id]],Table5[app_id],Table5[category],"",0)</f>
        <v>Health</v>
      </c>
      <c r="E1793" t="s">
        <v>546</v>
      </c>
      <c r="F1793" t="s">
        <v>628</v>
      </c>
      <c r="G1793" t="s">
        <v>30</v>
      </c>
      <c r="H1793" t="s">
        <v>535</v>
      </c>
      <c r="I1793">
        <v>16</v>
      </c>
      <c r="J1793">
        <v>14.9</v>
      </c>
      <c r="K1793" t="s">
        <v>258</v>
      </c>
      <c r="L1793" t="s">
        <v>258</v>
      </c>
      <c r="M1793" t="s">
        <v>257</v>
      </c>
      <c r="N1793" s="5">
        <v>20.329999999999998</v>
      </c>
    </row>
    <row r="1794" spans="1:14" x14ac:dyDescent="0.25">
      <c r="A1794" t="s">
        <v>2335</v>
      </c>
      <c r="B1794" t="s">
        <v>228</v>
      </c>
      <c r="C1794" t="str">
        <f>_xlfn.XLOOKUP(Table6[[#This Row],[app_id]],Table5[app_id],Table5[app_name],"",0)</f>
        <v>ClinicOne</v>
      </c>
      <c r="D1794" t="str">
        <f>_xlfn.XLOOKUP(Table6[[#This Row],[app_id]],Table5[app_id],Table5[category],"",0)</f>
        <v>Health</v>
      </c>
      <c r="E1794" t="s">
        <v>557</v>
      </c>
      <c r="F1794" t="s">
        <v>628</v>
      </c>
      <c r="G1794" t="s">
        <v>23</v>
      </c>
      <c r="H1794" t="s">
        <v>535</v>
      </c>
      <c r="I1794">
        <v>5</v>
      </c>
      <c r="J1794">
        <v>8.3000000000000007</v>
      </c>
      <c r="K1794" t="s">
        <v>258</v>
      </c>
      <c r="L1794" t="s">
        <v>257</v>
      </c>
      <c r="M1794" t="s">
        <v>258</v>
      </c>
      <c r="N1794" s="5">
        <v>0</v>
      </c>
    </row>
    <row r="1795" spans="1:14" x14ac:dyDescent="0.25">
      <c r="A1795" t="s">
        <v>2336</v>
      </c>
      <c r="B1795" t="s">
        <v>230</v>
      </c>
      <c r="C1795" t="str">
        <f>_xlfn.XLOOKUP(Table6[[#This Row],[app_id]],Table5[app_id],Table5[app_name],"",0)</f>
        <v>WellMate</v>
      </c>
      <c r="D1795" t="str">
        <f>_xlfn.XLOOKUP(Table6[[#This Row],[app_id]],Table5[app_id],Table5[category],"",0)</f>
        <v>Health</v>
      </c>
      <c r="E1795" t="s">
        <v>546</v>
      </c>
      <c r="F1795" t="s">
        <v>538</v>
      </c>
      <c r="G1795" t="s">
        <v>46</v>
      </c>
      <c r="H1795" t="s">
        <v>535</v>
      </c>
      <c r="I1795">
        <v>18</v>
      </c>
      <c r="J1795">
        <v>7.5</v>
      </c>
      <c r="K1795" t="s">
        <v>258</v>
      </c>
      <c r="L1795" t="s">
        <v>258</v>
      </c>
      <c r="M1795" t="s">
        <v>257</v>
      </c>
      <c r="N1795" s="5">
        <v>0</v>
      </c>
    </row>
    <row r="1796" spans="1:14" x14ac:dyDescent="0.25">
      <c r="A1796" t="s">
        <v>2337</v>
      </c>
      <c r="B1796" t="s">
        <v>232</v>
      </c>
      <c r="C1796" t="str">
        <f>_xlfn.XLOOKUP(Table6[[#This Row],[app_id]],Table5[app_id],Table5[app_name],"",0)</f>
        <v>MediMate</v>
      </c>
      <c r="D1796" t="str">
        <f>_xlfn.XLOOKUP(Table6[[#This Row],[app_id]],Table5[app_id],Table5[category],"",0)</f>
        <v>Health</v>
      </c>
      <c r="E1796" t="s">
        <v>533</v>
      </c>
      <c r="F1796" t="s">
        <v>548</v>
      </c>
      <c r="G1796" t="s">
        <v>35</v>
      </c>
      <c r="H1796" t="s">
        <v>535</v>
      </c>
      <c r="I1796">
        <v>20</v>
      </c>
      <c r="J1796">
        <v>19.600000000000001</v>
      </c>
      <c r="K1796" t="s">
        <v>258</v>
      </c>
      <c r="L1796" t="s">
        <v>258</v>
      </c>
      <c r="M1796" t="s">
        <v>258</v>
      </c>
      <c r="N1796" s="5">
        <v>0</v>
      </c>
    </row>
    <row r="1797" spans="1:14" x14ac:dyDescent="0.25">
      <c r="A1797" t="s">
        <v>2338</v>
      </c>
      <c r="B1797" t="s">
        <v>234</v>
      </c>
      <c r="C1797" t="str">
        <f>_xlfn.XLOOKUP(Table6[[#This Row],[app_id]],Table5[app_id],Table5[app_name],"",0)</f>
        <v>WellNow</v>
      </c>
      <c r="D1797" t="str">
        <f>_xlfn.XLOOKUP(Table6[[#This Row],[app_id]],Table5[app_id],Table5[category],"",0)</f>
        <v>Health</v>
      </c>
      <c r="E1797" t="s">
        <v>546</v>
      </c>
      <c r="F1797" t="s">
        <v>538</v>
      </c>
      <c r="G1797" t="s">
        <v>18</v>
      </c>
      <c r="H1797" t="s">
        <v>535</v>
      </c>
      <c r="I1797">
        <v>16</v>
      </c>
      <c r="J1797">
        <v>9.1999999999999993</v>
      </c>
      <c r="K1797" t="s">
        <v>258</v>
      </c>
      <c r="L1797" t="s">
        <v>258</v>
      </c>
      <c r="M1797" t="s">
        <v>258</v>
      </c>
      <c r="N1797" s="5">
        <v>0</v>
      </c>
    </row>
    <row r="1798" spans="1:14" x14ac:dyDescent="0.25">
      <c r="A1798" t="s">
        <v>2339</v>
      </c>
      <c r="B1798" t="s">
        <v>236</v>
      </c>
      <c r="C1798" t="str">
        <f>_xlfn.XLOOKUP(Table6[[#This Row],[app_id]],Table5[app_id],Table5[app_name],"",0)</f>
        <v>CareCloud</v>
      </c>
      <c r="D1798" t="str">
        <f>_xlfn.XLOOKUP(Table6[[#This Row],[app_id]],Table5[app_id],Table5[category],"",0)</f>
        <v>Health</v>
      </c>
      <c r="E1798" t="s">
        <v>537</v>
      </c>
      <c r="F1798" t="s">
        <v>548</v>
      </c>
      <c r="G1798" t="s">
        <v>26</v>
      </c>
      <c r="H1798" t="s">
        <v>535</v>
      </c>
      <c r="I1798">
        <v>1</v>
      </c>
      <c r="J1798">
        <v>3.3</v>
      </c>
      <c r="K1798" t="s">
        <v>258</v>
      </c>
      <c r="L1798" t="s">
        <v>257</v>
      </c>
      <c r="M1798" t="s">
        <v>258</v>
      </c>
      <c r="N1798" s="5">
        <v>0</v>
      </c>
    </row>
    <row r="1799" spans="1:14" x14ac:dyDescent="0.25">
      <c r="A1799" t="s">
        <v>2340</v>
      </c>
      <c r="B1799" t="s">
        <v>238</v>
      </c>
      <c r="C1799" t="str">
        <f>_xlfn.XLOOKUP(Table6[[#This Row],[app_id]],Table5[app_id],Table5[app_name],"",0)</f>
        <v>MediNow</v>
      </c>
      <c r="D1799" t="str">
        <f>_xlfn.XLOOKUP(Table6[[#This Row],[app_id]],Table5[app_id],Table5[category],"",0)</f>
        <v>Health</v>
      </c>
      <c r="E1799" t="s">
        <v>537</v>
      </c>
      <c r="F1799" t="s">
        <v>538</v>
      </c>
      <c r="G1799" t="s">
        <v>23</v>
      </c>
      <c r="H1799" t="s">
        <v>535</v>
      </c>
      <c r="I1799">
        <v>27</v>
      </c>
      <c r="J1799">
        <v>20.5</v>
      </c>
      <c r="K1799" t="s">
        <v>258</v>
      </c>
      <c r="L1799" t="s">
        <v>258</v>
      </c>
      <c r="M1799" t="s">
        <v>258</v>
      </c>
      <c r="N1799" s="5">
        <v>0</v>
      </c>
    </row>
    <row r="1800" spans="1:14" x14ac:dyDescent="0.25">
      <c r="A1800" t="s">
        <v>2341</v>
      </c>
      <c r="B1800" t="s">
        <v>240</v>
      </c>
      <c r="C1800" t="str">
        <f>_xlfn.XLOOKUP(Table6[[#This Row],[app_id]],Table5[app_id],Table5[app_name],"",0)</f>
        <v>MindPlus</v>
      </c>
      <c r="D1800" t="str">
        <f>_xlfn.XLOOKUP(Table6[[#This Row],[app_id]],Table5[app_id],Table5[category],"",0)</f>
        <v>Health</v>
      </c>
      <c r="E1800" t="s">
        <v>537</v>
      </c>
      <c r="F1800" t="s">
        <v>538</v>
      </c>
      <c r="G1800" t="s">
        <v>46</v>
      </c>
      <c r="H1800" t="s">
        <v>535</v>
      </c>
      <c r="I1800">
        <v>31</v>
      </c>
      <c r="J1800">
        <v>12.2</v>
      </c>
      <c r="K1800" t="s">
        <v>257</v>
      </c>
      <c r="L1800" t="s">
        <v>257</v>
      </c>
      <c r="M1800" t="s">
        <v>258</v>
      </c>
      <c r="N1800" s="5">
        <v>0</v>
      </c>
    </row>
    <row r="1801" spans="1:14" x14ac:dyDescent="0.25">
      <c r="A1801" t="s">
        <v>2342</v>
      </c>
      <c r="B1801" t="s">
        <v>242</v>
      </c>
      <c r="C1801" t="str">
        <f>_xlfn.XLOOKUP(Table6[[#This Row],[app_id]],Table5[app_id],Table5[app_name],"",0)</f>
        <v>MediCloud</v>
      </c>
      <c r="D1801" t="str">
        <f>_xlfn.XLOOKUP(Table6[[#This Row],[app_id]],Table5[app_id],Table5[category],"",0)</f>
        <v>Health</v>
      </c>
      <c r="E1801" t="s">
        <v>537</v>
      </c>
      <c r="F1801" t="s">
        <v>628</v>
      </c>
      <c r="G1801" t="s">
        <v>18</v>
      </c>
      <c r="H1801" t="s">
        <v>535</v>
      </c>
      <c r="I1801">
        <v>87</v>
      </c>
      <c r="J1801">
        <v>11.9</v>
      </c>
      <c r="K1801" t="s">
        <v>257</v>
      </c>
      <c r="L1801" t="s">
        <v>257</v>
      </c>
      <c r="M1801" t="s">
        <v>258</v>
      </c>
      <c r="N1801" s="5">
        <v>0</v>
      </c>
    </row>
    <row r="1802" spans="1:14" x14ac:dyDescent="0.25">
      <c r="A1802" t="s">
        <v>2343</v>
      </c>
      <c r="B1802" t="s">
        <v>12</v>
      </c>
      <c r="C1802" t="str">
        <f>_xlfn.XLOOKUP(Table6[[#This Row],[app_id]],Table5[app_id],Table5[app_name],"",0)</f>
        <v>InvestPro</v>
      </c>
      <c r="D1802" t="str">
        <f>_xlfn.XLOOKUP(Table6[[#This Row],[app_id]],Table5[app_id],Table5[category],"",0)</f>
        <v>Finance</v>
      </c>
      <c r="E1802" t="s">
        <v>533</v>
      </c>
      <c r="F1802" t="s">
        <v>534</v>
      </c>
      <c r="G1802" t="s">
        <v>61</v>
      </c>
      <c r="H1802" t="s">
        <v>535</v>
      </c>
      <c r="I1802">
        <v>10</v>
      </c>
      <c r="J1802">
        <v>5.8</v>
      </c>
      <c r="K1802" t="s">
        <v>258</v>
      </c>
      <c r="L1802" t="s">
        <v>257</v>
      </c>
      <c r="M1802" t="s">
        <v>258</v>
      </c>
      <c r="N1802" s="5">
        <v>0</v>
      </c>
    </row>
    <row r="1803" spans="1:14" x14ac:dyDescent="0.25">
      <c r="A1803" t="s">
        <v>2344</v>
      </c>
      <c r="B1803" t="s">
        <v>19</v>
      </c>
      <c r="C1803" t="str">
        <f>_xlfn.XLOOKUP(Table6[[#This Row],[app_id]],Table5[app_id],Table5[app_name],"",0)</f>
        <v>BankPro</v>
      </c>
      <c r="D1803" t="str">
        <f>_xlfn.XLOOKUP(Table6[[#This Row],[app_id]],Table5[app_id],Table5[category],"",0)</f>
        <v>Finance</v>
      </c>
      <c r="E1803" t="s">
        <v>533</v>
      </c>
      <c r="F1803" t="s">
        <v>628</v>
      </c>
      <c r="G1803" t="s">
        <v>30</v>
      </c>
      <c r="H1803" t="s">
        <v>535</v>
      </c>
      <c r="I1803">
        <v>31</v>
      </c>
      <c r="J1803">
        <v>9</v>
      </c>
      <c r="K1803" t="s">
        <v>257</v>
      </c>
      <c r="L1803" t="s">
        <v>257</v>
      </c>
      <c r="M1803" t="s">
        <v>258</v>
      </c>
      <c r="N1803" s="5">
        <v>0</v>
      </c>
    </row>
    <row r="1804" spans="1:14" x14ac:dyDescent="0.25">
      <c r="A1804" t="s">
        <v>2345</v>
      </c>
      <c r="B1804" t="s">
        <v>24</v>
      </c>
      <c r="C1804" t="str">
        <f>_xlfn.XLOOKUP(Table6[[#This Row],[app_id]],Table5[app_id],Table5[app_name],"",0)</f>
        <v>BankX</v>
      </c>
      <c r="D1804" t="str">
        <f>_xlfn.XLOOKUP(Table6[[#This Row],[app_id]],Table5[app_id],Table5[category],"",0)</f>
        <v>Finance</v>
      </c>
      <c r="E1804" t="s">
        <v>533</v>
      </c>
      <c r="F1804" t="s">
        <v>538</v>
      </c>
      <c r="G1804" t="s">
        <v>46</v>
      </c>
      <c r="H1804" t="s">
        <v>540</v>
      </c>
      <c r="I1804">
        <v>25</v>
      </c>
      <c r="J1804">
        <v>3.8</v>
      </c>
      <c r="K1804" t="s">
        <v>258</v>
      </c>
      <c r="L1804" t="s">
        <v>258</v>
      </c>
      <c r="M1804" t="s">
        <v>257</v>
      </c>
      <c r="N1804" s="5">
        <v>0</v>
      </c>
    </row>
    <row r="1805" spans="1:14" x14ac:dyDescent="0.25">
      <c r="A1805" t="s">
        <v>2346</v>
      </c>
      <c r="B1805" t="s">
        <v>27</v>
      </c>
      <c r="C1805" t="str">
        <f>_xlfn.XLOOKUP(Table6[[#This Row],[app_id]],Table5[app_id],Table5[app_name],"",0)</f>
        <v>BankNow</v>
      </c>
      <c r="D1805" t="str">
        <f>_xlfn.XLOOKUP(Table6[[#This Row],[app_id]],Table5[app_id],Table5[category],"",0)</f>
        <v>Finance</v>
      </c>
      <c r="E1805" t="s">
        <v>557</v>
      </c>
      <c r="F1805" t="s">
        <v>534</v>
      </c>
      <c r="G1805" t="s">
        <v>35</v>
      </c>
      <c r="H1805" t="s">
        <v>535</v>
      </c>
      <c r="I1805">
        <v>10</v>
      </c>
      <c r="J1805">
        <v>13.8</v>
      </c>
      <c r="K1805" t="s">
        <v>258</v>
      </c>
      <c r="L1805" t="s">
        <v>258</v>
      </c>
      <c r="M1805" t="s">
        <v>257</v>
      </c>
      <c r="N1805" s="5">
        <v>0</v>
      </c>
    </row>
    <row r="1806" spans="1:14" x14ac:dyDescent="0.25">
      <c r="A1806" t="s">
        <v>2347</v>
      </c>
      <c r="B1806" t="s">
        <v>31</v>
      </c>
      <c r="C1806" t="str">
        <f>_xlfn.XLOOKUP(Table6[[#This Row],[app_id]],Table5[app_id],Table5[app_name],"",0)</f>
        <v>CreditHub</v>
      </c>
      <c r="D1806" t="str">
        <f>_xlfn.XLOOKUP(Table6[[#This Row],[app_id]],Table5[app_id],Table5[category],"",0)</f>
        <v>Finance</v>
      </c>
      <c r="E1806" t="s">
        <v>557</v>
      </c>
      <c r="F1806" t="s">
        <v>534</v>
      </c>
      <c r="G1806" t="s">
        <v>61</v>
      </c>
      <c r="H1806" t="s">
        <v>535</v>
      </c>
      <c r="I1806">
        <v>27</v>
      </c>
      <c r="J1806">
        <v>17.399999999999999</v>
      </c>
      <c r="K1806" t="s">
        <v>258</v>
      </c>
      <c r="L1806" t="s">
        <v>258</v>
      </c>
      <c r="M1806" t="s">
        <v>257</v>
      </c>
      <c r="N1806" s="5">
        <v>18.71</v>
      </c>
    </row>
    <row r="1807" spans="1:14" x14ac:dyDescent="0.25">
      <c r="A1807" t="s">
        <v>2348</v>
      </c>
      <c r="B1807" t="s">
        <v>36</v>
      </c>
      <c r="C1807" t="str">
        <f>_xlfn.XLOOKUP(Table6[[#This Row],[app_id]],Table5[app_id],Table5[app_name],"",0)</f>
        <v>PayPlus</v>
      </c>
      <c r="D1807" t="str">
        <f>_xlfn.XLOOKUP(Table6[[#This Row],[app_id]],Table5[app_id],Table5[category],"",0)</f>
        <v>Finance</v>
      </c>
      <c r="E1807" t="s">
        <v>533</v>
      </c>
      <c r="F1807" t="s">
        <v>534</v>
      </c>
      <c r="G1807" t="s">
        <v>61</v>
      </c>
      <c r="H1807" t="s">
        <v>540</v>
      </c>
      <c r="I1807">
        <v>20</v>
      </c>
      <c r="J1807">
        <v>6.7</v>
      </c>
      <c r="K1807" t="s">
        <v>257</v>
      </c>
      <c r="L1807" t="s">
        <v>258</v>
      </c>
      <c r="M1807" t="s">
        <v>258</v>
      </c>
      <c r="N1807" s="5">
        <v>0</v>
      </c>
    </row>
    <row r="1808" spans="1:14" x14ac:dyDescent="0.25">
      <c r="A1808" t="s">
        <v>2349</v>
      </c>
      <c r="B1808" t="s">
        <v>39</v>
      </c>
      <c r="C1808" t="str">
        <f>_xlfn.XLOOKUP(Table6[[#This Row],[app_id]],Table5[app_id],Table5[app_name],"",0)</f>
        <v>BankPlus</v>
      </c>
      <c r="D1808" t="str">
        <f>_xlfn.XLOOKUP(Table6[[#This Row],[app_id]],Table5[app_id],Table5[category],"",0)</f>
        <v>Finance</v>
      </c>
      <c r="E1808" t="s">
        <v>546</v>
      </c>
      <c r="F1808" t="s">
        <v>534</v>
      </c>
      <c r="G1808" t="s">
        <v>61</v>
      </c>
      <c r="H1808" t="s">
        <v>540</v>
      </c>
      <c r="I1808">
        <v>31</v>
      </c>
      <c r="J1808">
        <v>10.3</v>
      </c>
      <c r="K1808" t="s">
        <v>257</v>
      </c>
      <c r="L1808" t="s">
        <v>258</v>
      </c>
      <c r="M1808" t="s">
        <v>258</v>
      </c>
      <c r="N1808" s="5">
        <v>47.26</v>
      </c>
    </row>
    <row r="1809" spans="1:14" x14ac:dyDescent="0.25">
      <c r="A1809" t="s">
        <v>2350</v>
      </c>
      <c r="B1809" t="s">
        <v>42</v>
      </c>
      <c r="C1809" t="str">
        <f>_xlfn.XLOOKUP(Table6[[#This Row],[app_id]],Table5[app_id],Table5[app_name],"",0)</f>
        <v>CoinPlus</v>
      </c>
      <c r="D1809" t="str">
        <f>_xlfn.XLOOKUP(Table6[[#This Row],[app_id]],Table5[app_id],Table5[category],"",0)</f>
        <v>Finance</v>
      </c>
      <c r="E1809" t="s">
        <v>546</v>
      </c>
      <c r="F1809" t="s">
        <v>538</v>
      </c>
      <c r="G1809" t="s">
        <v>30</v>
      </c>
      <c r="H1809" t="s">
        <v>535</v>
      </c>
      <c r="I1809">
        <v>33</v>
      </c>
      <c r="J1809">
        <v>5.5</v>
      </c>
      <c r="K1809" t="s">
        <v>257</v>
      </c>
      <c r="L1809" t="s">
        <v>257</v>
      </c>
      <c r="M1809" t="s">
        <v>258</v>
      </c>
      <c r="N1809" s="5">
        <v>0</v>
      </c>
    </row>
    <row r="1810" spans="1:14" x14ac:dyDescent="0.25">
      <c r="A1810" t="s">
        <v>2351</v>
      </c>
      <c r="B1810" t="s">
        <v>47</v>
      </c>
      <c r="C1810" t="str">
        <f>_xlfn.XLOOKUP(Table6[[#This Row],[app_id]],Table5[app_id],Table5[app_name],"",0)</f>
        <v>CreditOne</v>
      </c>
      <c r="D1810" t="str">
        <f>_xlfn.XLOOKUP(Table6[[#This Row],[app_id]],Table5[app_id],Table5[category],"",0)</f>
        <v>Finance</v>
      </c>
      <c r="E1810" t="s">
        <v>533</v>
      </c>
      <c r="F1810" t="s">
        <v>538</v>
      </c>
      <c r="G1810" t="s">
        <v>61</v>
      </c>
      <c r="H1810" t="s">
        <v>535</v>
      </c>
      <c r="I1810">
        <v>18</v>
      </c>
      <c r="J1810">
        <v>16.3</v>
      </c>
      <c r="K1810" t="s">
        <v>258</v>
      </c>
      <c r="L1810" t="s">
        <v>257</v>
      </c>
      <c r="M1810" t="s">
        <v>258</v>
      </c>
      <c r="N1810" s="5">
        <v>0</v>
      </c>
    </row>
    <row r="1811" spans="1:14" x14ac:dyDescent="0.25">
      <c r="A1811" t="s">
        <v>2352</v>
      </c>
      <c r="B1811" t="s">
        <v>49</v>
      </c>
      <c r="C1811" t="str">
        <f>_xlfn.XLOOKUP(Table6[[#This Row],[app_id]],Table5[app_id],Table5[app_name],"",0)</f>
        <v>PayPro</v>
      </c>
      <c r="D1811" t="str">
        <f>_xlfn.XLOOKUP(Table6[[#This Row],[app_id]],Table5[app_id],Table5[category],"",0)</f>
        <v>Finance</v>
      </c>
      <c r="E1811" t="s">
        <v>533</v>
      </c>
      <c r="F1811" t="s">
        <v>538</v>
      </c>
      <c r="G1811" t="s">
        <v>18</v>
      </c>
      <c r="H1811" t="s">
        <v>535</v>
      </c>
      <c r="I1811">
        <v>23</v>
      </c>
      <c r="J1811">
        <v>22.3</v>
      </c>
      <c r="K1811" t="s">
        <v>258</v>
      </c>
      <c r="L1811" t="s">
        <v>258</v>
      </c>
      <c r="M1811" t="s">
        <v>258</v>
      </c>
      <c r="N1811" s="5">
        <v>0</v>
      </c>
    </row>
    <row r="1812" spans="1:14" x14ac:dyDescent="0.25">
      <c r="A1812" t="s">
        <v>2353</v>
      </c>
      <c r="B1812" t="s">
        <v>51</v>
      </c>
      <c r="C1812" t="str">
        <f>_xlfn.XLOOKUP(Table6[[#This Row],[app_id]],Table5[app_id],Table5[app_name],"",0)</f>
        <v>Creditly</v>
      </c>
      <c r="D1812" t="str">
        <f>_xlfn.XLOOKUP(Table6[[#This Row],[app_id]],Table5[app_id],Table5[category],"",0)</f>
        <v>Finance</v>
      </c>
      <c r="E1812" t="s">
        <v>552</v>
      </c>
      <c r="F1812" t="s">
        <v>538</v>
      </c>
      <c r="G1812" t="s">
        <v>35</v>
      </c>
      <c r="H1812" t="s">
        <v>535</v>
      </c>
      <c r="I1812">
        <v>53</v>
      </c>
      <c r="J1812">
        <v>20.6</v>
      </c>
      <c r="K1812" t="s">
        <v>257</v>
      </c>
      <c r="L1812" t="s">
        <v>258</v>
      </c>
      <c r="M1812" t="s">
        <v>258</v>
      </c>
      <c r="N1812" s="5">
        <v>0</v>
      </c>
    </row>
    <row r="1813" spans="1:14" x14ac:dyDescent="0.25">
      <c r="A1813" t="s">
        <v>2354</v>
      </c>
      <c r="B1813" t="s">
        <v>53</v>
      </c>
      <c r="C1813" t="str">
        <f>_xlfn.XLOOKUP(Table6[[#This Row],[app_id]],Table5[app_id],Table5[app_name],"",0)</f>
        <v>PayX</v>
      </c>
      <c r="D1813" t="str">
        <f>_xlfn.XLOOKUP(Table6[[#This Row],[app_id]],Table5[app_id],Table5[category],"",0)</f>
        <v>Finance</v>
      </c>
      <c r="E1813" t="s">
        <v>546</v>
      </c>
      <c r="F1813" t="s">
        <v>538</v>
      </c>
      <c r="G1813" t="s">
        <v>30</v>
      </c>
      <c r="H1813" t="s">
        <v>535</v>
      </c>
      <c r="I1813">
        <v>22</v>
      </c>
      <c r="J1813">
        <v>21.7</v>
      </c>
      <c r="K1813" t="s">
        <v>257</v>
      </c>
      <c r="L1813" t="s">
        <v>257</v>
      </c>
      <c r="M1813" t="s">
        <v>258</v>
      </c>
      <c r="N1813" s="5">
        <v>0</v>
      </c>
    </row>
    <row r="1814" spans="1:14" x14ac:dyDescent="0.25">
      <c r="A1814" t="s">
        <v>2355</v>
      </c>
      <c r="B1814" t="s">
        <v>56</v>
      </c>
      <c r="C1814" t="str">
        <f>_xlfn.XLOOKUP(Table6[[#This Row],[app_id]],Table5[app_id],Table5[app_name],"",0)</f>
        <v>DealGo</v>
      </c>
      <c r="D1814" t="str">
        <f>_xlfn.XLOOKUP(Table6[[#This Row],[app_id]],Table5[app_id],Table5[category],"",0)</f>
        <v>Shopping</v>
      </c>
      <c r="E1814" t="s">
        <v>533</v>
      </c>
      <c r="F1814" t="s">
        <v>628</v>
      </c>
      <c r="G1814" t="s">
        <v>69</v>
      </c>
      <c r="H1814" t="s">
        <v>540</v>
      </c>
      <c r="I1814">
        <v>8</v>
      </c>
      <c r="J1814">
        <v>12.5</v>
      </c>
      <c r="K1814" t="s">
        <v>258</v>
      </c>
      <c r="L1814" t="s">
        <v>258</v>
      </c>
      <c r="M1814" t="s">
        <v>257</v>
      </c>
      <c r="N1814" s="5">
        <v>0</v>
      </c>
    </row>
    <row r="1815" spans="1:14" x14ac:dyDescent="0.25">
      <c r="A1815" t="s">
        <v>2356</v>
      </c>
      <c r="B1815" t="s">
        <v>62</v>
      </c>
      <c r="C1815" t="str">
        <f>_xlfn.XLOOKUP(Table6[[#This Row],[app_id]],Table5[app_id],Table5[app_name],"",0)</f>
        <v>MallNow</v>
      </c>
      <c r="D1815" t="str">
        <f>_xlfn.XLOOKUP(Table6[[#This Row],[app_id]],Table5[app_id],Table5[category],"",0)</f>
        <v>Shopping</v>
      </c>
      <c r="E1815" t="s">
        <v>546</v>
      </c>
      <c r="F1815" t="s">
        <v>538</v>
      </c>
      <c r="G1815" t="s">
        <v>30</v>
      </c>
      <c r="H1815" t="s">
        <v>535</v>
      </c>
      <c r="I1815">
        <v>45</v>
      </c>
      <c r="J1815">
        <v>23.6</v>
      </c>
      <c r="K1815" t="s">
        <v>257</v>
      </c>
      <c r="L1815" t="s">
        <v>258</v>
      </c>
      <c r="M1815" t="s">
        <v>258</v>
      </c>
      <c r="N1815" s="5">
        <v>41.72</v>
      </c>
    </row>
    <row r="1816" spans="1:14" x14ac:dyDescent="0.25">
      <c r="A1816" t="s">
        <v>2357</v>
      </c>
      <c r="B1816" t="s">
        <v>65</v>
      </c>
      <c r="C1816" t="str">
        <f>_xlfn.XLOOKUP(Table6[[#This Row],[app_id]],Table5[app_id],Table5[app_name],"",0)</f>
        <v>DealPro</v>
      </c>
      <c r="D1816" t="str">
        <f>_xlfn.XLOOKUP(Table6[[#This Row],[app_id]],Table5[app_id],Table5[category],"",0)</f>
        <v>Shopping</v>
      </c>
      <c r="E1816" t="s">
        <v>537</v>
      </c>
      <c r="F1816" t="s">
        <v>534</v>
      </c>
      <c r="G1816" t="s">
        <v>69</v>
      </c>
      <c r="H1816" t="s">
        <v>535</v>
      </c>
      <c r="I1816">
        <v>19</v>
      </c>
      <c r="J1816">
        <v>11.9</v>
      </c>
      <c r="K1816" t="s">
        <v>258</v>
      </c>
      <c r="L1816" t="s">
        <v>257</v>
      </c>
      <c r="M1816" t="s">
        <v>258</v>
      </c>
      <c r="N1816" s="5">
        <v>0</v>
      </c>
    </row>
    <row r="1817" spans="1:14" x14ac:dyDescent="0.25">
      <c r="A1817" t="s">
        <v>2358</v>
      </c>
      <c r="B1817" t="s">
        <v>67</v>
      </c>
      <c r="C1817" t="str">
        <f>_xlfn.XLOOKUP(Table6[[#This Row],[app_id]],Table5[app_id],Table5[app_name],"",0)</f>
        <v>StyleNow</v>
      </c>
      <c r="D1817" t="str">
        <f>_xlfn.XLOOKUP(Table6[[#This Row],[app_id]],Table5[app_id],Table5[category],"",0)</f>
        <v>Shopping</v>
      </c>
      <c r="E1817" t="s">
        <v>546</v>
      </c>
      <c r="F1817" t="s">
        <v>534</v>
      </c>
      <c r="G1817" t="s">
        <v>61</v>
      </c>
      <c r="H1817" t="s">
        <v>535</v>
      </c>
      <c r="I1817">
        <v>19</v>
      </c>
      <c r="J1817">
        <v>6.8</v>
      </c>
      <c r="K1817" t="s">
        <v>258</v>
      </c>
      <c r="L1817" t="s">
        <v>257</v>
      </c>
      <c r="M1817" t="s">
        <v>258</v>
      </c>
      <c r="N1817" s="5">
        <v>0</v>
      </c>
    </row>
    <row r="1818" spans="1:14" x14ac:dyDescent="0.25">
      <c r="A1818" t="s">
        <v>2359</v>
      </c>
      <c r="B1818" t="s">
        <v>70</v>
      </c>
      <c r="C1818" t="str">
        <f>_xlfn.XLOOKUP(Table6[[#This Row],[app_id]],Table5[app_id],Table5[app_name],"",0)</f>
        <v>DealCloud</v>
      </c>
      <c r="D1818" t="str">
        <f>_xlfn.XLOOKUP(Table6[[#This Row],[app_id]],Table5[app_id],Table5[category],"",0)</f>
        <v>Shopping</v>
      </c>
      <c r="E1818" t="s">
        <v>557</v>
      </c>
      <c r="F1818" t="s">
        <v>538</v>
      </c>
      <c r="G1818" t="s">
        <v>30</v>
      </c>
      <c r="H1818" t="s">
        <v>535</v>
      </c>
      <c r="I1818">
        <v>38</v>
      </c>
      <c r="J1818">
        <v>11.6</v>
      </c>
      <c r="K1818" t="s">
        <v>257</v>
      </c>
      <c r="L1818" t="s">
        <v>257</v>
      </c>
      <c r="M1818" t="s">
        <v>258</v>
      </c>
      <c r="N1818" s="5">
        <v>0</v>
      </c>
    </row>
    <row r="1819" spans="1:14" x14ac:dyDescent="0.25">
      <c r="A1819" t="s">
        <v>2360</v>
      </c>
      <c r="B1819" t="s">
        <v>72</v>
      </c>
      <c r="C1819" t="str">
        <f>_xlfn.XLOOKUP(Table6[[#This Row],[app_id]],Table5[app_id],Table5[app_name],"",0)</f>
        <v>CartCloud</v>
      </c>
      <c r="D1819" t="str">
        <f>_xlfn.XLOOKUP(Table6[[#This Row],[app_id]],Table5[app_id],Table5[category],"",0)</f>
        <v>Shopping</v>
      </c>
      <c r="E1819" t="s">
        <v>537</v>
      </c>
      <c r="F1819" t="s">
        <v>628</v>
      </c>
      <c r="G1819" t="s">
        <v>69</v>
      </c>
      <c r="H1819" t="s">
        <v>540</v>
      </c>
      <c r="I1819">
        <v>85</v>
      </c>
      <c r="J1819">
        <v>18.600000000000001</v>
      </c>
      <c r="K1819" t="s">
        <v>257</v>
      </c>
      <c r="L1819" t="s">
        <v>258</v>
      </c>
      <c r="M1819" t="s">
        <v>258</v>
      </c>
      <c r="N1819" s="5">
        <v>0</v>
      </c>
    </row>
    <row r="1820" spans="1:14" x14ac:dyDescent="0.25">
      <c r="A1820" t="s">
        <v>2361</v>
      </c>
      <c r="B1820" t="s">
        <v>74</v>
      </c>
      <c r="C1820" t="str">
        <f>_xlfn.XLOOKUP(Table6[[#This Row],[app_id]],Table5[app_id],Table5[app_name],"",0)</f>
        <v>CartMate</v>
      </c>
      <c r="D1820" t="str">
        <f>_xlfn.XLOOKUP(Table6[[#This Row],[app_id]],Table5[app_id],Table5[category],"",0)</f>
        <v>Shopping</v>
      </c>
      <c r="E1820" t="s">
        <v>546</v>
      </c>
      <c r="F1820" t="s">
        <v>534</v>
      </c>
      <c r="G1820" t="s">
        <v>46</v>
      </c>
      <c r="H1820" t="s">
        <v>535</v>
      </c>
      <c r="I1820">
        <v>26</v>
      </c>
      <c r="J1820">
        <v>23.9</v>
      </c>
      <c r="K1820" t="s">
        <v>258</v>
      </c>
      <c r="L1820" t="s">
        <v>258</v>
      </c>
      <c r="M1820" t="s">
        <v>258</v>
      </c>
      <c r="N1820" s="5">
        <v>26.35</v>
      </c>
    </row>
    <row r="1821" spans="1:14" x14ac:dyDescent="0.25">
      <c r="A1821" t="s">
        <v>2362</v>
      </c>
      <c r="B1821" t="s">
        <v>76</v>
      </c>
      <c r="C1821" t="str">
        <f>_xlfn.XLOOKUP(Table6[[#This Row],[app_id]],Table5[app_id],Table5[app_name],"",0)</f>
        <v>BazaarOne</v>
      </c>
      <c r="D1821" t="str">
        <f>_xlfn.XLOOKUP(Table6[[#This Row],[app_id]],Table5[app_id],Table5[category],"",0)</f>
        <v>Shopping</v>
      </c>
      <c r="E1821" t="s">
        <v>533</v>
      </c>
      <c r="F1821" t="s">
        <v>538</v>
      </c>
      <c r="G1821" t="s">
        <v>23</v>
      </c>
      <c r="H1821" t="s">
        <v>535</v>
      </c>
      <c r="I1821">
        <v>18</v>
      </c>
      <c r="J1821">
        <v>3.7</v>
      </c>
      <c r="K1821" t="s">
        <v>258</v>
      </c>
      <c r="L1821" t="s">
        <v>258</v>
      </c>
      <c r="M1821" t="s">
        <v>258</v>
      </c>
      <c r="N1821" s="5">
        <v>0</v>
      </c>
    </row>
    <row r="1822" spans="1:14" x14ac:dyDescent="0.25">
      <c r="A1822" t="s">
        <v>2363</v>
      </c>
      <c r="B1822" t="s">
        <v>78</v>
      </c>
      <c r="C1822" t="str">
        <f>_xlfn.XLOOKUP(Table6[[#This Row],[app_id]],Table5[app_id],Table5[app_name],"",0)</f>
        <v>StyleOne</v>
      </c>
      <c r="D1822" t="str">
        <f>_xlfn.XLOOKUP(Table6[[#This Row],[app_id]],Table5[app_id],Table5[category],"",0)</f>
        <v>Shopping</v>
      </c>
      <c r="E1822" t="s">
        <v>546</v>
      </c>
      <c r="F1822" t="s">
        <v>534</v>
      </c>
      <c r="G1822" t="s">
        <v>69</v>
      </c>
      <c r="H1822" t="s">
        <v>540</v>
      </c>
      <c r="I1822">
        <v>15</v>
      </c>
      <c r="J1822">
        <v>9.1999999999999993</v>
      </c>
      <c r="K1822" t="s">
        <v>258</v>
      </c>
      <c r="L1822" t="s">
        <v>258</v>
      </c>
      <c r="M1822" t="s">
        <v>257</v>
      </c>
      <c r="N1822" s="5">
        <v>0</v>
      </c>
    </row>
    <row r="1823" spans="1:14" x14ac:dyDescent="0.25">
      <c r="A1823" t="s">
        <v>2364</v>
      </c>
      <c r="B1823" t="s">
        <v>80</v>
      </c>
      <c r="C1823" t="str">
        <f>_xlfn.XLOOKUP(Table6[[#This Row],[app_id]],Table5[app_id],Table5[app_name],"",0)</f>
        <v>Cartly</v>
      </c>
      <c r="D1823" t="str">
        <f>_xlfn.XLOOKUP(Table6[[#This Row],[app_id]],Table5[app_id],Table5[category],"",0)</f>
        <v>Shopping</v>
      </c>
      <c r="E1823" t="s">
        <v>557</v>
      </c>
      <c r="F1823" t="s">
        <v>538</v>
      </c>
      <c r="G1823" t="s">
        <v>30</v>
      </c>
      <c r="H1823" t="s">
        <v>535</v>
      </c>
      <c r="I1823">
        <v>16</v>
      </c>
      <c r="J1823">
        <v>4.0999999999999996</v>
      </c>
      <c r="K1823" t="s">
        <v>257</v>
      </c>
      <c r="L1823" t="s">
        <v>257</v>
      </c>
      <c r="M1823" t="s">
        <v>258</v>
      </c>
      <c r="N1823" s="5">
        <v>50.13</v>
      </c>
    </row>
    <row r="1824" spans="1:14" x14ac:dyDescent="0.25">
      <c r="A1824" t="s">
        <v>2365</v>
      </c>
      <c r="B1824" t="s">
        <v>83</v>
      </c>
      <c r="C1824" t="str">
        <f>_xlfn.XLOOKUP(Table6[[#This Row],[app_id]],Table5[app_id],Table5[app_name],"",0)</f>
        <v>BazaarCloud</v>
      </c>
      <c r="D1824" t="str">
        <f>_xlfn.XLOOKUP(Table6[[#This Row],[app_id]],Table5[app_id],Table5[category],"",0)</f>
        <v>Shopping</v>
      </c>
      <c r="E1824" t="s">
        <v>546</v>
      </c>
      <c r="F1824" t="s">
        <v>538</v>
      </c>
      <c r="G1824" t="s">
        <v>18</v>
      </c>
      <c r="H1824" t="s">
        <v>535</v>
      </c>
      <c r="I1824">
        <v>17</v>
      </c>
      <c r="J1824">
        <v>15.5</v>
      </c>
      <c r="K1824" t="s">
        <v>258</v>
      </c>
      <c r="L1824" t="s">
        <v>258</v>
      </c>
      <c r="M1824" t="s">
        <v>258</v>
      </c>
      <c r="N1824" s="5">
        <v>7.53</v>
      </c>
    </row>
    <row r="1825" spans="1:14" x14ac:dyDescent="0.25">
      <c r="A1825" t="s">
        <v>2366</v>
      </c>
      <c r="B1825" t="s">
        <v>85</v>
      </c>
      <c r="C1825" t="str">
        <f>_xlfn.XLOOKUP(Table6[[#This Row],[app_id]],Table5[app_id],Table5[app_name],"",0)</f>
        <v>CartPro</v>
      </c>
      <c r="D1825" t="str">
        <f>_xlfn.XLOOKUP(Table6[[#This Row],[app_id]],Table5[app_id],Table5[category],"",0)</f>
        <v>Shopping</v>
      </c>
      <c r="E1825" t="s">
        <v>533</v>
      </c>
      <c r="F1825" t="s">
        <v>534</v>
      </c>
      <c r="G1825" t="s">
        <v>30</v>
      </c>
      <c r="H1825" t="s">
        <v>535</v>
      </c>
      <c r="I1825">
        <v>80</v>
      </c>
      <c r="J1825">
        <v>6.3</v>
      </c>
      <c r="K1825" t="s">
        <v>257</v>
      </c>
      <c r="L1825" t="s">
        <v>257</v>
      </c>
      <c r="M1825" t="s">
        <v>258</v>
      </c>
      <c r="N1825" s="5">
        <v>0</v>
      </c>
    </row>
    <row r="1826" spans="1:14" x14ac:dyDescent="0.25">
      <c r="A1826" t="s">
        <v>2367</v>
      </c>
      <c r="B1826" t="s">
        <v>87</v>
      </c>
      <c r="C1826" t="str">
        <f>_xlfn.XLOOKUP(Table6[[#This Row],[app_id]],Table5[app_id],Table5[app_name],"",0)</f>
        <v>RunPlus</v>
      </c>
      <c r="D1826" t="str">
        <f>_xlfn.XLOOKUP(Table6[[#This Row],[app_id]],Table5[app_id],Table5[category],"",0)</f>
        <v>Fitness</v>
      </c>
      <c r="E1826" t="s">
        <v>546</v>
      </c>
      <c r="F1826" t="s">
        <v>534</v>
      </c>
      <c r="G1826" t="s">
        <v>18</v>
      </c>
      <c r="H1826" t="s">
        <v>535</v>
      </c>
      <c r="I1826">
        <v>10</v>
      </c>
      <c r="J1826">
        <v>40.299999999999997</v>
      </c>
      <c r="K1826" t="s">
        <v>258</v>
      </c>
      <c r="L1826" t="s">
        <v>257</v>
      </c>
      <c r="M1826" t="s">
        <v>258</v>
      </c>
      <c r="N1826" s="5">
        <v>0</v>
      </c>
    </row>
    <row r="1827" spans="1:14" x14ac:dyDescent="0.25">
      <c r="A1827" t="s">
        <v>2368</v>
      </c>
      <c r="B1827" t="s">
        <v>90</v>
      </c>
      <c r="C1827" t="str">
        <f>_xlfn.XLOOKUP(Table6[[#This Row],[app_id]],Table5[app_id],Table5[app_name],"",0)</f>
        <v>TrainCloud</v>
      </c>
      <c r="D1827" t="str">
        <f>_xlfn.XLOOKUP(Table6[[#This Row],[app_id]],Table5[app_id],Table5[category],"",0)</f>
        <v>Fitness</v>
      </c>
      <c r="E1827" t="s">
        <v>537</v>
      </c>
      <c r="F1827" t="s">
        <v>538</v>
      </c>
      <c r="G1827" t="s">
        <v>35</v>
      </c>
      <c r="H1827" t="s">
        <v>535</v>
      </c>
      <c r="I1827">
        <v>21</v>
      </c>
      <c r="J1827">
        <v>11.2</v>
      </c>
      <c r="K1827" t="s">
        <v>258</v>
      </c>
      <c r="L1827" t="s">
        <v>257</v>
      </c>
      <c r="M1827" t="s">
        <v>258</v>
      </c>
      <c r="N1827" s="5">
        <v>0</v>
      </c>
    </row>
    <row r="1828" spans="1:14" x14ac:dyDescent="0.25">
      <c r="A1828" t="s">
        <v>2369</v>
      </c>
      <c r="B1828" t="s">
        <v>92</v>
      </c>
      <c r="C1828" t="str">
        <f>_xlfn.XLOOKUP(Table6[[#This Row],[app_id]],Table5[app_id],Table5[app_name],"",0)</f>
        <v>Trainly</v>
      </c>
      <c r="D1828" t="str">
        <f>_xlfn.XLOOKUP(Table6[[#This Row],[app_id]],Table5[app_id],Table5[category],"",0)</f>
        <v>Fitness</v>
      </c>
      <c r="E1828" t="s">
        <v>533</v>
      </c>
      <c r="F1828" t="s">
        <v>534</v>
      </c>
      <c r="G1828" t="s">
        <v>35</v>
      </c>
      <c r="H1828" t="s">
        <v>540</v>
      </c>
      <c r="I1828">
        <v>67</v>
      </c>
      <c r="J1828">
        <v>11</v>
      </c>
      <c r="K1828" t="s">
        <v>257</v>
      </c>
      <c r="L1828" t="s">
        <v>257</v>
      </c>
      <c r="M1828" t="s">
        <v>258</v>
      </c>
      <c r="N1828" s="5">
        <v>21.51</v>
      </c>
    </row>
    <row r="1829" spans="1:14" x14ac:dyDescent="0.25">
      <c r="A1829" t="s">
        <v>2370</v>
      </c>
      <c r="B1829" t="s">
        <v>94</v>
      </c>
      <c r="C1829" t="str">
        <f>_xlfn.XLOOKUP(Table6[[#This Row],[app_id]],Table5[app_id],Table5[app_name],"",0)</f>
        <v>LiftCloud</v>
      </c>
      <c r="D1829" t="str">
        <f>_xlfn.XLOOKUP(Table6[[#This Row],[app_id]],Table5[app_id],Table5[category],"",0)</f>
        <v>Fitness</v>
      </c>
      <c r="E1829" t="s">
        <v>533</v>
      </c>
      <c r="F1829" t="s">
        <v>538</v>
      </c>
      <c r="G1829" t="s">
        <v>46</v>
      </c>
      <c r="H1829" t="s">
        <v>535</v>
      </c>
      <c r="I1829">
        <v>66</v>
      </c>
      <c r="J1829">
        <v>31.1</v>
      </c>
      <c r="K1829" t="s">
        <v>257</v>
      </c>
      <c r="L1829" t="s">
        <v>257</v>
      </c>
      <c r="M1829" t="s">
        <v>258</v>
      </c>
      <c r="N1829" s="5">
        <v>0</v>
      </c>
    </row>
    <row r="1830" spans="1:14" x14ac:dyDescent="0.25">
      <c r="A1830" t="s">
        <v>2371</v>
      </c>
      <c r="B1830" t="s">
        <v>96</v>
      </c>
      <c r="C1830" t="str">
        <f>_xlfn.XLOOKUP(Table6[[#This Row],[app_id]],Table5[app_id],Table5[app_name],"",0)</f>
        <v>MoveNow</v>
      </c>
      <c r="D1830" t="str">
        <f>_xlfn.XLOOKUP(Table6[[#This Row],[app_id]],Table5[app_id],Table5[category],"",0)</f>
        <v>Fitness</v>
      </c>
      <c r="E1830" t="s">
        <v>546</v>
      </c>
      <c r="F1830" t="s">
        <v>534</v>
      </c>
      <c r="G1830" t="s">
        <v>69</v>
      </c>
      <c r="H1830" t="s">
        <v>535</v>
      </c>
      <c r="I1830">
        <v>3</v>
      </c>
      <c r="J1830">
        <v>12.3</v>
      </c>
      <c r="K1830" t="s">
        <v>258</v>
      </c>
      <c r="L1830" t="s">
        <v>258</v>
      </c>
      <c r="M1830" t="s">
        <v>257</v>
      </c>
      <c r="N1830" s="5">
        <v>0</v>
      </c>
    </row>
    <row r="1831" spans="1:14" x14ac:dyDescent="0.25">
      <c r="A1831" t="s">
        <v>2372</v>
      </c>
      <c r="B1831" t="s">
        <v>98</v>
      </c>
      <c r="C1831" t="str">
        <f>_xlfn.XLOOKUP(Table6[[#This Row],[app_id]],Table5[app_id],Table5[app_name],"",0)</f>
        <v>ActiveMate</v>
      </c>
      <c r="D1831" t="str">
        <f>_xlfn.XLOOKUP(Table6[[#This Row],[app_id]],Table5[app_id],Table5[category],"",0)</f>
        <v>Fitness</v>
      </c>
      <c r="E1831" t="s">
        <v>546</v>
      </c>
      <c r="F1831" t="s">
        <v>538</v>
      </c>
      <c r="G1831" t="s">
        <v>30</v>
      </c>
      <c r="H1831" t="s">
        <v>540</v>
      </c>
      <c r="I1831">
        <v>29</v>
      </c>
      <c r="J1831">
        <v>11.2</v>
      </c>
      <c r="K1831" t="s">
        <v>257</v>
      </c>
      <c r="L1831" t="s">
        <v>258</v>
      </c>
      <c r="M1831" t="s">
        <v>258</v>
      </c>
      <c r="N1831" s="5">
        <v>0</v>
      </c>
    </row>
    <row r="1832" spans="1:14" x14ac:dyDescent="0.25">
      <c r="A1832" t="s">
        <v>2373</v>
      </c>
      <c r="B1832" t="s">
        <v>100</v>
      </c>
      <c r="C1832" t="str">
        <f>_xlfn.XLOOKUP(Table6[[#This Row],[app_id]],Table5[app_id],Table5[app_name],"",0)</f>
        <v>RunGo</v>
      </c>
      <c r="D1832" t="str">
        <f>_xlfn.XLOOKUP(Table6[[#This Row],[app_id]],Table5[app_id],Table5[category],"",0)</f>
        <v>Fitness</v>
      </c>
      <c r="E1832" t="s">
        <v>546</v>
      </c>
      <c r="F1832" t="s">
        <v>534</v>
      </c>
      <c r="G1832" t="s">
        <v>30</v>
      </c>
      <c r="H1832" t="s">
        <v>535</v>
      </c>
      <c r="I1832">
        <v>69</v>
      </c>
      <c r="J1832">
        <v>37.299999999999997</v>
      </c>
      <c r="K1832" t="s">
        <v>257</v>
      </c>
      <c r="L1832" t="s">
        <v>257</v>
      </c>
      <c r="M1832" t="s">
        <v>258</v>
      </c>
      <c r="N1832" s="5">
        <v>0</v>
      </c>
    </row>
    <row r="1833" spans="1:14" x14ac:dyDescent="0.25">
      <c r="A1833" t="s">
        <v>2374</v>
      </c>
      <c r="B1833" t="s">
        <v>102</v>
      </c>
      <c r="C1833" t="str">
        <f>_xlfn.XLOOKUP(Table6[[#This Row],[app_id]],Table5[app_id],Table5[app_name],"",0)</f>
        <v>LiftPro</v>
      </c>
      <c r="D1833" t="str">
        <f>_xlfn.XLOOKUP(Table6[[#This Row],[app_id]],Table5[app_id],Table5[category],"",0)</f>
        <v>Fitness</v>
      </c>
      <c r="E1833" t="s">
        <v>557</v>
      </c>
      <c r="F1833" t="s">
        <v>534</v>
      </c>
      <c r="G1833" t="s">
        <v>35</v>
      </c>
      <c r="H1833" t="s">
        <v>535</v>
      </c>
      <c r="I1833">
        <v>14</v>
      </c>
      <c r="J1833">
        <v>32.799999999999997</v>
      </c>
      <c r="K1833" t="s">
        <v>258</v>
      </c>
      <c r="L1833" t="s">
        <v>257</v>
      </c>
      <c r="M1833" t="s">
        <v>258</v>
      </c>
      <c r="N1833" s="5">
        <v>41.75</v>
      </c>
    </row>
    <row r="1834" spans="1:14" x14ac:dyDescent="0.25">
      <c r="A1834" t="s">
        <v>2375</v>
      </c>
      <c r="B1834" t="s">
        <v>104</v>
      </c>
      <c r="C1834" t="str">
        <f>_xlfn.XLOOKUP(Table6[[#This Row],[app_id]],Table5[app_id],Table5[app_name],"",0)</f>
        <v>LiftPro</v>
      </c>
      <c r="D1834" t="str">
        <f>_xlfn.XLOOKUP(Table6[[#This Row],[app_id]],Table5[app_id],Table5[category],"",0)</f>
        <v>Fitness</v>
      </c>
      <c r="E1834" t="s">
        <v>533</v>
      </c>
      <c r="F1834" t="s">
        <v>538</v>
      </c>
      <c r="G1834" t="s">
        <v>46</v>
      </c>
      <c r="H1834" t="s">
        <v>540</v>
      </c>
      <c r="I1834">
        <v>28</v>
      </c>
      <c r="J1834">
        <v>16.600000000000001</v>
      </c>
      <c r="K1834" t="s">
        <v>258</v>
      </c>
      <c r="L1834" t="s">
        <v>257</v>
      </c>
      <c r="M1834" t="s">
        <v>258</v>
      </c>
      <c r="N1834" s="5">
        <v>0</v>
      </c>
    </row>
    <row r="1835" spans="1:14" x14ac:dyDescent="0.25">
      <c r="A1835" t="s">
        <v>2376</v>
      </c>
      <c r="B1835" t="s">
        <v>105</v>
      </c>
      <c r="C1835" t="str">
        <f>_xlfn.XLOOKUP(Table6[[#This Row],[app_id]],Table5[app_id],Table5[app_name],"",0)</f>
        <v>Liftly</v>
      </c>
      <c r="D1835" t="str">
        <f>_xlfn.XLOOKUP(Table6[[#This Row],[app_id]],Table5[app_id],Table5[category],"",0)</f>
        <v>Fitness</v>
      </c>
      <c r="E1835" t="s">
        <v>546</v>
      </c>
      <c r="F1835" t="s">
        <v>534</v>
      </c>
      <c r="G1835" t="s">
        <v>18</v>
      </c>
      <c r="H1835" t="s">
        <v>535</v>
      </c>
      <c r="I1835">
        <v>72</v>
      </c>
      <c r="J1835">
        <v>32.4</v>
      </c>
      <c r="K1835" t="s">
        <v>257</v>
      </c>
      <c r="L1835" t="s">
        <v>258</v>
      </c>
      <c r="M1835" t="s">
        <v>258</v>
      </c>
      <c r="N1835" s="5">
        <v>0</v>
      </c>
    </row>
    <row r="1836" spans="1:14" x14ac:dyDescent="0.25">
      <c r="A1836" t="s">
        <v>2377</v>
      </c>
      <c r="B1836" t="s">
        <v>107</v>
      </c>
      <c r="C1836" t="str">
        <f>_xlfn.XLOOKUP(Table6[[#This Row],[app_id]],Table5[app_id],Table5[app_name],"",0)</f>
        <v>YogaHub</v>
      </c>
      <c r="D1836" t="str">
        <f>_xlfn.XLOOKUP(Table6[[#This Row],[app_id]],Table5[app_id],Table5[category],"",0)</f>
        <v>Fitness</v>
      </c>
      <c r="E1836" t="s">
        <v>533</v>
      </c>
      <c r="F1836" t="s">
        <v>534</v>
      </c>
      <c r="G1836" t="s">
        <v>46</v>
      </c>
      <c r="H1836" t="s">
        <v>535</v>
      </c>
      <c r="I1836">
        <v>33</v>
      </c>
      <c r="J1836">
        <v>13.8</v>
      </c>
      <c r="K1836" t="s">
        <v>257</v>
      </c>
      <c r="L1836" t="s">
        <v>257</v>
      </c>
      <c r="M1836" t="s">
        <v>258</v>
      </c>
      <c r="N1836" s="5">
        <v>43.95</v>
      </c>
    </row>
    <row r="1837" spans="1:14" x14ac:dyDescent="0.25">
      <c r="A1837" t="s">
        <v>2378</v>
      </c>
      <c r="B1837" t="s">
        <v>109</v>
      </c>
      <c r="C1837" t="str">
        <f>_xlfn.XLOOKUP(Table6[[#This Row],[app_id]],Table5[app_id],Table5[app_name],"",0)</f>
        <v>MoveGo</v>
      </c>
      <c r="D1837" t="str">
        <f>_xlfn.XLOOKUP(Table6[[#This Row],[app_id]],Table5[app_id],Table5[category],"",0)</f>
        <v>Fitness</v>
      </c>
      <c r="E1837" t="s">
        <v>533</v>
      </c>
      <c r="F1837" t="s">
        <v>548</v>
      </c>
      <c r="G1837" t="s">
        <v>23</v>
      </c>
      <c r="H1837" t="s">
        <v>535</v>
      </c>
      <c r="I1837">
        <v>23</v>
      </c>
      <c r="J1837">
        <v>26.9</v>
      </c>
      <c r="K1837" t="s">
        <v>258</v>
      </c>
      <c r="L1837" t="s">
        <v>258</v>
      </c>
      <c r="M1837" t="s">
        <v>258</v>
      </c>
      <c r="N1837" s="5">
        <v>0</v>
      </c>
    </row>
    <row r="1838" spans="1:14" x14ac:dyDescent="0.25">
      <c r="A1838" t="s">
        <v>2379</v>
      </c>
      <c r="B1838" t="s">
        <v>111</v>
      </c>
      <c r="C1838" t="str">
        <f>_xlfn.XLOOKUP(Table6[[#This Row],[app_id]],Table5[app_id],Table5[app_name],"",0)</f>
        <v>BrightNow</v>
      </c>
      <c r="D1838" t="str">
        <f>_xlfn.XLOOKUP(Table6[[#This Row],[app_id]],Table5[app_id],Table5[category],"",0)</f>
        <v>Education</v>
      </c>
      <c r="E1838" t="s">
        <v>533</v>
      </c>
      <c r="F1838" t="s">
        <v>538</v>
      </c>
      <c r="G1838" t="s">
        <v>26</v>
      </c>
      <c r="H1838" t="s">
        <v>535</v>
      </c>
      <c r="I1838">
        <v>41</v>
      </c>
      <c r="J1838">
        <v>20.399999999999999</v>
      </c>
      <c r="K1838" t="s">
        <v>257</v>
      </c>
      <c r="L1838" t="s">
        <v>257</v>
      </c>
      <c r="M1838" t="s">
        <v>258</v>
      </c>
      <c r="N1838" s="5">
        <v>0</v>
      </c>
    </row>
    <row r="1839" spans="1:14" x14ac:dyDescent="0.25">
      <c r="A1839" t="s">
        <v>2380</v>
      </c>
      <c r="B1839" t="s">
        <v>114</v>
      </c>
      <c r="C1839" t="str">
        <f>_xlfn.XLOOKUP(Table6[[#This Row],[app_id]],Table5[app_id],Table5[app_name],"",0)</f>
        <v>StudyCloud</v>
      </c>
      <c r="D1839" t="str">
        <f>_xlfn.XLOOKUP(Table6[[#This Row],[app_id]],Table5[app_id],Table5[category],"",0)</f>
        <v>Education</v>
      </c>
      <c r="E1839" t="s">
        <v>557</v>
      </c>
      <c r="F1839" t="s">
        <v>538</v>
      </c>
      <c r="G1839" t="s">
        <v>26</v>
      </c>
      <c r="H1839" t="s">
        <v>535</v>
      </c>
      <c r="I1839">
        <v>8</v>
      </c>
      <c r="J1839">
        <v>35.6</v>
      </c>
      <c r="K1839" t="s">
        <v>258</v>
      </c>
      <c r="L1839" t="s">
        <v>257</v>
      </c>
      <c r="M1839" t="s">
        <v>258</v>
      </c>
      <c r="N1839" s="5">
        <v>0</v>
      </c>
    </row>
    <row r="1840" spans="1:14" x14ac:dyDescent="0.25">
      <c r="A1840" t="s">
        <v>2381</v>
      </c>
      <c r="B1840" t="s">
        <v>116</v>
      </c>
      <c r="C1840" t="str">
        <f>_xlfn.XLOOKUP(Table6[[#This Row],[app_id]],Table5[app_id],Table5[app_name],"",0)</f>
        <v>SkillNow</v>
      </c>
      <c r="D1840" t="str">
        <f>_xlfn.XLOOKUP(Table6[[#This Row],[app_id]],Table5[app_id],Table5[category],"",0)</f>
        <v>Education</v>
      </c>
      <c r="E1840" t="s">
        <v>533</v>
      </c>
      <c r="F1840" t="s">
        <v>534</v>
      </c>
      <c r="G1840" t="s">
        <v>35</v>
      </c>
      <c r="H1840" t="s">
        <v>540</v>
      </c>
      <c r="I1840">
        <v>17</v>
      </c>
      <c r="J1840">
        <v>21.1</v>
      </c>
      <c r="K1840" t="s">
        <v>257</v>
      </c>
      <c r="L1840" t="s">
        <v>258</v>
      </c>
      <c r="M1840" t="s">
        <v>258</v>
      </c>
      <c r="N1840" s="5">
        <v>6.38</v>
      </c>
    </row>
    <row r="1841" spans="1:14" x14ac:dyDescent="0.25">
      <c r="A1841" t="s">
        <v>2382</v>
      </c>
      <c r="B1841" t="s">
        <v>118</v>
      </c>
      <c r="C1841" t="str">
        <f>_xlfn.XLOOKUP(Table6[[#This Row],[app_id]],Table5[app_id],Table5[app_name],"",0)</f>
        <v>LearnMate</v>
      </c>
      <c r="D1841" t="str">
        <f>_xlfn.XLOOKUP(Table6[[#This Row],[app_id]],Table5[app_id],Table5[category],"",0)</f>
        <v>Education</v>
      </c>
      <c r="E1841" t="s">
        <v>546</v>
      </c>
      <c r="F1841" t="s">
        <v>548</v>
      </c>
      <c r="G1841" t="s">
        <v>30</v>
      </c>
      <c r="H1841" t="s">
        <v>535</v>
      </c>
      <c r="I1841">
        <v>2</v>
      </c>
      <c r="J1841">
        <v>11.1</v>
      </c>
      <c r="K1841" t="s">
        <v>258</v>
      </c>
      <c r="L1841" t="s">
        <v>258</v>
      </c>
      <c r="M1841" t="s">
        <v>258</v>
      </c>
      <c r="N1841" s="5">
        <v>8.76</v>
      </c>
    </row>
    <row r="1842" spans="1:14" x14ac:dyDescent="0.25">
      <c r="A1842" t="s">
        <v>2383</v>
      </c>
      <c r="B1842" t="s">
        <v>120</v>
      </c>
      <c r="C1842" t="str">
        <f>_xlfn.XLOOKUP(Table6[[#This Row],[app_id]],Table5[app_id],Table5[app_name],"",0)</f>
        <v>QuestNow</v>
      </c>
      <c r="D1842" t="str">
        <f>_xlfn.XLOOKUP(Table6[[#This Row],[app_id]],Table5[app_id],Table5[category],"",0)</f>
        <v>Education</v>
      </c>
      <c r="E1842" t="s">
        <v>537</v>
      </c>
      <c r="F1842" t="s">
        <v>534</v>
      </c>
      <c r="G1842" t="s">
        <v>26</v>
      </c>
      <c r="H1842" t="s">
        <v>540</v>
      </c>
      <c r="I1842">
        <v>11</v>
      </c>
      <c r="J1842">
        <v>23</v>
      </c>
      <c r="K1842" t="s">
        <v>258</v>
      </c>
      <c r="L1842" t="s">
        <v>257</v>
      </c>
      <c r="M1842" t="s">
        <v>258</v>
      </c>
      <c r="N1842" s="5">
        <v>0</v>
      </c>
    </row>
    <row r="1843" spans="1:14" x14ac:dyDescent="0.25">
      <c r="A1843" t="s">
        <v>2384</v>
      </c>
      <c r="B1843" t="s">
        <v>122</v>
      </c>
      <c r="C1843" t="str">
        <f>_xlfn.XLOOKUP(Table6[[#This Row],[app_id]],Table5[app_id],Table5[app_name],"",0)</f>
        <v>SkillHub</v>
      </c>
      <c r="D1843" t="str">
        <f>_xlfn.XLOOKUP(Table6[[#This Row],[app_id]],Table5[app_id],Table5[category],"",0)</f>
        <v>Education</v>
      </c>
      <c r="E1843" t="s">
        <v>537</v>
      </c>
      <c r="F1843" t="s">
        <v>538</v>
      </c>
      <c r="G1843" t="s">
        <v>23</v>
      </c>
      <c r="H1843" t="s">
        <v>535</v>
      </c>
      <c r="I1843">
        <v>11</v>
      </c>
      <c r="J1843">
        <v>9.8000000000000007</v>
      </c>
      <c r="K1843" t="s">
        <v>258</v>
      </c>
      <c r="L1843" t="s">
        <v>257</v>
      </c>
      <c r="M1843" t="s">
        <v>257</v>
      </c>
      <c r="N1843" s="5">
        <v>0</v>
      </c>
    </row>
    <row r="1844" spans="1:14" x14ac:dyDescent="0.25">
      <c r="A1844" t="s">
        <v>2385</v>
      </c>
      <c r="B1844" t="s">
        <v>124</v>
      </c>
      <c r="C1844" t="str">
        <f>_xlfn.XLOOKUP(Table6[[#This Row],[app_id]],Table5[app_id],Table5[app_name],"",0)</f>
        <v>TutorCloud</v>
      </c>
      <c r="D1844" t="str">
        <f>_xlfn.XLOOKUP(Table6[[#This Row],[app_id]],Table5[app_id],Table5[category],"",0)</f>
        <v>Education</v>
      </c>
      <c r="E1844" t="s">
        <v>537</v>
      </c>
      <c r="F1844" t="s">
        <v>538</v>
      </c>
      <c r="G1844" t="s">
        <v>61</v>
      </c>
      <c r="H1844" t="s">
        <v>535</v>
      </c>
      <c r="I1844">
        <v>2</v>
      </c>
      <c r="J1844">
        <v>9.1999999999999993</v>
      </c>
      <c r="K1844" t="s">
        <v>258</v>
      </c>
      <c r="L1844" t="s">
        <v>258</v>
      </c>
      <c r="M1844" t="s">
        <v>257</v>
      </c>
      <c r="N1844" s="5">
        <v>4.1500000000000004</v>
      </c>
    </row>
    <row r="1845" spans="1:14" x14ac:dyDescent="0.25">
      <c r="A1845" t="s">
        <v>2386</v>
      </c>
      <c r="B1845" t="s">
        <v>126</v>
      </c>
      <c r="C1845" t="str">
        <f>_xlfn.XLOOKUP(Table6[[#This Row],[app_id]],Table5[app_id],Table5[app_name],"",0)</f>
        <v>SkillOne</v>
      </c>
      <c r="D1845" t="str">
        <f>_xlfn.XLOOKUP(Table6[[#This Row],[app_id]],Table5[app_id],Table5[category],"",0)</f>
        <v>Education</v>
      </c>
      <c r="E1845" t="s">
        <v>533</v>
      </c>
      <c r="F1845" t="s">
        <v>534</v>
      </c>
      <c r="G1845" t="s">
        <v>26</v>
      </c>
      <c r="H1845" t="s">
        <v>535</v>
      </c>
      <c r="I1845">
        <v>92</v>
      </c>
      <c r="J1845">
        <v>11.3</v>
      </c>
      <c r="K1845" t="s">
        <v>257</v>
      </c>
      <c r="L1845" t="s">
        <v>257</v>
      </c>
      <c r="M1845" t="s">
        <v>258</v>
      </c>
      <c r="N1845" s="5">
        <v>0</v>
      </c>
    </row>
    <row r="1846" spans="1:14" x14ac:dyDescent="0.25">
      <c r="A1846" t="s">
        <v>2387</v>
      </c>
      <c r="B1846" t="s">
        <v>128</v>
      </c>
      <c r="C1846" t="str">
        <f>_xlfn.XLOOKUP(Table6[[#This Row],[app_id]],Table5[app_id],Table5[app_name],"",0)</f>
        <v>LearnOne</v>
      </c>
      <c r="D1846" t="str">
        <f>_xlfn.XLOOKUP(Table6[[#This Row],[app_id]],Table5[app_id],Table5[category],"",0)</f>
        <v>Education</v>
      </c>
      <c r="E1846" t="s">
        <v>546</v>
      </c>
      <c r="F1846" t="s">
        <v>538</v>
      </c>
      <c r="G1846" t="s">
        <v>30</v>
      </c>
      <c r="H1846" t="s">
        <v>535</v>
      </c>
      <c r="I1846">
        <v>21</v>
      </c>
      <c r="J1846">
        <v>28.9</v>
      </c>
      <c r="K1846" t="s">
        <v>258</v>
      </c>
      <c r="L1846" t="s">
        <v>258</v>
      </c>
      <c r="M1846" t="s">
        <v>258</v>
      </c>
      <c r="N1846" s="5">
        <v>0</v>
      </c>
    </row>
    <row r="1847" spans="1:14" x14ac:dyDescent="0.25">
      <c r="A1847" t="s">
        <v>2388</v>
      </c>
      <c r="B1847" t="s">
        <v>130</v>
      </c>
      <c r="C1847" t="str">
        <f>_xlfn.XLOOKUP(Table6[[#This Row],[app_id]],Table5[app_id],Table5[app_name],"",0)</f>
        <v>LearnPlus</v>
      </c>
      <c r="D1847" t="str">
        <f>_xlfn.XLOOKUP(Table6[[#This Row],[app_id]],Table5[app_id],Table5[category],"",0)</f>
        <v>Education</v>
      </c>
      <c r="E1847" t="s">
        <v>533</v>
      </c>
      <c r="F1847" t="s">
        <v>534</v>
      </c>
      <c r="G1847" t="s">
        <v>18</v>
      </c>
      <c r="H1847" t="s">
        <v>535</v>
      </c>
      <c r="I1847">
        <v>22</v>
      </c>
      <c r="J1847">
        <v>35.1</v>
      </c>
      <c r="K1847" t="s">
        <v>258</v>
      </c>
      <c r="L1847" t="s">
        <v>258</v>
      </c>
      <c r="M1847" t="s">
        <v>258</v>
      </c>
      <c r="N1847" s="5">
        <v>0</v>
      </c>
    </row>
    <row r="1848" spans="1:14" x14ac:dyDescent="0.25">
      <c r="A1848" t="s">
        <v>2389</v>
      </c>
      <c r="B1848" t="s">
        <v>132</v>
      </c>
      <c r="C1848" t="str">
        <f>_xlfn.XLOOKUP(Table6[[#This Row],[app_id]],Table5[app_id],Table5[app_name],"",0)</f>
        <v>StudyPlus</v>
      </c>
      <c r="D1848" t="str">
        <f>_xlfn.XLOOKUP(Table6[[#This Row],[app_id]],Table5[app_id],Table5[category],"",0)</f>
        <v>Education</v>
      </c>
      <c r="E1848" t="s">
        <v>546</v>
      </c>
      <c r="F1848" t="s">
        <v>548</v>
      </c>
      <c r="G1848" t="s">
        <v>35</v>
      </c>
      <c r="H1848" t="s">
        <v>535</v>
      </c>
      <c r="I1848">
        <v>27</v>
      </c>
      <c r="J1848">
        <v>20.6</v>
      </c>
      <c r="K1848" t="s">
        <v>258</v>
      </c>
      <c r="L1848" t="s">
        <v>258</v>
      </c>
      <c r="M1848" t="s">
        <v>257</v>
      </c>
      <c r="N1848" s="5">
        <v>0</v>
      </c>
    </row>
    <row r="1849" spans="1:14" x14ac:dyDescent="0.25">
      <c r="A1849" t="s">
        <v>2390</v>
      </c>
      <c r="B1849" t="s">
        <v>134</v>
      </c>
      <c r="C1849" t="str">
        <f>_xlfn.XLOOKUP(Table6[[#This Row],[app_id]],Table5[app_id],Table5[app_name],"",0)</f>
        <v>StudyX</v>
      </c>
      <c r="D1849" t="str">
        <f>_xlfn.XLOOKUP(Table6[[#This Row],[app_id]],Table5[app_id],Table5[category],"",0)</f>
        <v>Education</v>
      </c>
      <c r="E1849" t="s">
        <v>546</v>
      </c>
      <c r="F1849" t="s">
        <v>534</v>
      </c>
      <c r="G1849" t="s">
        <v>30</v>
      </c>
      <c r="H1849" t="s">
        <v>535</v>
      </c>
      <c r="I1849">
        <v>26</v>
      </c>
      <c r="J1849">
        <v>33.799999999999997</v>
      </c>
      <c r="K1849" t="s">
        <v>258</v>
      </c>
      <c r="L1849" t="s">
        <v>258</v>
      </c>
      <c r="M1849" t="s">
        <v>257</v>
      </c>
      <c r="N1849" s="5">
        <v>0</v>
      </c>
    </row>
    <row r="1850" spans="1:14" x14ac:dyDescent="0.25">
      <c r="A1850" t="s">
        <v>2391</v>
      </c>
      <c r="B1850" t="s">
        <v>136</v>
      </c>
      <c r="C1850" t="str">
        <f>_xlfn.XLOOKUP(Table6[[#This Row],[app_id]],Table5[app_id],Table5[app_name],"",0)</f>
        <v>PlayPlus</v>
      </c>
      <c r="D1850" t="str">
        <f>_xlfn.XLOOKUP(Table6[[#This Row],[app_id]],Table5[app_id],Table5[category],"",0)</f>
        <v>Entertainment</v>
      </c>
      <c r="E1850" t="s">
        <v>557</v>
      </c>
      <c r="F1850" t="s">
        <v>534</v>
      </c>
      <c r="G1850" t="s">
        <v>46</v>
      </c>
      <c r="H1850" t="s">
        <v>535</v>
      </c>
      <c r="I1850">
        <v>18</v>
      </c>
      <c r="J1850">
        <v>25.8</v>
      </c>
      <c r="K1850" t="s">
        <v>258</v>
      </c>
      <c r="L1850" t="s">
        <v>258</v>
      </c>
      <c r="M1850" t="s">
        <v>257</v>
      </c>
      <c r="N1850" s="5">
        <v>0</v>
      </c>
    </row>
    <row r="1851" spans="1:14" x14ac:dyDescent="0.25">
      <c r="A1851" t="s">
        <v>2392</v>
      </c>
      <c r="B1851" t="s">
        <v>139</v>
      </c>
      <c r="C1851" t="str">
        <f>_xlfn.XLOOKUP(Table6[[#This Row],[app_id]],Table5[app_id],Table5[app_name],"",0)</f>
        <v>ShowMate</v>
      </c>
      <c r="D1851" t="str">
        <f>_xlfn.XLOOKUP(Table6[[#This Row],[app_id]],Table5[app_id],Table5[category],"",0)</f>
        <v>Entertainment</v>
      </c>
      <c r="E1851" t="s">
        <v>537</v>
      </c>
      <c r="F1851" t="s">
        <v>534</v>
      </c>
      <c r="G1851" t="s">
        <v>61</v>
      </c>
      <c r="H1851" t="s">
        <v>535</v>
      </c>
      <c r="I1851">
        <v>16</v>
      </c>
      <c r="J1851">
        <v>35.6</v>
      </c>
      <c r="K1851" t="s">
        <v>258</v>
      </c>
      <c r="L1851" t="s">
        <v>258</v>
      </c>
      <c r="M1851" t="s">
        <v>257</v>
      </c>
      <c r="N1851" s="5">
        <v>0</v>
      </c>
    </row>
    <row r="1852" spans="1:14" x14ac:dyDescent="0.25">
      <c r="A1852" t="s">
        <v>2393</v>
      </c>
      <c r="B1852" t="s">
        <v>141</v>
      </c>
      <c r="C1852" t="str">
        <f>_xlfn.XLOOKUP(Table6[[#This Row],[app_id]],Table5[app_id],Table5[app_name],"",0)</f>
        <v>VibeX</v>
      </c>
      <c r="D1852" t="str">
        <f>_xlfn.XLOOKUP(Table6[[#This Row],[app_id]],Table5[app_id],Table5[category],"",0)</f>
        <v>Entertainment</v>
      </c>
      <c r="E1852" t="s">
        <v>557</v>
      </c>
      <c r="F1852" t="s">
        <v>538</v>
      </c>
      <c r="G1852" t="s">
        <v>69</v>
      </c>
      <c r="H1852" t="s">
        <v>535</v>
      </c>
      <c r="I1852">
        <v>22</v>
      </c>
      <c r="J1852">
        <v>35.200000000000003</v>
      </c>
      <c r="K1852" t="s">
        <v>258</v>
      </c>
      <c r="L1852" t="s">
        <v>258</v>
      </c>
      <c r="M1852" t="s">
        <v>258</v>
      </c>
      <c r="N1852" s="5">
        <v>0</v>
      </c>
    </row>
    <row r="1853" spans="1:14" x14ac:dyDescent="0.25">
      <c r="A1853" t="s">
        <v>2394</v>
      </c>
      <c r="B1853" t="s">
        <v>143</v>
      </c>
      <c r="C1853" t="str">
        <f>_xlfn.XLOOKUP(Table6[[#This Row],[app_id]],Table5[app_id],Table5[app_name],"",0)</f>
        <v>BuzzNow</v>
      </c>
      <c r="D1853" t="str">
        <f>_xlfn.XLOOKUP(Table6[[#This Row],[app_id]],Table5[app_id],Table5[category],"",0)</f>
        <v>Entertainment</v>
      </c>
      <c r="E1853" t="s">
        <v>537</v>
      </c>
      <c r="F1853" t="s">
        <v>538</v>
      </c>
      <c r="G1853" t="s">
        <v>18</v>
      </c>
      <c r="H1853" t="s">
        <v>535</v>
      </c>
      <c r="I1853">
        <v>27</v>
      </c>
      <c r="J1853">
        <v>22.2</v>
      </c>
      <c r="K1853" t="s">
        <v>257</v>
      </c>
      <c r="L1853" t="s">
        <v>258</v>
      </c>
      <c r="M1853" t="s">
        <v>257</v>
      </c>
      <c r="N1853" s="5">
        <v>0</v>
      </c>
    </row>
    <row r="1854" spans="1:14" x14ac:dyDescent="0.25">
      <c r="A1854" t="s">
        <v>2395</v>
      </c>
      <c r="B1854" t="s">
        <v>145</v>
      </c>
      <c r="C1854" t="str">
        <f>_xlfn.XLOOKUP(Table6[[#This Row],[app_id]],Table5[app_id],Table5[app_name],"",0)</f>
        <v>StreamPlus</v>
      </c>
      <c r="D1854" t="str">
        <f>_xlfn.XLOOKUP(Table6[[#This Row],[app_id]],Table5[app_id],Table5[category],"",0)</f>
        <v>Entertainment</v>
      </c>
      <c r="E1854" t="s">
        <v>546</v>
      </c>
      <c r="F1854" t="s">
        <v>534</v>
      </c>
      <c r="G1854" t="s">
        <v>46</v>
      </c>
      <c r="H1854" t="s">
        <v>535</v>
      </c>
      <c r="I1854">
        <v>11</v>
      </c>
      <c r="J1854">
        <v>32.799999999999997</v>
      </c>
      <c r="K1854" t="s">
        <v>258</v>
      </c>
      <c r="L1854" t="s">
        <v>257</v>
      </c>
      <c r="M1854" t="s">
        <v>258</v>
      </c>
      <c r="N1854" s="5">
        <v>12.96</v>
      </c>
    </row>
    <row r="1855" spans="1:14" x14ac:dyDescent="0.25">
      <c r="A1855" t="s">
        <v>2396</v>
      </c>
      <c r="B1855" t="s">
        <v>147</v>
      </c>
      <c r="C1855" t="str">
        <f>_xlfn.XLOOKUP(Table6[[#This Row],[app_id]],Table5[app_id],Table5[app_name],"",0)</f>
        <v>Showly</v>
      </c>
      <c r="D1855" t="str">
        <f>_xlfn.XLOOKUP(Table6[[#This Row],[app_id]],Table5[app_id],Table5[category],"",0)</f>
        <v>Entertainment</v>
      </c>
      <c r="E1855" t="s">
        <v>537</v>
      </c>
      <c r="F1855" t="s">
        <v>538</v>
      </c>
      <c r="G1855" t="s">
        <v>30</v>
      </c>
      <c r="H1855" t="s">
        <v>535</v>
      </c>
      <c r="I1855">
        <v>15</v>
      </c>
      <c r="J1855">
        <v>38.200000000000003</v>
      </c>
      <c r="K1855" t="s">
        <v>258</v>
      </c>
      <c r="L1855" t="s">
        <v>258</v>
      </c>
      <c r="M1855" t="s">
        <v>257</v>
      </c>
      <c r="N1855" s="5">
        <v>0</v>
      </c>
    </row>
    <row r="1856" spans="1:14" x14ac:dyDescent="0.25">
      <c r="A1856" t="s">
        <v>2397</v>
      </c>
      <c r="B1856" t="s">
        <v>149</v>
      </c>
      <c r="C1856" t="str">
        <f>_xlfn.XLOOKUP(Table6[[#This Row],[app_id]],Table5[app_id],Table5[app_name],"",0)</f>
        <v>BuzzOne</v>
      </c>
      <c r="D1856" t="str">
        <f>_xlfn.XLOOKUP(Table6[[#This Row],[app_id]],Table5[app_id],Table5[category],"",0)</f>
        <v>Entertainment</v>
      </c>
      <c r="E1856" t="s">
        <v>546</v>
      </c>
      <c r="F1856" t="s">
        <v>538</v>
      </c>
      <c r="G1856" t="s">
        <v>30</v>
      </c>
      <c r="H1856" t="s">
        <v>535</v>
      </c>
      <c r="I1856">
        <v>33</v>
      </c>
      <c r="J1856">
        <v>11.9</v>
      </c>
      <c r="K1856" t="s">
        <v>257</v>
      </c>
      <c r="L1856" t="s">
        <v>257</v>
      </c>
      <c r="M1856" t="s">
        <v>258</v>
      </c>
      <c r="N1856" s="5">
        <v>22.57</v>
      </c>
    </row>
    <row r="1857" spans="1:14" x14ac:dyDescent="0.25">
      <c r="A1857" t="s">
        <v>2398</v>
      </c>
      <c r="B1857" t="s">
        <v>151</v>
      </c>
      <c r="C1857" t="str">
        <f>_xlfn.XLOOKUP(Table6[[#This Row],[app_id]],Table5[app_id],Table5[app_name],"",0)</f>
        <v>PlayHub</v>
      </c>
      <c r="D1857" t="str">
        <f>_xlfn.XLOOKUP(Table6[[#This Row],[app_id]],Table5[app_id],Table5[category],"",0)</f>
        <v>Entertainment</v>
      </c>
      <c r="E1857" t="s">
        <v>533</v>
      </c>
      <c r="F1857" t="s">
        <v>534</v>
      </c>
      <c r="G1857" t="s">
        <v>46</v>
      </c>
      <c r="H1857" t="s">
        <v>535</v>
      </c>
      <c r="I1857">
        <v>21</v>
      </c>
      <c r="J1857">
        <v>10.1</v>
      </c>
      <c r="K1857" t="s">
        <v>258</v>
      </c>
      <c r="L1857" t="s">
        <v>257</v>
      </c>
      <c r="M1857" t="s">
        <v>258</v>
      </c>
      <c r="N1857" s="5">
        <v>47.05</v>
      </c>
    </row>
    <row r="1858" spans="1:14" x14ac:dyDescent="0.25">
      <c r="A1858" t="s">
        <v>2399</v>
      </c>
      <c r="B1858" t="s">
        <v>153</v>
      </c>
      <c r="C1858" t="str">
        <f>_xlfn.XLOOKUP(Table6[[#This Row],[app_id]],Table5[app_id],Table5[app_name],"",0)</f>
        <v>CinemaGo</v>
      </c>
      <c r="D1858" t="str">
        <f>_xlfn.XLOOKUP(Table6[[#This Row],[app_id]],Table5[app_id],Table5[category],"",0)</f>
        <v>Entertainment</v>
      </c>
      <c r="E1858" t="s">
        <v>546</v>
      </c>
      <c r="F1858" t="s">
        <v>538</v>
      </c>
      <c r="G1858" t="s">
        <v>26</v>
      </c>
      <c r="H1858" t="s">
        <v>540</v>
      </c>
      <c r="I1858">
        <v>21</v>
      </c>
      <c r="J1858">
        <v>9.6999999999999993</v>
      </c>
      <c r="K1858" t="s">
        <v>258</v>
      </c>
      <c r="L1858" t="s">
        <v>257</v>
      </c>
      <c r="M1858" t="s">
        <v>258</v>
      </c>
      <c r="N1858" s="5">
        <v>0</v>
      </c>
    </row>
    <row r="1859" spans="1:14" x14ac:dyDescent="0.25">
      <c r="A1859" t="s">
        <v>2400</v>
      </c>
      <c r="B1859" t="s">
        <v>155</v>
      </c>
      <c r="C1859" t="str">
        <f>_xlfn.XLOOKUP(Table6[[#This Row],[app_id]],Table5[app_id],Table5[app_name],"",0)</f>
        <v>LaughX</v>
      </c>
      <c r="D1859" t="str">
        <f>_xlfn.XLOOKUP(Table6[[#This Row],[app_id]],Table5[app_id],Table5[category],"",0)</f>
        <v>Entertainment</v>
      </c>
      <c r="E1859" t="s">
        <v>533</v>
      </c>
      <c r="F1859" t="s">
        <v>538</v>
      </c>
      <c r="G1859" t="s">
        <v>61</v>
      </c>
      <c r="H1859" t="s">
        <v>535</v>
      </c>
      <c r="I1859">
        <v>71</v>
      </c>
      <c r="J1859">
        <v>30.5</v>
      </c>
      <c r="K1859" t="s">
        <v>257</v>
      </c>
      <c r="L1859" t="s">
        <v>257</v>
      </c>
      <c r="M1859" t="s">
        <v>257</v>
      </c>
      <c r="N1859" s="5">
        <v>0</v>
      </c>
    </row>
    <row r="1860" spans="1:14" x14ac:dyDescent="0.25">
      <c r="A1860" t="s">
        <v>2401</v>
      </c>
      <c r="B1860" t="s">
        <v>157</v>
      </c>
      <c r="C1860" t="str">
        <f>_xlfn.XLOOKUP(Table6[[#This Row],[app_id]],Table5[app_id],Table5[app_name],"",0)</f>
        <v>CinemaHub</v>
      </c>
      <c r="D1860" t="str">
        <f>_xlfn.XLOOKUP(Table6[[#This Row],[app_id]],Table5[app_id],Table5[category],"",0)</f>
        <v>Entertainment</v>
      </c>
      <c r="E1860" t="s">
        <v>533</v>
      </c>
      <c r="F1860" t="s">
        <v>538</v>
      </c>
      <c r="G1860" t="s">
        <v>26</v>
      </c>
      <c r="H1860" t="s">
        <v>535</v>
      </c>
      <c r="I1860">
        <v>5</v>
      </c>
      <c r="J1860">
        <v>37.5</v>
      </c>
      <c r="K1860" t="s">
        <v>258</v>
      </c>
      <c r="L1860" t="s">
        <v>258</v>
      </c>
      <c r="M1860" t="s">
        <v>258</v>
      </c>
      <c r="N1860" s="5">
        <v>0</v>
      </c>
    </row>
    <row r="1861" spans="1:14" x14ac:dyDescent="0.25">
      <c r="A1861" t="s">
        <v>2402</v>
      </c>
      <c r="B1861" t="s">
        <v>159</v>
      </c>
      <c r="C1861" t="str">
        <f>_xlfn.XLOOKUP(Table6[[#This Row],[app_id]],Table5[app_id],Table5[app_name],"",0)</f>
        <v>ShowPro</v>
      </c>
      <c r="D1861" t="str">
        <f>_xlfn.XLOOKUP(Table6[[#This Row],[app_id]],Table5[app_id],Table5[category],"",0)</f>
        <v>Entertainment</v>
      </c>
      <c r="E1861" t="s">
        <v>546</v>
      </c>
      <c r="F1861" t="s">
        <v>548</v>
      </c>
      <c r="G1861" t="s">
        <v>23</v>
      </c>
      <c r="H1861" t="s">
        <v>535</v>
      </c>
      <c r="I1861">
        <v>4</v>
      </c>
      <c r="J1861">
        <v>41.2</v>
      </c>
      <c r="K1861" t="s">
        <v>258</v>
      </c>
      <c r="L1861" t="s">
        <v>257</v>
      </c>
      <c r="M1861" t="s">
        <v>258</v>
      </c>
      <c r="N1861" s="5">
        <v>0</v>
      </c>
    </row>
    <row r="1862" spans="1:14" x14ac:dyDescent="0.25">
      <c r="A1862" t="s">
        <v>2403</v>
      </c>
      <c r="B1862" t="s">
        <v>161</v>
      </c>
      <c r="C1862" t="str">
        <f>_xlfn.XLOOKUP(Table6[[#This Row],[app_id]],Table5[app_id],Table5[app_name],"",0)</f>
        <v>FoodPlus</v>
      </c>
      <c r="D1862" t="str">
        <f>_xlfn.XLOOKUP(Table6[[#This Row],[app_id]],Table5[app_id],Table5[category],"",0)</f>
        <v>Food Delivery</v>
      </c>
      <c r="E1862" t="s">
        <v>537</v>
      </c>
      <c r="F1862" t="s">
        <v>538</v>
      </c>
      <c r="G1862" t="s">
        <v>35</v>
      </c>
      <c r="H1862" t="s">
        <v>535</v>
      </c>
      <c r="I1862">
        <v>22</v>
      </c>
      <c r="J1862">
        <v>5.3</v>
      </c>
      <c r="K1862" t="s">
        <v>258</v>
      </c>
      <c r="L1862" t="s">
        <v>258</v>
      </c>
      <c r="M1862" t="s">
        <v>258</v>
      </c>
      <c r="N1862" s="5">
        <v>0</v>
      </c>
    </row>
    <row r="1863" spans="1:14" x14ac:dyDescent="0.25">
      <c r="A1863" t="s">
        <v>2404</v>
      </c>
      <c r="B1863" t="s">
        <v>164</v>
      </c>
      <c r="C1863" t="str">
        <f>_xlfn.XLOOKUP(Table6[[#This Row],[app_id]],Table5[app_id],Table5[app_name],"",0)</f>
        <v>BiteGo</v>
      </c>
      <c r="D1863" t="str">
        <f>_xlfn.XLOOKUP(Table6[[#This Row],[app_id]],Table5[app_id],Table5[category],"",0)</f>
        <v>Food Delivery</v>
      </c>
      <c r="E1863" t="s">
        <v>533</v>
      </c>
      <c r="F1863" t="s">
        <v>534</v>
      </c>
      <c r="G1863" t="s">
        <v>46</v>
      </c>
      <c r="H1863" t="s">
        <v>540</v>
      </c>
      <c r="I1863">
        <v>19</v>
      </c>
      <c r="J1863">
        <v>16.7</v>
      </c>
      <c r="K1863" t="s">
        <v>258</v>
      </c>
      <c r="L1863" t="s">
        <v>257</v>
      </c>
      <c r="M1863" t="s">
        <v>258</v>
      </c>
      <c r="N1863" s="5">
        <v>0</v>
      </c>
    </row>
    <row r="1864" spans="1:14" x14ac:dyDescent="0.25">
      <c r="A1864" t="s">
        <v>2405</v>
      </c>
      <c r="B1864" t="s">
        <v>166</v>
      </c>
      <c r="C1864" t="str">
        <f>_xlfn.XLOOKUP(Table6[[#This Row],[app_id]],Table5[app_id],Table5[app_name],"",0)</f>
        <v>OrderCloud</v>
      </c>
      <c r="D1864" t="str">
        <f>_xlfn.XLOOKUP(Table6[[#This Row],[app_id]],Table5[app_id],Table5[category],"",0)</f>
        <v>Food Delivery</v>
      </c>
      <c r="E1864" t="s">
        <v>537</v>
      </c>
      <c r="F1864" t="s">
        <v>538</v>
      </c>
      <c r="G1864" t="s">
        <v>69</v>
      </c>
      <c r="H1864" t="s">
        <v>535</v>
      </c>
      <c r="I1864">
        <v>15</v>
      </c>
      <c r="J1864">
        <v>10.3</v>
      </c>
      <c r="K1864" t="s">
        <v>258</v>
      </c>
      <c r="L1864" t="s">
        <v>258</v>
      </c>
      <c r="M1864" t="s">
        <v>258</v>
      </c>
      <c r="N1864" s="5">
        <v>43.5</v>
      </c>
    </row>
    <row r="1865" spans="1:14" x14ac:dyDescent="0.25">
      <c r="A1865" t="s">
        <v>2406</v>
      </c>
      <c r="B1865" t="s">
        <v>168</v>
      </c>
      <c r="C1865" t="str">
        <f>_xlfn.XLOOKUP(Table6[[#This Row],[app_id]],Table5[app_id],Table5[app_name],"",0)</f>
        <v>DinePlus</v>
      </c>
      <c r="D1865" t="str">
        <f>_xlfn.XLOOKUP(Table6[[#This Row],[app_id]],Table5[app_id],Table5[category],"",0)</f>
        <v>Food Delivery</v>
      </c>
      <c r="E1865" t="s">
        <v>533</v>
      </c>
      <c r="F1865" t="s">
        <v>538</v>
      </c>
      <c r="G1865" t="s">
        <v>35</v>
      </c>
      <c r="H1865" t="s">
        <v>535</v>
      </c>
      <c r="I1865">
        <v>26</v>
      </c>
      <c r="J1865">
        <v>14.9</v>
      </c>
      <c r="K1865" t="s">
        <v>258</v>
      </c>
      <c r="L1865" t="s">
        <v>257</v>
      </c>
      <c r="M1865" t="s">
        <v>258</v>
      </c>
      <c r="N1865" s="5">
        <v>0</v>
      </c>
    </row>
    <row r="1866" spans="1:14" x14ac:dyDescent="0.25">
      <c r="A1866" t="s">
        <v>2407</v>
      </c>
      <c r="B1866" t="s">
        <v>170</v>
      </c>
      <c r="C1866" t="str">
        <f>_xlfn.XLOOKUP(Table6[[#This Row],[app_id]],Table5[app_id],Table5[app_name],"",0)</f>
        <v>SnackX</v>
      </c>
      <c r="D1866" t="str">
        <f>_xlfn.XLOOKUP(Table6[[#This Row],[app_id]],Table5[app_id],Table5[category],"",0)</f>
        <v>Food Delivery</v>
      </c>
      <c r="E1866" t="s">
        <v>533</v>
      </c>
      <c r="F1866" t="s">
        <v>538</v>
      </c>
      <c r="G1866" t="s">
        <v>18</v>
      </c>
      <c r="H1866" t="s">
        <v>535</v>
      </c>
      <c r="I1866">
        <v>21</v>
      </c>
      <c r="J1866">
        <v>17.7</v>
      </c>
      <c r="K1866" t="s">
        <v>258</v>
      </c>
      <c r="L1866" t="s">
        <v>258</v>
      </c>
      <c r="M1866" t="s">
        <v>258</v>
      </c>
      <c r="N1866" s="5">
        <v>0</v>
      </c>
    </row>
    <row r="1867" spans="1:14" x14ac:dyDescent="0.25">
      <c r="A1867" t="s">
        <v>2408</v>
      </c>
      <c r="B1867" t="s">
        <v>172</v>
      </c>
      <c r="C1867" t="str">
        <f>_xlfn.XLOOKUP(Table6[[#This Row],[app_id]],Table5[app_id],Table5[app_name],"",0)</f>
        <v>FoodOne</v>
      </c>
      <c r="D1867" t="str">
        <f>_xlfn.XLOOKUP(Table6[[#This Row],[app_id]],Table5[app_id],Table5[category],"",0)</f>
        <v>Food Delivery</v>
      </c>
      <c r="E1867" t="s">
        <v>533</v>
      </c>
      <c r="F1867" t="s">
        <v>538</v>
      </c>
      <c r="G1867" t="s">
        <v>46</v>
      </c>
      <c r="H1867" t="s">
        <v>535</v>
      </c>
      <c r="I1867">
        <v>60</v>
      </c>
      <c r="J1867">
        <v>4.7</v>
      </c>
      <c r="K1867" t="s">
        <v>257</v>
      </c>
      <c r="L1867" t="s">
        <v>257</v>
      </c>
      <c r="M1867" t="s">
        <v>258</v>
      </c>
      <c r="N1867" s="5">
        <v>0</v>
      </c>
    </row>
    <row r="1868" spans="1:14" x14ac:dyDescent="0.25">
      <c r="A1868" t="s">
        <v>2409</v>
      </c>
      <c r="B1868" t="s">
        <v>174</v>
      </c>
      <c r="C1868" t="str">
        <f>_xlfn.XLOOKUP(Table6[[#This Row],[app_id]],Table5[app_id],Table5[app_name],"",0)</f>
        <v>MealMate</v>
      </c>
      <c r="D1868" t="str">
        <f>_xlfn.XLOOKUP(Table6[[#This Row],[app_id]],Table5[app_id],Table5[category],"",0)</f>
        <v>Food Delivery</v>
      </c>
      <c r="E1868" t="s">
        <v>537</v>
      </c>
      <c r="F1868" t="s">
        <v>534</v>
      </c>
      <c r="G1868" t="s">
        <v>46</v>
      </c>
      <c r="H1868" t="s">
        <v>535</v>
      </c>
      <c r="I1868">
        <v>11</v>
      </c>
      <c r="J1868">
        <v>13.3</v>
      </c>
      <c r="K1868" t="s">
        <v>258</v>
      </c>
      <c r="L1868" t="s">
        <v>257</v>
      </c>
      <c r="M1868" t="s">
        <v>258</v>
      </c>
      <c r="N1868" s="5">
        <v>0</v>
      </c>
    </row>
    <row r="1869" spans="1:14" x14ac:dyDescent="0.25">
      <c r="A1869" t="s">
        <v>2410</v>
      </c>
      <c r="B1869" t="s">
        <v>176</v>
      </c>
      <c r="C1869" t="str">
        <f>_xlfn.XLOOKUP(Table6[[#This Row],[app_id]],Table5[app_id],Table5[app_name],"",0)</f>
        <v>SnackHub</v>
      </c>
      <c r="D1869" t="str">
        <f>_xlfn.XLOOKUP(Table6[[#This Row],[app_id]],Table5[app_id],Table5[category],"",0)</f>
        <v>Food Delivery</v>
      </c>
      <c r="E1869" t="s">
        <v>533</v>
      </c>
      <c r="F1869" t="s">
        <v>534</v>
      </c>
      <c r="G1869" t="s">
        <v>35</v>
      </c>
      <c r="H1869" t="s">
        <v>535</v>
      </c>
      <c r="I1869">
        <v>84</v>
      </c>
      <c r="J1869">
        <v>13.7</v>
      </c>
      <c r="K1869" t="s">
        <v>257</v>
      </c>
      <c r="L1869" t="s">
        <v>258</v>
      </c>
      <c r="M1869" t="s">
        <v>257</v>
      </c>
      <c r="N1869" s="5">
        <v>0</v>
      </c>
    </row>
    <row r="1870" spans="1:14" x14ac:dyDescent="0.25">
      <c r="A1870" t="s">
        <v>2411</v>
      </c>
      <c r="B1870" t="s">
        <v>178</v>
      </c>
      <c r="C1870" t="str">
        <f>_xlfn.XLOOKUP(Table6[[#This Row],[app_id]],Table5[app_id],Table5[app_name],"",0)</f>
        <v>BiteCloud</v>
      </c>
      <c r="D1870" t="str">
        <f>_xlfn.XLOOKUP(Table6[[#This Row],[app_id]],Table5[app_id],Table5[category],"",0)</f>
        <v>Food Delivery</v>
      </c>
      <c r="E1870" t="s">
        <v>537</v>
      </c>
      <c r="F1870" t="s">
        <v>534</v>
      </c>
      <c r="G1870" t="s">
        <v>26</v>
      </c>
      <c r="H1870" t="s">
        <v>535</v>
      </c>
      <c r="I1870">
        <v>23</v>
      </c>
      <c r="J1870">
        <v>19.899999999999999</v>
      </c>
      <c r="K1870" t="s">
        <v>257</v>
      </c>
      <c r="L1870" t="s">
        <v>257</v>
      </c>
      <c r="M1870" t="s">
        <v>258</v>
      </c>
      <c r="N1870" s="5">
        <v>0</v>
      </c>
    </row>
    <row r="1871" spans="1:14" x14ac:dyDescent="0.25">
      <c r="A1871" t="s">
        <v>2412</v>
      </c>
      <c r="B1871" t="s">
        <v>180</v>
      </c>
      <c r="C1871" t="str">
        <f>_xlfn.XLOOKUP(Table6[[#This Row],[app_id]],Table5[app_id],Table5[app_name],"",0)</f>
        <v>PlatePlus</v>
      </c>
      <c r="D1871" t="str">
        <f>_xlfn.XLOOKUP(Table6[[#This Row],[app_id]],Table5[app_id],Table5[category],"",0)</f>
        <v>Food Delivery</v>
      </c>
      <c r="E1871" t="s">
        <v>546</v>
      </c>
      <c r="F1871" t="s">
        <v>538</v>
      </c>
      <c r="G1871" t="s">
        <v>61</v>
      </c>
      <c r="H1871" t="s">
        <v>540</v>
      </c>
      <c r="I1871">
        <v>12</v>
      </c>
      <c r="J1871">
        <v>18.899999999999999</v>
      </c>
      <c r="K1871" t="s">
        <v>258</v>
      </c>
      <c r="L1871" t="s">
        <v>257</v>
      </c>
      <c r="M1871" t="s">
        <v>258</v>
      </c>
      <c r="N1871" s="5">
        <v>0</v>
      </c>
    </row>
    <row r="1872" spans="1:14" x14ac:dyDescent="0.25">
      <c r="A1872" t="s">
        <v>2413</v>
      </c>
      <c r="B1872" t="s">
        <v>182</v>
      </c>
      <c r="C1872" t="str">
        <f>_xlfn.XLOOKUP(Table6[[#This Row],[app_id]],Table5[app_id],Table5[app_name],"",0)</f>
        <v>VoyageGo</v>
      </c>
      <c r="D1872" t="str">
        <f>_xlfn.XLOOKUP(Table6[[#This Row],[app_id]],Table5[app_id],Table5[category],"",0)</f>
        <v>Travel</v>
      </c>
      <c r="E1872" t="s">
        <v>537</v>
      </c>
      <c r="F1872" t="s">
        <v>538</v>
      </c>
      <c r="G1872" t="s">
        <v>18</v>
      </c>
      <c r="H1872" t="s">
        <v>535</v>
      </c>
      <c r="I1872">
        <v>21</v>
      </c>
      <c r="J1872">
        <v>4.2</v>
      </c>
      <c r="K1872" t="s">
        <v>258</v>
      </c>
      <c r="L1872" t="s">
        <v>257</v>
      </c>
      <c r="M1872" t="s">
        <v>258</v>
      </c>
      <c r="N1872" s="5">
        <v>0</v>
      </c>
    </row>
    <row r="1873" spans="1:14" x14ac:dyDescent="0.25">
      <c r="A1873" t="s">
        <v>2414</v>
      </c>
      <c r="B1873" t="s">
        <v>185</v>
      </c>
      <c r="C1873" t="str">
        <f>_xlfn.XLOOKUP(Table6[[#This Row],[app_id]],Table5[app_id],Table5[app_name],"",0)</f>
        <v>TripOne</v>
      </c>
      <c r="D1873" t="str">
        <f>_xlfn.XLOOKUP(Table6[[#This Row],[app_id]],Table5[app_id],Table5[category],"",0)</f>
        <v>Travel</v>
      </c>
      <c r="E1873" t="s">
        <v>552</v>
      </c>
      <c r="F1873" t="s">
        <v>538</v>
      </c>
      <c r="G1873" t="s">
        <v>35</v>
      </c>
      <c r="H1873" t="s">
        <v>535</v>
      </c>
      <c r="I1873">
        <v>9</v>
      </c>
      <c r="J1873">
        <v>14.4</v>
      </c>
      <c r="K1873" t="s">
        <v>258</v>
      </c>
      <c r="L1873" t="s">
        <v>257</v>
      </c>
      <c r="M1873" t="s">
        <v>258</v>
      </c>
      <c r="N1873" s="5">
        <v>46.06</v>
      </c>
    </row>
    <row r="1874" spans="1:14" x14ac:dyDescent="0.25">
      <c r="A1874" t="s">
        <v>2415</v>
      </c>
      <c r="B1874" t="s">
        <v>187</v>
      </c>
      <c r="C1874" t="str">
        <f>_xlfn.XLOOKUP(Table6[[#This Row],[app_id]],Table5[app_id],Table5[app_name],"",0)</f>
        <v>FlyGo</v>
      </c>
      <c r="D1874" t="str">
        <f>_xlfn.XLOOKUP(Table6[[#This Row],[app_id]],Table5[app_id],Table5[category],"",0)</f>
        <v>Travel</v>
      </c>
      <c r="E1874" t="s">
        <v>533</v>
      </c>
      <c r="F1874" t="s">
        <v>538</v>
      </c>
      <c r="G1874" t="s">
        <v>35</v>
      </c>
      <c r="H1874" t="s">
        <v>535</v>
      </c>
      <c r="I1874">
        <v>26</v>
      </c>
      <c r="J1874">
        <v>7.1</v>
      </c>
      <c r="K1874" t="s">
        <v>258</v>
      </c>
      <c r="L1874" t="s">
        <v>257</v>
      </c>
      <c r="M1874" t="s">
        <v>258</v>
      </c>
      <c r="N1874" s="5">
        <v>0</v>
      </c>
    </row>
    <row r="1875" spans="1:14" x14ac:dyDescent="0.25">
      <c r="A1875" t="s">
        <v>2416</v>
      </c>
      <c r="B1875" t="s">
        <v>189</v>
      </c>
      <c r="C1875" t="str">
        <f>_xlfn.XLOOKUP(Table6[[#This Row],[app_id]],Table5[app_id],Table5[app_name],"",0)</f>
        <v>MapX</v>
      </c>
      <c r="D1875" t="str">
        <f>_xlfn.XLOOKUP(Table6[[#This Row],[app_id]],Table5[app_id],Table5[category],"",0)</f>
        <v>Travel</v>
      </c>
      <c r="E1875" t="s">
        <v>546</v>
      </c>
      <c r="F1875" t="s">
        <v>534</v>
      </c>
      <c r="G1875" t="s">
        <v>69</v>
      </c>
      <c r="H1875" t="s">
        <v>535</v>
      </c>
      <c r="I1875">
        <v>12</v>
      </c>
      <c r="J1875">
        <v>13.2</v>
      </c>
      <c r="K1875" t="s">
        <v>258</v>
      </c>
      <c r="L1875" t="s">
        <v>258</v>
      </c>
      <c r="M1875" t="s">
        <v>258</v>
      </c>
      <c r="N1875" s="5">
        <v>0</v>
      </c>
    </row>
    <row r="1876" spans="1:14" x14ac:dyDescent="0.25">
      <c r="A1876" t="s">
        <v>2417</v>
      </c>
      <c r="B1876" t="s">
        <v>191</v>
      </c>
      <c r="C1876" t="str">
        <f>_xlfn.XLOOKUP(Table6[[#This Row],[app_id]],Table5[app_id],Table5[app_name],"",0)</f>
        <v>StayX</v>
      </c>
      <c r="D1876" t="str">
        <f>_xlfn.XLOOKUP(Table6[[#This Row],[app_id]],Table5[app_id],Table5[category],"",0)</f>
        <v>Travel</v>
      </c>
      <c r="E1876" t="s">
        <v>546</v>
      </c>
      <c r="F1876" t="s">
        <v>538</v>
      </c>
      <c r="G1876" t="s">
        <v>69</v>
      </c>
      <c r="H1876" t="s">
        <v>535</v>
      </c>
      <c r="I1876">
        <v>82</v>
      </c>
      <c r="J1876">
        <v>21</v>
      </c>
      <c r="K1876" t="s">
        <v>257</v>
      </c>
      <c r="L1876" t="s">
        <v>257</v>
      </c>
      <c r="M1876" t="s">
        <v>258</v>
      </c>
      <c r="N1876" s="5">
        <v>0</v>
      </c>
    </row>
    <row r="1877" spans="1:14" x14ac:dyDescent="0.25">
      <c r="A1877" t="s">
        <v>2418</v>
      </c>
      <c r="B1877" t="s">
        <v>193</v>
      </c>
      <c r="C1877" t="str">
        <f>_xlfn.XLOOKUP(Table6[[#This Row],[app_id]],Table5[app_id],Table5[app_name],"",0)</f>
        <v>GoNow</v>
      </c>
      <c r="D1877" t="str">
        <f>_xlfn.XLOOKUP(Table6[[#This Row],[app_id]],Table5[app_id],Table5[category],"",0)</f>
        <v>Travel</v>
      </c>
      <c r="E1877" t="s">
        <v>537</v>
      </c>
      <c r="F1877" t="s">
        <v>538</v>
      </c>
      <c r="G1877" t="s">
        <v>35</v>
      </c>
      <c r="H1877" t="s">
        <v>535</v>
      </c>
      <c r="I1877">
        <v>32</v>
      </c>
      <c r="J1877">
        <v>8.8000000000000007</v>
      </c>
      <c r="K1877" t="s">
        <v>257</v>
      </c>
      <c r="L1877" t="s">
        <v>258</v>
      </c>
      <c r="M1877" t="s">
        <v>258</v>
      </c>
      <c r="N1877" s="5">
        <v>0</v>
      </c>
    </row>
    <row r="1878" spans="1:14" x14ac:dyDescent="0.25">
      <c r="A1878" t="s">
        <v>2419</v>
      </c>
      <c r="B1878" t="s">
        <v>195</v>
      </c>
      <c r="C1878" t="str">
        <f>_xlfn.XLOOKUP(Table6[[#This Row],[app_id]],Table5[app_id],Table5[app_name],"",0)</f>
        <v>RouteGo</v>
      </c>
      <c r="D1878" t="str">
        <f>_xlfn.XLOOKUP(Table6[[#This Row],[app_id]],Table5[app_id],Table5[category],"",0)</f>
        <v>Travel</v>
      </c>
      <c r="E1878" t="s">
        <v>537</v>
      </c>
      <c r="F1878" t="s">
        <v>534</v>
      </c>
      <c r="G1878" t="s">
        <v>69</v>
      </c>
      <c r="H1878" t="s">
        <v>540</v>
      </c>
      <c r="I1878">
        <v>44</v>
      </c>
      <c r="J1878">
        <v>20</v>
      </c>
      <c r="K1878" t="s">
        <v>257</v>
      </c>
      <c r="L1878" t="s">
        <v>257</v>
      </c>
      <c r="M1878" t="s">
        <v>257</v>
      </c>
      <c r="N1878" s="5">
        <v>0</v>
      </c>
    </row>
    <row r="1879" spans="1:14" x14ac:dyDescent="0.25">
      <c r="A1879" t="s">
        <v>2420</v>
      </c>
      <c r="B1879" t="s">
        <v>197</v>
      </c>
      <c r="C1879" t="str">
        <f>_xlfn.XLOOKUP(Table6[[#This Row],[app_id]],Table5[app_id],Table5[app_name],"",0)</f>
        <v>TripGo</v>
      </c>
      <c r="D1879" t="str">
        <f>_xlfn.XLOOKUP(Table6[[#This Row],[app_id]],Table5[app_id],Table5[category],"",0)</f>
        <v>Travel</v>
      </c>
      <c r="E1879" t="s">
        <v>537</v>
      </c>
      <c r="F1879" t="s">
        <v>538</v>
      </c>
      <c r="G1879" t="s">
        <v>18</v>
      </c>
      <c r="H1879" t="s">
        <v>535</v>
      </c>
      <c r="I1879">
        <v>20</v>
      </c>
      <c r="J1879">
        <v>10.1</v>
      </c>
      <c r="K1879" t="s">
        <v>258</v>
      </c>
      <c r="L1879" t="s">
        <v>258</v>
      </c>
      <c r="M1879" t="s">
        <v>258</v>
      </c>
      <c r="N1879" s="5">
        <v>0</v>
      </c>
    </row>
    <row r="1880" spans="1:14" x14ac:dyDescent="0.25">
      <c r="A1880" t="s">
        <v>2421</v>
      </c>
      <c r="B1880" t="s">
        <v>199</v>
      </c>
      <c r="C1880" t="str">
        <f>_xlfn.XLOOKUP(Table6[[#This Row],[app_id]],Table5[app_id],Table5[app_name],"",0)</f>
        <v>Flyly</v>
      </c>
      <c r="D1880" t="str">
        <f>_xlfn.XLOOKUP(Table6[[#This Row],[app_id]],Table5[app_id],Table5[category],"",0)</f>
        <v>Travel</v>
      </c>
      <c r="E1880" t="s">
        <v>557</v>
      </c>
      <c r="F1880" t="s">
        <v>548</v>
      </c>
      <c r="G1880" t="s">
        <v>69</v>
      </c>
      <c r="H1880" t="s">
        <v>535</v>
      </c>
      <c r="I1880">
        <v>26</v>
      </c>
      <c r="J1880">
        <v>21</v>
      </c>
      <c r="K1880" t="s">
        <v>258</v>
      </c>
      <c r="L1880" t="s">
        <v>257</v>
      </c>
      <c r="M1880" t="s">
        <v>258</v>
      </c>
      <c r="N1880" s="5">
        <v>0</v>
      </c>
    </row>
    <row r="1881" spans="1:14" x14ac:dyDescent="0.25">
      <c r="A1881" t="s">
        <v>2422</v>
      </c>
      <c r="B1881" t="s">
        <v>201</v>
      </c>
      <c r="C1881" t="str">
        <f>_xlfn.XLOOKUP(Table6[[#This Row],[app_id]],Table5[app_id],Table5[app_name],"",0)</f>
        <v>TripPro</v>
      </c>
      <c r="D1881" t="str">
        <f>_xlfn.XLOOKUP(Table6[[#This Row],[app_id]],Table5[app_id],Table5[category],"",0)</f>
        <v>Travel</v>
      </c>
      <c r="E1881" t="s">
        <v>546</v>
      </c>
      <c r="F1881" t="s">
        <v>534</v>
      </c>
      <c r="G1881" t="s">
        <v>18</v>
      </c>
      <c r="H1881" t="s">
        <v>535</v>
      </c>
      <c r="I1881">
        <v>24</v>
      </c>
      <c r="J1881">
        <v>4.7</v>
      </c>
      <c r="K1881" t="s">
        <v>258</v>
      </c>
      <c r="L1881" t="s">
        <v>258</v>
      </c>
      <c r="M1881" t="s">
        <v>258</v>
      </c>
      <c r="N1881" s="5">
        <v>0</v>
      </c>
    </row>
    <row r="1882" spans="1:14" x14ac:dyDescent="0.25">
      <c r="A1882" t="s">
        <v>2423</v>
      </c>
      <c r="B1882" t="s">
        <v>203</v>
      </c>
      <c r="C1882" t="str">
        <f>_xlfn.XLOOKUP(Table6[[#This Row],[app_id]],Table5[app_id],Table5[app_name],"",0)</f>
        <v>Focusly</v>
      </c>
      <c r="D1882" t="str">
        <f>_xlfn.XLOOKUP(Table6[[#This Row],[app_id]],Table5[app_id],Table5[category],"",0)</f>
        <v>Productivity</v>
      </c>
      <c r="E1882" t="s">
        <v>557</v>
      </c>
      <c r="F1882" t="s">
        <v>534</v>
      </c>
      <c r="G1882" t="s">
        <v>46</v>
      </c>
      <c r="H1882" t="s">
        <v>535</v>
      </c>
      <c r="I1882">
        <v>16</v>
      </c>
      <c r="J1882">
        <v>6.5</v>
      </c>
      <c r="K1882" t="s">
        <v>257</v>
      </c>
      <c r="L1882" t="s">
        <v>257</v>
      </c>
      <c r="M1882" t="s">
        <v>258</v>
      </c>
      <c r="N1882" s="5">
        <v>0</v>
      </c>
    </row>
    <row r="1883" spans="1:14" x14ac:dyDescent="0.25">
      <c r="A1883" t="s">
        <v>2424</v>
      </c>
      <c r="B1883" t="s">
        <v>206</v>
      </c>
      <c r="C1883" t="str">
        <f>_xlfn.XLOOKUP(Table6[[#This Row],[app_id]],Table5[app_id],Table5[app_name],"",0)</f>
        <v>DeskX</v>
      </c>
      <c r="D1883" t="str">
        <f>_xlfn.XLOOKUP(Table6[[#This Row],[app_id]],Table5[app_id],Table5[category],"",0)</f>
        <v>Productivity</v>
      </c>
      <c r="E1883" t="s">
        <v>546</v>
      </c>
      <c r="F1883" t="s">
        <v>538</v>
      </c>
      <c r="G1883" t="s">
        <v>61</v>
      </c>
      <c r="H1883" t="s">
        <v>535</v>
      </c>
      <c r="I1883">
        <v>62</v>
      </c>
      <c r="J1883">
        <v>3.7</v>
      </c>
      <c r="K1883" t="s">
        <v>257</v>
      </c>
      <c r="L1883" t="s">
        <v>258</v>
      </c>
      <c r="M1883" t="s">
        <v>257</v>
      </c>
      <c r="N1883" s="5">
        <v>36.36</v>
      </c>
    </row>
    <row r="1884" spans="1:14" x14ac:dyDescent="0.25">
      <c r="A1884" t="s">
        <v>2425</v>
      </c>
      <c r="B1884" t="s">
        <v>208</v>
      </c>
      <c r="C1884" t="str">
        <f>_xlfn.XLOOKUP(Table6[[#This Row],[app_id]],Table5[app_id],Table5[app_name],"",0)</f>
        <v>DonePro</v>
      </c>
      <c r="D1884" t="str">
        <f>_xlfn.XLOOKUP(Table6[[#This Row],[app_id]],Table5[app_id],Table5[category],"",0)</f>
        <v>Productivity</v>
      </c>
      <c r="E1884" t="s">
        <v>557</v>
      </c>
      <c r="F1884" t="s">
        <v>534</v>
      </c>
      <c r="G1884" t="s">
        <v>23</v>
      </c>
      <c r="H1884" t="s">
        <v>535</v>
      </c>
      <c r="I1884">
        <v>73</v>
      </c>
      <c r="J1884">
        <v>21.8</v>
      </c>
      <c r="K1884" t="s">
        <v>257</v>
      </c>
      <c r="L1884" t="s">
        <v>258</v>
      </c>
      <c r="M1884" t="s">
        <v>257</v>
      </c>
      <c r="N1884" s="5">
        <v>0</v>
      </c>
    </row>
    <row r="1885" spans="1:14" x14ac:dyDescent="0.25">
      <c r="A1885" t="s">
        <v>2426</v>
      </c>
      <c r="B1885" t="s">
        <v>210</v>
      </c>
      <c r="C1885" t="str">
        <f>_xlfn.XLOOKUP(Table6[[#This Row],[app_id]],Table5[app_id],Table5[app_name],"",0)</f>
        <v>NotePlus</v>
      </c>
      <c r="D1885" t="str">
        <f>_xlfn.XLOOKUP(Table6[[#This Row],[app_id]],Table5[app_id],Table5[category],"",0)</f>
        <v>Productivity</v>
      </c>
      <c r="E1885" t="s">
        <v>546</v>
      </c>
      <c r="F1885" t="s">
        <v>538</v>
      </c>
      <c r="G1885" t="s">
        <v>26</v>
      </c>
      <c r="H1885" t="s">
        <v>535</v>
      </c>
      <c r="I1885">
        <v>22</v>
      </c>
      <c r="J1885">
        <v>10.6</v>
      </c>
      <c r="K1885" t="s">
        <v>258</v>
      </c>
      <c r="L1885" t="s">
        <v>257</v>
      </c>
      <c r="M1885" t="s">
        <v>258</v>
      </c>
      <c r="N1885" s="5">
        <v>17.36</v>
      </c>
    </row>
    <row r="1886" spans="1:14" x14ac:dyDescent="0.25">
      <c r="A1886" t="s">
        <v>2427</v>
      </c>
      <c r="B1886" t="s">
        <v>212</v>
      </c>
      <c r="C1886" t="str">
        <f>_xlfn.XLOOKUP(Table6[[#This Row],[app_id]],Table5[app_id],Table5[app_name],"",0)</f>
        <v>SyncPlus</v>
      </c>
      <c r="D1886" t="str">
        <f>_xlfn.XLOOKUP(Table6[[#This Row],[app_id]],Table5[app_id],Table5[category],"",0)</f>
        <v>Productivity</v>
      </c>
      <c r="E1886" t="s">
        <v>546</v>
      </c>
      <c r="F1886" t="s">
        <v>534</v>
      </c>
      <c r="G1886" t="s">
        <v>23</v>
      </c>
      <c r="H1886" t="s">
        <v>535</v>
      </c>
      <c r="I1886">
        <v>43</v>
      </c>
      <c r="J1886">
        <v>9</v>
      </c>
      <c r="K1886" t="s">
        <v>257</v>
      </c>
      <c r="L1886" t="s">
        <v>257</v>
      </c>
      <c r="M1886" t="s">
        <v>258</v>
      </c>
      <c r="N1886" s="5">
        <v>0</v>
      </c>
    </row>
    <row r="1887" spans="1:14" x14ac:dyDescent="0.25">
      <c r="A1887" t="s">
        <v>2428</v>
      </c>
      <c r="B1887" t="s">
        <v>214</v>
      </c>
      <c r="C1887" t="str">
        <f>_xlfn.XLOOKUP(Table6[[#This Row],[app_id]],Table5[app_id],Table5[app_name],"",0)</f>
        <v>NoteOne</v>
      </c>
      <c r="D1887" t="str">
        <f>_xlfn.XLOOKUP(Table6[[#This Row],[app_id]],Table5[app_id],Table5[category],"",0)</f>
        <v>Productivity</v>
      </c>
      <c r="E1887" t="s">
        <v>533</v>
      </c>
      <c r="F1887" t="s">
        <v>534</v>
      </c>
      <c r="G1887" t="s">
        <v>46</v>
      </c>
      <c r="H1887" t="s">
        <v>535</v>
      </c>
      <c r="I1887">
        <v>16</v>
      </c>
      <c r="J1887">
        <v>19.399999999999999</v>
      </c>
      <c r="K1887" t="s">
        <v>258</v>
      </c>
      <c r="L1887" t="s">
        <v>258</v>
      </c>
      <c r="M1887" t="s">
        <v>258</v>
      </c>
      <c r="N1887" s="5">
        <v>93.26</v>
      </c>
    </row>
    <row r="1888" spans="1:14" x14ac:dyDescent="0.25">
      <c r="A1888" t="s">
        <v>2429</v>
      </c>
      <c r="B1888" t="s">
        <v>216</v>
      </c>
      <c r="C1888" t="str">
        <f>_xlfn.XLOOKUP(Table6[[#This Row],[app_id]],Table5[app_id],Table5[app_name],"",0)</f>
        <v>NoteMate</v>
      </c>
      <c r="D1888" t="str">
        <f>_xlfn.XLOOKUP(Table6[[#This Row],[app_id]],Table5[app_id],Table5[category],"",0)</f>
        <v>Productivity</v>
      </c>
      <c r="E1888" t="s">
        <v>533</v>
      </c>
      <c r="F1888" t="s">
        <v>538</v>
      </c>
      <c r="G1888" t="s">
        <v>61</v>
      </c>
      <c r="H1888" t="s">
        <v>535</v>
      </c>
      <c r="I1888">
        <v>12</v>
      </c>
      <c r="J1888">
        <v>11.6</v>
      </c>
      <c r="K1888" t="s">
        <v>258</v>
      </c>
      <c r="L1888" t="s">
        <v>257</v>
      </c>
      <c r="M1888" t="s">
        <v>258</v>
      </c>
      <c r="N1888" s="5">
        <v>0</v>
      </c>
    </row>
    <row r="1889" spans="1:14" x14ac:dyDescent="0.25">
      <c r="A1889" t="s">
        <v>2430</v>
      </c>
      <c r="B1889" t="s">
        <v>218</v>
      </c>
      <c r="C1889" t="str">
        <f>_xlfn.XLOOKUP(Table6[[#This Row],[app_id]],Table5[app_id],Table5[app_name],"",0)</f>
        <v>PlanPlus</v>
      </c>
      <c r="D1889" t="str">
        <f>_xlfn.XLOOKUP(Table6[[#This Row],[app_id]],Table5[app_id],Table5[category],"",0)</f>
        <v>Productivity</v>
      </c>
      <c r="E1889" t="s">
        <v>533</v>
      </c>
      <c r="F1889" t="s">
        <v>628</v>
      </c>
      <c r="G1889" t="s">
        <v>61</v>
      </c>
      <c r="H1889" t="s">
        <v>540</v>
      </c>
      <c r="I1889">
        <v>19</v>
      </c>
      <c r="J1889">
        <v>8.5</v>
      </c>
      <c r="K1889" t="s">
        <v>258</v>
      </c>
      <c r="L1889" t="s">
        <v>257</v>
      </c>
      <c r="M1889" t="s">
        <v>258</v>
      </c>
      <c r="N1889" s="5">
        <v>0</v>
      </c>
    </row>
    <row r="1890" spans="1:14" x14ac:dyDescent="0.25">
      <c r="A1890" t="s">
        <v>2431</v>
      </c>
      <c r="B1890" t="s">
        <v>220</v>
      </c>
      <c r="C1890" t="str">
        <f>_xlfn.XLOOKUP(Table6[[#This Row],[app_id]],Table5[app_id],Table5[app_name],"",0)</f>
        <v>PlanMate</v>
      </c>
      <c r="D1890" t="str">
        <f>_xlfn.XLOOKUP(Table6[[#This Row],[app_id]],Table5[app_id],Table5[category],"",0)</f>
        <v>Productivity</v>
      </c>
      <c r="E1890" t="s">
        <v>557</v>
      </c>
      <c r="F1890" t="s">
        <v>538</v>
      </c>
      <c r="G1890" t="s">
        <v>69</v>
      </c>
      <c r="H1890" t="s">
        <v>535</v>
      </c>
      <c r="I1890">
        <v>42</v>
      </c>
      <c r="J1890">
        <v>9.8000000000000007</v>
      </c>
      <c r="K1890" t="s">
        <v>257</v>
      </c>
      <c r="L1890" t="s">
        <v>257</v>
      </c>
      <c r="M1890" t="s">
        <v>258</v>
      </c>
      <c r="N1890" s="5">
        <v>0</v>
      </c>
    </row>
    <row r="1891" spans="1:14" x14ac:dyDescent="0.25">
      <c r="A1891" t="s">
        <v>2432</v>
      </c>
      <c r="B1891" t="s">
        <v>222</v>
      </c>
      <c r="C1891" t="str">
        <f>_xlfn.XLOOKUP(Table6[[#This Row],[app_id]],Table5[app_id],Table5[app_name],"",0)</f>
        <v>SyncPlus</v>
      </c>
      <c r="D1891" t="str">
        <f>_xlfn.XLOOKUP(Table6[[#This Row],[app_id]],Table5[app_id],Table5[category],"",0)</f>
        <v>Productivity</v>
      </c>
      <c r="E1891" t="s">
        <v>552</v>
      </c>
      <c r="F1891" t="s">
        <v>534</v>
      </c>
      <c r="G1891" t="s">
        <v>46</v>
      </c>
      <c r="H1891" t="s">
        <v>535</v>
      </c>
      <c r="I1891">
        <v>24</v>
      </c>
      <c r="J1891">
        <v>23.7</v>
      </c>
      <c r="K1891" t="s">
        <v>257</v>
      </c>
      <c r="L1891" t="s">
        <v>257</v>
      </c>
      <c r="M1891" t="s">
        <v>258</v>
      </c>
      <c r="N1891" s="5">
        <v>0</v>
      </c>
    </row>
    <row r="1892" spans="1:14" x14ac:dyDescent="0.25">
      <c r="A1892" t="s">
        <v>2433</v>
      </c>
      <c r="B1892" t="s">
        <v>223</v>
      </c>
      <c r="C1892" t="str">
        <f>_xlfn.XLOOKUP(Table6[[#This Row],[app_id]],Table5[app_id],Table5[app_name],"",0)</f>
        <v>ClinicPro</v>
      </c>
      <c r="D1892" t="str">
        <f>_xlfn.XLOOKUP(Table6[[#This Row],[app_id]],Table5[app_id],Table5[category],"",0)</f>
        <v>Health</v>
      </c>
      <c r="E1892" t="s">
        <v>533</v>
      </c>
      <c r="F1892" t="s">
        <v>534</v>
      </c>
      <c r="G1892" t="s">
        <v>46</v>
      </c>
      <c r="H1892" t="s">
        <v>535</v>
      </c>
      <c r="I1892">
        <v>74</v>
      </c>
      <c r="J1892">
        <v>12.2</v>
      </c>
      <c r="K1892" t="s">
        <v>257</v>
      </c>
      <c r="L1892" t="s">
        <v>257</v>
      </c>
      <c r="M1892" t="s">
        <v>258</v>
      </c>
      <c r="N1892" s="5">
        <v>0</v>
      </c>
    </row>
    <row r="1893" spans="1:14" x14ac:dyDescent="0.25">
      <c r="A1893" t="s">
        <v>2434</v>
      </c>
      <c r="B1893" t="s">
        <v>226</v>
      </c>
      <c r="C1893" t="str">
        <f>_xlfn.XLOOKUP(Table6[[#This Row],[app_id]],Table5[app_id],Table5[app_name],"",0)</f>
        <v>MindMate</v>
      </c>
      <c r="D1893" t="str">
        <f>_xlfn.XLOOKUP(Table6[[#This Row],[app_id]],Table5[app_id],Table5[category],"",0)</f>
        <v>Health</v>
      </c>
      <c r="E1893" t="s">
        <v>537</v>
      </c>
      <c r="F1893" t="s">
        <v>538</v>
      </c>
      <c r="G1893" t="s">
        <v>69</v>
      </c>
      <c r="H1893" t="s">
        <v>535</v>
      </c>
      <c r="I1893">
        <v>28</v>
      </c>
      <c r="J1893">
        <v>19.600000000000001</v>
      </c>
      <c r="K1893" t="s">
        <v>258</v>
      </c>
      <c r="L1893" t="s">
        <v>257</v>
      </c>
      <c r="M1893" t="s">
        <v>258</v>
      </c>
      <c r="N1893" s="5">
        <v>0</v>
      </c>
    </row>
    <row r="1894" spans="1:14" x14ac:dyDescent="0.25">
      <c r="A1894" t="s">
        <v>2435</v>
      </c>
      <c r="B1894" t="s">
        <v>228</v>
      </c>
      <c r="C1894" t="str">
        <f>_xlfn.XLOOKUP(Table6[[#This Row],[app_id]],Table5[app_id],Table5[app_name],"",0)</f>
        <v>ClinicOne</v>
      </c>
      <c r="D1894" t="str">
        <f>_xlfn.XLOOKUP(Table6[[#This Row],[app_id]],Table5[app_id],Table5[category],"",0)</f>
        <v>Health</v>
      </c>
      <c r="E1894" t="s">
        <v>533</v>
      </c>
      <c r="F1894" t="s">
        <v>534</v>
      </c>
      <c r="G1894" t="s">
        <v>26</v>
      </c>
      <c r="H1894" t="s">
        <v>535</v>
      </c>
      <c r="I1894">
        <v>3</v>
      </c>
      <c r="J1894">
        <v>5.7</v>
      </c>
      <c r="K1894" t="s">
        <v>258</v>
      </c>
      <c r="L1894" t="s">
        <v>257</v>
      </c>
      <c r="M1894" t="s">
        <v>257</v>
      </c>
      <c r="N1894" s="5">
        <v>0</v>
      </c>
    </row>
    <row r="1895" spans="1:14" x14ac:dyDescent="0.25">
      <c r="A1895" t="s">
        <v>2436</v>
      </c>
      <c r="B1895" t="s">
        <v>230</v>
      </c>
      <c r="C1895" t="str">
        <f>_xlfn.XLOOKUP(Table6[[#This Row],[app_id]],Table5[app_id],Table5[app_name],"",0)</f>
        <v>WellMate</v>
      </c>
      <c r="D1895" t="str">
        <f>_xlfn.XLOOKUP(Table6[[#This Row],[app_id]],Table5[app_id],Table5[category],"",0)</f>
        <v>Health</v>
      </c>
      <c r="E1895" t="s">
        <v>546</v>
      </c>
      <c r="F1895" t="s">
        <v>538</v>
      </c>
      <c r="G1895" t="s">
        <v>46</v>
      </c>
      <c r="H1895" t="s">
        <v>535</v>
      </c>
      <c r="I1895">
        <v>18</v>
      </c>
      <c r="J1895">
        <v>19.600000000000001</v>
      </c>
      <c r="K1895" t="s">
        <v>257</v>
      </c>
      <c r="L1895" t="s">
        <v>258</v>
      </c>
      <c r="M1895" t="s">
        <v>258</v>
      </c>
      <c r="N1895" s="5">
        <v>0</v>
      </c>
    </row>
    <row r="1896" spans="1:14" x14ac:dyDescent="0.25">
      <c r="A1896" t="s">
        <v>2437</v>
      </c>
      <c r="B1896" t="s">
        <v>232</v>
      </c>
      <c r="C1896" t="str">
        <f>_xlfn.XLOOKUP(Table6[[#This Row],[app_id]],Table5[app_id],Table5[app_name],"",0)</f>
        <v>MediMate</v>
      </c>
      <c r="D1896" t="str">
        <f>_xlfn.XLOOKUP(Table6[[#This Row],[app_id]],Table5[app_id],Table5[category],"",0)</f>
        <v>Health</v>
      </c>
      <c r="E1896" t="s">
        <v>546</v>
      </c>
      <c r="F1896" t="s">
        <v>538</v>
      </c>
      <c r="G1896" t="s">
        <v>35</v>
      </c>
      <c r="H1896" t="s">
        <v>535</v>
      </c>
      <c r="I1896">
        <v>7</v>
      </c>
      <c r="J1896">
        <v>10.8</v>
      </c>
      <c r="K1896" t="s">
        <v>258</v>
      </c>
      <c r="L1896" t="s">
        <v>258</v>
      </c>
      <c r="M1896" t="s">
        <v>257</v>
      </c>
      <c r="N1896" s="5">
        <v>0</v>
      </c>
    </row>
    <row r="1897" spans="1:14" x14ac:dyDescent="0.25">
      <c r="A1897" t="s">
        <v>2438</v>
      </c>
      <c r="B1897" t="s">
        <v>234</v>
      </c>
      <c r="C1897" t="str">
        <f>_xlfn.XLOOKUP(Table6[[#This Row],[app_id]],Table5[app_id],Table5[app_name],"",0)</f>
        <v>WellNow</v>
      </c>
      <c r="D1897" t="str">
        <f>_xlfn.XLOOKUP(Table6[[#This Row],[app_id]],Table5[app_id],Table5[category],"",0)</f>
        <v>Health</v>
      </c>
      <c r="E1897" t="s">
        <v>533</v>
      </c>
      <c r="F1897" t="s">
        <v>534</v>
      </c>
      <c r="G1897" t="s">
        <v>30</v>
      </c>
      <c r="H1897" t="s">
        <v>540</v>
      </c>
      <c r="I1897">
        <v>27</v>
      </c>
      <c r="J1897">
        <v>3.4</v>
      </c>
      <c r="K1897" t="s">
        <v>258</v>
      </c>
      <c r="L1897" t="s">
        <v>257</v>
      </c>
      <c r="M1897" t="s">
        <v>258</v>
      </c>
      <c r="N1897" s="5">
        <v>0</v>
      </c>
    </row>
    <row r="1898" spans="1:14" x14ac:dyDescent="0.25">
      <c r="A1898" t="s">
        <v>2439</v>
      </c>
      <c r="B1898" t="s">
        <v>236</v>
      </c>
      <c r="C1898" t="str">
        <f>_xlfn.XLOOKUP(Table6[[#This Row],[app_id]],Table5[app_id],Table5[app_name],"",0)</f>
        <v>CareCloud</v>
      </c>
      <c r="D1898" t="str">
        <f>_xlfn.XLOOKUP(Table6[[#This Row],[app_id]],Table5[app_id],Table5[category],"",0)</f>
        <v>Health</v>
      </c>
      <c r="E1898" t="s">
        <v>552</v>
      </c>
      <c r="F1898" t="s">
        <v>538</v>
      </c>
      <c r="G1898" t="s">
        <v>46</v>
      </c>
      <c r="H1898" t="s">
        <v>535</v>
      </c>
      <c r="I1898">
        <v>56</v>
      </c>
      <c r="J1898">
        <v>22.5</v>
      </c>
      <c r="K1898" t="s">
        <v>257</v>
      </c>
      <c r="L1898" t="s">
        <v>257</v>
      </c>
      <c r="M1898" t="s">
        <v>258</v>
      </c>
      <c r="N1898" s="5">
        <v>0</v>
      </c>
    </row>
    <row r="1899" spans="1:14" x14ac:dyDescent="0.25">
      <c r="A1899" t="s">
        <v>2440</v>
      </c>
      <c r="B1899" t="s">
        <v>238</v>
      </c>
      <c r="C1899" t="str">
        <f>_xlfn.XLOOKUP(Table6[[#This Row],[app_id]],Table5[app_id],Table5[app_name],"",0)</f>
        <v>MediNow</v>
      </c>
      <c r="D1899" t="str">
        <f>_xlfn.XLOOKUP(Table6[[#This Row],[app_id]],Table5[app_id],Table5[category],"",0)</f>
        <v>Health</v>
      </c>
      <c r="E1899" t="s">
        <v>537</v>
      </c>
      <c r="F1899" t="s">
        <v>538</v>
      </c>
      <c r="G1899" t="s">
        <v>18</v>
      </c>
      <c r="H1899" t="s">
        <v>535</v>
      </c>
      <c r="I1899">
        <v>89</v>
      </c>
      <c r="J1899">
        <v>19.399999999999999</v>
      </c>
      <c r="K1899" t="s">
        <v>257</v>
      </c>
      <c r="L1899" t="s">
        <v>257</v>
      </c>
      <c r="M1899" t="s">
        <v>258</v>
      </c>
      <c r="N1899" s="5">
        <v>30.22</v>
      </c>
    </row>
    <row r="1900" spans="1:14" x14ac:dyDescent="0.25">
      <c r="A1900" t="s">
        <v>2441</v>
      </c>
      <c r="B1900" t="s">
        <v>240</v>
      </c>
      <c r="C1900" t="str">
        <f>_xlfn.XLOOKUP(Table6[[#This Row],[app_id]],Table5[app_id],Table5[app_name],"",0)</f>
        <v>MindPlus</v>
      </c>
      <c r="D1900" t="str">
        <f>_xlfn.XLOOKUP(Table6[[#This Row],[app_id]],Table5[app_id],Table5[category],"",0)</f>
        <v>Health</v>
      </c>
      <c r="E1900" t="s">
        <v>533</v>
      </c>
      <c r="F1900" t="s">
        <v>534</v>
      </c>
      <c r="G1900" t="s">
        <v>35</v>
      </c>
      <c r="H1900" t="s">
        <v>535</v>
      </c>
      <c r="I1900">
        <v>18</v>
      </c>
      <c r="J1900">
        <v>18.5</v>
      </c>
      <c r="K1900" t="s">
        <v>257</v>
      </c>
      <c r="L1900" t="s">
        <v>258</v>
      </c>
      <c r="M1900" t="s">
        <v>257</v>
      </c>
      <c r="N1900" s="5">
        <v>0</v>
      </c>
    </row>
    <row r="1901" spans="1:14" x14ac:dyDescent="0.25">
      <c r="A1901" t="s">
        <v>2442</v>
      </c>
      <c r="B1901" t="s">
        <v>242</v>
      </c>
      <c r="C1901" t="str">
        <f>_xlfn.XLOOKUP(Table6[[#This Row],[app_id]],Table5[app_id],Table5[app_name],"",0)</f>
        <v>MediCloud</v>
      </c>
      <c r="D1901" t="str">
        <f>_xlfn.XLOOKUP(Table6[[#This Row],[app_id]],Table5[app_id],Table5[category],"",0)</f>
        <v>Health</v>
      </c>
      <c r="E1901" t="s">
        <v>557</v>
      </c>
      <c r="F1901" t="s">
        <v>538</v>
      </c>
      <c r="G1901" t="s">
        <v>26</v>
      </c>
      <c r="H1901" t="s">
        <v>540</v>
      </c>
      <c r="I1901">
        <v>48</v>
      </c>
      <c r="J1901">
        <v>21.7</v>
      </c>
      <c r="K1901" t="s">
        <v>257</v>
      </c>
      <c r="L1901" t="s">
        <v>257</v>
      </c>
      <c r="M1901" t="s">
        <v>258</v>
      </c>
      <c r="N1901" s="5">
        <v>0</v>
      </c>
    </row>
    <row r="1902" spans="1:14" x14ac:dyDescent="0.25">
      <c r="A1902" t="s">
        <v>2443</v>
      </c>
      <c r="B1902" t="s">
        <v>12</v>
      </c>
      <c r="C1902" t="str">
        <f>_xlfn.XLOOKUP(Table6[[#This Row],[app_id]],Table5[app_id],Table5[app_name],"",0)</f>
        <v>InvestPro</v>
      </c>
      <c r="D1902" t="str">
        <f>_xlfn.XLOOKUP(Table6[[#This Row],[app_id]],Table5[app_id],Table5[category],"",0)</f>
        <v>Finance</v>
      </c>
      <c r="E1902" t="s">
        <v>546</v>
      </c>
      <c r="F1902" t="s">
        <v>538</v>
      </c>
      <c r="G1902" t="s">
        <v>69</v>
      </c>
      <c r="H1902" t="s">
        <v>540</v>
      </c>
      <c r="I1902">
        <v>69</v>
      </c>
      <c r="J1902">
        <v>9.6999999999999993</v>
      </c>
      <c r="K1902" t="s">
        <v>257</v>
      </c>
      <c r="L1902" t="s">
        <v>257</v>
      </c>
      <c r="M1902" t="s">
        <v>258</v>
      </c>
      <c r="N1902" s="5">
        <v>42.16</v>
      </c>
    </row>
    <row r="1903" spans="1:14" x14ac:dyDescent="0.25">
      <c r="A1903" t="s">
        <v>2444</v>
      </c>
      <c r="B1903" t="s">
        <v>19</v>
      </c>
      <c r="C1903" t="str">
        <f>_xlfn.XLOOKUP(Table6[[#This Row],[app_id]],Table5[app_id],Table5[app_name],"",0)</f>
        <v>BankPro</v>
      </c>
      <c r="D1903" t="str">
        <f>_xlfn.XLOOKUP(Table6[[#This Row],[app_id]],Table5[app_id],Table5[category],"",0)</f>
        <v>Finance</v>
      </c>
      <c r="E1903" t="s">
        <v>537</v>
      </c>
      <c r="F1903" t="s">
        <v>534</v>
      </c>
      <c r="G1903" t="s">
        <v>69</v>
      </c>
      <c r="H1903" t="s">
        <v>535</v>
      </c>
      <c r="I1903">
        <v>68</v>
      </c>
      <c r="J1903">
        <v>21.9</v>
      </c>
      <c r="K1903" t="s">
        <v>257</v>
      </c>
      <c r="L1903" t="s">
        <v>258</v>
      </c>
      <c r="M1903" t="s">
        <v>257</v>
      </c>
      <c r="N1903" s="5">
        <v>0</v>
      </c>
    </row>
    <row r="1904" spans="1:14" x14ac:dyDescent="0.25">
      <c r="A1904" t="s">
        <v>2445</v>
      </c>
      <c r="B1904" t="s">
        <v>24</v>
      </c>
      <c r="C1904" t="str">
        <f>_xlfn.XLOOKUP(Table6[[#This Row],[app_id]],Table5[app_id],Table5[app_name],"",0)</f>
        <v>BankX</v>
      </c>
      <c r="D1904" t="str">
        <f>_xlfn.XLOOKUP(Table6[[#This Row],[app_id]],Table5[app_id],Table5[category],"",0)</f>
        <v>Finance</v>
      </c>
      <c r="E1904" t="s">
        <v>533</v>
      </c>
      <c r="F1904" t="s">
        <v>534</v>
      </c>
      <c r="G1904" t="s">
        <v>35</v>
      </c>
      <c r="H1904" t="s">
        <v>535</v>
      </c>
      <c r="I1904">
        <v>81</v>
      </c>
      <c r="J1904">
        <v>3.5</v>
      </c>
      <c r="K1904" t="s">
        <v>257</v>
      </c>
      <c r="L1904" t="s">
        <v>258</v>
      </c>
      <c r="M1904" t="s">
        <v>258</v>
      </c>
      <c r="N1904" s="5">
        <v>0</v>
      </c>
    </row>
    <row r="1905" spans="1:14" x14ac:dyDescent="0.25">
      <c r="A1905" t="s">
        <v>2446</v>
      </c>
      <c r="B1905" t="s">
        <v>27</v>
      </c>
      <c r="C1905" t="str">
        <f>_xlfn.XLOOKUP(Table6[[#This Row],[app_id]],Table5[app_id],Table5[app_name],"",0)</f>
        <v>BankNow</v>
      </c>
      <c r="D1905" t="str">
        <f>_xlfn.XLOOKUP(Table6[[#This Row],[app_id]],Table5[app_id],Table5[category],"",0)</f>
        <v>Finance</v>
      </c>
      <c r="E1905" t="s">
        <v>546</v>
      </c>
      <c r="F1905" t="s">
        <v>534</v>
      </c>
      <c r="G1905" t="s">
        <v>30</v>
      </c>
      <c r="H1905" t="s">
        <v>540</v>
      </c>
      <c r="I1905">
        <v>61</v>
      </c>
      <c r="J1905">
        <v>16.899999999999999</v>
      </c>
      <c r="K1905" t="s">
        <v>257</v>
      </c>
      <c r="L1905" t="s">
        <v>257</v>
      </c>
      <c r="M1905" t="s">
        <v>258</v>
      </c>
      <c r="N1905" s="5">
        <v>0</v>
      </c>
    </row>
    <row r="1906" spans="1:14" x14ac:dyDescent="0.25">
      <c r="A1906" t="s">
        <v>2447</v>
      </c>
      <c r="B1906" t="s">
        <v>31</v>
      </c>
      <c r="C1906" t="str">
        <f>_xlfn.XLOOKUP(Table6[[#This Row],[app_id]],Table5[app_id],Table5[app_name],"",0)</f>
        <v>CreditHub</v>
      </c>
      <c r="D1906" t="str">
        <f>_xlfn.XLOOKUP(Table6[[#This Row],[app_id]],Table5[app_id],Table5[category],"",0)</f>
        <v>Finance</v>
      </c>
      <c r="E1906" t="s">
        <v>546</v>
      </c>
      <c r="F1906" t="s">
        <v>548</v>
      </c>
      <c r="G1906" t="s">
        <v>46</v>
      </c>
      <c r="H1906" t="s">
        <v>535</v>
      </c>
      <c r="I1906">
        <v>16</v>
      </c>
      <c r="J1906">
        <v>11.1</v>
      </c>
      <c r="K1906" t="s">
        <v>258</v>
      </c>
      <c r="L1906" t="s">
        <v>257</v>
      </c>
      <c r="M1906" t="s">
        <v>258</v>
      </c>
      <c r="N1906" s="5">
        <v>33.47</v>
      </c>
    </row>
    <row r="1907" spans="1:14" x14ac:dyDescent="0.25">
      <c r="A1907" t="s">
        <v>2448</v>
      </c>
      <c r="B1907" t="s">
        <v>36</v>
      </c>
      <c r="C1907" t="str">
        <f>_xlfn.XLOOKUP(Table6[[#This Row],[app_id]],Table5[app_id],Table5[app_name],"",0)</f>
        <v>PayPlus</v>
      </c>
      <c r="D1907" t="str">
        <f>_xlfn.XLOOKUP(Table6[[#This Row],[app_id]],Table5[app_id],Table5[category],"",0)</f>
        <v>Finance</v>
      </c>
      <c r="E1907" t="s">
        <v>533</v>
      </c>
      <c r="F1907" t="s">
        <v>538</v>
      </c>
      <c r="G1907" t="s">
        <v>35</v>
      </c>
      <c r="H1907" t="s">
        <v>535</v>
      </c>
      <c r="I1907">
        <v>17</v>
      </c>
      <c r="J1907">
        <v>16</v>
      </c>
      <c r="K1907" t="s">
        <v>257</v>
      </c>
      <c r="L1907" t="s">
        <v>257</v>
      </c>
      <c r="M1907" t="s">
        <v>258</v>
      </c>
      <c r="N1907" s="5">
        <v>72.53</v>
      </c>
    </row>
    <row r="1908" spans="1:14" x14ac:dyDescent="0.25">
      <c r="A1908" t="s">
        <v>2449</v>
      </c>
      <c r="B1908" t="s">
        <v>39</v>
      </c>
      <c r="C1908" t="str">
        <f>_xlfn.XLOOKUP(Table6[[#This Row],[app_id]],Table5[app_id],Table5[app_name],"",0)</f>
        <v>BankPlus</v>
      </c>
      <c r="D1908" t="str">
        <f>_xlfn.XLOOKUP(Table6[[#This Row],[app_id]],Table5[app_id],Table5[category],"",0)</f>
        <v>Finance</v>
      </c>
      <c r="E1908" t="s">
        <v>557</v>
      </c>
      <c r="F1908" t="s">
        <v>538</v>
      </c>
      <c r="G1908" t="s">
        <v>26</v>
      </c>
      <c r="H1908" t="s">
        <v>535</v>
      </c>
      <c r="I1908">
        <v>14</v>
      </c>
      <c r="J1908">
        <v>10.3</v>
      </c>
      <c r="K1908" t="s">
        <v>257</v>
      </c>
      <c r="L1908" t="s">
        <v>257</v>
      </c>
      <c r="M1908" t="s">
        <v>258</v>
      </c>
      <c r="N1908" s="5">
        <v>69.599999999999994</v>
      </c>
    </row>
    <row r="1909" spans="1:14" x14ac:dyDescent="0.25">
      <c r="A1909" t="s">
        <v>2450</v>
      </c>
      <c r="B1909" t="s">
        <v>42</v>
      </c>
      <c r="C1909" t="str">
        <f>_xlfn.XLOOKUP(Table6[[#This Row],[app_id]],Table5[app_id],Table5[app_name],"",0)</f>
        <v>CoinPlus</v>
      </c>
      <c r="D1909" t="str">
        <f>_xlfn.XLOOKUP(Table6[[#This Row],[app_id]],Table5[app_id],Table5[category],"",0)</f>
        <v>Finance</v>
      </c>
      <c r="E1909" t="s">
        <v>546</v>
      </c>
      <c r="F1909" t="s">
        <v>628</v>
      </c>
      <c r="G1909" t="s">
        <v>26</v>
      </c>
      <c r="H1909" t="s">
        <v>535</v>
      </c>
      <c r="I1909">
        <v>66</v>
      </c>
      <c r="J1909">
        <v>19.2</v>
      </c>
      <c r="K1909" t="s">
        <v>257</v>
      </c>
      <c r="L1909" t="s">
        <v>257</v>
      </c>
      <c r="M1909" t="s">
        <v>258</v>
      </c>
      <c r="N1909" s="5">
        <v>85.1</v>
      </c>
    </row>
    <row r="1910" spans="1:14" x14ac:dyDescent="0.25">
      <c r="A1910" t="s">
        <v>2451</v>
      </c>
      <c r="B1910" t="s">
        <v>47</v>
      </c>
      <c r="C1910" t="str">
        <f>_xlfn.XLOOKUP(Table6[[#This Row],[app_id]],Table5[app_id],Table5[app_name],"",0)</f>
        <v>CreditOne</v>
      </c>
      <c r="D1910" t="str">
        <f>_xlfn.XLOOKUP(Table6[[#This Row],[app_id]],Table5[app_id],Table5[category],"",0)</f>
        <v>Finance</v>
      </c>
      <c r="E1910" t="s">
        <v>537</v>
      </c>
      <c r="F1910" t="s">
        <v>534</v>
      </c>
      <c r="G1910" t="s">
        <v>69</v>
      </c>
      <c r="H1910" t="s">
        <v>535</v>
      </c>
      <c r="I1910">
        <v>48</v>
      </c>
      <c r="J1910">
        <v>21.6</v>
      </c>
      <c r="K1910" t="s">
        <v>257</v>
      </c>
      <c r="L1910" t="s">
        <v>258</v>
      </c>
      <c r="M1910" t="s">
        <v>258</v>
      </c>
      <c r="N1910" s="5">
        <v>28.49</v>
      </c>
    </row>
    <row r="1911" spans="1:14" x14ac:dyDescent="0.25">
      <c r="A1911" t="s">
        <v>2452</v>
      </c>
      <c r="B1911" t="s">
        <v>49</v>
      </c>
      <c r="C1911" t="str">
        <f>_xlfn.XLOOKUP(Table6[[#This Row],[app_id]],Table5[app_id],Table5[app_name],"",0)</f>
        <v>PayPro</v>
      </c>
      <c r="D1911" t="str">
        <f>_xlfn.XLOOKUP(Table6[[#This Row],[app_id]],Table5[app_id],Table5[category],"",0)</f>
        <v>Finance</v>
      </c>
      <c r="E1911" t="s">
        <v>533</v>
      </c>
      <c r="F1911" t="s">
        <v>538</v>
      </c>
      <c r="G1911" t="s">
        <v>46</v>
      </c>
      <c r="H1911" t="s">
        <v>540</v>
      </c>
      <c r="I1911">
        <v>17</v>
      </c>
      <c r="J1911">
        <v>12.8</v>
      </c>
      <c r="K1911" t="s">
        <v>258</v>
      </c>
      <c r="L1911" t="s">
        <v>258</v>
      </c>
      <c r="M1911" t="s">
        <v>257</v>
      </c>
      <c r="N1911" s="5">
        <v>92.25</v>
      </c>
    </row>
    <row r="1912" spans="1:14" x14ac:dyDescent="0.25">
      <c r="A1912" t="s">
        <v>2453</v>
      </c>
      <c r="B1912" t="s">
        <v>51</v>
      </c>
      <c r="C1912" t="str">
        <f>_xlfn.XLOOKUP(Table6[[#This Row],[app_id]],Table5[app_id],Table5[app_name],"",0)</f>
        <v>Creditly</v>
      </c>
      <c r="D1912" t="str">
        <f>_xlfn.XLOOKUP(Table6[[#This Row],[app_id]],Table5[app_id],Table5[category],"",0)</f>
        <v>Finance</v>
      </c>
      <c r="E1912" t="s">
        <v>533</v>
      </c>
      <c r="F1912" t="s">
        <v>538</v>
      </c>
      <c r="G1912" t="s">
        <v>23</v>
      </c>
      <c r="H1912" t="s">
        <v>535</v>
      </c>
      <c r="I1912">
        <v>41</v>
      </c>
      <c r="J1912">
        <v>9.1</v>
      </c>
      <c r="K1912" t="s">
        <v>257</v>
      </c>
      <c r="L1912" t="s">
        <v>258</v>
      </c>
      <c r="M1912" t="s">
        <v>257</v>
      </c>
      <c r="N1912" s="5">
        <v>0</v>
      </c>
    </row>
    <row r="1913" spans="1:14" x14ac:dyDescent="0.25">
      <c r="A1913" t="s">
        <v>2454</v>
      </c>
      <c r="B1913" t="s">
        <v>53</v>
      </c>
      <c r="C1913" t="str">
        <f>_xlfn.XLOOKUP(Table6[[#This Row],[app_id]],Table5[app_id],Table5[app_name],"",0)</f>
        <v>PayX</v>
      </c>
      <c r="D1913" t="str">
        <f>_xlfn.XLOOKUP(Table6[[#This Row],[app_id]],Table5[app_id],Table5[category],"",0)</f>
        <v>Finance</v>
      </c>
      <c r="E1913" t="s">
        <v>546</v>
      </c>
      <c r="F1913" t="s">
        <v>534</v>
      </c>
      <c r="G1913" t="s">
        <v>23</v>
      </c>
      <c r="H1913" t="s">
        <v>535</v>
      </c>
      <c r="I1913">
        <v>5</v>
      </c>
      <c r="J1913">
        <v>7.2</v>
      </c>
      <c r="K1913" t="s">
        <v>258</v>
      </c>
      <c r="L1913" t="s">
        <v>258</v>
      </c>
      <c r="M1913" t="s">
        <v>257</v>
      </c>
      <c r="N1913" s="5">
        <v>88.67</v>
      </c>
    </row>
    <row r="1914" spans="1:14" x14ac:dyDescent="0.25">
      <c r="A1914" t="s">
        <v>2455</v>
      </c>
      <c r="B1914" t="s">
        <v>56</v>
      </c>
      <c r="C1914" t="str">
        <f>_xlfn.XLOOKUP(Table6[[#This Row],[app_id]],Table5[app_id],Table5[app_name],"",0)</f>
        <v>DealGo</v>
      </c>
      <c r="D1914" t="str">
        <f>_xlfn.XLOOKUP(Table6[[#This Row],[app_id]],Table5[app_id],Table5[category],"",0)</f>
        <v>Shopping</v>
      </c>
      <c r="E1914" t="s">
        <v>533</v>
      </c>
      <c r="F1914" t="s">
        <v>534</v>
      </c>
      <c r="G1914" t="s">
        <v>35</v>
      </c>
      <c r="H1914" t="s">
        <v>535</v>
      </c>
      <c r="I1914">
        <v>4</v>
      </c>
      <c r="J1914">
        <v>18.7</v>
      </c>
      <c r="K1914" t="s">
        <v>258</v>
      </c>
      <c r="L1914" t="s">
        <v>257</v>
      </c>
      <c r="M1914" t="s">
        <v>258</v>
      </c>
      <c r="N1914" s="5">
        <v>0</v>
      </c>
    </row>
    <row r="1915" spans="1:14" x14ac:dyDescent="0.25">
      <c r="A1915" t="s">
        <v>2456</v>
      </c>
      <c r="B1915" t="s">
        <v>62</v>
      </c>
      <c r="C1915" t="str">
        <f>_xlfn.XLOOKUP(Table6[[#This Row],[app_id]],Table5[app_id],Table5[app_name],"",0)</f>
        <v>MallNow</v>
      </c>
      <c r="D1915" t="str">
        <f>_xlfn.XLOOKUP(Table6[[#This Row],[app_id]],Table5[app_id],Table5[category],"",0)</f>
        <v>Shopping</v>
      </c>
      <c r="E1915" t="s">
        <v>533</v>
      </c>
      <c r="F1915" t="s">
        <v>534</v>
      </c>
      <c r="G1915" t="s">
        <v>18</v>
      </c>
      <c r="H1915" t="s">
        <v>535</v>
      </c>
      <c r="I1915">
        <v>5</v>
      </c>
      <c r="J1915">
        <v>10.7</v>
      </c>
      <c r="K1915" t="s">
        <v>258</v>
      </c>
      <c r="L1915" t="s">
        <v>258</v>
      </c>
      <c r="M1915" t="s">
        <v>258</v>
      </c>
      <c r="N1915" s="5">
        <v>0</v>
      </c>
    </row>
    <row r="1916" spans="1:14" x14ac:dyDescent="0.25">
      <c r="A1916" t="s">
        <v>2457</v>
      </c>
      <c r="B1916" t="s">
        <v>65</v>
      </c>
      <c r="C1916" t="str">
        <f>_xlfn.XLOOKUP(Table6[[#This Row],[app_id]],Table5[app_id],Table5[app_name],"",0)</f>
        <v>DealPro</v>
      </c>
      <c r="D1916" t="str">
        <f>_xlfn.XLOOKUP(Table6[[#This Row],[app_id]],Table5[app_id],Table5[category],"",0)</f>
        <v>Shopping</v>
      </c>
      <c r="E1916" t="s">
        <v>546</v>
      </c>
      <c r="F1916" t="s">
        <v>538</v>
      </c>
      <c r="G1916" t="s">
        <v>30</v>
      </c>
      <c r="H1916" t="s">
        <v>535</v>
      </c>
      <c r="I1916">
        <v>61</v>
      </c>
      <c r="J1916">
        <v>5.9</v>
      </c>
      <c r="K1916" t="s">
        <v>257</v>
      </c>
      <c r="L1916" t="s">
        <v>257</v>
      </c>
      <c r="M1916" t="s">
        <v>258</v>
      </c>
      <c r="N1916" s="5">
        <v>0</v>
      </c>
    </row>
    <row r="1917" spans="1:14" x14ac:dyDescent="0.25">
      <c r="A1917" t="s">
        <v>2458</v>
      </c>
      <c r="B1917" t="s">
        <v>67</v>
      </c>
      <c r="C1917" t="str">
        <f>_xlfn.XLOOKUP(Table6[[#This Row],[app_id]],Table5[app_id],Table5[app_name],"",0)</f>
        <v>StyleNow</v>
      </c>
      <c r="D1917" t="str">
        <f>_xlfn.XLOOKUP(Table6[[#This Row],[app_id]],Table5[app_id],Table5[category],"",0)</f>
        <v>Shopping</v>
      </c>
      <c r="E1917" t="s">
        <v>557</v>
      </c>
      <c r="F1917" t="s">
        <v>548</v>
      </c>
      <c r="G1917" t="s">
        <v>26</v>
      </c>
      <c r="H1917" t="s">
        <v>535</v>
      </c>
      <c r="I1917">
        <v>25</v>
      </c>
      <c r="J1917">
        <v>8.1999999999999993</v>
      </c>
      <c r="K1917" t="s">
        <v>258</v>
      </c>
      <c r="L1917" t="s">
        <v>257</v>
      </c>
      <c r="M1917" t="s">
        <v>258</v>
      </c>
      <c r="N1917" s="5">
        <v>0</v>
      </c>
    </row>
    <row r="1918" spans="1:14" x14ac:dyDescent="0.25">
      <c r="A1918" t="s">
        <v>2459</v>
      </c>
      <c r="B1918" t="s">
        <v>70</v>
      </c>
      <c r="C1918" t="str">
        <f>_xlfn.XLOOKUP(Table6[[#This Row],[app_id]],Table5[app_id],Table5[app_name],"",0)</f>
        <v>DealCloud</v>
      </c>
      <c r="D1918" t="str">
        <f>_xlfn.XLOOKUP(Table6[[#This Row],[app_id]],Table5[app_id],Table5[category],"",0)</f>
        <v>Shopping</v>
      </c>
      <c r="E1918" t="s">
        <v>533</v>
      </c>
      <c r="F1918" t="s">
        <v>538</v>
      </c>
      <c r="G1918" t="s">
        <v>26</v>
      </c>
      <c r="H1918" t="s">
        <v>535</v>
      </c>
      <c r="I1918">
        <v>7</v>
      </c>
      <c r="J1918">
        <v>20.7</v>
      </c>
      <c r="K1918" t="s">
        <v>258</v>
      </c>
      <c r="L1918" t="s">
        <v>258</v>
      </c>
      <c r="M1918" t="s">
        <v>258</v>
      </c>
      <c r="N1918" s="5">
        <v>85.09</v>
      </c>
    </row>
    <row r="1919" spans="1:14" x14ac:dyDescent="0.25">
      <c r="A1919" t="s">
        <v>2460</v>
      </c>
      <c r="B1919" t="s">
        <v>72</v>
      </c>
      <c r="C1919" t="str">
        <f>_xlfn.XLOOKUP(Table6[[#This Row],[app_id]],Table5[app_id],Table5[app_name],"",0)</f>
        <v>CartCloud</v>
      </c>
      <c r="D1919" t="str">
        <f>_xlfn.XLOOKUP(Table6[[#This Row],[app_id]],Table5[app_id],Table5[category],"",0)</f>
        <v>Shopping</v>
      </c>
      <c r="E1919" t="s">
        <v>557</v>
      </c>
      <c r="F1919" t="s">
        <v>538</v>
      </c>
      <c r="G1919" t="s">
        <v>46</v>
      </c>
      <c r="H1919" t="s">
        <v>535</v>
      </c>
      <c r="I1919">
        <v>70</v>
      </c>
      <c r="J1919">
        <v>23.7</v>
      </c>
      <c r="K1919" t="s">
        <v>257</v>
      </c>
      <c r="L1919" t="s">
        <v>257</v>
      </c>
      <c r="M1919" t="s">
        <v>258</v>
      </c>
      <c r="N1919" s="5">
        <v>2.21</v>
      </c>
    </row>
    <row r="1920" spans="1:14" x14ac:dyDescent="0.25">
      <c r="A1920" t="s">
        <v>2461</v>
      </c>
      <c r="B1920" t="s">
        <v>74</v>
      </c>
      <c r="C1920" t="str">
        <f>_xlfn.XLOOKUP(Table6[[#This Row],[app_id]],Table5[app_id],Table5[app_name],"",0)</f>
        <v>CartMate</v>
      </c>
      <c r="D1920" t="str">
        <f>_xlfn.XLOOKUP(Table6[[#This Row],[app_id]],Table5[app_id],Table5[category],"",0)</f>
        <v>Shopping</v>
      </c>
      <c r="E1920" t="s">
        <v>537</v>
      </c>
      <c r="F1920" t="s">
        <v>538</v>
      </c>
      <c r="G1920" t="s">
        <v>23</v>
      </c>
      <c r="H1920" t="s">
        <v>535</v>
      </c>
      <c r="I1920">
        <v>55</v>
      </c>
      <c r="J1920">
        <v>11</v>
      </c>
      <c r="K1920" t="s">
        <v>257</v>
      </c>
      <c r="L1920" t="s">
        <v>258</v>
      </c>
      <c r="M1920" t="s">
        <v>257</v>
      </c>
      <c r="N1920" s="5">
        <v>12.13</v>
      </c>
    </row>
    <row r="1921" spans="1:14" x14ac:dyDescent="0.25">
      <c r="A1921" t="s">
        <v>2462</v>
      </c>
      <c r="B1921" t="s">
        <v>76</v>
      </c>
      <c r="C1921" t="str">
        <f>_xlfn.XLOOKUP(Table6[[#This Row],[app_id]],Table5[app_id],Table5[app_name],"",0)</f>
        <v>BazaarOne</v>
      </c>
      <c r="D1921" t="str">
        <f>_xlfn.XLOOKUP(Table6[[#This Row],[app_id]],Table5[app_id],Table5[category],"",0)</f>
        <v>Shopping</v>
      </c>
      <c r="E1921" t="s">
        <v>537</v>
      </c>
      <c r="F1921" t="s">
        <v>534</v>
      </c>
      <c r="G1921" t="s">
        <v>30</v>
      </c>
      <c r="H1921" t="s">
        <v>535</v>
      </c>
      <c r="I1921">
        <v>15</v>
      </c>
      <c r="J1921">
        <v>21.6</v>
      </c>
      <c r="K1921" t="s">
        <v>258</v>
      </c>
      <c r="L1921" t="s">
        <v>257</v>
      </c>
      <c r="M1921" t="s">
        <v>258</v>
      </c>
      <c r="N1921" s="5">
        <v>0</v>
      </c>
    </row>
    <row r="1922" spans="1:14" x14ac:dyDescent="0.25">
      <c r="A1922" t="s">
        <v>2463</v>
      </c>
      <c r="B1922" t="s">
        <v>78</v>
      </c>
      <c r="C1922" t="str">
        <f>_xlfn.XLOOKUP(Table6[[#This Row],[app_id]],Table5[app_id],Table5[app_name],"",0)</f>
        <v>StyleOne</v>
      </c>
      <c r="D1922" t="str">
        <f>_xlfn.XLOOKUP(Table6[[#This Row],[app_id]],Table5[app_id],Table5[category],"",0)</f>
        <v>Shopping</v>
      </c>
      <c r="E1922" t="s">
        <v>537</v>
      </c>
      <c r="F1922" t="s">
        <v>538</v>
      </c>
      <c r="G1922" t="s">
        <v>35</v>
      </c>
      <c r="H1922" t="s">
        <v>535</v>
      </c>
      <c r="I1922">
        <v>72</v>
      </c>
      <c r="J1922">
        <v>18.899999999999999</v>
      </c>
      <c r="K1922" t="s">
        <v>257</v>
      </c>
      <c r="L1922" t="s">
        <v>257</v>
      </c>
      <c r="M1922" t="s">
        <v>258</v>
      </c>
      <c r="N1922" s="5">
        <v>0</v>
      </c>
    </row>
    <row r="1923" spans="1:14" x14ac:dyDescent="0.25">
      <c r="A1923" t="s">
        <v>2464</v>
      </c>
      <c r="B1923" t="s">
        <v>80</v>
      </c>
      <c r="C1923" t="str">
        <f>_xlfn.XLOOKUP(Table6[[#This Row],[app_id]],Table5[app_id],Table5[app_name],"",0)</f>
        <v>Cartly</v>
      </c>
      <c r="D1923" t="str">
        <f>_xlfn.XLOOKUP(Table6[[#This Row],[app_id]],Table5[app_id],Table5[category],"",0)</f>
        <v>Shopping</v>
      </c>
      <c r="E1923" t="s">
        <v>537</v>
      </c>
      <c r="F1923" t="s">
        <v>534</v>
      </c>
      <c r="G1923" t="s">
        <v>26</v>
      </c>
      <c r="H1923" t="s">
        <v>540</v>
      </c>
      <c r="I1923">
        <v>6</v>
      </c>
      <c r="J1923">
        <v>14.4</v>
      </c>
      <c r="K1923" t="s">
        <v>258</v>
      </c>
      <c r="L1923" t="s">
        <v>257</v>
      </c>
      <c r="M1923" t="s">
        <v>257</v>
      </c>
      <c r="N1923" s="5">
        <v>0</v>
      </c>
    </row>
    <row r="1924" spans="1:14" x14ac:dyDescent="0.25">
      <c r="A1924" t="s">
        <v>2465</v>
      </c>
      <c r="B1924" t="s">
        <v>83</v>
      </c>
      <c r="C1924" t="str">
        <f>_xlfn.XLOOKUP(Table6[[#This Row],[app_id]],Table5[app_id],Table5[app_name],"",0)</f>
        <v>BazaarCloud</v>
      </c>
      <c r="D1924" t="str">
        <f>_xlfn.XLOOKUP(Table6[[#This Row],[app_id]],Table5[app_id],Table5[category],"",0)</f>
        <v>Shopping</v>
      </c>
      <c r="E1924" t="s">
        <v>546</v>
      </c>
      <c r="F1924" t="s">
        <v>538</v>
      </c>
      <c r="G1924" t="s">
        <v>18</v>
      </c>
      <c r="H1924" t="s">
        <v>535</v>
      </c>
      <c r="I1924">
        <v>16</v>
      </c>
      <c r="J1924">
        <v>18.100000000000001</v>
      </c>
      <c r="K1924" t="s">
        <v>258</v>
      </c>
      <c r="L1924" t="s">
        <v>258</v>
      </c>
      <c r="M1924" t="s">
        <v>258</v>
      </c>
      <c r="N1924" s="5">
        <v>48.19</v>
      </c>
    </row>
    <row r="1925" spans="1:14" x14ac:dyDescent="0.25">
      <c r="A1925" t="s">
        <v>2466</v>
      </c>
      <c r="B1925" t="s">
        <v>85</v>
      </c>
      <c r="C1925" t="str">
        <f>_xlfn.XLOOKUP(Table6[[#This Row],[app_id]],Table5[app_id],Table5[app_name],"",0)</f>
        <v>CartPro</v>
      </c>
      <c r="D1925" t="str">
        <f>_xlfn.XLOOKUP(Table6[[#This Row],[app_id]],Table5[app_id],Table5[category],"",0)</f>
        <v>Shopping</v>
      </c>
      <c r="E1925" t="s">
        <v>546</v>
      </c>
      <c r="F1925" t="s">
        <v>538</v>
      </c>
      <c r="G1925" t="s">
        <v>46</v>
      </c>
      <c r="H1925" t="s">
        <v>540</v>
      </c>
      <c r="I1925">
        <v>5</v>
      </c>
      <c r="J1925">
        <v>23</v>
      </c>
      <c r="K1925" t="s">
        <v>258</v>
      </c>
      <c r="L1925" t="s">
        <v>258</v>
      </c>
      <c r="M1925" t="s">
        <v>257</v>
      </c>
      <c r="N1925" s="5">
        <v>34.74</v>
      </c>
    </row>
    <row r="1926" spans="1:14" x14ac:dyDescent="0.25">
      <c r="A1926" t="s">
        <v>2467</v>
      </c>
      <c r="B1926" t="s">
        <v>87</v>
      </c>
      <c r="C1926" t="str">
        <f>_xlfn.XLOOKUP(Table6[[#This Row],[app_id]],Table5[app_id],Table5[app_name],"",0)</f>
        <v>RunPlus</v>
      </c>
      <c r="D1926" t="str">
        <f>_xlfn.XLOOKUP(Table6[[#This Row],[app_id]],Table5[app_id],Table5[category],"",0)</f>
        <v>Fitness</v>
      </c>
      <c r="E1926" t="s">
        <v>546</v>
      </c>
      <c r="F1926" t="s">
        <v>534</v>
      </c>
      <c r="G1926" t="s">
        <v>61</v>
      </c>
      <c r="H1926" t="s">
        <v>535</v>
      </c>
      <c r="I1926">
        <v>25</v>
      </c>
      <c r="J1926">
        <v>36.4</v>
      </c>
      <c r="K1926" t="s">
        <v>258</v>
      </c>
      <c r="L1926" t="s">
        <v>257</v>
      </c>
      <c r="M1926" t="s">
        <v>257</v>
      </c>
      <c r="N1926" s="5">
        <v>0</v>
      </c>
    </row>
    <row r="1927" spans="1:14" x14ac:dyDescent="0.25">
      <c r="A1927" t="s">
        <v>2468</v>
      </c>
      <c r="B1927" t="s">
        <v>90</v>
      </c>
      <c r="C1927" t="str">
        <f>_xlfn.XLOOKUP(Table6[[#This Row],[app_id]],Table5[app_id],Table5[app_name],"",0)</f>
        <v>TrainCloud</v>
      </c>
      <c r="D1927" t="str">
        <f>_xlfn.XLOOKUP(Table6[[#This Row],[app_id]],Table5[app_id],Table5[category],"",0)</f>
        <v>Fitness</v>
      </c>
      <c r="E1927" t="s">
        <v>546</v>
      </c>
      <c r="F1927" t="s">
        <v>538</v>
      </c>
      <c r="G1927" t="s">
        <v>46</v>
      </c>
      <c r="H1927" t="s">
        <v>535</v>
      </c>
      <c r="I1927">
        <v>10</v>
      </c>
      <c r="J1927">
        <v>33.4</v>
      </c>
      <c r="K1927" t="s">
        <v>258</v>
      </c>
      <c r="L1927" t="s">
        <v>257</v>
      </c>
      <c r="M1927" t="s">
        <v>258</v>
      </c>
      <c r="N1927" s="5">
        <v>0</v>
      </c>
    </row>
    <row r="1928" spans="1:14" x14ac:dyDescent="0.25">
      <c r="A1928" t="s">
        <v>2469</v>
      </c>
      <c r="B1928" t="s">
        <v>92</v>
      </c>
      <c r="C1928" t="str">
        <f>_xlfn.XLOOKUP(Table6[[#This Row],[app_id]],Table5[app_id],Table5[app_name],"",0)</f>
        <v>Trainly</v>
      </c>
      <c r="D1928" t="str">
        <f>_xlfn.XLOOKUP(Table6[[#This Row],[app_id]],Table5[app_id],Table5[category],"",0)</f>
        <v>Fitness</v>
      </c>
      <c r="E1928" t="s">
        <v>546</v>
      </c>
      <c r="F1928" t="s">
        <v>534</v>
      </c>
      <c r="G1928" t="s">
        <v>18</v>
      </c>
      <c r="H1928" t="s">
        <v>535</v>
      </c>
      <c r="I1928">
        <v>55</v>
      </c>
      <c r="J1928">
        <v>13.3</v>
      </c>
      <c r="K1928" t="s">
        <v>257</v>
      </c>
      <c r="L1928" t="s">
        <v>258</v>
      </c>
      <c r="M1928" t="s">
        <v>257</v>
      </c>
      <c r="N1928" s="5">
        <v>0</v>
      </c>
    </row>
    <row r="1929" spans="1:14" x14ac:dyDescent="0.25">
      <c r="A1929" t="s">
        <v>2470</v>
      </c>
      <c r="B1929" t="s">
        <v>94</v>
      </c>
      <c r="C1929" t="str">
        <f>_xlfn.XLOOKUP(Table6[[#This Row],[app_id]],Table5[app_id],Table5[app_name],"",0)</f>
        <v>LiftCloud</v>
      </c>
      <c r="D1929" t="str">
        <f>_xlfn.XLOOKUP(Table6[[#This Row],[app_id]],Table5[app_id],Table5[category],"",0)</f>
        <v>Fitness</v>
      </c>
      <c r="E1929" t="s">
        <v>537</v>
      </c>
      <c r="F1929" t="s">
        <v>534</v>
      </c>
      <c r="G1929" t="s">
        <v>35</v>
      </c>
      <c r="H1929" t="s">
        <v>535</v>
      </c>
      <c r="I1929">
        <v>46</v>
      </c>
      <c r="J1929">
        <v>27.1</v>
      </c>
      <c r="K1929" t="s">
        <v>257</v>
      </c>
      <c r="L1929" t="s">
        <v>258</v>
      </c>
      <c r="M1929" t="s">
        <v>258</v>
      </c>
      <c r="N1929" s="5">
        <v>0</v>
      </c>
    </row>
    <row r="1930" spans="1:14" x14ac:dyDescent="0.25">
      <c r="A1930" t="s">
        <v>2471</v>
      </c>
      <c r="B1930" t="s">
        <v>96</v>
      </c>
      <c r="C1930" t="str">
        <f>_xlfn.XLOOKUP(Table6[[#This Row],[app_id]],Table5[app_id],Table5[app_name],"",0)</f>
        <v>MoveNow</v>
      </c>
      <c r="D1930" t="str">
        <f>_xlfn.XLOOKUP(Table6[[#This Row],[app_id]],Table5[app_id],Table5[category],"",0)</f>
        <v>Fitness</v>
      </c>
      <c r="E1930" t="s">
        <v>557</v>
      </c>
      <c r="F1930" t="s">
        <v>534</v>
      </c>
      <c r="G1930" t="s">
        <v>46</v>
      </c>
      <c r="H1930" t="s">
        <v>535</v>
      </c>
      <c r="I1930">
        <v>6</v>
      </c>
      <c r="J1930">
        <v>25.7</v>
      </c>
      <c r="K1930" t="s">
        <v>258</v>
      </c>
      <c r="L1930" t="s">
        <v>258</v>
      </c>
      <c r="M1930" t="s">
        <v>257</v>
      </c>
      <c r="N1930" s="5">
        <v>0</v>
      </c>
    </row>
    <row r="1931" spans="1:14" x14ac:dyDescent="0.25">
      <c r="A1931" t="s">
        <v>2472</v>
      </c>
      <c r="B1931" t="s">
        <v>98</v>
      </c>
      <c r="C1931" t="str">
        <f>_xlfn.XLOOKUP(Table6[[#This Row],[app_id]],Table5[app_id],Table5[app_name],"",0)</f>
        <v>ActiveMate</v>
      </c>
      <c r="D1931" t="str">
        <f>_xlfn.XLOOKUP(Table6[[#This Row],[app_id]],Table5[app_id],Table5[category],"",0)</f>
        <v>Fitness</v>
      </c>
      <c r="E1931" t="s">
        <v>533</v>
      </c>
      <c r="F1931" t="s">
        <v>534</v>
      </c>
      <c r="G1931" t="s">
        <v>18</v>
      </c>
      <c r="H1931" t="s">
        <v>535</v>
      </c>
      <c r="I1931">
        <v>19</v>
      </c>
      <c r="J1931">
        <v>37.9</v>
      </c>
      <c r="K1931" t="s">
        <v>258</v>
      </c>
      <c r="L1931" t="s">
        <v>258</v>
      </c>
      <c r="M1931" t="s">
        <v>257</v>
      </c>
      <c r="N1931" s="5">
        <v>0</v>
      </c>
    </row>
    <row r="1932" spans="1:14" x14ac:dyDescent="0.25">
      <c r="A1932" t="s">
        <v>2473</v>
      </c>
      <c r="B1932" t="s">
        <v>100</v>
      </c>
      <c r="C1932" t="str">
        <f>_xlfn.XLOOKUP(Table6[[#This Row],[app_id]],Table5[app_id],Table5[app_name],"",0)</f>
        <v>RunGo</v>
      </c>
      <c r="D1932" t="str">
        <f>_xlfn.XLOOKUP(Table6[[#This Row],[app_id]],Table5[app_id],Table5[category],"",0)</f>
        <v>Fitness</v>
      </c>
      <c r="E1932" t="s">
        <v>533</v>
      </c>
      <c r="F1932" t="s">
        <v>538</v>
      </c>
      <c r="G1932" t="s">
        <v>61</v>
      </c>
      <c r="H1932" t="s">
        <v>535</v>
      </c>
      <c r="I1932">
        <v>71</v>
      </c>
      <c r="J1932">
        <v>35.1</v>
      </c>
      <c r="K1932" t="s">
        <v>257</v>
      </c>
      <c r="L1932" t="s">
        <v>257</v>
      </c>
      <c r="M1932" t="s">
        <v>258</v>
      </c>
      <c r="N1932" s="5">
        <v>0</v>
      </c>
    </row>
    <row r="1933" spans="1:14" x14ac:dyDescent="0.25">
      <c r="A1933" t="s">
        <v>2474</v>
      </c>
      <c r="B1933" t="s">
        <v>102</v>
      </c>
      <c r="C1933" t="str">
        <f>_xlfn.XLOOKUP(Table6[[#This Row],[app_id]],Table5[app_id],Table5[app_name],"",0)</f>
        <v>LiftPro</v>
      </c>
      <c r="D1933" t="str">
        <f>_xlfn.XLOOKUP(Table6[[#This Row],[app_id]],Table5[app_id],Table5[category],"",0)</f>
        <v>Fitness</v>
      </c>
      <c r="E1933" t="s">
        <v>537</v>
      </c>
      <c r="F1933" t="s">
        <v>534</v>
      </c>
      <c r="G1933" t="s">
        <v>30</v>
      </c>
      <c r="H1933" t="s">
        <v>535</v>
      </c>
      <c r="I1933">
        <v>72</v>
      </c>
      <c r="J1933">
        <v>33.700000000000003</v>
      </c>
      <c r="K1933" t="s">
        <v>257</v>
      </c>
      <c r="L1933" t="s">
        <v>257</v>
      </c>
      <c r="M1933" t="s">
        <v>257</v>
      </c>
      <c r="N1933" s="5">
        <v>39.18</v>
      </c>
    </row>
    <row r="1934" spans="1:14" x14ac:dyDescent="0.25">
      <c r="A1934" t="s">
        <v>2475</v>
      </c>
      <c r="B1934" t="s">
        <v>104</v>
      </c>
      <c r="C1934" t="str">
        <f>_xlfn.XLOOKUP(Table6[[#This Row],[app_id]],Table5[app_id],Table5[app_name],"",0)</f>
        <v>LiftPro</v>
      </c>
      <c r="D1934" t="str">
        <f>_xlfn.XLOOKUP(Table6[[#This Row],[app_id]],Table5[app_id],Table5[category],"",0)</f>
        <v>Fitness</v>
      </c>
      <c r="E1934" t="s">
        <v>546</v>
      </c>
      <c r="F1934" t="s">
        <v>534</v>
      </c>
      <c r="G1934" t="s">
        <v>35</v>
      </c>
      <c r="H1934" t="s">
        <v>535</v>
      </c>
      <c r="I1934">
        <v>28</v>
      </c>
      <c r="J1934">
        <v>33</v>
      </c>
      <c r="K1934" t="s">
        <v>258</v>
      </c>
      <c r="L1934" t="s">
        <v>258</v>
      </c>
      <c r="M1934" t="s">
        <v>258</v>
      </c>
      <c r="N1934" s="5">
        <v>0</v>
      </c>
    </row>
    <row r="1935" spans="1:14" x14ac:dyDescent="0.25">
      <c r="A1935" t="s">
        <v>2476</v>
      </c>
      <c r="B1935" t="s">
        <v>105</v>
      </c>
      <c r="C1935" t="str">
        <f>_xlfn.XLOOKUP(Table6[[#This Row],[app_id]],Table5[app_id],Table5[app_name],"",0)</f>
        <v>Liftly</v>
      </c>
      <c r="D1935" t="str">
        <f>_xlfn.XLOOKUP(Table6[[#This Row],[app_id]],Table5[app_id],Table5[category],"",0)</f>
        <v>Fitness</v>
      </c>
      <c r="E1935" t="s">
        <v>533</v>
      </c>
      <c r="F1935" t="s">
        <v>538</v>
      </c>
      <c r="G1935" t="s">
        <v>26</v>
      </c>
      <c r="H1935" t="s">
        <v>535</v>
      </c>
      <c r="I1935">
        <v>80</v>
      </c>
      <c r="J1935">
        <v>31.3</v>
      </c>
      <c r="K1935" t="s">
        <v>257</v>
      </c>
      <c r="L1935" t="s">
        <v>257</v>
      </c>
      <c r="M1935" t="s">
        <v>258</v>
      </c>
      <c r="N1935" s="5">
        <v>0</v>
      </c>
    </row>
    <row r="1936" spans="1:14" x14ac:dyDescent="0.25">
      <c r="A1936" t="s">
        <v>2477</v>
      </c>
      <c r="B1936" t="s">
        <v>107</v>
      </c>
      <c r="C1936" t="str">
        <f>_xlfn.XLOOKUP(Table6[[#This Row],[app_id]],Table5[app_id],Table5[app_name],"",0)</f>
        <v>YogaHub</v>
      </c>
      <c r="D1936" t="str">
        <f>_xlfn.XLOOKUP(Table6[[#This Row],[app_id]],Table5[app_id],Table5[category],"",0)</f>
        <v>Fitness</v>
      </c>
      <c r="E1936" t="s">
        <v>557</v>
      </c>
      <c r="F1936" t="s">
        <v>534</v>
      </c>
      <c r="G1936" t="s">
        <v>23</v>
      </c>
      <c r="H1936" t="s">
        <v>535</v>
      </c>
      <c r="I1936">
        <v>84</v>
      </c>
      <c r="J1936">
        <v>24.7</v>
      </c>
      <c r="K1936" t="s">
        <v>257</v>
      </c>
      <c r="L1936" t="s">
        <v>258</v>
      </c>
      <c r="M1936" t="s">
        <v>258</v>
      </c>
      <c r="N1936" s="5">
        <v>26.67</v>
      </c>
    </row>
    <row r="1937" spans="1:14" x14ac:dyDescent="0.25">
      <c r="A1937" t="s">
        <v>2478</v>
      </c>
      <c r="B1937" t="s">
        <v>109</v>
      </c>
      <c r="C1937" t="str">
        <f>_xlfn.XLOOKUP(Table6[[#This Row],[app_id]],Table5[app_id],Table5[app_name],"",0)</f>
        <v>MoveGo</v>
      </c>
      <c r="D1937" t="str">
        <f>_xlfn.XLOOKUP(Table6[[#This Row],[app_id]],Table5[app_id],Table5[category],"",0)</f>
        <v>Fitness</v>
      </c>
      <c r="E1937" t="s">
        <v>557</v>
      </c>
      <c r="F1937" t="s">
        <v>538</v>
      </c>
      <c r="G1937" t="s">
        <v>61</v>
      </c>
      <c r="H1937" t="s">
        <v>535</v>
      </c>
      <c r="I1937">
        <v>23</v>
      </c>
      <c r="J1937">
        <v>33.700000000000003</v>
      </c>
      <c r="K1937" t="s">
        <v>257</v>
      </c>
      <c r="L1937" t="s">
        <v>257</v>
      </c>
      <c r="M1937" t="s">
        <v>258</v>
      </c>
      <c r="N1937" s="5">
        <v>0</v>
      </c>
    </row>
    <row r="1938" spans="1:14" x14ac:dyDescent="0.25">
      <c r="A1938" t="s">
        <v>2479</v>
      </c>
      <c r="B1938" t="s">
        <v>111</v>
      </c>
      <c r="C1938" t="str">
        <f>_xlfn.XLOOKUP(Table6[[#This Row],[app_id]],Table5[app_id],Table5[app_name],"",0)</f>
        <v>BrightNow</v>
      </c>
      <c r="D1938" t="str">
        <f>_xlfn.XLOOKUP(Table6[[#This Row],[app_id]],Table5[app_id],Table5[category],"",0)</f>
        <v>Education</v>
      </c>
      <c r="E1938" t="s">
        <v>537</v>
      </c>
      <c r="F1938" t="s">
        <v>538</v>
      </c>
      <c r="G1938" t="s">
        <v>26</v>
      </c>
      <c r="H1938" t="s">
        <v>535</v>
      </c>
      <c r="I1938">
        <v>25</v>
      </c>
      <c r="J1938">
        <v>35.299999999999997</v>
      </c>
      <c r="K1938" t="s">
        <v>258</v>
      </c>
      <c r="L1938" t="s">
        <v>258</v>
      </c>
      <c r="M1938" t="s">
        <v>258</v>
      </c>
      <c r="N1938" s="5">
        <v>0</v>
      </c>
    </row>
    <row r="1939" spans="1:14" x14ac:dyDescent="0.25">
      <c r="A1939" t="s">
        <v>2480</v>
      </c>
      <c r="B1939" t="s">
        <v>114</v>
      </c>
      <c r="C1939" t="str">
        <f>_xlfn.XLOOKUP(Table6[[#This Row],[app_id]],Table5[app_id],Table5[app_name],"",0)</f>
        <v>StudyCloud</v>
      </c>
      <c r="D1939" t="str">
        <f>_xlfn.XLOOKUP(Table6[[#This Row],[app_id]],Table5[app_id],Table5[category],"",0)</f>
        <v>Education</v>
      </c>
      <c r="E1939" t="s">
        <v>537</v>
      </c>
      <c r="F1939" t="s">
        <v>534</v>
      </c>
      <c r="G1939" t="s">
        <v>46</v>
      </c>
      <c r="H1939" t="s">
        <v>535</v>
      </c>
      <c r="I1939">
        <v>9</v>
      </c>
      <c r="J1939">
        <v>18.3</v>
      </c>
      <c r="K1939" t="s">
        <v>258</v>
      </c>
      <c r="L1939" t="s">
        <v>258</v>
      </c>
      <c r="M1939" t="s">
        <v>257</v>
      </c>
      <c r="N1939" s="5">
        <v>0</v>
      </c>
    </row>
    <row r="1940" spans="1:14" x14ac:dyDescent="0.25">
      <c r="A1940" t="s">
        <v>2481</v>
      </c>
      <c r="B1940" t="s">
        <v>116</v>
      </c>
      <c r="C1940" t="str">
        <f>_xlfn.XLOOKUP(Table6[[#This Row],[app_id]],Table5[app_id],Table5[app_name],"",0)</f>
        <v>SkillNow</v>
      </c>
      <c r="D1940" t="str">
        <f>_xlfn.XLOOKUP(Table6[[#This Row],[app_id]],Table5[app_id],Table5[category],"",0)</f>
        <v>Education</v>
      </c>
      <c r="E1940" t="s">
        <v>546</v>
      </c>
      <c r="F1940" t="s">
        <v>538</v>
      </c>
      <c r="G1940" t="s">
        <v>26</v>
      </c>
      <c r="H1940" t="s">
        <v>535</v>
      </c>
      <c r="I1940">
        <v>7</v>
      </c>
      <c r="J1940">
        <v>26.6</v>
      </c>
      <c r="K1940" t="s">
        <v>258</v>
      </c>
      <c r="L1940" t="s">
        <v>258</v>
      </c>
      <c r="M1940" t="s">
        <v>258</v>
      </c>
      <c r="N1940" s="5">
        <v>0</v>
      </c>
    </row>
    <row r="1941" spans="1:14" x14ac:dyDescent="0.25">
      <c r="A1941" t="s">
        <v>2482</v>
      </c>
      <c r="B1941" t="s">
        <v>118</v>
      </c>
      <c r="C1941" t="str">
        <f>_xlfn.XLOOKUP(Table6[[#This Row],[app_id]],Table5[app_id],Table5[app_name],"",0)</f>
        <v>LearnMate</v>
      </c>
      <c r="D1941" t="str">
        <f>_xlfn.XLOOKUP(Table6[[#This Row],[app_id]],Table5[app_id],Table5[category],"",0)</f>
        <v>Education</v>
      </c>
      <c r="E1941" t="s">
        <v>546</v>
      </c>
      <c r="F1941" t="s">
        <v>538</v>
      </c>
      <c r="G1941" t="s">
        <v>35</v>
      </c>
      <c r="H1941" t="s">
        <v>535</v>
      </c>
      <c r="I1941">
        <v>2</v>
      </c>
      <c r="J1941">
        <v>15.3</v>
      </c>
      <c r="K1941" t="s">
        <v>258</v>
      </c>
      <c r="L1941" t="s">
        <v>258</v>
      </c>
      <c r="M1941" t="s">
        <v>258</v>
      </c>
      <c r="N1941" s="5">
        <v>0</v>
      </c>
    </row>
    <row r="1942" spans="1:14" x14ac:dyDescent="0.25">
      <c r="A1942" t="s">
        <v>2483</v>
      </c>
      <c r="B1942" t="s">
        <v>120</v>
      </c>
      <c r="C1942" t="str">
        <f>_xlfn.XLOOKUP(Table6[[#This Row],[app_id]],Table5[app_id],Table5[app_name],"",0)</f>
        <v>QuestNow</v>
      </c>
      <c r="D1942" t="str">
        <f>_xlfn.XLOOKUP(Table6[[#This Row],[app_id]],Table5[app_id],Table5[category],"",0)</f>
        <v>Education</v>
      </c>
      <c r="E1942" t="s">
        <v>533</v>
      </c>
      <c r="F1942" t="s">
        <v>538</v>
      </c>
      <c r="G1942" t="s">
        <v>23</v>
      </c>
      <c r="H1942" t="s">
        <v>540</v>
      </c>
      <c r="I1942">
        <v>17</v>
      </c>
      <c r="J1942">
        <v>28.3</v>
      </c>
      <c r="K1942" t="s">
        <v>258</v>
      </c>
      <c r="L1942" t="s">
        <v>257</v>
      </c>
      <c r="M1942" t="s">
        <v>258</v>
      </c>
      <c r="N1942" s="5">
        <v>42.02</v>
      </c>
    </row>
    <row r="1943" spans="1:14" x14ac:dyDescent="0.25">
      <c r="A1943" t="s">
        <v>2484</v>
      </c>
      <c r="B1943" t="s">
        <v>122</v>
      </c>
      <c r="C1943" t="str">
        <f>_xlfn.XLOOKUP(Table6[[#This Row],[app_id]],Table5[app_id],Table5[app_name],"",0)</f>
        <v>SkillHub</v>
      </c>
      <c r="D1943" t="str">
        <f>_xlfn.XLOOKUP(Table6[[#This Row],[app_id]],Table5[app_id],Table5[category],"",0)</f>
        <v>Education</v>
      </c>
      <c r="E1943" t="s">
        <v>546</v>
      </c>
      <c r="F1943" t="s">
        <v>538</v>
      </c>
      <c r="G1943" t="s">
        <v>46</v>
      </c>
      <c r="H1943" t="s">
        <v>535</v>
      </c>
      <c r="I1943">
        <v>24</v>
      </c>
      <c r="J1943">
        <v>40.5</v>
      </c>
      <c r="K1943" t="s">
        <v>258</v>
      </c>
      <c r="L1943" t="s">
        <v>257</v>
      </c>
      <c r="M1943" t="s">
        <v>258</v>
      </c>
      <c r="N1943" s="5">
        <v>0</v>
      </c>
    </row>
    <row r="1944" spans="1:14" x14ac:dyDescent="0.25">
      <c r="A1944" t="s">
        <v>2485</v>
      </c>
      <c r="B1944" t="s">
        <v>124</v>
      </c>
      <c r="C1944" t="str">
        <f>_xlfn.XLOOKUP(Table6[[#This Row],[app_id]],Table5[app_id],Table5[app_name],"",0)</f>
        <v>TutorCloud</v>
      </c>
      <c r="D1944" t="str">
        <f>_xlfn.XLOOKUP(Table6[[#This Row],[app_id]],Table5[app_id],Table5[category],"",0)</f>
        <v>Education</v>
      </c>
      <c r="E1944" t="s">
        <v>533</v>
      </c>
      <c r="F1944" t="s">
        <v>534</v>
      </c>
      <c r="G1944" t="s">
        <v>26</v>
      </c>
      <c r="H1944" t="s">
        <v>535</v>
      </c>
      <c r="I1944">
        <v>7</v>
      </c>
      <c r="J1944">
        <v>23.9</v>
      </c>
      <c r="K1944" t="s">
        <v>258</v>
      </c>
      <c r="L1944" t="s">
        <v>258</v>
      </c>
      <c r="M1944" t="s">
        <v>258</v>
      </c>
      <c r="N1944" s="5">
        <v>0</v>
      </c>
    </row>
    <row r="1945" spans="1:14" x14ac:dyDescent="0.25">
      <c r="A1945" t="s">
        <v>2486</v>
      </c>
      <c r="B1945" t="s">
        <v>126</v>
      </c>
      <c r="C1945" t="str">
        <f>_xlfn.XLOOKUP(Table6[[#This Row],[app_id]],Table5[app_id],Table5[app_name],"",0)</f>
        <v>SkillOne</v>
      </c>
      <c r="D1945" t="str">
        <f>_xlfn.XLOOKUP(Table6[[#This Row],[app_id]],Table5[app_id],Table5[category],"",0)</f>
        <v>Education</v>
      </c>
      <c r="E1945" t="s">
        <v>546</v>
      </c>
      <c r="F1945" t="s">
        <v>534</v>
      </c>
      <c r="G1945" t="s">
        <v>35</v>
      </c>
      <c r="H1945" t="s">
        <v>535</v>
      </c>
      <c r="I1945">
        <v>61</v>
      </c>
      <c r="J1945">
        <v>19</v>
      </c>
      <c r="K1945" t="s">
        <v>257</v>
      </c>
      <c r="L1945" t="s">
        <v>257</v>
      </c>
      <c r="M1945" t="s">
        <v>258</v>
      </c>
      <c r="N1945" s="5">
        <v>0</v>
      </c>
    </row>
    <row r="1946" spans="1:14" x14ac:dyDescent="0.25">
      <c r="A1946" t="s">
        <v>2487</v>
      </c>
      <c r="B1946" t="s">
        <v>128</v>
      </c>
      <c r="C1946" t="str">
        <f>_xlfn.XLOOKUP(Table6[[#This Row],[app_id]],Table5[app_id],Table5[app_name],"",0)</f>
        <v>LearnOne</v>
      </c>
      <c r="D1946" t="str">
        <f>_xlfn.XLOOKUP(Table6[[#This Row],[app_id]],Table5[app_id],Table5[category],"",0)</f>
        <v>Education</v>
      </c>
      <c r="E1946" t="s">
        <v>537</v>
      </c>
      <c r="F1946" t="s">
        <v>534</v>
      </c>
      <c r="G1946" t="s">
        <v>23</v>
      </c>
      <c r="H1946" t="s">
        <v>540</v>
      </c>
      <c r="I1946">
        <v>55</v>
      </c>
      <c r="J1946">
        <v>14.4</v>
      </c>
      <c r="K1946" t="s">
        <v>257</v>
      </c>
      <c r="L1946" t="s">
        <v>257</v>
      </c>
      <c r="M1946" t="s">
        <v>258</v>
      </c>
      <c r="N1946" s="5">
        <v>0</v>
      </c>
    </row>
    <row r="1947" spans="1:14" x14ac:dyDescent="0.25">
      <c r="A1947" t="s">
        <v>2488</v>
      </c>
      <c r="B1947" t="s">
        <v>130</v>
      </c>
      <c r="C1947" t="str">
        <f>_xlfn.XLOOKUP(Table6[[#This Row],[app_id]],Table5[app_id],Table5[app_name],"",0)</f>
        <v>LearnPlus</v>
      </c>
      <c r="D1947" t="str">
        <f>_xlfn.XLOOKUP(Table6[[#This Row],[app_id]],Table5[app_id],Table5[category],"",0)</f>
        <v>Education</v>
      </c>
      <c r="E1947" t="s">
        <v>537</v>
      </c>
      <c r="F1947" t="s">
        <v>538</v>
      </c>
      <c r="G1947" t="s">
        <v>46</v>
      </c>
      <c r="H1947" t="s">
        <v>535</v>
      </c>
      <c r="I1947">
        <v>10</v>
      </c>
      <c r="J1947">
        <v>21.6</v>
      </c>
      <c r="K1947" t="s">
        <v>258</v>
      </c>
      <c r="L1947" t="s">
        <v>258</v>
      </c>
      <c r="M1947" t="s">
        <v>258</v>
      </c>
      <c r="N1947" s="5">
        <v>0</v>
      </c>
    </row>
    <row r="1948" spans="1:14" x14ac:dyDescent="0.25">
      <c r="A1948" t="s">
        <v>2489</v>
      </c>
      <c r="B1948" t="s">
        <v>132</v>
      </c>
      <c r="C1948" t="str">
        <f>_xlfn.XLOOKUP(Table6[[#This Row],[app_id]],Table5[app_id],Table5[app_name],"",0)</f>
        <v>StudyPlus</v>
      </c>
      <c r="D1948" t="str">
        <f>_xlfn.XLOOKUP(Table6[[#This Row],[app_id]],Table5[app_id],Table5[category],"",0)</f>
        <v>Education</v>
      </c>
      <c r="E1948" t="s">
        <v>533</v>
      </c>
      <c r="F1948" t="s">
        <v>538</v>
      </c>
      <c r="G1948" t="s">
        <v>23</v>
      </c>
      <c r="H1948" t="s">
        <v>535</v>
      </c>
      <c r="I1948">
        <v>4</v>
      </c>
      <c r="J1948">
        <v>22</v>
      </c>
      <c r="K1948" t="s">
        <v>258</v>
      </c>
      <c r="L1948" t="s">
        <v>257</v>
      </c>
      <c r="M1948" t="s">
        <v>257</v>
      </c>
      <c r="N1948" s="5">
        <v>0</v>
      </c>
    </row>
    <row r="1949" spans="1:14" x14ac:dyDescent="0.25">
      <c r="A1949" t="s">
        <v>2490</v>
      </c>
      <c r="B1949" t="s">
        <v>134</v>
      </c>
      <c r="C1949" t="str">
        <f>_xlfn.XLOOKUP(Table6[[#This Row],[app_id]],Table5[app_id],Table5[app_name],"",0)</f>
        <v>StudyX</v>
      </c>
      <c r="D1949" t="str">
        <f>_xlfn.XLOOKUP(Table6[[#This Row],[app_id]],Table5[app_id],Table5[category],"",0)</f>
        <v>Education</v>
      </c>
      <c r="E1949" t="s">
        <v>533</v>
      </c>
      <c r="F1949" t="s">
        <v>538</v>
      </c>
      <c r="G1949" t="s">
        <v>69</v>
      </c>
      <c r="H1949" t="s">
        <v>535</v>
      </c>
      <c r="I1949">
        <v>20</v>
      </c>
      <c r="J1949">
        <v>41.4</v>
      </c>
      <c r="K1949" t="s">
        <v>258</v>
      </c>
      <c r="L1949" t="s">
        <v>257</v>
      </c>
      <c r="M1949" t="s">
        <v>258</v>
      </c>
      <c r="N1949" s="5">
        <v>0</v>
      </c>
    </row>
    <row r="1950" spans="1:14" x14ac:dyDescent="0.25">
      <c r="A1950" t="s">
        <v>2491</v>
      </c>
      <c r="B1950" t="s">
        <v>136</v>
      </c>
      <c r="C1950" t="str">
        <f>_xlfn.XLOOKUP(Table6[[#This Row],[app_id]],Table5[app_id],Table5[app_name],"",0)</f>
        <v>PlayPlus</v>
      </c>
      <c r="D1950" t="str">
        <f>_xlfn.XLOOKUP(Table6[[#This Row],[app_id]],Table5[app_id],Table5[category],"",0)</f>
        <v>Entertainment</v>
      </c>
      <c r="E1950" t="s">
        <v>537</v>
      </c>
      <c r="F1950" t="s">
        <v>534</v>
      </c>
      <c r="G1950" t="s">
        <v>46</v>
      </c>
      <c r="H1950" t="s">
        <v>540</v>
      </c>
      <c r="I1950">
        <v>21</v>
      </c>
      <c r="J1950">
        <v>35.1</v>
      </c>
      <c r="K1950" t="s">
        <v>258</v>
      </c>
      <c r="L1950" t="s">
        <v>258</v>
      </c>
      <c r="M1950" t="s">
        <v>258</v>
      </c>
      <c r="N1950" s="5">
        <v>0</v>
      </c>
    </row>
    <row r="1951" spans="1:14" x14ac:dyDescent="0.25">
      <c r="A1951" t="s">
        <v>2492</v>
      </c>
      <c r="B1951" t="s">
        <v>139</v>
      </c>
      <c r="C1951" t="str">
        <f>_xlfn.XLOOKUP(Table6[[#This Row],[app_id]],Table5[app_id],Table5[app_name],"",0)</f>
        <v>ShowMate</v>
      </c>
      <c r="D1951" t="str">
        <f>_xlfn.XLOOKUP(Table6[[#This Row],[app_id]],Table5[app_id],Table5[category],"",0)</f>
        <v>Entertainment</v>
      </c>
      <c r="E1951" t="s">
        <v>537</v>
      </c>
      <c r="F1951" t="s">
        <v>534</v>
      </c>
      <c r="G1951" t="s">
        <v>35</v>
      </c>
      <c r="H1951" t="s">
        <v>535</v>
      </c>
      <c r="I1951">
        <v>25</v>
      </c>
      <c r="J1951">
        <v>36.200000000000003</v>
      </c>
      <c r="K1951" t="s">
        <v>258</v>
      </c>
      <c r="L1951" t="s">
        <v>257</v>
      </c>
      <c r="M1951" t="s">
        <v>258</v>
      </c>
      <c r="N1951" s="5">
        <v>0</v>
      </c>
    </row>
    <row r="1952" spans="1:14" x14ac:dyDescent="0.25">
      <c r="A1952" t="s">
        <v>2493</v>
      </c>
      <c r="B1952" t="s">
        <v>141</v>
      </c>
      <c r="C1952" t="str">
        <f>_xlfn.XLOOKUP(Table6[[#This Row],[app_id]],Table5[app_id],Table5[app_name],"",0)</f>
        <v>VibeX</v>
      </c>
      <c r="D1952" t="str">
        <f>_xlfn.XLOOKUP(Table6[[#This Row],[app_id]],Table5[app_id],Table5[category],"",0)</f>
        <v>Entertainment</v>
      </c>
      <c r="E1952" t="s">
        <v>533</v>
      </c>
      <c r="F1952" t="s">
        <v>534</v>
      </c>
      <c r="G1952" t="s">
        <v>46</v>
      </c>
      <c r="H1952" t="s">
        <v>535</v>
      </c>
      <c r="I1952">
        <v>10</v>
      </c>
      <c r="J1952">
        <v>9.6</v>
      </c>
      <c r="K1952" t="s">
        <v>258</v>
      </c>
      <c r="L1952" t="s">
        <v>257</v>
      </c>
      <c r="M1952" t="s">
        <v>258</v>
      </c>
      <c r="N1952" s="5">
        <v>0</v>
      </c>
    </row>
    <row r="1953" spans="1:14" x14ac:dyDescent="0.25">
      <c r="A1953" t="s">
        <v>2494</v>
      </c>
      <c r="B1953" t="s">
        <v>143</v>
      </c>
      <c r="C1953" t="str">
        <f>_xlfn.XLOOKUP(Table6[[#This Row],[app_id]],Table5[app_id],Table5[app_name],"",0)</f>
        <v>BuzzNow</v>
      </c>
      <c r="D1953" t="str">
        <f>_xlfn.XLOOKUP(Table6[[#This Row],[app_id]],Table5[app_id],Table5[category],"",0)</f>
        <v>Entertainment</v>
      </c>
      <c r="E1953" t="s">
        <v>533</v>
      </c>
      <c r="F1953" t="s">
        <v>538</v>
      </c>
      <c r="G1953" t="s">
        <v>26</v>
      </c>
      <c r="H1953" t="s">
        <v>535</v>
      </c>
      <c r="I1953">
        <v>24</v>
      </c>
      <c r="J1953">
        <v>38.1</v>
      </c>
      <c r="K1953" t="s">
        <v>258</v>
      </c>
      <c r="L1953" t="s">
        <v>258</v>
      </c>
      <c r="M1953" t="s">
        <v>258</v>
      </c>
      <c r="N1953" s="5">
        <v>44.16</v>
      </c>
    </row>
    <row r="1954" spans="1:14" x14ac:dyDescent="0.25">
      <c r="A1954" t="s">
        <v>2495</v>
      </c>
      <c r="B1954" t="s">
        <v>145</v>
      </c>
      <c r="C1954" t="str">
        <f>_xlfn.XLOOKUP(Table6[[#This Row],[app_id]],Table5[app_id],Table5[app_name],"",0)</f>
        <v>StreamPlus</v>
      </c>
      <c r="D1954" t="str">
        <f>_xlfn.XLOOKUP(Table6[[#This Row],[app_id]],Table5[app_id],Table5[category],"",0)</f>
        <v>Entertainment</v>
      </c>
      <c r="E1954" t="s">
        <v>546</v>
      </c>
      <c r="F1954" t="s">
        <v>534</v>
      </c>
      <c r="G1954" t="s">
        <v>69</v>
      </c>
      <c r="H1954" t="s">
        <v>540</v>
      </c>
      <c r="I1954">
        <v>5</v>
      </c>
      <c r="J1954">
        <v>20.9</v>
      </c>
      <c r="K1954" t="s">
        <v>258</v>
      </c>
      <c r="L1954" t="s">
        <v>257</v>
      </c>
      <c r="M1954" t="s">
        <v>258</v>
      </c>
      <c r="N1954" s="5">
        <v>0</v>
      </c>
    </row>
    <row r="1955" spans="1:14" x14ac:dyDescent="0.25">
      <c r="A1955" t="s">
        <v>2496</v>
      </c>
      <c r="B1955" t="s">
        <v>147</v>
      </c>
      <c r="C1955" t="str">
        <f>_xlfn.XLOOKUP(Table6[[#This Row],[app_id]],Table5[app_id],Table5[app_name],"",0)</f>
        <v>Showly</v>
      </c>
      <c r="D1955" t="str">
        <f>_xlfn.XLOOKUP(Table6[[#This Row],[app_id]],Table5[app_id],Table5[category],"",0)</f>
        <v>Entertainment</v>
      </c>
      <c r="E1955" t="s">
        <v>533</v>
      </c>
      <c r="F1955" t="s">
        <v>534</v>
      </c>
      <c r="G1955" t="s">
        <v>23</v>
      </c>
      <c r="H1955" t="s">
        <v>535</v>
      </c>
      <c r="I1955">
        <v>35</v>
      </c>
      <c r="J1955">
        <v>41.5</v>
      </c>
      <c r="K1955" t="s">
        <v>257</v>
      </c>
      <c r="L1955" t="s">
        <v>258</v>
      </c>
      <c r="M1955" t="s">
        <v>257</v>
      </c>
      <c r="N1955" s="5">
        <v>0</v>
      </c>
    </row>
    <row r="1956" spans="1:14" x14ac:dyDescent="0.25">
      <c r="A1956" t="s">
        <v>2497</v>
      </c>
      <c r="B1956" t="s">
        <v>149</v>
      </c>
      <c r="C1956" t="str">
        <f>_xlfn.XLOOKUP(Table6[[#This Row],[app_id]],Table5[app_id],Table5[app_name],"",0)</f>
        <v>BuzzOne</v>
      </c>
      <c r="D1956" t="str">
        <f>_xlfn.XLOOKUP(Table6[[#This Row],[app_id]],Table5[app_id],Table5[category],"",0)</f>
        <v>Entertainment</v>
      </c>
      <c r="E1956" t="s">
        <v>557</v>
      </c>
      <c r="F1956" t="s">
        <v>534</v>
      </c>
      <c r="G1956" t="s">
        <v>30</v>
      </c>
      <c r="H1956" t="s">
        <v>535</v>
      </c>
      <c r="I1956">
        <v>12</v>
      </c>
      <c r="J1956">
        <v>17.600000000000001</v>
      </c>
      <c r="K1956" t="s">
        <v>258</v>
      </c>
      <c r="L1956" t="s">
        <v>258</v>
      </c>
      <c r="M1956" t="s">
        <v>257</v>
      </c>
      <c r="N1956" s="5">
        <v>0</v>
      </c>
    </row>
    <row r="1957" spans="1:14" x14ac:dyDescent="0.25">
      <c r="A1957" t="s">
        <v>2498</v>
      </c>
      <c r="B1957" t="s">
        <v>151</v>
      </c>
      <c r="C1957" t="str">
        <f>_xlfn.XLOOKUP(Table6[[#This Row],[app_id]],Table5[app_id],Table5[app_name],"",0)</f>
        <v>PlayHub</v>
      </c>
      <c r="D1957" t="str">
        <f>_xlfn.XLOOKUP(Table6[[#This Row],[app_id]],Table5[app_id],Table5[category],"",0)</f>
        <v>Entertainment</v>
      </c>
      <c r="E1957" t="s">
        <v>552</v>
      </c>
      <c r="F1957" t="s">
        <v>534</v>
      </c>
      <c r="G1957" t="s">
        <v>61</v>
      </c>
      <c r="H1957" t="s">
        <v>535</v>
      </c>
      <c r="I1957">
        <v>12</v>
      </c>
      <c r="J1957">
        <v>22.4</v>
      </c>
      <c r="K1957" t="s">
        <v>258</v>
      </c>
      <c r="L1957" t="s">
        <v>258</v>
      </c>
      <c r="M1957" t="s">
        <v>258</v>
      </c>
      <c r="N1957" s="5">
        <v>0</v>
      </c>
    </row>
    <row r="1958" spans="1:14" x14ac:dyDescent="0.25">
      <c r="A1958" t="s">
        <v>2499</v>
      </c>
      <c r="B1958" t="s">
        <v>153</v>
      </c>
      <c r="C1958" t="str">
        <f>_xlfn.XLOOKUP(Table6[[#This Row],[app_id]],Table5[app_id],Table5[app_name],"",0)</f>
        <v>CinemaGo</v>
      </c>
      <c r="D1958" t="str">
        <f>_xlfn.XLOOKUP(Table6[[#This Row],[app_id]],Table5[app_id],Table5[category],"",0)</f>
        <v>Entertainment</v>
      </c>
      <c r="E1958" t="s">
        <v>533</v>
      </c>
      <c r="F1958" t="s">
        <v>538</v>
      </c>
      <c r="G1958" t="s">
        <v>69</v>
      </c>
      <c r="H1958" t="s">
        <v>535</v>
      </c>
      <c r="I1958">
        <v>16</v>
      </c>
      <c r="J1958">
        <v>22.1</v>
      </c>
      <c r="K1958" t="s">
        <v>258</v>
      </c>
      <c r="L1958" t="s">
        <v>257</v>
      </c>
      <c r="M1958" t="s">
        <v>258</v>
      </c>
      <c r="N1958" s="5">
        <v>0</v>
      </c>
    </row>
    <row r="1959" spans="1:14" x14ac:dyDescent="0.25">
      <c r="A1959" t="s">
        <v>2500</v>
      </c>
      <c r="B1959" t="s">
        <v>155</v>
      </c>
      <c r="C1959" t="str">
        <f>_xlfn.XLOOKUP(Table6[[#This Row],[app_id]],Table5[app_id],Table5[app_name],"",0)</f>
        <v>LaughX</v>
      </c>
      <c r="D1959" t="str">
        <f>_xlfn.XLOOKUP(Table6[[#This Row],[app_id]],Table5[app_id],Table5[category],"",0)</f>
        <v>Entertainment</v>
      </c>
      <c r="E1959" t="s">
        <v>557</v>
      </c>
      <c r="F1959" t="s">
        <v>548</v>
      </c>
      <c r="G1959" t="s">
        <v>61</v>
      </c>
      <c r="H1959" t="s">
        <v>535</v>
      </c>
      <c r="I1959">
        <v>24</v>
      </c>
      <c r="J1959">
        <v>36.799999999999997</v>
      </c>
      <c r="K1959" t="s">
        <v>258</v>
      </c>
      <c r="L1959" t="s">
        <v>258</v>
      </c>
      <c r="M1959" t="s">
        <v>258</v>
      </c>
      <c r="N1959" s="5">
        <v>0</v>
      </c>
    </row>
    <row r="1960" spans="1:14" x14ac:dyDescent="0.25">
      <c r="A1960" t="s">
        <v>2501</v>
      </c>
      <c r="B1960" t="s">
        <v>157</v>
      </c>
      <c r="C1960" t="str">
        <f>_xlfn.XLOOKUP(Table6[[#This Row],[app_id]],Table5[app_id],Table5[app_name],"",0)</f>
        <v>CinemaHub</v>
      </c>
      <c r="D1960" t="str">
        <f>_xlfn.XLOOKUP(Table6[[#This Row],[app_id]],Table5[app_id],Table5[category],"",0)</f>
        <v>Entertainment</v>
      </c>
      <c r="E1960" t="s">
        <v>546</v>
      </c>
      <c r="F1960" t="s">
        <v>538</v>
      </c>
      <c r="G1960" t="s">
        <v>35</v>
      </c>
      <c r="H1960" t="s">
        <v>535</v>
      </c>
      <c r="I1960">
        <v>7</v>
      </c>
      <c r="J1960">
        <v>38.5</v>
      </c>
      <c r="K1960" t="s">
        <v>258</v>
      </c>
      <c r="L1960" t="s">
        <v>258</v>
      </c>
      <c r="M1960" t="s">
        <v>258</v>
      </c>
      <c r="N1960" s="5">
        <v>0</v>
      </c>
    </row>
    <row r="1961" spans="1:14" x14ac:dyDescent="0.25">
      <c r="A1961" t="s">
        <v>2502</v>
      </c>
      <c r="B1961" t="s">
        <v>159</v>
      </c>
      <c r="C1961" t="str">
        <f>_xlfn.XLOOKUP(Table6[[#This Row],[app_id]],Table5[app_id],Table5[app_name],"",0)</f>
        <v>ShowPro</v>
      </c>
      <c r="D1961" t="str">
        <f>_xlfn.XLOOKUP(Table6[[#This Row],[app_id]],Table5[app_id],Table5[category],"",0)</f>
        <v>Entertainment</v>
      </c>
      <c r="E1961" t="s">
        <v>537</v>
      </c>
      <c r="F1961" t="s">
        <v>534</v>
      </c>
      <c r="G1961" t="s">
        <v>46</v>
      </c>
      <c r="H1961" t="s">
        <v>535</v>
      </c>
      <c r="I1961">
        <v>71</v>
      </c>
      <c r="J1961">
        <v>34.9</v>
      </c>
      <c r="K1961" t="s">
        <v>257</v>
      </c>
      <c r="L1961" t="s">
        <v>257</v>
      </c>
      <c r="M1961" t="s">
        <v>258</v>
      </c>
      <c r="N1961" s="5">
        <v>0</v>
      </c>
    </row>
    <row r="1962" spans="1:14" x14ac:dyDescent="0.25">
      <c r="A1962" t="s">
        <v>2503</v>
      </c>
      <c r="B1962" t="s">
        <v>161</v>
      </c>
      <c r="C1962" t="str">
        <f>_xlfn.XLOOKUP(Table6[[#This Row],[app_id]],Table5[app_id],Table5[app_name],"",0)</f>
        <v>FoodPlus</v>
      </c>
      <c r="D1962" t="str">
        <f>_xlfn.XLOOKUP(Table6[[#This Row],[app_id]],Table5[app_id],Table5[category],"",0)</f>
        <v>Food Delivery</v>
      </c>
      <c r="E1962" t="s">
        <v>546</v>
      </c>
      <c r="F1962" t="s">
        <v>534</v>
      </c>
      <c r="G1962" t="s">
        <v>30</v>
      </c>
      <c r="H1962" t="s">
        <v>540</v>
      </c>
      <c r="I1962">
        <v>20</v>
      </c>
      <c r="J1962">
        <v>18.899999999999999</v>
      </c>
      <c r="K1962" t="s">
        <v>258</v>
      </c>
      <c r="L1962" t="s">
        <v>258</v>
      </c>
      <c r="M1962" t="s">
        <v>257</v>
      </c>
      <c r="N1962" s="5">
        <v>0</v>
      </c>
    </row>
    <row r="1963" spans="1:14" x14ac:dyDescent="0.25">
      <c r="A1963" t="s">
        <v>2504</v>
      </c>
      <c r="B1963" t="s">
        <v>164</v>
      </c>
      <c r="C1963" t="str">
        <f>_xlfn.XLOOKUP(Table6[[#This Row],[app_id]],Table5[app_id],Table5[app_name],"",0)</f>
        <v>BiteGo</v>
      </c>
      <c r="D1963" t="str">
        <f>_xlfn.XLOOKUP(Table6[[#This Row],[app_id]],Table5[app_id],Table5[category],"",0)</f>
        <v>Food Delivery</v>
      </c>
      <c r="E1963" t="s">
        <v>533</v>
      </c>
      <c r="F1963" t="s">
        <v>538</v>
      </c>
      <c r="G1963" t="s">
        <v>30</v>
      </c>
      <c r="H1963" t="s">
        <v>535</v>
      </c>
      <c r="I1963">
        <v>90</v>
      </c>
      <c r="J1963">
        <v>21.4</v>
      </c>
      <c r="K1963" t="s">
        <v>257</v>
      </c>
      <c r="L1963" t="s">
        <v>257</v>
      </c>
      <c r="M1963" t="s">
        <v>258</v>
      </c>
      <c r="N1963" s="5">
        <v>0</v>
      </c>
    </row>
    <row r="1964" spans="1:14" x14ac:dyDescent="0.25">
      <c r="A1964" t="s">
        <v>2505</v>
      </c>
      <c r="B1964" t="s">
        <v>166</v>
      </c>
      <c r="C1964" t="str">
        <f>_xlfn.XLOOKUP(Table6[[#This Row],[app_id]],Table5[app_id],Table5[app_name],"",0)</f>
        <v>OrderCloud</v>
      </c>
      <c r="D1964" t="str">
        <f>_xlfn.XLOOKUP(Table6[[#This Row],[app_id]],Table5[app_id],Table5[category],"",0)</f>
        <v>Food Delivery</v>
      </c>
      <c r="E1964" t="s">
        <v>533</v>
      </c>
      <c r="F1964" t="s">
        <v>538</v>
      </c>
      <c r="G1964" t="s">
        <v>61</v>
      </c>
      <c r="H1964" t="s">
        <v>535</v>
      </c>
      <c r="I1964">
        <v>43</v>
      </c>
      <c r="J1964">
        <v>23.3</v>
      </c>
      <c r="K1964" t="s">
        <v>257</v>
      </c>
      <c r="L1964" t="s">
        <v>258</v>
      </c>
      <c r="M1964" t="s">
        <v>257</v>
      </c>
      <c r="N1964" s="5">
        <v>0</v>
      </c>
    </row>
    <row r="1965" spans="1:14" x14ac:dyDescent="0.25">
      <c r="A1965" t="s">
        <v>2506</v>
      </c>
      <c r="B1965" t="s">
        <v>168</v>
      </c>
      <c r="C1965" t="str">
        <f>_xlfn.XLOOKUP(Table6[[#This Row],[app_id]],Table5[app_id],Table5[app_name],"",0)</f>
        <v>DinePlus</v>
      </c>
      <c r="D1965" t="str">
        <f>_xlfn.XLOOKUP(Table6[[#This Row],[app_id]],Table5[app_id],Table5[category],"",0)</f>
        <v>Food Delivery</v>
      </c>
      <c r="E1965" t="s">
        <v>537</v>
      </c>
      <c r="F1965" t="s">
        <v>538</v>
      </c>
      <c r="G1965" t="s">
        <v>35</v>
      </c>
      <c r="H1965" t="s">
        <v>535</v>
      </c>
      <c r="I1965">
        <v>10</v>
      </c>
      <c r="J1965">
        <v>6.5</v>
      </c>
      <c r="K1965" t="s">
        <v>258</v>
      </c>
      <c r="L1965" t="s">
        <v>257</v>
      </c>
      <c r="M1965" t="s">
        <v>258</v>
      </c>
      <c r="N1965" s="5">
        <v>0</v>
      </c>
    </row>
    <row r="1966" spans="1:14" x14ac:dyDescent="0.25">
      <c r="A1966" t="s">
        <v>2507</v>
      </c>
      <c r="B1966" t="s">
        <v>170</v>
      </c>
      <c r="C1966" t="str">
        <f>_xlfn.XLOOKUP(Table6[[#This Row],[app_id]],Table5[app_id],Table5[app_name],"",0)</f>
        <v>SnackX</v>
      </c>
      <c r="D1966" t="str">
        <f>_xlfn.XLOOKUP(Table6[[#This Row],[app_id]],Table5[app_id],Table5[category],"",0)</f>
        <v>Food Delivery</v>
      </c>
      <c r="E1966" t="s">
        <v>557</v>
      </c>
      <c r="F1966" t="s">
        <v>548</v>
      </c>
      <c r="G1966" t="s">
        <v>26</v>
      </c>
      <c r="H1966" t="s">
        <v>535</v>
      </c>
      <c r="I1966">
        <v>53</v>
      </c>
      <c r="J1966">
        <v>15.7</v>
      </c>
      <c r="K1966" t="s">
        <v>257</v>
      </c>
      <c r="L1966" t="s">
        <v>258</v>
      </c>
      <c r="M1966" t="s">
        <v>258</v>
      </c>
      <c r="N1966" s="5">
        <v>0</v>
      </c>
    </row>
    <row r="1967" spans="1:14" x14ac:dyDescent="0.25">
      <c r="A1967" t="s">
        <v>2508</v>
      </c>
      <c r="B1967" t="s">
        <v>172</v>
      </c>
      <c r="C1967" t="str">
        <f>_xlfn.XLOOKUP(Table6[[#This Row],[app_id]],Table5[app_id],Table5[app_name],"",0)</f>
        <v>FoodOne</v>
      </c>
      <c r="D1967" t="str">
        <f>_xlfn.XLOOKUP(Table6[[#This Row],[app_id]],Table5[app_id],Table5[category],"",0)</f>
        <v>Food Delivery</v>
      </c>
      <c r="E1967" t="s">
        <v>537</v>
      </c>
      <c r="F1967" t="s">
        <v>628</v>
      </c>
      <c r="G1967" t="s">
        <v>61</v>
      </c>
      <c r="H1967" t="s">
        <v>540</v>
      </c>
      <c r="I1967">
        <v>78</v>
      </c>
      <c r="J1967">
        <v>18.100000000000001</v>
      </c>
      <c r="K1967" t="s">
        <v>257</v>
      </c>
      <c r="L1967" t="s">
        <v>257</v>
      </c>
      <c r="M1967" t="s">
        <v>258</v>
      </c>
      <c r="N1967" s="5">
        <v>0</v>
      </c>
    </row>
    <row r="1968" spans="1:14" x14ac:dyDescent="0.25">
      <c r="A1968" t="s">
        <v>2509</v>
      </c>
      <c r="B1968" t="s">
        <v>174</v>
      </c>
      <c r="C1968" t="str">
        <f>_xlfn.XLOOKUP(Table6[[#This Row],[app_id]],Table5[app_id],Table5[app_name],"",0)</f>
        <v>MealMate</v>
      </c>
      <c r="D1968" t="str">
        <f>_xlfn.XLOOKUP(Table6[[#This Row],[app_id]],Table5[app_id],Table5[category],"",0)</f>
        <v>Food Delivery</v>
      </c>
      <c r="E1968" t="s">
        <v>537</v>
      </c>
      <c r="F1968" t="s">
        <v>534</v>
      </c>
      <c r="G1968" t="s">
        <v>69</v>
      </c>
      <c r="H1968" t="s">
        <v>535</v>
      </c>
      <c r="I1968">
        <v>9</v>
      </c>
      <c r="J1968">
        <v>17.600000000000001</v>
      </c>
      <c r="K1968" t="s">
        <v>258</v>
      </c>
      <c r="L1968" t="s">
        <v>258</v>
      </c>
      <c r="M1968" t="s">
        <v>257</v>
      </c>
      <c r="N1968" s="5">
        <v>0</v>
      </c>
    </row>
    <row r="1969" spans="1:14" x14ac:dyDescent="0.25">
      <c r="A1969" t="s">
        <v>2510</v>
      </c>
      <c r="B1969" t="s">
        <v>176</v>
      </c>
      <c r="C1969" t="str">
        <f>_xlfn.XLOOKUP(Table6[[#This Row],[app_id]],Table5[app_id],Table5[app_name],"",0)</f>
        <v>SnackHub</v>
      </c>
      <c r="D1969" t="str">
        <f>_xlfn.XLOOKUP(Table6[[#This Row],[app_id]],Table5[app_id],Table5[category],"",0)</f>
        <v>Food Delivery</v>
      </c>
      <c r="E1969" t="s">
        <v>546</v>
      </c>
      <c r="F1969" t="s">
        <v>534</v>
      </c>
      <c r="G1969" t="s">
        <v>23</v>
      </c>
      <c r="H1969" t="s">
        <v>535</v>
      </c>
      <c r="I1969">
        <v>12</v>
      </c>
      <c r="J1969">
        <v>14</v>
      </c>
      <c r="K1969" t="s">
        <v>258</v>
      </c>
      <c r="L1969" t="s">
        <v>258</v>
      </c>
      <c r="M1969" t="s">
        <v>258</v>
      </c>
      <c r="N1969" s="5">
        <v>4.99</v>
      </c>
    </row>
    <row r="1970" spans="1:14" x14ac:dyDescent="0.25">
      <c r="A1970" t="s">
        <v>2511</v>
      </c>
      <c r="B1970" t="s">
        <v>178</v>
      </c>
      <c r="C1970" t="str">
        <f>_xlfn.XLOOKUP(Table6[[#This Row],[app_id]],Table5[app_id],Table5[app_name],"",0)</f>
        <v>BiteCloud</v>
      </c>
      <c r="D1970" t="str">
        <f>_xlfn.XLOOKUP(Table6[[#This Row],[app_id]],Table5[app_id],Table5[category],"",0)</f>
        <v>Food Delivery</v>
      </c>
      <c r="E1970" t="s">
        <v>533</v>
      </c>
      <c r="F1970" t="s">
        <v>538</v>
      </c>
      <c r="G1970" t="s">
        <v>30</v>
      </c>
      <c r="H1970" t="s">
        <v>535</v>
      </c>
      <c r="I1970">
        <v>19</v>
      </c>
      <c r="J1970">
        <v>19.5</v>
      </c>
      <c r="K1970" t="s">
        <v>258</v>
      </c>
      <c r="L1970" t="s">
        <v>257</v>
      </c>
      <c r="M1970" t="s">
        <v>258</v>
      </c>
      <c r="N1970" s="5">
        <v>0</v>
      </c>
    </row>
    <row r="1971" spans="1:14" x14ac:dyDescent="0.25">
      <c r="A1971" t="s">
        <v>2512</v>
      </c>
      <c r="B1971" t="s">
        <v>180</v>
      </c>
      <c r="C1971" t="str">
        <f>_xlfn.XLOOKUP(Table6[[#This Row],[app_id]],Table5[app_id],Table5[app_name],"",0)</f>
        <v>PlatePlus</v>
      </c>
      <c r="D1971" t="str">
        <f>_xlfn.XLOOKUP(Table6[[#This Row],[app_id]],Table5[app_id],Table5[category],"",0)</f>
        <v>Food Delivery</v>
      </c>
      <c r="E1971" t="s">
        <v>533</v>
      </c>
      <c r="F1971" t="s">
        <v>534</v>
      </c>
      <c r="G1971" t="s">
        <v>30</v>
      </c>
      <c r="H1971" t="s">
        <v>540</v>
      </c>
      <c r="I1971">
        <v>18</v>
      </c>
      <c r="J1971">
        <v>19.399999999999999</v>
      </c>
      <c r="K1971" t="s">
        <v>258</v>
      </c>
      <c r="L1971" t="s">
        <v>257</v>
      </c>
      <c r="M1971" t="s">
        <v>258</v>
      </c>
      <c r="N1971" s="5">
        <v>0</v>
      </c>
    </row>
    <row r="1972" spans="1:14" x14ac:dyDescent="0.25">
      <c r="A1972" t="s">
        <v>2513</v>
      </c>
      <c r="B1972" t="s">
        <v>182</v>
      </c>
      <c r="C1972" t="str">
        <f>_xlfn.XLOOKUP(Table6[[#This Row],[app_id]],Table5[app_id],Table5[app_name],"",0)</f>
        <v>VoyageGo</v>
      </c>
      <c r="D1972" t="str">
        <f>_xlfn.XLOOKUP(Table6[[#This Row],[app_id]],Table5[app_id],Table5[category],"",0)</f>
        <v>Travel</v>
      </c>
      <c r="E1972" t="s">
        <v>546</v>
      </c>
      <c r="F1972" t="s">
        <v>538</v>
      </c>
      <c r="G1972" t="s">
        <v>18</v>
      </c>
      <c r="H1972" t="s">
        <v>540</v>
      </c>
      <c r="I1972">
        <v>9</v>
      </c>
      <c r="J1972">
        <v>5</v>
      </c>
      <c r="K1972" t="s">
        <v>258</v>
      </c>
      <c r="L1972" t="s">
        <v>257</v>
      </c>
      <c r="M1972" t="s">
        <v>258</v>
      </c>
      <c r="N1972" s="5">
        <v>0</v>
      </c>
    </row>
    <row r="1973" spans="1:14" x14ac:dyDescent="0.25">
      <c r="A1973" t="s">
        <v>2514</v>
      </c>
      <c r="B1973" t="s">
        <v>185</v>
      </c>
      <c r="C1973" t="str">
        <f>_xlfn.XLOOKUP(Table6[[#This Row],[app_id]],Table5[app_id],Table5[app_name],"",0)</f>
        <v>TripOne</v>
      </c>
      <c r="D1973" t="str">
        <f>_xlfn.XLOOKUP(Table6[[#This Row],[app_id]],Table5[app_id],Table5[category],"",0)</f>
        <v>Travel</v>
      </c>
      <c r="E1973" t="s">
        <v>537</v>
      </c>
      <c r="F1973" t="s">
        <v>534</v>
      </c>
      <c r="G1973" t="s">
        <v>26</v>
      </c>
      <c r="H1973" t="s">
        <v>535</v>
      </c>
      <c r="I1973">
        <v>12</v>
      </c>
      <c r="J1973">
        <v>11.7</v>
      </c>
      <c r="K1973" t="s">
        <v>258</v>
      </c>
      <c r="L1973" t="s">
        <v>257</v>
      </c>
      <c r="M1973" t="s">
        <v>258</v>
      </c>
      <c r="N1973" s="5">
        <v>0</v>
      </c>
    </row>
    <row r="1974" spans="1:14" x14ac:dyDescent="0.25">
      <c r="A1974" t="s">
        <v>2515</v>
      </c>
      <c r="B1974" t="s">
        <v>187</v>
      </c>
      <c r="C1974" t="str">
        <f>_xlfn.XLOOKUP(Table6[[#This Row],[app_id]],Table5[app_id],Table5[app_name],"",0)</f>
        <v>FlyGo</v>
      </c>
      <c r="D1974" t="str">
        <f>_xlfn.XLOOKUP(Table6[[#This Row],[app_id]],Table5[app_id],Table5[category],"",0)</f>
        <v>Travel</v>
      </c>
      <c r="E1974" t="s">
        <v>537</v>
      </c>
      <c r="F1974" t="s">
        <v>534</v>
      </c>
      <c r="G1974" t="s">
        <v>26</v>
      </c>
      <c r="H1974" t="s">
        <v>535</v>
      </c>
      <c r="I1974">
        <v>23</v>
      </c>
      <c r="J1974">
        <v>18.5</v>
      </c>
      <c r="K1974" t="s">
        <v>258</v>
      </c>
      <c r="L1974" t="s">
        <v>257</v>
      </c>
      <c r="M1974" t="s">
        <v>258</v>
      </c>
      <c r="N1974" s="5">
        <v>0</v>
      </c>
    </row>
    <row r="1975" spans="1:14" x14ac:dyDescent="0.25">
      <c r="A1975" t="s">
        <v>2516</v>
      </c>
      <c r="B1975" t="s">
        <v>189</v>
      </c>
      <c r="C1975" t="str">
        <f>_xlfn.XLOOKUP(Table6[[#This Row],[app_id]],Table5[app_id],Table5[app_name],"",0)</f>
        <v>MapX</v>
      </c>
      <c r="D1975" t="str">
        <f>_xlfn.XLOOKUP(Table6[[#This Row],[app_id]],Table5[app_id],Table5[category],"",0)</f>
        <v>Travel</v>
      </c>
      <c r="E1975" t="s">
        <v>533</v>
      </c>
      <c r="F1975" t="s">
        <v>538</v>
      </c>
      <c r="G1975" t="s">
        <v>26</v>
      </c>
      <c r="H1975" t="s">
        <v>535</v>
      </c>
      <c r="I1975">
        <v>19</v>
      </c>
      <c r="J1975">
        <v>17.899999999999999</v>
      </c>
      <c r="K1975" t="s">
        <v>257</v>
      </c>
      <c r="L1975" t="s">
        <v>258</v>
      </c>
      <c r="M1975" t="s">
        <v>257</v>
      </c>
      <c r="N1975" s="5">
        <v>0</v>
      </c>
    </row>
    <row r="1976" spans="1:14" x14ac:dyDescent="0.25">
      <c r="A1976" t="s">
        <v>2517</v>
      </c>
      <c r="B1976" t="s">
        <v>191</v>
      </c>
      <c r="C1976" t="str">
        <f>_xlfn.XLOOKUP(Table6[[#This Row],[app_id]],Table5[app_id],Table5[app_name],"",0)</f>
        <v>StayX</v>
      </c>
      <c r="D1976" t="str">
        <f>_xlfn.XLOOKUP(Table6[[#This Row],[app_id]],Table5[app_id],Table5[category],"",0)</f>
        <v>Travel</v>
      </c>
      <c r="E1976" t="s">
        <v>537</v>
      </c>
      <c r="F1976" t="s">
        <v>548</v>
      </c>
      <c r="G1976" t="s">
        <v>61</v>
      </c>
      <c r="H1976" t="s">
        <v>535</v>
      </c>
      <c r="I1976">
        <v>7</v>
      </c>
      <c r="J1976">
        <v>7.3</v>
      </c>
      <c r="K1976" t="s">
        <v>258</v>
      </c>
      <c r="L1976" t="s">
        <v>258</v>
      </c>
      <c r="M1976" t="s">
        <v>258</v>
      </c>
      <c r="N1976" s="5">
        <v>0</v>
      </c>
    </row>
    <row r="1977" spans="1:14" x14ac:dyDescent="0.25">
      <c r="A1977" t="s">
        <v>2518</v>
      </c>
      <c r="B1977" t="s">
        <v>193</v>
      </c>
      <c r="C1977" t="str">
        <f>_xlfn.XLOOKUP(Table6[[#This Row],[app_id]],Table5[app_id],Table5[app_name],"",0)</f>
        <v>GoNow</v>
      </c>
      <c r="D1977" t="str">
        <f>_xlfn.XLOOKUP(Table6[[#This Row],[app_id]],Table5[app_id],Table5[category],"",0)</f>
        <v>Travel</v>
      </c>
      <c r="E1977" t="s">
        <v>546</v>
      </c>
      <c r="F1977" t="s">
        <v>534</v>
      </c>
      <c r="G1977" t="s">
        <v>18</v>
      </c>
      <c r="H1977" t="s">
        <v>535</v>
      </c>
      <c r="I1977">
        <v>27</v>
      </c>
      <c r="J1977">
        <v>17.5</v>
      </c>
      <c r="K1977" t="s">
        <v>258</v>
      </c>
      <c r="L1977" t="s">
        <v>257</v>
      </c>
      <c r="M1977" t="s">
        <v>258</v>
      </c>
      <c r="N1977" s="5">
        <v>52.47</v>
      </c>
    </row>
    <row r="1978" spans="1:14" x14ac:dyDescent="0.25">
      <c r="A1978" t="s">
        <v>2519</v>
      </c>
      <c r="B1978" t="s">
        <v>195</v>
      </c>
      <c r="C1978" t="str">
        <f>_xlfn.XLOOKUP(Table6[[#This Row],[app_id]],Table5[app_id],Table5[app_name],"",0)</f>
        <v>RouteGo</v>
      </c>
      <c r="D1978" t="str">
        <f>_xlfn.XLOOKUP(Table6[[#This Row],[app_id]],Table5[app_id],Table5[category],"",0)</f>
        <v>Travel</v>
      </c>
      <c r="E1978" t="s">
        <v>533</v>
      </c>
      <c r="F1978" t="s">
        <v>538</v>
      </c>
      <c r="G1978" t="s">
        <v>35</v>
      </c>
      <c r="H1978" t="s">
        <v>535</v>
      </c>
      <c r="I1978">
        <v>34</v>
      </c>
      <c r="J1978">
        <v>21.9</v>
      </c>
      <c r="K1978" t="s">
        <v>257</v>
      </c>
      <c r="L1978" t="s">
        <v>258</v>
      </c>
      <c r="M1978" t="s">
        <v>258</v>
      </c>
      <c r="N1978" s="5">
        <v>0</v>
      </c>
    </row>
    <row r="1979" spans="1:14" x14ac:dyDescent="0.25">
      <c r="A1979" t="s">
        <v>2520</v>
      </c>
      <c r="B1979" t="s">
        <v>197</v>
      </c>
      <c r="C1979" t="str">
        <f>_xlfn.XLOOKUP(Table6[[#This Row],[app_id]],Table5[app_id],Table5[app_name],"",0)</f>
        <v>TripGo</v>
      </c>
      <c r="D1979" t="str">
        <f>_xlfn.XLOOKUP(Table6[[#This Row],[app_id]],Table5[app_id],Table5[category],"",0)</f>
        <v>Travel</v>
      </c>
      <c r="E1979" t="s">
        <v>533</v>
      </c>
      <c r="F1979" t="s">
        <v>534</v>
      </c>
      <c r="G1979" t="s">
        <v>69</v>
      </c>
      <c r="H1979" t="s">
        <v>535</v>
      </c>
      <c r="I1979">
        <v>81</v>
      </c>
      <c r="J1979">
        <v>3.4</v>
      </c>
      <c r="K1979" t="s">
        <v>257</v>
      </c>
      <c r="L1979" t="s">
        <v>257</v>
      </c>
      <c r="M1979" t="s">
        <v>257</v>
      </c>
      <c r="N1979" s="5">
        <v>0</v>
      </c>
    </row>
    <row r="1980" spans="1:14" x14ac:dyDescent="0.25">
      <c r="A1980" t="s">
        <v>2521</v>
      </c>
      <c r="B1980" t="s">
        <v>199</v>
      </c>
      <c r="C1980" t="str">
        <f>_xlfn.XLOOKUP(Table6[[#This Row],[app_id]],Table5[app_id],Table5[app_name],"",0)</f>
        <v>Flyly</v>
      </c>
      <c r="D1980" t="str">
        <f>_xlfn.XLOOKUP(Table6[[#This Row],[app_id]],Table5[app_id],Table5[category],"",0)</f>
        <v>Travel</v>
      </c>
      <c r="E1980" t="s">
        <v>546</v>
      </c>
      <c r="F1980" t="s">
        <v>534</v>
      </c>
      <c r="G1980" t="s">
        <v>26</v>
      </c>
      <c r="H1980" t="s">
        <v>535</v>
      </c>
      <c r="I1980">
        <v>21</v>
      </c>
      <c r="J1980">
        <v>11.4</v>
      </c>
      <c r="K1980" t="s">
        <v>258</v>
      </c>
      <c r="L1980" t="s">
        <v>258</v>
      </c>
      <c r="M1980" t="s">
        <v>257</v>
      </c>
      <c r="N1980" s="5">
        <v>0</v>
      </c>
    </row>
    <row r="1981" spans="1:14" x14ac:dyDescent="0.25">
      <c r="A1981" t="s">
        <v>2522</v>
      </c>
      <c r="B1981" t="s">
        <v>201</v>
      </c>
      <c r="C1981" t="str">
        <f>_xlfn.XLOOKUP(Table6[[#This Row],[app_id]],Table5[app_id],Table5[app_name],"",0)</f>
        <v>TripPro</v>
      </c>
      <c r="D1981" t="str">
        <f>_xlfn.XLOOKUP(Table6[[#This Row],[app_id]],Table5[app_id],Table5[category],"",0)</f>
        <v>Travel</v>
      </c>
      <c r="E1981" t="s">
        <v>537</v>
      </c>
      <c r="F1981" t="s">
        <v>534</v>
      </c>
      <c r="G1981" t="s">
        <v>69</v>
      </c>
      <c r="H1981" t="s">
        <v>535</v>
      </c>
      <c r="I1981">
        <v>2</v>
      </c>
      <c r="J1981">
        <v>22.3</v>
      </c>
      <c r="K1981" t="s">
        <v>258</v>
      </c>
      <c r="L1981" t="s">
        <v>257</v>
      </c>
      <c r="M1981" t="s">
        <v>258</v>
      </c>
      <c r="N1981" s="5">
        <v>0</v>
      </c>
    </row>
    <row r="1982" spans="1:14" x14ac:dyDescent="0.25">
      <c r="A1982" t="s">
        <v>2523</v>
      </c>
      <c r="B1982" t="s">
        <v>203</v>
      </c>
      <c r="C1982" t="str">
        <f>_xlfn.XLOOKUP(Table6[[#This Row],[app_id]],Table5[app_id],Table5[app_name],"",0)</f>
        <v>Focusly</v>
      </c>
      <c r="D1982" t="str">
        <f>_xlfn.XLOOKUP(Table6[[#This Row],[app_id]],Table5[app_id],Table5[category],"",0)</f>
        <v>Productivity</v>
      </c>
      <c r="E1982" t="s">
        <v>546</v>
      </c>
      <c r="F1982" t="s">
        <v>538</v>
      </c>
      <c r="G1982" t="s">
        <v>35</v>
      </c>
      <c r="H1982" t="s">
        <v>535</v>
      </c>
      <c r="I1982">
        <v>16</v>
      </c>
      <c r="J1982">
        <v>11</v>
      </c>
      <c r="K1982" t="s">
        <v>258</v>
      </c>
      <c r="L1982" t="s">
        <v>258</v>
      </c>
      <c r="M1982" t="s">
        <v>258</v>
      </c>
      <c r="N1982" s="5">
        <v>47</v>
      </c>
    </row>
    <row r="1983" spans="1:14" x14ac:dyDescent="0.25">
      <c r="A1983" t="s">
        <v>2524</v>
      </c>
      <c r="B1983" t="s">
        <v>206</v>
      </c>
      <c r="C1983" t="str">
        <f>_xlfn.XLOOKUP(Table6[[#This Row],[app_id]],Table5[app_id],Table5[app_name],"",0)</f>
        <v>DeskX</v>
      </c>
      <c r="D1983" t="str">
        <f>_xlfn.XLOOKUP(Table6[[#This Row],[app_id]],Table5[app_id],Table5[category],"",0)</f>
        <v>Productivity</v>
      </c>
      <c r="E1983" t="s">
        <v>546</v>
      </c>
      <c r="F1983" t="s">
        <v>534</v>
      </c>
      <c r="G1983" t="s">
        <v>18</v>
      </c>
      <c r="H1983" t="s">
        <v>535</v>
      </c>
      <c r="I1983">
        <v>24</v>
      </c>
      <c r="J1983">
        <v>10.7</v>
      </c>
      <c r="K1983" t="s">
        <v>258</v>
      </c>
      <c r="L1983" t="s">
        <v>258</v>
      </c>
      <c r="M1983" t="s">
        <v>257</v>
      </c>
      <c r="N1983" s="5">
        <v>0</v>
      </c>
    </row>
    <row r="1984" spans="1:14" x14ac:dyDescent="0.25">
      <c r="A1984" t="s">
        <v>2525</v>
      </c>
      <c r="B1984" t="s">
        <v>208</v>
      </c>
      <c r="C1984" t="str">
        <f>_xlfn.XLOOKUP(Table6[[#This Row],[app_id]],Table5[app_id],Table5[app_name],"",0)</f>
        <v>DonePro</v>
      </c>
      <c r="D1984" t="str">
        <f>_xlfn.XLOOKUP(Table6[[#This Row],[app_id]],Table5[app_id],Table5[category],"",0)</f>
        <v>Productivity</v>
      </c>
      <c r="E1984" t="s">
        <v>552</v>
      </c>
      <c r="F1984" t="s">
        <v>538</v>
      </c>
      <c r="G1984" t="s">
        <v>61</v>
      </c>
      <c r="H1984" t="s">
        <v>535</v>
      </c>
      <c r="I1984">
        <v>93</v>
      </c>
      <c r="J1984">
        <v>6.5</v>
      </c>
      <c r="K1984" t="s">
        <v>257</v>
      </c>
      <c r="L1984" t="s">
        <v>257</v>
      </c>
      <c r="M1984" t="s">
        <v>258</v>
      </c>
      <c r="N1984" s="5">
        <v>0</v>
      </c>
    </row>
    <row r="1985" spans="1:14" x14ac:dyDescent="0.25">
      <c r="A1985" t="s">
        <v>2526</v>
      </c>
      <c r="B1985" t="s">
        <v>210</v>
      </c>
      <c r="C1985" t="str">
        <f>_xlfn.XLOOKUP(Table6[[#This Row],[app_id]],Table5[app_id],Table5[app_name],"",0)</f>
        <v>NotePlus</v>
      </c>
      <c r="D1985" t="str">
        <f>_xlfn.XLOOKUP(Table6[[#This Row],[app_id]],Table5[app_id],Table5[category],"",0)</f>
        <v>Productivity</v>
      </c>
      <c r="E1985" t="s">
        <v>546</v>
      </c>
      <c r="F1985" t="s">
        <v>534</v>
      </c>
      <c r="G1985" t="s">
        <v>23</v>
      </c>
      <c r="H1985" t="s">
        <v>540</v>
      </c>
      <c r="I1985">
        <v>7</v>
      </c>
      <c r="J1985">
        <v>4.8</v>
      </c>
      <c r="K1985" t="s">
        <v>258</v>
      </c>
      <c r="L1985" t="s">
        <v>258</v>
      </c>
      <c r="M1985" t="s">
        <v>258</v>
      </c>
      <c r="N1985" s="5">
        <v>0</v>
      </c>
    </row>
    <row r="1986" spans="1:14" x14ac:dyDescent="0.25">
      <c r="A1986" t="s">
        <v>2527</v>
      </c>
      <c r="B1986" t="s">
        <v>212</v>
      </c>
      <c r="C1986" t="str">
        <f>_xlfn.XLOOKUP(Table6[[#This Row],[app_id]],Table5[app_id],Table5[app_name],"",0)</f>
        <v>SyncPlus</v>
      </c>
      <c r="D1986" t="str">
        <f>_xlfn.XLOOKUP(Table6[[#This Row],[app_id]],Table5[app_id],Table5[category],"",0)</f>
        <v>Productivity</v>
      </c>
      <c r="E1986" t="s">
        <v>546</v>
      </c>
      <c r="F1986" t="s">
        <v>538</v>
      </c>
      <c r="G1986" t="s">
        <v>23</v>
      </c>
      <c r="H1986" t="s">
        <v>535</v>
      </c>
      <c r="I1986">
        <v>26</v>
      </c>
      <c r="J1986">
        <v>22.6</v>
      </c>
      <c r="K1986" t="s">
        <v>258</v>
      </c>
      <c r="L1986" t="s">
        <v>258</v>
      </c>
      <c r="M1986" t="s">
        <v>257</v>
      </c>
      <c r="N1986" s="5">
        <v>0</v>
      </c>
    </row>
    <row r="1987" spans="1:14" x14ac:dyDescent="0.25">
      <c r="A1987" t="s">
        <v>2528</v>
      </c>
      <c r="B1987" t="s">
        <v>214</v>
      </c>
      <c r="C1987" t="str">
        <f>_xlfn.XLOOKUP(Table6[[#This Row],[app_id]],Table5[app_id],Table5[app_name],"",0)</f>
        <v>NoteOne</v>
      </c>
      <c r="D1987" t="str">
        <f>_xlfn.XLOOKUP(Table6[[#This Row],[app_id]],Table5[app_id],Table5[category],"",0)</f>
        <v>Productivity</v>
      </c>
      <c r="E1987" t="s">
        <v>552</v>
      </c>
      <c r="F1987" t="s">
        <v>538</v>
      </c>
      <c r="G1987" t="s">
        <v>46</v>
      </c>
      <c r="H1987" t="s">
        <v>535</v>
      </c>
      <c r="I1987">
        <v>24</v>
      </c>
      <c r="J1987">
        <v>3.6</v>
      </c>
      <c r="K1987" t="s">
        <v>258</v>
      </c>
      <c r="L1987" t="s">
        <v>258</v>
      </c>
      <c r="M1987" t="s">
        <v>258</v>
      </c>
      <c r="N1987" s="5">
        <v>10.23</v>
      </c>
    </row>
    <row r="1988" spans="1:14" x14ac:dyDescent="0.25">
      <c r="A1988" t="s">
        <v>2529</v>
      </c>
      <c r="B1988" t="s">
        <v>216</v>
      </c>
      <c r="C1988" t="str">
        <f>_xlfn.XLOOKUP(Table6[[#This Row],[app_id]],Table5[app_id],Table5[app_name],"",0)</f>
        <v>NoteMate</v>
      </c>
      <c r="D1988" t="str">
        <f>_xlfn.XLOOKUP(Table6[[#This Row],[app_id]],Table5[app_id],Table5[category],"",0)</f>
        <v>Productivity</v>
      </c>
      <c r="E1988" t="s">
        <v>557</v>
      </c>
      <c r="F1988" t="s">
        <v>548</v>
      </c>
      <c r="G1988" t="s">
        <v>23</v>
      </c>
      <c r="H1988" t="s">
        <v>535</v>
      </c>
      <c r="I1988">
        <v>28</v>
      </c>
      <c r="J1988">
        <v>5.2</v>
      </c>
      <c r="K1988" t="s">
        <v>258</v>
      </c>
      <c r="L1988" t="s">
        <v>257</v>
      </c>
      <c r="M1988" t="s">
        <v>258</v>
      </c>
      <c r="N1988" s="5">
        <v>0</v>
      </c>
    </row>
    <row r="1989" spans="1:14" x14ac:dyDescent="0.25">
      <c r="A1989" t="s">
        <v>2530</v>
      </c>
      <c r="B1989" t="s">
        <v>218</v>
      </c>
      <c r="C1989" t="str">
        <f>_xlfn.XLOOKUP(Table6[[#This Row],[app_id]],Table5[app_id],Table5[app_name],"",0)</f>
        <v>PlanPlus</v>
      </c>
      <c r="D1989" t="str">
        <f>_xlfn.XLOOKUP(Table6[[#This Row],[app_id]],Table5[app_id],Table5[category],"",0)</f>
        <v>Productivity</v>
      </c>
      <c r="E1989" t="s">
        <v>533</v>
      </c>
      <c r="F1989" t="s">
        <v>534</v>
      </c>
      <c r="G1989" t="s">
        <v>23</v>
      </c>
      <c r="H1989" t="s">
        <v>535</v>
      </c>
      <c r="I1989">
        <v>18</v>
      </c>
      <c r="J1989">
        <v>20.7</v>
      </c>
      <c r="K1989" t="s">
        <v>258</v>
      </c>
      <c r="L1989" t="s">
        <v>257</v>
      </c>
      <c r="M1989" t="s">
        <v>258</v>
      </c>
      <c r="N1989" s="5">
        <v>0</v>
      </c>
    </row>
    <row r="1990" spans="1:14" x14ac:dyDescent="0.25">
      <c r="A1990" t="s">
        <v>2531</v>
      </c>
      <c r="B1990" t="s">
        <v>220</v>
      </c>
      <c r="C1990" t="str">
        <f>_xlfn.XLOOKUP(Table6[[#This Row],[app_id]],Table5[app_id],Table5[app_name],"",0)</f>
        <v>PlanMate</v>
      </c>
      <c r="D1990" t="str">
        <f>_xlfn.XLOOKUP(Table6[[#This Row],[app_id]],Table5[app_id],Table5[category],"",0)</f>
        <v>Productivity</v>
      </c>
      <c r="E1990" t="s">
        <v>557</v>
      </c>
      <c r="F1990" t="s">
        <v>534</v>
      </c>
      <c r="G1990" t="s">
        <v>18</v>
      </c>
      <c r="H1990" t="s">
        <v>535</v>
      </c>
      <c r="I1990">
        <v>16</v>
      </c>
      <c r="J1990">
        <v>6.1</v>
      </c>
      <c r="K1990" t="s">
        <v>257</v>
      </c>
      <c r="L1990" t="s">
        <v>257</v>
      </c>
      <c r="M1990" t="s">
        <v>258</v>
      </c>
      <c r="N1990" s="5">
        <v>31.19</v>
      </c>
    </row>
    <row r="1991" spans="1:14" x14ac:dyDescent="0.25">
      <c r="A1991" t="s">
        <v>2532</v>
      </c>
      <c r="B1991" t="s">
        <v>222</v>
      </c>
      <c r="C1991" t="str">
        <f>_xlfn.XLOOKUP(Table6[[#This Row],[app_id]],Table5[app_id],Table5[app_name],"",0)</f>
        <v>SyncPlus</v>
      </c>
      <c r="D1991" t="str">
        <f>_xlfn.XLOOKUP(Table6[[#This Row],[app_id]],Table5[app_id],Table5[category],"",0)</f>
        <v>Productivity</v>
      </c>
      <c r="E1991" t="s">
        <v>533</v>
      </c>
      <c r="F1991" t="s">
        <v>534</v>
      </c>
      <c r="G1991" t="s">
        <v>61</v>
      </c>
      <c r="H1991" t="s">
        <v>535</v>
      </c>
      <c r="I1991">
        <v>19</v>
      </c>
      <c r="J1991">
        <v>11.8</v>
      </c>
      <c r="K1991" t="s">
        <v>258</v>
      </c>
      <c r="L1991" t="s">
        <v>258</v>
      </c>
      <c r="M1991" t="s">
        <v>258</v>
      </c>
      <c r="N1991" s="5">
        <v>0</v>
      </c>
    </row>
    <row r="1992" spans="1:14" x14ac:dyDescent="0.25">
      <c r="A1992" t="s">
        <v>2533</v>
      </c>
      <c r="B1992" t="s">
        <v>223</v>
      </c>
      <c r="C1992" t="str">
        <f>_xlfn.XLOOKUP(Table6[[#This Row],[app_id]],Table5[app_id],Table5[app_name],"",0)</f>
        <v>ClinicPro</v>
      </c>
      <c r="D1992" t="str">
        <f>_xlfn.XLOOKUP(Table6[[#This Row],[app_id]],Table5[app_id],Table5[category],"",0)</f>
        <v>Health</v>
      </c>
      <c r="E1992" t="s">
        <v>537</v>
      </c>
      <c r="F1992" t="s">
        <v>538</v>
      </c>
      <c r="G1992" t="s">
        <v>35</v>
      </c>
      <c r="H1992" t="s">
        <v>535</v>
      </c>
      <c r="I1992">
        <v>20</v>
      </c>
      <c r="J1992">
        <v>13</v>
      </c>
      <c r="K1992" t="s">
        <v>258</v>
      </c>
      <c r="L1992" t="s">
        <v>257</v>
      </c>
      <c r="M1992" t="s">
        <v>258</v>
      </c>
      <c r="N1992" s="5">
        <v>0</v>
      </c>
    </row>
    <row r="1993" spans="1:14" x14ac:dyDescent="0.25">
      <c r="A1993" t="s">
        <v>2534</v>
      </c>
      <c r="B1993" t="s">
        <v>226</v>
      </c>
      <c r="C1993" t="str">
        <f>_xlfn.XLOOKUP(Table6[[#This Row],[app_id]],Table5[app_id],Table5[app_name],"",0)</f>
        <v>MindMate</v>
      </c>
      <c r="D1993" t="str">
        <f>_xlfn.XLOOKUP(Table6[[#This Row],[app_id]],Table5[app_id],Table5[category],"",0)</f>
        <v>Health</v>
      </c>
      <c r="E1993" t="s">
        <v>533</v>
      </c>
      <c r="F1993" t="s">
        <v>534</v>
      </c>
      <c r="G1993" t="s">
        <v>23</v>
      </c>
      <c r="H1993" t="s">
        <v>540</v>
      </c>
      <c r="I1993">
        <v>17</v>
      </c>
      <c r="J1993">
        <v>11.3</v>
      </c>
      <c r="K1993" t="s">
        <v>258</v>
      </c>
      <c r="L1993" t="s">
        <v>257</v>
      </c>
      <c r="M1993" t="s">
        <v>258</v>
      </c>
      <c r="N1993" s="5">
        <v>0</v>
      </c>
    </row>
    <row r="1994" spans="1:14" x14ac:dyDescent="0.25">
      <c r="A1994" t="s">
        <v>2535</v>
      </c>
      <c r="B1994" t="s">
        <v>228</v>
      </c>
      <c r="C1994" t="str">
        <f>_xlfn.XLOOKUP(Table6[[#This Row],[app_id]],Table5[app_id],Table5[app_name],"",0)</f>
        <v>ClinicOne</v>
      </c>
      <c r="D1994" t="str">
        <f>_xlfn.XLOOKUP(Table6[[#This Row],[app_id]],Table5[app_id],Table5[category],"",0)</f>
        <v>Health</v>
      </c>
      <c r="E1994" t="s">
        <v>546</v>
      </c>
      <c r="F1994" t="s">
        <v>538</v>
      </c>
      <c r="G1994" t="s">
        <v>35</v>
      </c>
      <c r="H1994" t="s">
        <v>535</v>
      </c>
      <c r="I1994">
        <v>28</v>
      </c>
      <c r="J1994">
        <v>15.6</v>
      </c>
      <c r="K1994" t="s">
        <v>258</v>
      </c>
      <c r="L1994" t="s">
        <v>258</v>
      </c>
      <c r="M1994" t="s">
        <v>258</v>
      </c>
      <c r="N1994" s="5">
        <v>0</v>
      </c>
    </row>
    <row r="1995" spans="1:14" x14ac:dyDescent="0.25">
      <c r="A1995" t="s">
        <v>2536</v>
      </c>
      <c r="B1995" t="s">
        <v>230</v>
      </c>
      <c r="C1995" t="str">
        <f>_xlfn.XLOOKUP(Table6[[#This Row],[app_id]],Table5[app_id],Table5[app_name],"",0)</f>
        <v>WellMate</v>
      </c>
      <c r="D1995" t="str">
        <f>_xlfn.XLOOKUP(Table6[[#This Row],[app_id]],Table5[app_id],Table5[category],"",0)</f>
        <v>Health</v>
      </c>
      <c r="E1995" t="s">
        <v>557</v>
      </c>
      <c r="F1995" t="s">
        <v>538</v>
      </c>
      <c r="G1995" t="s">
        <v>35</v>
      </c>
      <c r="H1995" t="s">
        <v>535</v>
      </c>
      <c r="I1995">
        <v>11</v>
      </c>
      <c r="J1995">
        <v>4.0999999999999996</v>
      </c>
      <c r="K1995" t="s">
        <v>258</v>
      </c>
      <c r="L1995" t="s">
        <v>257</v>
      </c>
      <c r="M1995" t="s">
        <v>258</v>
      </c>
      <c r="N1995" s="5">
        <v>0</v>
      </c>
    </row>
    <row r="1996" spans="1:14" x14ac:dyDescent="0.25">
      <c r="A1996" t="s">
        <v>2537</v>
      </c>
      <c r="B1996" t="s">
        <v>232</v>
      </c>
      <c r="C1996" t="str">
        <f>_xlfn.XLOOKUP(Table6[[#This Row],[app_id]],Table5[app_id],Table5[app_name],"",0)</f>
        <v>MediMate</v>
      </c>
      <c r="D1996" t="str">
        <f>_xlfn.XLOOKUP(Table6[[#This Row],[app_id]],Table5[app_id],Table5[category],"",0)</f>
        <v>Health</v>
      </c>
      <c r="E1996" t="s">
        <v>557</v>
      </c>
      <c r="F1996" t="s">
        <v>534</v>
      </c>
      <c r="G1996" t="s">
        <v>35</v>
      </c>
      <c r="H1996" t="s">
        <v>535</v>
      </c>
      <c r="I1996">
        <v>33</v>
      </c>
      <c r="J1996">
        <v>5</v>
      </c>
      <c r="K1996" t="s">
        <v>257</v>
      </c>
      <c r="L1996" t="s">
        <v>258</v>
      </c>
      <c r="M1996" t="s">
        <v>257</v>
      </c>
      <c r="N1996" s="5">
        <v>0</v>
      </c>
    </row>
    <row r="1997" spans="1:14" x14ac:dyDescent="0.25">
      <c r="A1997" t="s">
        <v>2538</v>
      </c>
      <c r="B1997" t="s">
        <v>234</v>
      </c>
      <c r="C1997" t="str">
        <f>_xlfn.XLOOKUP(Table6[[#This Row],[app_id]],Table5[app_id],Table5[app_name],"",0)</f>
        <v>WellNow</v>
      </c>
      <c r="D1997" t="str">
        <f>_xlfn.XLOOKUP(Table6[[#This Row],[app_id]],Table5[app_id],Table5[category],"",0)</f>
        <v>Health</v>
      </c>
      <c r="E1997" t="s">
        <v>537</v>
      </c>
      <c r="F1997" t="s">
        <v>538</v>
      </c>
      <c r="G1997" t="s">
        <v>23</v>
      </c>
      <c r="H1997" t="s">
        <v>535</v>
      </c>
      <c r="I1997">
        <v>63</v>
      </c>
      <c r="J1997">
        <v>4.5</v>
      </c>
      <c r="K1997" t="s">
        <v>257</v>
      </c>
      <c r="L1997" t="s">
        <v>257</v>
      </c>
      <c r="M1997" t="s">
        <v>258</v>
      </c>
      <c r="N1997" s="5">
        <v>0</v>
      </c>
    </row>
    <row r="1998" spans="1:14" x14ac:dyDescent="0.25">
      <c r="A1998" t="s">
        <v>2539</v>
      </c>
      <c r="B1998" t="s">
        <v>236</v>
      </c>
      <c r="C1998" t="str">
        <f>_xlfn.XLOOKUP(Table6[[#This Row],[app_id]],Table5[app_id],Table5[app_name],"",0)</f>
        <v>CareCloud</v>
      </c>
      <c r="D1998" t="str">
        <f>_xlfn.XLOOKUP(Table6[[#This Row],[app_id]],Table5[app_id],Table5[category],"",0)</f>
        <v>Health</v>
      </c>
      <c r="E1998" t="s">
        <v>533</v>
      </c>
      <c r="F1998" t="s">
        <v>548</v>
      </c>
      <c r="G1998" t="s">
        <v>26</v>
      </c>
      <c r="H1998" t="s">
        <v>535</v>
      </c>
      <c r="I1998">
        <v>91</v>
      </c>
      <c r="J1998">
        <v>19.100000000000001</v>
      </c>
      <c r="K1998" t="s">
        <v>257</v>
      </c>
      <c r="L1998" t="s">
        <v>257</v>
      </c>
      <c r="M1998" t="s">
        <v>258</v>
      </c>
      <c r="N1998" s="5">
        <v>0</v>
      </c>
    </row>
    <row r="1999" spans="1:14" x14ac:dyDescent="0.25">
      <c r="A1999" t="s">
        <v>2540</v>
      </c>
      <c r="B1999" t="s">
        <v>238</v>
      </c>
      <c r="C1999" t="str">
        <f>_xlfn.XLOOKUP(Table6[[#This Row],[app_id]],Table5[app_id],Table5[app_name],"",0)</f>
        <v>MediNow</v>
      </c>
      <c r="D1999" t="str">
        <f>_xlfn.XLOOKUP(Table6[[#This Row],[app_id]],Table5[app_id],Table5[category],"",0)</f>
        <v>Health</v>
      </c>
      <c r="E1999" t="s">
        <v>557</v>
      </c>
      <c r="F1999" t="s">
        <v>548</v>
      </c>
      <c r="G1999" t="s">
        <v>35</v>
      </c>
      <c r="H1999" t="s">
        <v>540</v>
      </c>
      <c r="I1999">
        <v>48</v>
      </c>
      <c r="J1999">
        <v>19.100000000000001</v>
      </c>
      <c r="K1999" t="s">
        <v>257</v>
      </c>
      <c r="L1999" t="s">
        <v>257</v>
      </c>
      <c r="M1999" t="s">
        <v>258</v>
      </c>
      <c r="N1999" s="5">
        <v>0</v>
      </c>
    </row>
    <row r="2000" spans="1:14" x14ac:dyDescent="0.25">
      <c r="A2000" t="s">
        <v>2541</v>
      </c>
      <c r="B2000" t="s">
        <v>240</v>
      </c>
      <c r="C2000" t="str">
        <f>_xlfn.XLOOKUP(Table6[[#This Row],[app_id]],Table5[app_id],Table5[app_name],"",0)</f>
        <v>MindPlus</v>
      </c>
      <c r="D2000" t="str">
        <f>_xlfn.XLOOKUP(Table6[[#This Row],[app_id]],Table5[app_id],Table5[category],"",0)</f>
        <v>Health</v>
      </c>
      <c r="E2000" t="s">
        <v>546</v>
      </c>
      <c r="F2000" t="s">
        <v>534</v>
      </c>
      <c r="G2000" t="s">
        <v>46</v>
      </c>
      <c r="H2000" t="s">
        <v>535</v>
      </c>
      <c r="I2000">
        <v>19</v>
      </c>
      <c r="J2000">
        <v>14.4</v>
      </c>
      <c r="K2000" t="s">
        <v>258</v>
      </c>
      <c r="L2000" t="s">
        <v>258</v>
      </c>
      <c r="M2000" t="s">
        <v>257</v>
      </c>
      <c r="N2000" s="5">
        <v>0</v>
      </c>
    </row>
    <row r="2001" spans="1:14" x14ac:dyDescent="0.25">
      <c r="A2001" t="s">
        <v>2542</v>
      </c>
      <c r="B2001" t="s">
        <v>242</v>
      </c>
      <c r="C2001" t="str">
        <f>_xlfn.XLOOKUP(Table6[[#This Row],[app_id]],Table5[app_id],Table5[app_name],"",0)</f>
        <v>MediCloud</v>
      </c>
      <c r="D2001" t="str">
        <f>_xlfn.XLOOKUP(Table6[[#This Row],[app_id]],Table5[app_id],Table5[category],"",0)</f>
        <v>Health</v>
      </c>
      <c r="E2001" t="s">
        <v>533</v>
      </c>
      <c r="F2001" t="s">
        <v>538</v>
      </c>
      <c r="G2001" t="s">
        <v>18</v>
      </c>
      <c r="H2001" t="s">
        <v>535</v>
      </c>
      <c r="I2001">
        <v>3</v>
      </c>
      <c r="J2001">
        <v>4.5999999999999996</v>
      </c>
      <c r="K2001" t="s">
        <v>258</v>
      </c>
      <c r="L2001" t="s">
        <v>258</v>
      </c>
      <c r="M2001" t="s">
        <v>258</v>
      </c>
      <c r="N2001" s="5">
        <v>0</v>
      </c>
    </row>
  </sheetData>
  <mergeCells count="1">
    <mergeCell ref="Q6:Y13"/>
  </mergeCell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F426-B01C-4B1C-91B2-AC831849671D}">
  <dimension ref="A1:X2501"/>
  <sheetViews>
    <sheetView workbookViewId="0">
      <selection activeCell="F1" sqref="F1"/>
    </sheetView>
  </sheetViews>
  <sheetFormatPr defaultRowHeight="15" x14ac:dyDescent="0.25"/>
  <cols>
    <col min="1" max="1" width="12" customWidth="1"/>
    <col min="4" max="4" width="9.7109375" customWidth="1"/>
    <col min="5" max="5" width="14.28515625" customWidth="1"/>
    <col min="6" max="6" width="14.140625" customWidth="1"/>
    <col min="7" max="7" width="13.85546875" customWidth="1"/>
    <col min="8" max="8" width="12.28515625" customWidth="1"/>
    <col min="9" max="9" width="16.28515625" customWidth="1"/>
    <col min="10" max="10" width="19.85546875" customWidth="1"/>
    <col min="11" max="11" width="28" customWidth="1"/>
    <col min="12" max="12" width="17.140625" style="13" customWidth="1"/>
  </cols>
  <sheetData>
    <row r="1" spans="1:24" x14ac:dyDescent="0.25">
      <c r="A1" t="s">
        <v>2543</v>
      </c>
      <c r="B1" t="s">
        <v>0</v>
      </c>
      <c r="C1" t="s">
        <v>5184</v>
      </c>
      <c r="D1" t="s">
        <v>521</v>
      </c>
      <c r="E1" t="s">
        <v>2544</v>
      </c>
      <c r="F1" t="s">
        <v>2545</v>
      </c>
      <c r="G1" t="s">
        <v>2546</v>
      </c>
      <c r="H1" t="s">
        <v>2547</v>
      </c>
      <c r="I1" t="s">
        <v>2548</v>
      </c>
      <c r="J1" t="s">
        <v>2549</v>
      </c>
      <c r="K1" t="s">
        <v>2550</v>
      </c>
      <c r="L1" s="13" t="s">
        <v>2551</v>
      </c>
    </row>
    <row r="2" spans="1:24" x14ac:dyDescent="0.25">
      <c r="A2" t="s">
        <v>2552</v>
      </c>
      <c r="B2" t="s">
        <v>12</v>
      </c>
      <c r="C2" t="str">
        <f>_xlfn.XLOOKUP(Table7[[#This Row],[app_id]],Table5[app_id],Table5[app_name],"",0)</f>
        <v>InvestPro</v>
      </c>
      <c r="D2" t="s">
        <v>1660</v>
      </c>
      <c r="E2" s="1">
        <v>45367</v>
      </c>
      <c r="F2">
        <v>3</v>
      </c>
      <c r="G2" t="s">
        <v>2553</v>
      </c>
      <c r="H2" t="s">
        <v>2554</v>
      </c>
      <c r="I2" t="s">
        <v>2555</v>
      </c>
      <c r="J2" t="s">
        <v>2556</v>
      </c>
      <c r="K2">
        <v>21</v>
      </c>
      <c r="L2" s="13" t="s">
        <v>257</v>
      </c>
    </row>
    <row r="3" spans="1:24" x14ac:dyDescent="0.25">
      <c r="A3" t="s">
        <v>2557</v>
      </c>
      <c r="B3" t="s">
        <v>19</v>
      </c>
      <c r="C3" t="str">
        <f>_xlfn.XLOOKUP(Table7[[#This Row],[app_id]],Table5[app_id],Table5[app_name],"",0)</f>
        <v>BankPro</v>
      </c>
      <c r="D3" t="s">
        <v>869</v>
      </c>
      <c r="E3" s="1">
        <v>45983</v>
      </c>
      <c r="F3">
        <v>3</v>
      </c>
      <c r="G3" t="s">
        <v>2553</v>
      </c>
      <c r="H3" t="s">
        <v>2554</v>
      </c>
      <c r="I3" t="s">
        <v>2558</v>
      </c>
      <c r="J3" t="s">
        <v>2559</v>
      </c>
      <c r="K3">
        <v>21</v>
      </c>
      <c r="L3" s="13" t="s">
        <v>257</v>
      </c>
      <c r="P3" s="4" t="s">
        <v>5181</v>
      </c>
      <c r="Q3" s="3"/>
      <c r="R3" s="3"/>
      <c r="S3" s="3"/>
      <c r="T3" s="3"/>
      <c r="U3" s="3"/>
      <c r="V3" s="3"/>
      <c r="W3" s="3"/>
      <c r="X3" s="3"/>
    </row>
    <row r="4" spans="1:24" x14ac:dyDescent="0.25">
      <c r="A4" t="s">
        <v>2560</v>
      </c>
      <c r="B4" t="s">
        <v>24</v>
      </c>
      <c r="C4" t="str">
        <f>_xlfn.XLOOKUP(Table7[[#This Row],[app_id]],Table5[app_id],Table5[app_name],"",0)</f>
        <v>BankX</v>
      </c>
      <c r="D4" t="s">
        <v>1827</v>
      </c>
      <c r="E4" s="1">
        <v>46058</v>
      </c>
      <c r="F4">
        <v>3</v>
      </c>
      <c r="G4" t="s">
        <v>2553</v>
      </c>
      <c r="H4" t="s">
        <v>2554</v>
      </c>
      <c r="I4" t="s">
        <v>2555</v>
      </c>
      <c r="J4" t="s">
        <v>2561</v>
      </c>
      <c r="K4">
        <v>42</v>
      </c>
      <c r="L4" s="13" t="s">
        <v>257</v>
      </c>
      <c r="P4" s="3"/>
      <c r="Q4" s="3"/>
      <c r="R4" s="3"/>
      <c r="S4" s="3"/>
      <c r="T4" s="3"/>
      <c r="U4" s="3"/>
      <c r="V4" s="3"/>
      <c r="W4" s="3"/>
      <c r="X4" s="3"/>
    </row>
    <row r="5" spans="1:24" x14ac:dyDescent="0.25">
      <c r="A5" t="s">
        <v>2562</v>
      </c>
      <c r="B5" t="s">
        <v>27</v>
      </c>
      <c r="C5" t="str">
        <f>_xlfn.XLOOKUP(Table7[[#This Row],[app_id]],Table5[app_id],Table5[app_name],"",0)</f>
        <v>BankNow</v>
      </c>
      <c r="D5" t="s">
        <v>2494</v>
      </c>
      <c r="E5" s="1">
        <v>45460</v>
      </c>
      <c r="F5">
        <v>4</v>
      </c>
      <c r="G5" t="s">
        <v>2563</v>
      </c>
      <c r="H5" t="s">
        <v>2564</v>
      </c>
      <c r="I5" t="s">
        <v>2565</v>
      </c>
      <c r="J5" t="s">
        <v>2566</v>
      </c>
      <c r="K5">
        <v>39</v>
      </c>
      <c r="L5" s="13" t="s">
        <v>257</v>
      </c>
      <c r="P5" s="3"/>
      <c r="Q5" s="3"/>
      <c r="R5" s="3"/>
      <c r="S5" s="3"/>
      <c r="T5" s="3"/>
      <c r="U5" s="3"/>
      <c r="V5" s="3"/>
      <c r="W5" s="3"/>
      <c r="X5" s="3"/>
    </row>
    <row r="6" spans="1:24" x14ac:dyDescent="0.25">
      <c r="A6" t="s">
        <v>2567</v>
      </c>
      <c r="B6" t="s">
        <v>31</v>
      </c>
      <c r="C6" t="str">
        <f>_xlfn.XLOOKUP(Table7[[#This Row],[app_id]],Table5[app_id],Table5[app_name],"",0)</f>
        <v>CreditHub</v>
      </c>
      <c r="D6" t="s">
        <v>760</v>
      </c>
      <c r="E6" s="1">
        <v>45959</v>
      </c>
      <c r="F6">
        <v>5</v>
      </c>
      <c r="G6" t="s">
        <v>2568</v>
      </c>
      <c r="H6" t="s">
        <v>2564</v>
      </c>
      <c r="I6" t="s">
        <v>2558</v>
      </c>
      <c r="J6" t="s">
        <v>2569</v>
      </c>
      <c r="K6">
        <v>5</v>
      </c>
      <c r="L6" s="13" t="s">
        <v>257</v>
      </c>
      <c r="P6" s="3"/>
      <c r="Q6" s="3"/>
      <c r="R6" s="3"/>
      <c r="S6" s="3"/>
      <c r="T6" s="3"/>
      <c r="U6" s="3"/>
      <c r="V6" s="3"/>
      <c r="W6" s="3"/>
      <c r="X6" s="3"/>
    </row>
    <row r="7" spans="1:24" x14ac:dyDescent="0.25">
      <c r="A7" t="s">
        <v>2570</v>
      </c>
      <c r="B7" t="s">
        <v>36</v>
      </c>
      <c r="C7" t="str">
        <f>_xlfn.XLOOKUP(Table7[[#This Row],[app_id]],Table5[app_id],Table5[app_name],"",0)</f>
        <v>PayPlus</v>
      </c>
      <c r="D7" t="s">
        <v>2281</v>
      </c>
      <c r="E7" s="1">
        <v>45686</v>
      </c>
      <c r="F7">
        <v>5</v>
      </c>
      <c r="G7" t="s">
        <v>2563</v>
      </c>
      <c r="H7" t="s">
        <v>2564</v>
      </c>
      <c r="I7" t="s">
        <v>2571</v>
      </c>
      <c r="J7" t="s">
        <v>2569</v>
      </c>
      <c r="K7">
        <v>38</v>
      </c>
      <c r="L7" s="13" t="s">
        <v>257</v>
      </c>
      <c r="P7" s="3"/>
      <c r="Q7" s="3"/>
      <c r="R7" s="3"/>
      <c r="S7" s="3"/>
      <c r="T7" s="3"/>
      <c r="U7" s="3"/>
      <c r="V7" s="3"/>
      <c r="W7" s="3"/>
      <c r="X7" s="3"/>
    </row>
    <row r="8" spans="1:24" x14ac:dyDescent="0.25">
      <c r="A8" t="s">
        <v>2572</v>
      </c>
      <c r="B8" t="s">
        <v>39</v>
      </c>
      <c r="C8" t="str">
        <f>_xlfn.XLOOKUP(Table7[[#This Row],[app_id]],Table5[app_id],Table5[app_name],"",0)</f>
        <v>BankPlus</v>
      </c>
      <c r="D8" t="s">
        <v>933</v>
      </c>
      <c r="E8" s="1">
        <v>45977</v>
      </c>
      <c r="F8">
        <v>4</v>
      </c>
      <c r="G8" t="s">
        <v>2573</v>
      </c>
      <c r="H8" t="s">
        <v>2564</v>
      </c>
      <c r="I8" t="s">
        <v>2565</v>
      </c>
      <c r="J8" t="s">
        <v>2561</v>
      </c>
      <c r="K8">
        <v>22</v>
      </c>
      <c r="L8" s="13" t="s">
        <v>258</v>
      </c>
      <c r="P8" s="3"/>
      <c r="Q8" s="3"/>
      <c r="R8" s="3"/>
      <c r="S8" s="3"/>
      <c r="T8" s="3"/>
      <c r="U8" s="3"/>
      <c r="V8" s="3"/>
      <c r="W8" s="3"/>
      <c r="X8" s="3"/>
    </row>
    <row r="9" spans="1:24" x14ac:dyDescent="0.25">
      <c r="A9" t="s">
        <v>2574</v>
      </c>
      <c r="B9" t="s">
        <v>42</v>
      </c>
      <c r="C9" t="str">
        <f>_xlfn.XLOOKUP(Table7[[#This Row],[app_id]],Table5[app_id],Table5[app_name],"",0)</f>
        <v>CoinPlus</v>
      </c>
      <c r="D9" t="s">
        <v>1896</v>
      </c>
      <c r="E9" s="1">
        <v>45938</v>
      </c>
      <c r="F9">
        <v>3</v>
      </c>
      <c r="G9" t="s">
        <v>2553</v>
      </c>
      <c r="H9" t="s">
        <v>2554</v>
      </c>
      <c r="I9" t="s">
        <v>2575</v>
      </c>
      <c r="J9" t="s">
        <v>2566</v>
      </c>
      <c r="K9">
        <v>10</v>
      </c>
      <c r="L9" s="13" t="s">
        <v>257</v>
      </c>
      <c r="P9" s="3"/>
      <c r="Q9" s="3"/>
      <c r="R9" s="3"/>
      <c r="S9" s="3"/>
      <c r="T9" s="3"/>
      <c r="U9" s="3"/>
      <c r="V9" s="3"/>
      <c r="W9" s="3"/>
      <c r="X9" s="3"/>
    </row>
    <row r="10" spans="1:24" x14ac:dyDescent="0.25">
      <c r="A10" t="s">
        <v>2576</v>
      </c>
      <c r="B10" t="s">
        <v>47</v>
      </c>
      <c r="C10" t="str">
        <f>_xlfn.XLOOKUP(Table7[[#This Row],[app_id]],Table5[app_id],Table5[app_name],"",0)</f>
        <v>CreditOne</v>
      </c>
      <c r="D10" t="s">
        <v>1362</v>
      </c>
      <c r="E10" s="1">
        <v>46001</v>
      </c>
      <c r="F10">
        <v>5</v>
      </c>
      <c r="G10" t="s">
        <v>2573</v>
      </c>
      <c r="H10" t="s">
        <v>2564</v>
      </c>
      <c r="I10" t="s">
        <v>2555</v>
      </c>
      <c r="J10" t="s">
        <v>2559</v>
      </c>
      <c r="K10">
        <v>36</v>
      </c>
      <c r="L10" s="13" t="s">
        <v>257</v>
      </c>
      <c r="P10" s="3"/>
      <c r="Q10" s="3"/>
      <c r="R10" s="3"/>
      <c r="S10" s="3"/>
      <c r="T10" s="3"/>
      <c r="U10" s="3"/>
      <c r="V10" s="3"/>
      <c r="W10" s="3"/>
      <c r="X10" s="3"/>
    </row>
    <row r="11" spans="1:24" x14ac:dyDescent="0.25">
      <c r="A11" t="s">
        <v>2577</v>
      </c>
      <c r="B11" t="s">
        <v>49</v>
      </c>
      <c r="C11" t="str">
        <f>_xlfn.XLOOKUP(Table7[[#This Row],[app_id]],Table5[app_id],Table5[app_name],"",0)</f>
        <v>PayPro</v>
      </c>
      <c r="D11" t="s">
        <v>861</v>
      </c>
      <c r="E11" s="1">
        <v>45990</v>
      </c>
      <c r="F11">
        <v>3</v>
      </c>
      <c r="G11" t="s">
        <v>2553</v>
      </c>
      <c r="H11" t="s">
        <v>2554</v>
      </c>
      <c r="I11" t="s">
        <v>2578</v>
      </c>
      <c r="J11" t="s">
        <v>2569</v>
      </c>
      <c r="K11">
        <v>42</v>
      </c>
      <c r="L11" s="13" t="s">
        <v>257</v>
      </c>
      <c r="P11" s="3"/>
      <c r="Q11" s="3"/>
      <c r="R11" s="3"/>
      <c r="S11" s="3"/>
      <c r="T11" s="3"/>
      <c r="U11" s="3"/>
      <c r="V11" s="3"/>
      <c r="W11" s="3"/>
      <c r="X11" s="3"/>
    </row>
    <row r="12" spans="1:24" x14ac:dyDescent="0.25">
      <c r="A12" t="s">
        <v>2579</v>
      </c>
      <c r="B12" t="s">
        <v>51</v>
      </c>
      <c r="C12" t="str">
        <f>_xlfn.XLOOKUP(Table7[[#This Row],[app_id]],Table5[app_id],Table5[app_name],"",0)</f>
        <v>Creditly</v>
      </c>
      <c r="D12" t="s">
        <v>2228</v>
      </c>
      <c r="E12" s="1">
        <v>45384</v>
      </c>
      <c r="F12">
        <v>5</v>
      </c>
      <c r="G12" t="s">
        <v>2580</v>
      </c>
      <c r="H12" t="s">
        <v>2564</v>
      </c>
      <c r="I12" t="s">
        <v>2575</v>
      </c>
      <c r="J12" t="s">
        <v>2581</v>
      </c>
      <c r="K12">
        <v>9</v>
      </c>
      <c r="L12" s="13" t="s">
        <v>257</v>
      </c>
      <c r="P12" s="3"/>
      <c r="Q12" s="3"/>
      <c r="R12" s="3"/>
      <c r="S12" s="3"/>
      <c r="T12" s="3"/>
      <c r="U12" s="3"/>
      <c r="V12" s="3"/>
      <c r="W12" s="3"/>
      <c r="X12" s="3"/>
    </row>
    <row r="13" spans="1:24" x14ac:dyDescent="0.25">
      <c r="A13" t="s">
        <v>2582</v>
      </c>
      <c r="B13" t="s">
        <v>53</v>
      </c>
      <c r="C13" t="str">
        <f>_xlfn.XLOOKUP(Table7[[#This Row],[app_id]],Table5[app_id],Table5[app_name],"",0)</f>
        <v>PayX</v>
      </c>
      <c r="D13" t="s">
        <v>1175</v>
      </c>
      <c r="E13" s="1">
        <v>45743</v>
      </c>
      <c r="F13">
        <v>3</v>
      </c>
      <c r="G13" t="s">
        <v>2583</v>
      </c>
      <c r="H13" t="s">
        <v>2554</v>
      </c>
      <c r="I13" t="s">
        <v>2584</v>
      </c>
      <c r="J13" t="s">
        <v>2556</v>
      </c>
      <c r="K13">
        <v>16</v>
      </c>
      <c r="L13" s="13" t="s">
        <v>257</v>
      </c>
      <c r="P13" s="3"/>
      <c r="Q13" s="3"/>
      <c r="R13" s="3"/>
      <c r="S13" s="3"/>
      <c r="T13" s="3"/>
      <c r="U13" s="3"/>
      <c r="V13" s="3"/>
      <c r="W13" s="3"/>
      <c r="X13" s="3"/>
    </row>
    <row r="14" spans="1:24" x14ac:dyDescent="0.25">
      <c r="A14" t="s">
        <v>2585</v>
      </c>
      <c r="B14" t="s">
        <v>56</v>
      </c>
      <c r="C14" t="str">
        <f>_xlfn.XLOOKUP(Table7[[#This Row],[app_id]],Table5[app_id],Table5[app_name],"",0)</f>
        <v>DealGo</v>
      </c>
      <c r="D14" t="s">
        <v>1505</v>
      </c>
      <c r="E14" s="1">
        <v>45971</v>
      </c>
      <c r="F14">
        <v>2</v>
      </c>
      <c r="G14" t="s">
        <v>2586</v>
      </c>
      <c r="H14" t="s">
        <v>2587</v>
      </c>
      <c r="I14" t="s">
        <v>2588</v>
      </c>
      <c r="J14" t="s">
        <v>2561</v>
      </c>
      <c r="K14">
        <v>21</v>
      </c>
      <c r="L14" s="13" t="s">
        <v>257</v>
      </c>
      <c r="P14" s="3"/>
      <c r="Q14" s="3"/>
      <c r="R14" s="3"/>
      <c r="S14" s="3"/>
      <c r="T14" s="3"/>
      <c r="U14" s="3"/>
      <c r="V14" s="3"/>
      <c r="W14" s="3"/>
      <c r="X14" s="3"/>
    </row>
    <row r="15" spans="1:24" x14ac:dyDescent="0.25">
      <c r="A15" t="s">
        <v>2589</v>
      </c>
      <c r="B15" t="s">
        <v>62</v>
      </c>
      <c r="C15" t="str">
        <f>_xlfn.XLOOKUP(Table7[[#This Row],[app_id]],Table5[app_id],Table5[app_name],"",0)</f>
        <v>MallNow</v>
      </c>
      <c r="D15" t="s">
        <v>1940</v>
      </c>
      <c r="E15" s="1">
        <v>45704</v>
      </c>
      <c r="F15">
        <v>5</v>
      </c>
      <c r="G15" t="s">
        <v>2590</v>
      </c>
      <c r="H15" t="s">
        <v>2564</v>
      </c>
      <c r="I15" t="s">
        <v>2575</v>
      </c>
      <c r="J15" t="s">
        <v>2566</v>
      </c>
      <c r="K15">
        <v>34</v>
      </c>
      <c r="L15" s="13" t="s">
        <v>257</v>
      </c>
    </row>
    <row r="16" spans="1:24" x14ac:dyDescent="0.25">
      <c r="A16" t="s">
        <v>2591</v>
      </c>
      <c r="B16" t="s">
        <v>65</v>
      </c>
      <c r="C16" t="str">
        <f>_xlfn.XLOOKUP(Table7[[#This Row],[app_id]],Table5[app_id],Table5[app_name],"",0)</f>
        <v>DealPro</v>
      </c>
      <c r="D16" t="s">
        <v>1581</v>
      </c>
      <c r="E16" s="1">
        <v>45775</v>
      </c>
      <c r="F16">
        <v>4</v>
      </c>
      <c r="G16" t="s">
        <v>2592</v>
      </c>
      <c r="H16" t="s">
        <v>2564</v>
      </c>
      <c r="I16" t="s">
        <v>2565</v>
      </c>
      <c r="J16" t="s">
        <v>2566</v>
      </c>
      <c r="K16">
        <v>48</v>
      </c>
      <c r="L16" s="13" t="s">
        <v>258</v>
      </c>
    </row>
    <row r="17" spans="1:12" x14ac:dyDescent="0.25">
      <c r="A17" t="s">
        <v>2593</v>
      </c>
      <c r="B17" t="s">
        <v>67</v>
      </c>
      <c r="C17" t="str">
        <f>_xlfn.XLOOKUP(Table7[[#This Row],[app_id]],Table5[app_id],Table5[app_name],"",0)</f>
        <v>StyleNow</v>
      </c>
      <c r="D17" t="s">
        <v>1987</v>
      </c>
      <c r="E17" s="1">
        <v>45762</v>
      </c>
      <c r="F17">
        <v>3</v>
      </c>
      <c r="G17" t="s">
        <v>2594</v>
      </c>
      <c r="H17" t="s">
        <v>2554</v>
      </c>
      <c r="I17" t="s">
        <v>2555</v>
      </c>
      <c r="J17" t="s">
        <v>2581</v>
      </c>
      <c r="K17">
        <v>26</v>
      </c>
      <c r="L17" s="13" t="s">
        <v>257</v>
      </c>
    </row>
    <row r="18" spans="1:12" x14ac:dyDescent="0.25">
      <c r="A18" t="s">
        <v>2595</v>
      </c>
      <c r="B18" t="s">
        <v>70</v>
      </c>
      <c r="C18" t="str">
        <f>_xlfn.XLOOKUP(Table7[[#This Row],[app_id]],Table5[app_id],Table5[app_name],"",0)</f>
        <v>DealCloud</v>
      </c>
      <c r="D18" t="s">
        <v>1886</v>
      </c>
      <c r="E18" s="1">
        <v>45407</v>
      </c>
      <c r="F18">
        <v>3</v>
      </c>
      <c r="G18" t="s">
        <v>2594</v>
      </c>
      <c r="H18" t="s">
        <v>2554</v>
      </c>
      <c r="I18" t="s">
        <v>2565</v>
      </c>
      <c r="J18" t="s">
        <v>2596</v>
      </c>
      <c r="K18">
        <v>40</v>
      </c>
      <c r="L18" s="13" t="s">
        <v>257</v>
      </c>
    </row>
    <row r="19" spans="1:12" x14ac:dyDescent="0.25">
      <c r="A19" t="s">
        <v>2597</v>
      </c>
      <c r="B19" t="s">
        <v>72</v>
      </c>
      <c r="C19" t="str">
        <f>_xlfn.XLOOKUP(Table7[[#This Row],[app_id]],Table5[app_id],Table5[app_name],"",0)</f>
        <v>CartCloud</v>
      </c>
      <c r="D19" t="s">
        <v>2502</v>
      </c>
      <c r="E19" s="1">
        <v>45669</v>
      </c>
      <c r="F19">
        <v>5</v>
      </c>
      <c r="G19" t="s">
        <v>2598</v>
      </c>
      <c r="H19" t="s">
        <v>2564</v>
      </c>
      <c r="I19" t="s">
        <v>2565</v>
      </c>
      <c r="J19" t="s">
        <v>2559</v>
      </c>
      <c r="K19">
        <v>25</v>
      </c>
      <c r="L19" s="13" t="s">
        <v>257</v>
      </c>
    </row>
    <row r="20" spans="1:12" x14ac:dyDescent="0.25">
      <c r="A20" t="s">
        <v>2599</v>
      </c>
      <c r="B20" t="s">
        <v>74</v>
      </c>
      <c r="C20" t="str">
        <f>_xlfn.XLOOKUP(Table7[[#This Row],[app_id]],Table5[app_id],Table5[app_name],"",0)</f>
        <v>CartMate</v>
      </c>
      <c r="D20" t="s">
        <v>1516</v>
      </c>
      <c r="E20" s="1">
        <v>46002</v>
      </c>
      <c r="F20">
        <v>4</v>
      </c>
      <c r="G20" t="s">
        <v>2598</v>
      </c>
      <c r="H20" t="s">
        <v>2564</v>
      </c>
      <c r="I20" t="s">
        <v>2565</v>
      </c>
      <c r="J20" t="s">
        <v>2600</v>
      </c>
      <c r="K20">
        <v>21</v>
      </c>
      <c r="L20" s="13" t="s">
        <v>257</v>
      </c>
    </row>
    <row r="21" spans="1:12" x14ac:dyDescent="0.25">
      <c r="A21" t="s">
        <v>2601</v>
      </c>
      <c r="B21" t="s">
        <v>76</v>
      </c>
      <c r="C21" t="str">
        <f>_xlfn.XLOOKUP(Table7[[#This Row],[app_id]],Table5[app_id],Table5[app_name],"",0)</f>
        <v>BazaarOne</v>
      </c>
      <c r="D21" t="s">
        <v>1647</v>
      </c>
      <c r="E21" s="1">
        <v>45514</v>
      </c>
      <c r="F21">
        <v>3</v>
      </c>
      <c r="G21" t="s">
        <v>2602</v>
      </c>
      <c r="H21" t="s">
        <v>2554</v>
      </c>
      <c r="I21" t="s">
        <v>2575</v>
      </c>
      <c r="J21" t="s">
        <v>2603</v>
      </c>
      <c r="K21">
        <v>20</v>
      </c>
      <c r="L21" s="13" t="s">
        <v>257</v>
      </c>
    </row>
    <row r="22" spans="1:12" x14ac:dyDescent="0.25">
      <c r="A22" t="s">
        <v>2604</v>
      </c>
      <c r="B22" t="s">
        <v>78</v>
      </c>
      <c r="C22" t="str">
        <f>_xlfn.XLOOKUP(Table7[[#This Row],[app_id]],Table5[app_id],Table5[app_name],"",0)</f>
        <v>StyleOne</v>
      </c>
      <c r="D22" t="s">
        <v>1858</v>
      </c>
      <c r="E22" s="1">
        <v>45451</v>
      </c>
      <c r="F22">
        <v>2</v>
      </c>
      <c r="G22" t="s">
        <v>2605</v>
      </c>
      <c r="H22" t="s">
        <v>2587</v>
      </c>
      <c r="I22" t="s">
        <v>2584</v>
      </c>
      <c r="J22" t="s">
        <v>2566</v>
      </c>
      <c r="K22">
        <v>93</v>
      </c>
      <c r="L22" s="13" t="s">
        <v>257</v>
      </c>
    </row>
    <row r="23" spans="1:12" x14ac:dyDescent="0.25">
      <c r="A23" t="s">
        <v>2606</v>
      </c>
      <c r="B23" t="s">
        <v>80</v>
      </c>
      <c r="C23" t="str">
        <f>_xlfn.XLOOKUP(Table7[[#This Row],[app_id]],Table5[app_id],Table5[app_name],"",0)</f>
        <v>Cartly</v>
      </c>
      <c r="D23" t="s">
        <v>1189</v>
      </c>
      <c r="E23" s="1">
        <v>45357</v>
      </c>
      <c r="F23">
        <v>4</v>
      </c>
      <c r="G23" t="s">
        <v>2592</v>
      </c>
      <c r="H23" t="s">
        <v>2564</v>
      </c>
      <c r="I23" t="s">
        <v>2571</v>
      </c>
      <c r="J23" t="s">
        <v>2600</v>
      </c>
      <c r="K23">
        <v>36</v>
      </c>
      <c r="L23" s="13" t="s">
        <v>258</v>
      </c>
    </row>
    <row r="24" spans="1:12" x14ac:dyDescent="0.25">
      <c r="A24" t="s">
        <v>2607</v>
      </c>
      <c r="B24" t="s">
        <v>83</v>
      </c>
      <c r="C24" t="str">
        <f>_xlfn.XLOOKUP(Table7[[#This Row],[app_id]],Table5[app_id],Table5[app_name],"",0)</f>
        <v>BazaarCloud</v>
      </c>
      <c r="D24" t="s">
        <v>1215</v>
      </c>
      <c r="E24" s="1">
        <v>45674</v>
      </c>
      <c r="F24">
        <v>3</v>
      </c>
      <c r="G24" t="s">
        <v>2594</v>
      </c>
      <c r="H24" t="s">
        <v>2554</v>
      </c>
      <c r="I24" t="s">
        <v>2565</v>
      </c>
      <c r="J24" t="s">
        <v>2556</v>
      </c>
      <c r="K24">
        <v>40</v>
      </c>
      <c r="L24" s="13" t="s">
        <v>257</v>
      </c>
    </row>
    <row r="25" spans="1:12" x14ac:dyDescent="0.25">
      <c r="A25" t="s">
        <v>2608</v>
      </c>
      <c r="B25" t="s">
        <v>85</v>
      </c>
      <c r="C25" t="str">
        <f>_xlfn.XLOOKUP(Table7[[#This Row],[app_id]],Table5[app_id],Table5[app_name],"",0)</f>
        <v>CartPro</v>
      </c>
      <c r="D25" t="s">
        <v>1124</v>
      </c>
      <c r="E25" s="1">
        <v>45702</v>
      </c>
      <c r="F25">
        <v>3</v>
      </c>
      <c r="G25" t="s">
        <v>2609</v>
      </c>
      <c r="H25" t="s">
        <v>2554</v>
      </c>
      <c r="I25" t="s">
        <v>2575</v>
      </c>
      <c r="J25" t="s">
        <v>2561</v>
      </c>
      <c r="K25">
        <v>36</v>
      </c>
      <c r="L25" s="13" t="s">
        <v>258</v>
      </c>
    </row>
    <row r="26" spans="1:12" x14ac:dyDescent="0.25">
      <c r="A26" t="s">
        <v>2610</v>
      </c>
      <c r="B26" t="s">
        <v>87</v>
      </c>
      <c r="C26" t="str">
        <f>_xlfn.XLOOKUP(Table7[[#This Row],[app_id]],Table5[app_id],Table5[app_name],"",0)</f>
        <v>RunPlus</v>
      </c>
      <c r="D26" t="s">
        <v>1430</v>
      </c>
      <c r="E26" s="1">
        <v>45453</v>
      </c>
      <c r="F26">
        <v>3</v>
      </c>
      <c r="G26" t="s">
        <v>2611</v>
      </c>
      <c r="H26" t="s">
        <v>2554</v>
      </c>
      <c r="I26" t="s">
        <v>2555</v>
      </c>
      <c r="J26" t="s">
        <v>2603</v>
      </c>
      <c r="K26">
        <v>22</v>
      </c>
      <c r="L26" s="13" t="s">
        <v>257</v>
      </c>
    </row>
    <row r="27" spans="1:12" x14ac:dyDescent="0.25">
      <c r="A27" t="s">
        <v>2612</v>
      </c>
      <c r="B27" t="s">
        <v>90</v>
      </c>
      <c r="C27" t="str">
        <f>_xlfn.XLOOKUP(Table7[[#This Row],[app_id]],Table5[app_id],Table5[app_name],"",0)</f>
        <v>TrainCloud</v>
      </c>
      <c r="D27" t="s">
        <v>2300</v>
      </c>
      <c r="E27" s="1">
        <v>45425</v>
      </c>
      <c r="F27">
        <v>4</v>
      </c>
      <c r="G27" t="s">
        <v>2613</v>
      </c>
      <c r="H27" t="s">
        <v>2564</v>
      </c>
      <c r="I27" t="s">
        <v>2565</v>
      </c>
      <c r="J27" t="s">
        <v>2556</v>
      </c>
      <c r="K27">
        <v>1</v>
      </c>
      <c r="L27" s="13" t="s">
        <v>257</v>
      </c>
    </row>
    <row r="28" spans="1:12" x14ac:dyDescent="0.25">
      <c r="A28" t="s">
        <v>2614</v>
      </c>
      <c r="B28" t="s">
        <v>92</v>
      </c>
      <c r="C28" t="str">
        <f>_xlfn.XLOOKUP(Table7[[#This Row],[app_id]],Table5[app_id],Table5[app_name],"",0)</f>
        <v>Trainly</v>
      </c>
      <c r="D28" t="s">
        <v>2514</v>
      </c>
      <c r="E28" s="1">
        <v>46007</v>
      </c>
      <c r="F28">
        <v>3</v>
      </c>
      <c r="G28" t="s">
        <v>2615</v>
      </c>
      <c r="H28" t="s">
        <v>2554</v>
      </c>
      <c r="I28" t="s">
        <v>2558</v>
      </c>
      <c r="J28" t="s">
        <v>2556</v>
      </c>
      <c r="K28">
        <v>7</v>
      </c>
      <c r="L28" s="13" t="s">
        <v>257</v>
      </c>
    </row>
    <row r="29" spans="1:12" x14ac:dyDescent="0.25">
      <c r="A29" t="s">
        <v>2616</v>
      </c>
      <c r="B29" t="s">
        <v>94</v>
      </c>
      <c r="C29" t="str">
        <f>_xlfn.XLOOKUP(Table7[[#This Row],[app_id]],Table5[app_id],Table5[app_name],"",0)</f>
        <v>LiftCloud</v>
      </c>
      <c r="D29" t="s">
        <v>1045</v>
      </c>
      <c r="E29" s="1">
        <v>45658</v>
      </c>
      <c r="F29">
        <v>5</v>
      </c>
      <c r="G29" t="s">
        <v>2617</v>
      </c>
      <c r="H29" t="s">
        <v>2564</v>
      </c>
      <c r="I29" t="s">
        <v>2575</v>
      </c>
      <c r="J29" t="s">
        <v>2569</v>
      </c>
      <c r="K29">
        <v>25</v>
      </c>
      <c r="L29" s="13" t="s">
        <v>258</v>
      </c>
    </row>
    <row r="30" spans="1:12" x14ac:dyDescent="0.25">
      <c r="A30" t="s">
        <v>2618</v>
      </c>
      <c r="B30" t="s">
        <v>96</v>
      </c>
      <c r="C30" t="str">
        <f>_xlfn.XLOOKUP(Table7[[#This Row],[app_id]],Table5[app_id],Table5[app_name],"",0)</f>
        <v>MoveNow</v>
      </c>
      <c r="D30" t="s">
        <v>1267</v>
      </c>
      <c r="E30" s="1">
        <v>45521</v>
      </c>
      <c r="F30">
        <v>3</v>
      </c>
      <c r="G30" t="s">
        <v>2615</v>
      </c>
      <c r="H30" t="s">
        <v>2554</v>
      </c>
      <c r="I30" t="s">
        <v>2578</v>
      </c>
      <c r="J30" t="s">
        <v>2581</v>
      </c>
      <c r="K30">
        <v>43</v>
      </c>
      <c r="L30" s="13" t="s">
        <v>257</v>
      </c>
    </row>
    <row r="31" spans="1:12" x14ac:dyDescent="0.25">
      <c r="A31" t="s">
        <v>2619</v>
      </c>
      <c r="B31" t="s">
        <v>98</v>
      </c>
      <c r="C31" t="str">
        <f>_xlfn.XLOOKUP(Table7[[#This Row],[app_id]],Table5[app_id],Table5[app_name],"",0)</f>
        <v>ActiveMate</v>
      </c>
      <c r="D31" t="s">
        <v>1789</v>
      </c>
      <c r="E31" s="1">
        <v>46009</v>
      </c>
      <c r="F31">
        <v>3</v>
      </c>
      <c r="G31" t="s">
        <v>2620</v>
      </c>
      <c r="H31" t="s">
        <v>2554</v>
      </c>
      <c r="I31" t="s">
        <v>2575</v>
      </c>
      <c r="J31" t="s">
        <v>2569</v>
      </c>
      <c r="K31">
        <v>9</v>
      </c>
      <c r="L31" s="13" t="s">
        <v>257</v>
      </c>
    </row>
    <row r="32" spans="1:12" x14ac:dyDescent="0.25">
      <c r="A32" t="s">
        <v>2621</v>
      </c>
      <c r="B32" t="s">
        <v>100</v>
      </c>
      <c r="C32" t="str">
        <f>_xlfn.XLOOKUP(Table7[[#This Row],[app_id]],Table5[app_id],Table5[app_name],"",0)</f>
        <v>RunGo</v>
      </c>
      <c r="D32" t="s">
        <v>1907</v>
      </c>
      <c r="E32" s="1">
        <v>45574</v>
      </c>
      <c r="F32">
        <v>5</v>
      </c>
      <c r="G32" t="s">
        <v>2622</v>
      </c>
      <c r="H32" t="s">
        <v>2564</v>
      </c>
      <c r="I32" t="s">
        <v>2575</v>
      </c>
      <c r="J32" t="s">
        <v>2600</v>
      </c>
      <c r="K32">
        <v>6</v>
      </c>
      <c r="L32" s="13" t="s">
        <v>257</v>
      </c>
    </row>
    <row r="33" spans="1:12" x14ac:dyDescent="0.25">
      <c r="A33" t="s">
        <v>2623</v>
      </c>
      <c r="B33" t="s">
        <v>102</v>
      </c>
      <c r="C33" t="str">
        <f>_xlfn.XLOOKUP(Table7[[#This Row],[app_id]],Table5[app_id],Table5[app_name],"",0)</f>
        <v>LiftPro</v>
      </c>
      <c r="D33" t="s">
        <v>1692</v>
      </c>
      <c r="E33" s="1">
        <v>45898</v>
      </c>
      <c r="F33">
        <v>4</v>
      </c>
      <c r="G33" t="s">
        <v>2613</v>
      </c>
      <c r="H33" t="s">
        <v>2564</v>
      </c>
      <c r="I33" t="s">
        <v>2575</v>
      </c>
      <c r="J33" t="s">
        <v>2559</v>
      </c>
      <c r="K33">
        <v>44</v>
      </c>
      <c r="L33" s="13" t="s">
        <v>258</v>
      </c>
    </row>
    <row r="34" spans="1:12" x14ac:dyDescent="0.25">
      <c r="A34" t="s">
        <v>2624</v>
      </c>
      <c r="B34" t="s">
        <v>104</v>
      </c>
      <c r="C34" t="str">
        <f>_xlfn.XLOOKUP(Table7[[#This Row],[app_id]],Table5[app_id],Table5[app_name],"",0)</f>
        <v>LiftPro</v>
      </c>
      <c r="D34" t="s">
        <v>692</v>
      </c>
      <c r="E34" s="1">
        <v>45668</v>
      </c>
      <c r="F34">
        <v>4</v>
      </c>
      <c r="G34" t="s">
        <v>2625</v>
      </c>
      <c r="H34" t="s">
        <v>2564</v>
      </c>
      <c r="I34" t="s">
        <v>2555</v>
      </c>
      <c r="J34" t="s">
        <v>2561</v>
      </c>
      <c r="K34">
        <v>29</v>
      </c>
      <c r="L34" s="13" t="s">
        <v>257</v>
      </c>
    </row>
    <row r="35" spans="1:12" x14ac:dyDescent="0.25">
      <c r="A35" t="s">
        <v>2626</v>
      </c>
      <c r="B35" t="s">
        <v>105</v>
      </c>
      <c r="C35" t="str">
        <f>_xlfn.XLOOKUP(Table7[[#This Row],[app_id]],Table5[app_id],Table5[app_name],"",0)</f>
        <v>Liftly</v>
      </c>
      <c r="D35" t="s">
        <v>1266</v>
      </c>
      <c r="E35" s="1">
        <v>45878</v>
      </c>
      <c r="F35">
        <v>4</v>
      </c>
      <c r="G35" t="s">
        <v>2617</v>
      </c>
      <c r="H35" t="s">
        <v>2564</v>
      </c>
      <c r="I35" t="s">
        <v>2555</v>
      </c>
      <c r="J35" t="s">
        <v>2600</v>
      </c>
      <c r="K35">
        <v>14</v>
      </c>
      <c r="L35" s="13" t="s">
        <v>258</v>
      </c>
    </row>
    <row r="36" spans="1:12" x14ac:dyDescent="0.25">
      <c r="A36" t="s">
        <v>2627</v>
      </c>
      <c r="B36" t="s">
        <v>107</v>
      </c>
      <c r="C36" t="str">
        <f>_xlfn.XLOOKUP(Table7[[#This Row],[app_id]],Table5[app_id],Table5[app_name],"",0)</f>
        <v>YogaHub</v>
      </c>
      <c r="D36" t="s">
        <v>536</v>
      </c>
      <c r="E36" s="1">
        <v>45406</v>
      </c>
      <c r="F36">
        <v>3</v>
      </c>
      <c r="G36" t="s">
        <v>2620</v>
      </c>
      <c r="H36" t="s">
        <v>2554</v>
      </c>
      <c r="I36" t="s">
        <v>2555</v>
      </c>
      <c r="J36" t="s">
        <v>2559</v>
      </c>
      <c r="K36">
        <v>8</v>
      </c>
      <c r="L36" s="13" t="s">
        <v>257</v>
      </c>
    </row>
    <row r="37" spans="1:12" x14ac:dyDescent="0.25">
      <c r="A37" t="s">
        <v>2628</v>
      </c>
      <c r="B37" t="s">
        <v>109</v>
      </c>
      <c r="C37" t="str">
        <f>_xlfn.XLOOKUP(Table7[[#This Row],[app_id]],Table5[app_id],Table5[app_name],"",0)</f>
        <v>MoveGo</v>
      </c>
      <c r="D37" t="s">
        <v>1004</v>
      </c>
      <c r="E37" s="1">
        <v>45570</v>
      </c>
      <c r="F37">
        <v>5</v>
      </c>
      <c r="G37" t="s">
        <v>2617</v>
      </c>
      <c r="H37" t="s">
        <v>2564</v>
      </c>
      <c r="I37" t="s">
        <v>2565</v>
      </c>
      <c r="J37" t="s">
        <v>2596</v>
      </c>
      <c r="K37">
        <v>17</v>
      </c>
      <c r="L37" s="13" t="s">
        <v>258</v>
      </c>
    </row>
    <row r="38" spans="1:12" x14ac:dyDescent="0.25">
      <c r="A38" t="s">
        <v>2629</v>
      </c>
      <c r="B38" t="s">
        <v>111</v>
      </c>
      <c r="C38" t="str">
        <f>_xlfn.XLOOKUP(Table7[[#This Row],[app_id]],Table5[app_id],Table5[app_name],"",0)</f>
        <v>BrightNow</v>
      </c>
      <c r="D38" t="s">
        <v>1680</v>
      </c>
      <c r="E38" s="1">
        <v>45817</v>
      </c>
      <c r="F38">
        <v>2</v>
      </c>
      <c r="G38" t="s">
        <v>2630</v>
      </c>
      <c r="H38" t="s">
        <v>2587</v>
      </c>
      <c r="I38" t="s">
        <v>2588</v>
      </c>
      <c r="J38" t="s">
        <v>2559</v>
      </c>
      <c r="K38">
        <v>58</v>
      </c>
      <c r="L38" s="13" t="s">
        <v>258</v>
      </c>
    </row>
    <row r="39" spans="1:12" x14ac:dyDescent="0.25">
      <c r="A39" t="s">
        <v>2631</v>
      </c>
      <c r="B39" t="s">
        <v>114</v>
      </c>
      <c r="C39" t="str">
        <f>_xlfn.XLOOKUP(Table7[[#This Row],[app_id]],Table5[app_id],Table5[app_name],"",0)</f>
        <v>StudyCloud</v>
      </c>
      <c r="D39" t="s">
        <v>1999</v>
      </c>
      <c r="E39" s="1">
        <v>45834</v>
      </c>
      <c r="F39">
        <v>2</v>
      </c>
      <c r="G39" t="s">
        <v>2632</v>
      </c>
      <c r="H39" t="s">
        <v>2587</v>
      </c>
      <c r="I39" t="s">
        <v>2575</v>
      </c>
      <c r="J39" t="s">
        <v>2633</v>
      </c>
      <c r="K39">
        <v>56</v>
      </c>
      <c r="L39" s="13" t="s">
        <v>257</v>
      </c>
    </row>
    <row r="40" spans="1:12" x14ac:dyDescent="0.25">
      <c r="A40" t="s">
        <v>2634</v>
      </c>
      <c r="B40" t="s">
        <v>116</v>
      </c>
      <c r="C40" t="str">
        <f>_xlfn.XLOOKUP(Table7[[#This Row],[app_id]],Table5[app_id],Table5[app_name],"",0)</f>
        <v>SkillNow</v>
      </c>
      <c r="D40" t="s">
        <v>2231</v>
      </c>
      <c r="E40" s="1">
        <v>45589</v>
      </c>
      <c r="F40">
        <v>4</v>
      </c>
      <c r="G40" t="s">
        <v>2635</v>
      </c>
      <c r="H40" t="s">
        <v>2564</v>
      </c>
      <c r="I40" t="s">
        <v>2555</v>
      </c>
      <c r="J40" t="s">
        <v>2556</v>
      </c>
      <c r="K40">
        <v>17</v>
      </c>
      <c r="L40" s="13" t="s">
        <v>257</v>
      </c>
    </row>
    <row r="41" spans="1:12" x14ac:dyDescent="0.25">
      <c r="A41" t="s">
        <v>2636</v>
      </c>
      <c r="B41" t="s">
        <v>118</v>
      </c>
      <c r="C41" t="str">
        <f>_xlfn.XLOOKUP(Table7[[#This Row],[app_id]],Table5[app_id],Table5[app_name],"",0)</f>
        <v>LearnMate</v>
      </c>
      <c r="D41" t="s">
        <v>574</v>
      </c>
      <c r="E41" s="1">
        <v>45853</v>
      </c>
      <c r="F41">
        <v>2</v>
      </c>
      <c r="G41" t="s">
        <v>2632</v>
      </c>
      <c r="H41" t="s">
        <v>2587</v>
      </c>
      <c r="I41" t="s">
        <v>2588</v>
      </c>
      <c r="J41" t="s">
        <v>2603</v>
      </c>
      <c r="K41">
        <v>45</v>
      </c>
      <c r="L41" s="13" t="s">
        <v>257</v>
      </c>
    </row>
    <row r="42" spans="1:12" x14ac:dyDescent="0.25">
      <c r="A42" t="s">
        <v>2637</v>
      </c>
      <c r="B42" t="s">
        <v>120</v>
      </c>
      <c r="C42" t="str">
        <f>_xlfn.XLOOKUP(Table7[[#This Row],[app_id]],Table5[app_id],Table5[app_name],"",0)</f>
        <v>QuestNow</v>
      </c>
      <c r="D42" t="s">
        <v>867</v>
      </c>
      <c r="E42" s="1">
        <v>45795</v>
      </c>
      <c r="F42">
        <v>4</v>
      </c>
      <c r="G42" t="s">
        <v>2638</v>
      </c>
      <c r="H42" t="s">
        <v>2564</v>
      </c>
      <c r="I42" t="s">
        <v>2575</v>
      </c>
      <c r="J42" t="s">
        <v>2556</v>
      </c>
      <c r="K42">
        <v>26</v>
      </c>
      <c r="L42" s="13" t="s">
        <v>257</v>
      </c>
    </row>
    <row r="43" spans="1:12" x14ac:dyDescent="0.25">
      <c r="A43" t="s">
        <v>2639</v>
      </c>
      <c r="B43" t="s">
        <v>122</v>
      </c>
      <c r="C43" t="str">
        <f>_xlfn.XLOOKUP(Table7[[#This Row],[app_id]],Table5[app_id],Table5[app_name],"",0)</f>
        <v>SkillHub</v>
      </c>
      <c r="D43" t="s">
        <v>910</v>
      </c>
      <c r="E43" s="1">
        <v>45309</v>
      </c>
      <c r="F43">
        <v>5</v>
      </c>
      <c r="G43" t="s">
        <v>2640</v>
      </c>
      <c r="H43" t="s">
        <v>2564</v>
      </c>
      <c r="I43" t="s">
        <v>2555</v>
      </c>
      <c r="J43" t="s">
        <v>2596</v>
      </c>
      <c r="K43">
        <v>22</v>
      </c>
      <c r="L43" s="13" t="s">
        <v>257</v>
      </c>
    </row>
    <row r="44" spans="1:12" x14ac:dyDescent="0.25">
      <c r="A44" t="s">
        <v>2641</v>
      </c>
      <c r="B44" t="s">
        <v>124</v>
      </c>
      <c r="C44" t="str">
        <f>_xlfn.XLOOKUP(Table7[[#This Row],[app_id]],Table5[app_id],Table5[app_name],"",0)</f>
        <v>TutorCloud</v>
      </c>
      <c r="D44" t="s">
        <v>1429</v>
      </c>
      <c r="E44" s="1">
        <v>46119</v>
      </c>
      <c r="F44">
        <v>4</v>
      </c>
      <c r="G44" t="s">
        <v>2638</v>
      </c>
      <c r="H44" t="s">
        <v>2564</v>
      </c>
      <c r="I44" t="s">
        <v>2575</v>
      </c>
      <c r="J44" t="s">
        <v>2596</v>
      </c>
      <c r="K44">
        <v>25</v>
      </c>
      <c r="L44" s="13" t="s">
        <v>257</v>
      </c>
    </row>
    <row r="45" spans="1:12" x14ac:dyDescent="0.25">
      <c r="A45" t="s">
        <v>2642</v>
      </c>
      <c r="B45" t="s">
        <v>126</v>
      </c>
      <c r="C45" t="str">
        <f>_xlfn.XLOOKUP(Table7[[#This Row],[app_id]],Table5[app_id],Table5[app_name],"",0)</f>
        <v>SkillOne</v>
      </c>
      <c r="D45" t="s">
        <v>1658</v>
      </c>
      <c r="E45" s="1">
        <v>45709</v>
      </c>
      <c r="F45">
        <v>4</v>
      </c>
      <c r="G45" t="s">
        <v>2635</v>
      </c>
      <c r="H45" t="s">
        <v>2564</v>
      </c>
      <c r="I45" t="s">
        <v>2565</v>
      </c>
      <c r="J45" t="s">
        <v>2596</v>
      </c>
      <c r="K45">
        <v>44</v>
      </c>
      <c r="L45" s="13" t="s">
        <v>257</v>
      </c>
    </row>
    <row r="46" spans="1:12" x14ac:dyDescent="0.25">
      <c r="A46" t="s">
        <v>2643</v>
      </c>
      <c r="B46" t="s">
        <v>128</v>
      </c>
      <c r="C46" t="str">
        <f>_xlfn.XLOOKUP(Table7[[#This Row],[app_id]],Table5[app_id],Table5[app_name],"",0)</f>
        <v>LearnOne</v>
      </c>
      <c r="D46" t="s">
        <v>1544</v>
      </c>
      <c r="E46" s="1">
        <v>45337</v>
      </c>
      <c r="F46">
        <v>2</v>
      </c>
      <c r="G46" t="s">
        <v>2644</v>
      </c>
      <c r="H46" t="s">
        <v>2587</v>
      </c>
      <c r="I46" t="s">
        <v>2571</v>
      </c>
      <c r="J46" t="s">
        <v>2633</v>
      </c>
      <c r="K46">
        <v>85</v>
      </c>
      <c r="L46" s="13" t="s">
        <v>258</v>
      </c>
    </row>
    <row r="47" spans="1:12" x14ac:dyDescent="0.25">
      <c r="A47" t="s">
        <v>2645</v>
      </c>
      <c r="B47" t="s">
        <v>130</v>
      </c>
      <c r="C47" t="str">
        <f>_xlfn.XLOOKUP(Table7[[#This Row],[app_id]],Table5[app_id],Table5[app_name],"",0)</f>
        <v>LearnPlus</v>
      </c>
      <c r="D47" t="s">
        <v>577</v>
      </c>
      <c r="E47" s="1">
        <v>45768</v>
      </c>
      <c r="F47">
        <v>3</v>
      </c>
      <c r="G47" t="s">
        <v>2646</v>
      </c>
      <c r="H47" t="s">
        <v>2554</v>
      </c>
      <c r="I47" t="s">
        <v>2558</v>
      </c>
      <c r="J47" t="s">
        <v>2569</v>
      </c>
      <c r="K47">
        <v>31</v>
      </c>
      <c r="L47" s="13" t="s">
        <v>257</v>
      </c>
    </row>
    <row r="48" spans="1:12" x14ac:dyDescent="0.25">
      <c r="A48" t="s">
        <v>2647</v>
      </c>
      <c r="B48" t="s">
        <v>132</v>
      </c>
      <c r="C48" t="str">
        <f>_xlfn.XLOOKUP(Table7[[#This Row],[app_id]],Table5[app_id],Table5[app_name],"",0)</f>
        <v>StudyPlus</v>
      </c>
      <c r="D48" t="s">
        <v>1257</v>
      </c>
      <c r="E48" s="1">
        <v>46045</v>
      </c>
      <c r="F48">
        <v>3</v>
      </c>
      <c r="G48" t="s">
        <v>2646</v>
      </c>
      <c r="H48" t="s">
        <v>2554</v>
      </c>
      <c r="I48" t="s">
        <v>2558</v>
      </c>
      <c r="J48" t="s">
        <v>2561</v>
      </c>
      <c r="K48">
        <v>8</v>
      </c>
      <c r="L48" s="13" t="s">
        <v>257</v>
      </c>
    </row>
    <row r="49" spans="1:12" x14ac:dyDescent="0.25">
      <c r="A49" t="s">
        <v>2648</v>
      </c>
      <c r="B49" t="s">
        <v>134</v>
      </c>
      <c r="C49" t="str">
        <f>_xlfn.XLOOKUP(Table7[[#This Row],[app_id]],Table5[app_id],Table5[app_name],"",0)</f>
        <v>StudyX</v>
      </c>
      <c r="D49" t="s">
        <v>1159</v>
      </c>
      <c r="E49" s="1">
        <v>46132</v>
      </c>
      <c r="F49">
        <v>5</v>
      </c>
      <c r="G49" t="s">
        <v>2640</v>
      </c>
      <c r="H49" t="s">
        <v>2564</v>
      </c>
      <c r="I49" t="s">
        <v>2571</v>
      </c>
      <c r="J49" t="s">
        <v>2559</v>
      </c>
      <c r="K49">
        <v>40</v>
      </c>
      <c r="L49" s="13" t="s">
        <v>257</v>
      </c>
    </row>
    <row r="50" spans="1:12" x14ac:dyDescent="0.25">
      <c r="A50" t="s">
        <v>2649</v>
      </c>
      <c r="B50" t="s">
        <v>136</v>
      </c>
      <c r="C50" t="str">
        <f>_xlfn.XLOOKUP(Table7[[#This Row],[app_id]],Table5[app_id],Table5[app_name],"",0)</f>
        <v>PlayPlus</v>
      </c>
      <c r="D50" t="s">
        <v>1655</v>
      </c>
      <c r="E50" s="1">
        <v>45786</v>
      </c>
      <c r="F50">
        <v>4</v>
      </c>
      <c r="G50" t="s">
        <v>2650</v>
      </c>
      <c r="H50" t="s">
        <v>2564</v>
      </c>
      <c r="I50" t="s">
        <v>2575</v>
      </c>
      <c r="J50" t="s">
        <v>2559</v>
      </c>
      <c r="K50">
        <v>35</v>
      </c>
      <c r="L50" s="13" t="s">
        <v>257</v>
      </c>
    </row>
    <row r="51" spans="1:12" x14ac:dyDescent="0.25">
      <c r="A51" t="s">
        <v>2651</v>
      </c>
      <c r="B51" t="s">
        <v>139</v>
      </c>
      <c r="C51" t="str">
        <f>_xlfn.XLOOKUP(Table7[[#This Row],[app_id]],Table5[app_id],Table5[app_name],"",0)</f>
        <v>ShowMate</v>
      </c>
      <c r="D51" t="s">
        <v>1240</v>
      </c>
      <c r="E51" s="1">
        <v>45610</v>
      </c>
      <c r="F51">
        <v>4</v>
      </c>
      <c r="G51" t="s">
        <v>2652</v>
      </c>
      <c r="H51" t="s">
        <v>2564</v>
      </c>
      <c r="I51" t="s">
        <v>2565</v>
      </c>
      <c r="J51" t="s">
        <v>2603</v>
      </c>
      <c r="K51">
        <v>45</v>
      </c>
      <c r="L51" s="13" t="s">
        <v>257</v>
      </c>
    </row>
    <row r="52" spans="1:12" x14ac:dyDescent="0.25">
      <c r="A52" t="s">
        <v>2653</v>
      </c>
      <c r="B52" t="s">
        <v>141</v>
      </c>
      <c r="C52" t="str">
        <f>_xlfn.XLOOKUP(Table7[[#This Row],[app_id]],Table5[app_id],Table5[app_name],"",0)</f>
        <v>VibeX</v>
      </c>
      <c r="D52" t="s">
        <v>1490</v>
      </c>
      <c r="E52" s="1">
        <v>46028</v>
      </c>
      <c r="F52">
        <v>4</v>
      </c>
      <c r="G52" t="s">
        <v>2650</v>
      </c>
      <c r="H52" t="s">
        <v>2564</v>
      </c>
      <c r="I52" t="s">
        <v>2575</v>
      </c>
      <c r="J52" t="s">
        <v>2633</v>
      </c>
      <c r="K52">
        <v>26</v>
      </c>
      <c r="L52" s="13" t="s">
        <v>258</v>
      </c>
    </row>
    <row r="53" spans="1:12" x14ac:dyDescent="0.25">
      <c r="A53" t="s">
        <v>2654</v>
      </c>
      <c r="B53" t="s">
        <v>143</v>
      </c>
      <c r="C53" t="str">
        <f>_xlfn.XLOOKUP(Table7[[#This Row],[app_id]],Table5[app_id],Table5[app_name],"",0)</f>
        <v>BuzzNow</v>
      </c>
      <c r="D53" t="s">
        <v>1642</v>
      </c>
      <c r="E53" s="1">
        <v>45898</v>
      </c>
      <c r="F53">
        <v>3</v>
      </c>
      <c r="G53" t="s">
        <v>2655</v>
      </c>
      <c r="H53" t="s">
        <v>2554</v>
      </c>
      <c r="I53" t="s">
        <v>2588</v>
      </c>
      <c r="J53" t="s">
        <v>2559</v>
      </c>
      <c r="K53">
        <v>19</v>
      </c>
      <c r="L53" s="13" t="s">
        <v>257</v>
      </c>
    </row>
    <row r="54" spans="1:12" x14ac:dyDescent="0.25">
      <c r="A54" t="s">
        <v>2656</v>
      </c>
      <c r="B54" t="s">
        <v>145</v>
      </c>
      <c r="C54" t="str">
        <f>_xlfn.XLOOKUP(Table7[[#This Row],[app_id]],Table5[app_id],Table5[app_name],"",0)</f>
        <v>StreamPlus</v>
      </c>
      <c r="D54" t="s">
        <v>1805</v>
      </c>
      <c r="E54" s="1">
        <v>45842</v>
      </c>
      <c r="F54">
        <v>4</v>
      </c>
      <c r="G54" t="s">
        <v>2650</v>
      </c>
      <c r="H54" t="s">
        <v>2564</v>
      </c>
      <c r="I54" t="s">
        <v>2571</v>
      </c>
      <c r="J54" t="s">
        <v>2559</v>
      </c>
      <c r="K54">
        <v>44</v>
      </c>
      <c r="L54" s="13" t="s">
        <v>258</v>
      </c>
    </row>
    <row r="55" spans="1:12" x14ac:dyDescent="0.25">
      <c r="A55" t="s">
        <v>2657</v>
      </c>
      <c r="B55" t="s">
        <v>147</v>
      </c>
      <c r="C55" t="str">
        <f>_xlfn.XLOOKUP(Table7[[#This Row],[app_id]],Table5[app_id],Table5[app_name],"",0)</f>
        <v>Showly</v>
      </c>
      <c r="D55" t="s">
        <v>788</v>
      </c>
      <c r="E55" s="1">
        <v>46112</v>
      </c>
      <c r="F55">
        <v>4</v>
      </c>
      <c r="G55" t="s">
        <v>2652</v>
      </c>
      <c r="H55" t="s">
        <v>2564</v>
      </c>
      <c r="I55" t="s">
        <v>2565</v>
      </c>
      <c r="J55" t="s">
        <v>2633</v>
      </c>
      <c r="K55">
        <v>22</v>
      </c>
      <c r="L55" s="13" t="s">
        <v>257</v>
      </c>
    </row>
    <row r="56" spans="1:12" x14ac:dyDescent="0.25">
      <c r="A56" t="s">
        <v>2658</v>
      </c>
      <c r="B56" t="s">
        <v>149</v>
      </c>
      <c r="C56" t="str">
        <f>_xlfn.XLOOKUP(Table7[[#This Row],[app_id]],Table5[app_id],Table5[app_name],"",0)</f>
        <v>BuzzOne</v>
      </c>
      <c r="D56" t="s">
        <v>558</v>
      </c>
      <c r="E56" s="1">
        <v>45782</v>
      </c>
      <c r="F56">
        <v>3</v>
      </c>
      <c r="G56" t="s">
        <v>2655</v>
      </c>
      <c r="H56" t="s">
        <v>2554</v>
      </c>
      <c r="I56" t="s">
        <v>2575</v>
      </c>
      <c r="J56" t="s">
        <v>2600</v>
      </c>
      <c r="K56">
        <v>25</v>
      </c>
      <c r="L56" s="13" t="s">
        <v>257</v>
      </c>
    </row>
    <row r="57" spans="1:12" x14ac:dyDescent="0.25">
      <c r="A57" t="s">
        <v>2659</v>
      </c>
      <c r="B57" t="s">
        <v>151</v>
      </c>
      <c r="C57" t="str">
        <f>_xlfn.XLOOKUP(Table7[[#This Row],[app_id]],Table5[app_id],Table5[app_name],"",0)</f>
        <v>PlayHub</v>
      </c>
      <c r="D57" t="s">
        <v>1328</v>
      </c>
      <c r="E57" s="1">
        <v>45814</v>
      </c>
      <c r="F57">
        <v>5</v>
      </c>
      <c r="G57" t="s">
        <v>2650</v>
      </c>
      <c r="H57" t="s">
        <v>2564</v>
      </c>
      <c r="I57" t="s">
        <v>2558</v>
      </c>
      <c r="J57" t="s">
        <v>2600</v>
      </c>
      <c r="K57">
        <v>48</v>
      </c>
      <c r="L57" s="13" t="s">
        <v>257</v>
      </c>
    </row>
    <row r="58" spans="1:12" x14ac:dyDescent="0.25">
      <c r="A58" t="s">
        <v>2660</v>
      </c>
      <c r="B58" t="s">
        <v>153</v>
      </c>
      <c r="C58" t="str">
        <f>_xlfn.XLOOKUP(Table7[[#This Row],[app_id]],Table5[app_id],Table5[app_name],"",0)</f>
        <v>CinemaGo</v>
      </c>
      <c r="D58" t="s">
        <v>1252</v>
      </c>
      <c r="E58" s="1">
        <v>45810</v>
      </c>
      <c r="F58">
        <v>4</v>
      </c>
      <c r="G58" t="s">
        <v>2652</v>
      </c>
      <c r="H58" t="s">
        <v>2564</v>
      </c>
      <c r="I58" t="s">
        <v>2558</v>
      </c>
      <c r="J58" t="s">
        <v>2566</v>
      </c>
      <c r="K58">
        <v>46</v>
      </c>
      <c r="L58" s="13" t="s">
        <v>257</v>
      </c>
    </row>
    <row r="59" spans="1:12" x14ac:dyDescent="0.25">
      <c r="A59" t="s">
        <v>2661</v>
      </c>
      <c r="B59" t="s">
        <v>155</v>
      </c>
      <c r="C59" t="str">
        <f>_xlfn.XLOOKUP(Table7[[#This Row],[app_id]],Table5[app_id],Table5[app_name],"",0)</f>
        <v>LaughX</v>
      </c>
      <c r="D59" t="s">
        <v>768</v>
      </c>
      <c r="E59" s="1">
        <v>45487</v>
      </c>
      <c r="F59">
        <v>5</v>
      </c>
      <c r="G59" t="s">
        <v>2652</v>
      </c>
      <c r="H59" t="s">
        <v>2564</v>
      </c>
      <c r="I59" t="s">
        <v>2575</v>
      </c>
      <c r="J59" t="s">
        <v>2603</v>
      </c>
      <c r="K59">
        <v>19</v>
      </c>
      <c r="L59" s="13" t="s">
        <v>258</v>
      </c>
    </row>
    <row r="60" spans="1:12" x14ac:dyDescent="0.25">
      <c r="A60" t="s">
        <v>2662</v>
      </c>
      <c r="B60" t="s">
        <v>157</v>
      </c>
      <c r="C60" t="str">
        <f>_xlfn.XLOOKUP(Table7[[#This Row],[app_id]],Table5[app_id],Table5[app_name],"",0)</f>
        <v>CinemaHub</v>
      </c>
      <c r="D60" t="s">
        <v>1550</v>
      </c>
      <c r="E60" s="1">
        <v>45779</v>
      </c>
      <c r="F60">
        <v>3</v>
      </c>
      <c r="G60" t="s">
        <v>2663</v>
      </c>
      <c r="H60" t="s">
        <v>2554</v>
      </c>
      <c r="I60" t="s">
        <v>2584</v>
      </c>
      <c r="J60" t="s">
        <v>2603</v>
      </c>
      <c r="K60">
        <v>37</v>
      </c>
      <c r="L60" s="13" t="s">
        <v>257</v>
      </c>
    </row>
    <row r="61" spans="1:12" x14ac:dyDescent="0.25">
      <c r="A61" t="s">
        <v>2664</v>
      </c>
      <c r="B61" t="s">
        <v>159</v>
      </c>
      <c r="C61" t="str">
        <f>_xlfn.XLOOKUP(Table7[[#This Row],[app_id]],Table5[app_id],Table5[app_name],"",0)</f>
        <v>ShowPro</v>
      </c>
      <c r="D61" t="s">
        <v>2092</v>
      </c>
      <c r="E61" s="1">
        <v>45320</v>
      </c>
      <c r="F61">
        <v>5</v>
      </c>
      <c r="G61" t="s">
        <v>2652</v>
      </c>
      <c r="H61" t="s">
        <v>2564</v>
      </c>
      <c r="I61" t="s">
        <v>2575</v>
      </c>
      <c r="J61" t="s">
        <v>2633</v>
      </c>
      <c r="K61">
        <v>13</v>
      </c>
      <c r="L61" s="13" t="s">
        <v>257</v>
      </c>
    </row>
    <row r="62" spans="1:12" x14ac:dyDescent="0.25">
      <c r="A62" t="s">
        <v>2665</v>
      </c>
      <c r="B62" t="s">
        <v>161</v>
      </c>
      <c r="C62" t="str">
        <f>_xlfn.XLOOKUP(Table7[[#This Row],[app_id]],Table5[app_id],Table5[app_name],"",0)</f>
        <v>FoodPlus</v>
      </c>
      <c r="D62" t="s">
        <v>1911</v>
      </c>
      <c r="E62" s="1">
        <v>45905</v>
      </c>
      <c r="F62">
        <v>3</v>
      </c>
      <c r="G62" t="s">
        <v>2666</v>
      </c>
      <c r="H62" t="s">
        <v>2554</v>
      </c>
      <c r="I62" t="s">
        <v>2588</v>
      </c>
      <c r="J62" t="s">
        <v>2569</v>
      </c>
      <c r="K62">
        <v>4</v>
      </c>
      <c r="L62" s="13" t="s">
        <v>258</v>
      </c>
    </row>
    <row r="63" spans="1:12" x14ac:dyDescent="0.25">
      <c r="A63" t="s">
        <v>2667</v>
      </c>
      <c r="B63" t="s">
        <v>164</v>
      </c>
      <c r="C63" t="str">
        <f>_xlfn.XLOOKUP(Table7[[#This Row],[app_id]],Table5[app_id],Table5[app_name],"",0)</f>
        <v>BiteGo</v>
      </c>
      <c r="D63" t="s">
        <v>2386</v>
      </c>
      <c r="E63" s="1">
        <v>45678</v>
      </c>
      <c r="F63">
        <v>3</v>
      </c>
      <c r="G63" t="s">
        <v>2668</v>
      </c>
      <c r="H63" t="s">
        <v>2554</v>
      </c>
      <c r="I63" t="s">
        <v>2555</v>
      </c>
      <c r="J63" t="s">
        <v>2559</v>
      </c>
      <c r="K63">
        <v>13</v>
      </c>
      <c r="L63" s="13" t="s">
        <v>258</v>
      </c>
    </row>
    <row r="64" spans="1:12" x14ac:dyDescent="0.25">
      <c r="A64" t="s">
        <v>2669</v>
      </c>
      <c r="B64" t="s">
        <v>166</v>
      </c>
      <c r="C64" t="str">
        <f>_xlfn.XLOOKUP(Table7[[#This Row],[app_id]],Table5[app_id],Table5[app_name],"",0)</f>
        <v>OrderCloud</v>
      </c>
      <c r="D64" t="s">
        <v>2208</v>
      </c>
      <c r="E64" s="1">
        <v>45549</v>
      </c>
      <c r="F64">
        <v>3</v>
      </c>
      <c r="G64" t="s">
        <v>2670</v>
      </c>
      <c r="H64" t="s">
        <v>2554</v>
      </c>
      <c r="I64" t="s">
        <v>2578</v>
      </c>
      <c r="J64" t="s">
        <v>2633</v>
      </c>
      <c r="K64">
        <v>28</v>
      </c>
      <c r="L64" s="13" t="s">
        <v>258</v>
      </c>
    </row>
    <row r="65" spans="1:12" x14ac:dyDescent="0.25">
      <c r="A65" t="s">
        <v>2671</v>
      </c>
      <c r="B65" t="s">
        <v>168</v>
      </c>
      <c r="C65" t="str">
        <f>_xlfn.XLOOKUP(Table7[[#This Row],[app_id]],Table5[app_id],Table5[app_name],"",0)</f>
        <v>DinePlus</v>
      </c>
      <c r="D65" t="s">
        <v>1466</v>
      </c>
      <c r="E65" s="1">
        <v>45888</v>
      </c>
      <c r="F65">
        <v>3</v>
      </c>
      <c r="G65" t="s">
        <v>2672</v>
      </c>
      <c r="H65" t="s">
        <v>2554</v>
      </c>
      <c r="I65" t="s">
        <v>2584</v>
      </c>
      <c r="J65" t="s">
        <v>2596</v>
      </c>
      <c r="K65">
        <v>48</v>
      </c>
      <c r="L65" s="13" t="s">
        <v>258</v>
      </c>
    </row>
    <row r="66" spans="1:12" x14ac:dyDescent="0.25">
      <c r="A66" t="s">
        <v>2673</v>
      </c>
      <c r="B66" t="s">
        <v>170</v>
      </c>
      <c r="C66" t="str">
        <f>_xlfn.XLOOKUP(Table7[[#This Row],[app_id]],Table5[app_id],Table5[app_name],"",0)</f>
        <v>SnackX</v>
      </c>
      <c r="D66" t="s">
        <v>2355</v>
      </c>
      <c r="E66" s="1">
        <v>45396</v>
      </c>
      <c r="F66">
        <v>5</v>
      </c>
      <c r="G66" t="s">
        <v>2674</v>
      </c>
      <c r="H66" t="s">
        <v>2564</v>
      </c>
      <c r="I66" t="s">
        <v>2555</v>
      </c>
      <c r="J66" t="s">
        <v>2559</v>
      </c>
      <c r="K66">
        <v>10</v>
      </c>
      <c r="L66" s="13" t="s">
        <v>257</v>
      </c>
    </row>
    <row r="67" spans="1:12" x14ac:dyDescent="0.25">
      <c r="A67" t="s">
        <v>2675</v>
      </c>
      <c r="B67" t="s">
        <v>172</v>
      </c>
      <c r="C67" t="str">
        <f>_xlfn.XLOOKUP(Table7[[#This Row],[app_id]],Table5[app_id],Table5[app_name],"",0)</f>
        <v>FoodOne</v>
      </c>
      <c r="D67" t="s">
        <v>2502</v>
      </c>
      <c r="E67" s="1">
        <v>45560</v>
      </c>
      <c r="F67">
        <v>4</v>
      </c>
      <c r="G67" t="s">
        <v>2676</v>
      </c>
      <c r="H67" t="s">
        <v>2564</v>
      </c>
      <c r="I67" t="s">
        <v>2558</v>
      </c>
      <c r="J67" t="s">
        <v>2596</v>
      </c>
      <c r="K67">
        <v>35</v>
      </c>
      <c r="L67" s="13" t="s">
        <v>257</v>
      </c>
    </row>
    <row r="68" spans="1:12" x14ac:dyDescent="0.25">
      <c r="A68" t="s">
        <v>2677</v>
      </c>
      <c r="B68" t="s">
        <v>174</v>
      </c>
      <c r="C68" t="str">
        <f>_xlfn.XLOOKUP(Table7[[#This Row],[app_id]],Table5[app_id],Table5[app_name],"",0)</f>
        <v>MealMate</v>
      </c>
      <c r="D68" t="s">
        <v>932</v>
      </c>
      <c r="E68" s="1">
        <v>45379</v>
      </c>
      <c r="F68">
        <v>3</v>
      </c>
      <c r="G68" t="s">
        <v>2666</v>
      </c>
      <c r="H68" t="s">
        <v>2554</v>
      </c>
      <c r="I68" t="s">
        <v>2588</v>
      </c>
      <c r="J68" t="s">
        <v>2556</v>
      </c>
      <c r="K68">
        <v>1</v>
      </c>
      <c r="L68" s="13" t="s">
        <v>258</v>
      </c>
    </row>
    <row r="69" spans="1:12" x14ac:dyDescent="0.25">
      <c r="A69" t="s">
        <v>2678</v>
      </c>
      <c r="B69" t="s">
        <v>176</v>
      </c>
      <c r="C69" t="str">
        <f>_xlfn.XLOOKUP(Table7[[#This Row],[app_id]],Table5[app_id],Table5[app_name],"",0)</f>
        <v>SnackHub</v>
      </c>
      <c r="D69" t="s">
        <v>641</v>
      </c>
      <c r="E69" s="1">
        <v>45922</v>
      </c>
      <c r="F69">
        <v>5</v>
      </c>
      <c r="G69" t="s">
        <v>2679</v>
      </c>
      <c r="H69" t="s">
        <v>2564</v>
      </c>
      <c r="I69" t="s">
        <v>2575</v>
      </c>
      <c r="J69" t="s">
        <v>2561</v>
      </c>
      <c r="K69">
        <v>12</v>
      </c>
      <c r="L69" s="13" t="s">
        <v>258</v>
      </c>
    </row>
    <row r="70" spans="1:12" x14ac:dyDescent="0.25">
      <c r="A70" t="s">
        <v>2680</v>
      </c>
      <c r="B70" t="s">
        <v>178</v>
      </c>
      <c r="C70" t="str">
        <f>_xlfn.XLOOKUP(Table7[[#This Row],[app_id]],Table5[app_id],Table5[app_name],"",0)</f>
        <v>BiteCloud</v>
      </c>
      <c r="D70" t="s">
        <v>1810</v>
      </c>
      <c r="E70" s="1">
        <v>46011</v>
      </c>
      <c r="F70">
        <v>4</v>
      </c>
      <c r="G70" t="s">
        <v>2676</v>
      </c>
      <c r="H70" t="s">
        <v>2564</v>
      </c>
      <c r="I70" t="s">
        <v>2565</v>
      </c>
      <c r="J70" t="s">
        <v>2556</v>
      </c>
      <c r="K70">
        <v>47</v>
      </c>
      <c r="L70" s="13" t="s">
        <v>257</v>
      </c>
    </row>
    <row r="71" spans="1:12" x14ac:dyDescent="0.25">
      <c r="A71" t="s">
        <v>2681</v>
      </c>
      <c r="B71" t="s">
        <v>180</v>
      </c>
      <c r="C71" t="str">
        <f>_xlfn.XLOOKUP(Table7[[#This Row],[app_id]],Table5[app_id],Table5[app_name],"",0)</f>
        <v>PlatePlus</v>
      </c>
      <c r="D71" t="s">
        <v>1634</v>
      </c>
      <c r="E71" s="1">
        <v>46041</v>
      </c>
      <c r="F71">
        <v>3</v>
      </c>
      <c r="G71" t="s">
        <v>2666</v>
      </c>
      <c r="H71" t="s">
        <v>2554</v>
      </c>
      <c r="I71" t="s">
        <v>2565</v>
      </c>
      <c r="J71" t="s">
        <v>2556</v>
      </c>
      <c r="K71">
        <v>31</v>
      </c>
      <c r="L71" s="13" t="s">
        <v>258</v>
      </c>
    </row>
    <row r="72" spans="1:12" x14ac:dyDescent="0.25">
      <c r="A72" t="s">
        <v>2682</v>
      </c>
      <c r="B72" t="s">
        <v>182</v>
      </c>
      <c r="C72" t="str">
        <f>_xlfn.XLOOKUP(Table7[[#This Row],[app_id]],Table5[app_id],Table5[app_name],"",0)</f>
        <v>VoyageGo</v>
      </c>
      <c r="D72" t="s">
        <v>777</v>
      </c>
      <c r="E72" s="1">
        <v>45462</v>
      </c>
      <c r="F72">
        <v>4</v>
      </c>
      <c r="G72" t="s">
        <v>2683</v>
      </c>
      <c r="H72" t="s">
        <v>2564</v>
      </c>
      <c r="I72" t="s">
        <v>2565</v>
      </c>
      <c r="J72" t="s">
        <v>2559</v>
      </c>
      <c r="K72">
        <v>38</v>
      </c>
      <c r="L72" s="13" t="s">
        <v>257</v>
      </c>
    </row>
    <row r="73" spans="1:12" x14ac:dyDescent="0.25">
      <c r="A73" t="s">
        <v>2684</v>
      </c>
      <c r="B73" t="s">
        <v>185</v>
      </c>
      <c r="C73" t="str">
        <f>_xlfn.XLOOKUP(Table7[[#This Row],[app_id]],Table5[app_id],Table5[app_name],"",0)</f>
        <v>TripOne</v>
      </c>
      <c r="D73" t="s">
        <v>2460</v>
      </c>
      <c r="E73" s="1">
        <v>45857</v>
      </c>
      <c r="F73">
        <v>2</v>
      </c>
      <c r="G73" t="s">
        <v>2685</v>
      </c>
      <c r="H73" t="s">
        <v>2587</v>
      </c>
      <c r="I73" t="s">
        <v>2575</v>
      </c>
      <c r="J73" t="s">
        <v>2566</v>
      </c>
      <c r="K73">
        <v>24</v>
      </c>
      <c r="L73" s="13" t="s">
        <v>257</v>
      </c>
    </row>
    <row r="74" spans="1:12" x14ac:dyDescent="0.25">
      <c r="A74" t="s">
        <v>2686</v>
      </c>
      <c r="B74" t="s">
        <v>187</v>
      </c>
      <c r="C74" t="str">
        <f>_xlfn.XLOOKUP(Table7[[#This Row],[app_id]],Table5[app_id],Table5[app_name],"",0)</f>
        <v>FlyGo</v>
      </c>
      <c r="D74" t="s">
        <v>2161</v>
      </c>
      <c r="E74" s="1">
        <v>45985</v>
      </c>
      <c r="F74">
        <v>4</v>
      </c>
      <c r="G74" t="s">
        <v>2687</v>
      </c>
      <c r="H74" t="s">
        <v>2564</v>
      </c>
      <c r="I74" t="s">
        <v>2575</v>
      </c>
      <c r="J74" t="s">
        <v>2600</v>
      </c>
      <c r="K74">
        <v>35</v>
      </c>
      <c r="L74" s="13" t="s">
        <v>257</v>
      </c>
    </row>
    <row r="75" spans="1:12" x14ac:dyDescent="0.25">
      <c r="A75" t="s">
        <v>2688</v>
      </c>
      <c r="B75" t="s">
        <v>189</v>
      </c>
      <c r="C75" t="str">
        <f>_xlfn.XLOOKUP(Table7[[#This Row],[app_id]],Table5[app_id],Table5[app_name],"",0)</f>
        <v>MapX</v>
      </c>
      <c r="D75" t="s">
        <v>1953</v>
      </c>
      <c r="E75" s="1">
        <v>45809</v>
      </c>
      <c r="F75">
        <v>4</v>
      </c>
      <c r="G75" t="s">
        <v>2683</v>
      </c>
      <c r="H75" t="s">
        <v>2564</v>
      </c>
      <c r="I75" t="s">
        <v>2571</v>
      </c>
      <c r="J75" t="s">
        <v>2633</v>
      </c>
      <c r="K75">
        <v>4</v>
      </c>
      <c r="L75" s="13" t="s">
        <v>257</v>
      </c>
    </row>
    <row r="76" spans="1:12" x14ac:dyDescent="0.25">
      <c r="A76" t="s">
        <v>2689</v>
      </c>
      <c r="B76" t="s">
        <v>191</v>
      </c>
      <c r="C76" t="str">
        <f>_xlfn.XLOOKUP(Table7[[#This Row],[app_id]],Table5[app_id],Table5[app_name],"",0)</f>
        <v>StayX</v>
      </c>
      <c r="D76" t="s">
        <v>1457</v>
      </c>
      <c r="E76" s="1">
        <v>45898</v>
      </c>
      <c r="F76">
        <v>3</v>
      </c>
      <c r="G76" t="s">
        <v>2690</v>
      </c>
      <c r="H76" t="s">
        <v>2554</v>
      </c>
      <c r="I76" t="s">
        <v>2571</v>
      </c>
      <c r="J76" t="s">
        <v>2603</v>
      </c>
      <c r="K76">
        <v>17</v>
      </c>
      <c r="L76" s="13" t="s">
        <v>257</v>
      </c>
    </row>
    <row r="77" spans="1:12" x14ac:dyDescent="0.25">
      <c r="A77" t="s">
        <v>2691</v>
      </c>
      <c r="B77" t="s">
        <v>193</v>
      </c>
      <c r="C77" t="str">
        <f>_xlfn.XLOOKUP(Table7[[#This Row],[app_id]],Table5[app_id],Table5[app_name],"",0)</f>
        <v>GoNow</v>
      </c>
      <c r="D77" t="s">
        <v>1425</v>
      </c>
      <c r="E77" s="1">
        <v>45612</v>
      </c>
      <c r="F77">
        <v>2</v>
      </c>
      <c r="G77" t="s">
        <v>2685</v>
      </c>
      <c r="H77" t="s">
        <v>2587</v>
      </c>
      <c r="I77" t="s">
        <v>2584</v>
      </c>
      <c r="J77" t="s">
        <v>2596</v>
      </c>
      <c r="K77">
        <v>32</v>
      </c>
      <c r="L77" s="13" t="s">
        <v>258</v>
      </c>
    </row>
    <row r="78" spans="1:12" x14ac:dyDescent="0.25">
      <c r="A78" t="s">
        <v>2692</v>
      </c>
      <c r="B78" t="s">
        <v>195</v>
      </c>
      <c r="C78" t="str">
        <f>_xlfn.XLOOKUP(Table7[[#This Row],[app_id]],Table5[app_id],Table5[app_name],"",0)</f>
        <v>RouteGo</v>
      </c>
      <c r="D78" t="s">
        <v>1948</v>
      </c>
      <c r="E78" s="1">
        <v>46009</v>
      </c>
      <c r="F78">
        <v>2</v>
      </c>
      <c r="G78" t="s">
        <v>2693</v>
      </c>
      <c r="H78" t="s">
        <v>2587</v>
      </c>
      <c r="I78" t="s">
        <v>2575</v>
      </c>
      <c r="J78" t="s">
        <v>2559</v>
      </c>
      <c r="K78">
        <v>49</v>
      </c>
      <c r="L78" s="13" t="s">
        <v>258</v>
      </c>
    </row>
    <row r="79" spans="1:12" x14ac:dyDescent="0.25">
      <c r="A79" t="s">
        <v>2694</v>
      </c>
      <c r="B79" t="s">
        <v>197</v>
      </c>
      <c r="C79" t="str">
        <f>_xlfn.XLOOKUP(Table7[[#This Row],[app_id]],Table5[app_id],Table5[app_name],"",0)</f>
        <v>TripGo</v>
      </c>
      <c r="D79" t="s">
        <v>1290</v>
      </c>
      <c r="E79" s="1">
        <v>45587</v>
      </c>
      <c r="F79">
        <v>3</v>
      </c>
      <c r="G79" t="s">
        <v>2695</v>
      </c>
      <c r="H79" t="s">
        <v>2554</v>
      </c>
      <c r="I79" t="s">
        <v>2558</v>
      </c>
      <c r="J79" t="s">
        <v>2633</v>
      </c>
      <c r="K79">
        <v>16</v>
      </c>
      <c r="L79" s="13" t="s">
        <v>257</v>
      </c>
    </row>
    <row r="80" spans="1:12" x14ac:dyDescent="0.25">
      <c r="A80" t="s">
        <v>2696</v>
      </c>
      <c r="B80" t="s">
        <v>199</v>
      </c>
      <c r="C80" t="str">
        <f>_xlfn.XLOOKUP(Table7[[#This Row],[app_id]],Table5[app_id],Table5[app_name],"",0)</f>
        <v>Flyly</v>
      </c>
      <c r="D80" t="s">
        <v>1338</v>
      </c>
      <c r="E80" s="1">
        <v>45846</v>
      </c>
      <c r="F80">
        <v>3</v>
      </c>
      <c r="G80" t="s">
        <v>2697</v>
      </c>
      <c r="H80" t="s">
        <v>2554</v>
      </c>
      <c r="I80" t="s">
        <v>2558</v>
      </c>
      <c r="J80" t="s">
        <v>2561</v>
      </c>
      <c r="K80">
        <v>40</v>
      </c>
      <c r="L80" s="13" t="s">
        <v>257</v>
      </c>
    </row>
    <row r="81" spans="1:12" x14ac:dyDescent="0.25">
      <c r="A81" t="s">
        <v>2698</v>
      </c>
      <c r="B81" t="s">
        <v>201</v>
      </c>
      <c r="C81" t="str">
        <f>_xlfn.XLOOKUP(Table7[[#This Row],[app_id]],Table5[app_id],Table5[app_name],"",0)</f>
        <v>TripPro</v>
      </c>
      <c r="D81" t="s">
        <v>1693</v>
      </c>
      <c r="E81" s="1">
        <v>45437</v>
      </c>
      <c r="F81">
        <v>4</v>
      </c>
      <c r="G81" t="s">
        <v>2683</v>
      </c>
      <c r="H81" t="s">
        <v>2564</v>
      </c>
      <c r="I81" t="s">
        <v>2555</v>
      </c>
      <c r="J81" t="s">
        <v>2600</v>
      </c>
      <c r="K81">
        <v>7</v>
      </c>
      <c r="L81" s="13" t="s">
        <v>257</v>
      </c>
    </row>
    <row r="82" spans="1:12" x14ac:dyDescent="0.25">
      <c r="A82" t="s">
        <v>2699</v>
      </c>
      <c r="B82" t="s">
        <v>203</v>
      </c>
      <c r="C82" t="str">
        <f>_xlfn.XLOOKUP(Table7[[#This Row],[app_id]],Table5[app_id],Table5[app_name],"",0)</f>
        <v>Focusly</v>
      </c>
      <c r="D82" t="s">
        <v>2368</v>
      </c>
      <c r="E82" s="1">
        <v>45832</v>
      </c>
      <c r="F82">
        <v>4</v>
      </c>
      <c r="G82" t="s">
        <v>2700</v>
      </c>
      <c r="H82" t="s">
        <v>2564</v>
      </c>
      <c r="I82" t="s">
        <v>2575</v>
      </c>
      <c r="J82" t="s">
        <v>2569</v>
      </c>
      <c r="K82">
        <v>48</v>
      </c>
      <c r="L82" s="13" t="s">
        <v>257</v>
      </c>
    </row>
    <row r="83" spans="1:12" x14ac:dyDescent="0.25">
      <c r="A83" t="s">
        <v>2701</v>
      </c>
      <c r="B83" t="s">
        <v>206</v>
      </c>
      <c r="C83" t="str">
        <f>_xlfn.XLOOKUP(Table7[[#This Row],[app_id]],Table5[app_id],Table5[app_name],"",0)</f>
        <v>DeskX</v>
      </c>
      <c r="D83" t="s">
        <v>1130</v>
      </c>
      <c r="E83" s="1">
        <v>45577</v>
      </c>
      <c r="F83">
        <v>4</v>
      </c>
      <c r="G83" t="s">
        <v>2700</v>
      </c>
      <c r="H83" t="s">
        <v>2564</v>
      </c>
      <c r="I83" t="s">
        <v>2565</v>
      </c>
      <c r="J83" t="s">
        <v>2603</v>
      </c>
      <c r="K83">
        <v>42</v>
      </c>
      <c r="L83" s="13" t="s">
        <v>258</v>
      </c>
    </row>
    <row r="84" spans="1:12" x14ac:dyDescent="0.25">
      <c r="A84" t="s">
        <v>2702</v>
      </c>
      <c r="B84" t="s">
        <v>208</v>
      </c>
      <c r="C84" t="str">
        <f>_xlfn.XLOOKUP(Table7[[#This Row],[app_id]],Table5[app_id],Table5[app_name],"",0)</f>
        <v>DonePro</v>
      </c>
      <c r="D84" t="s">
        <v>1447</v>
      </c>
      <c r="E84" s="1">
        <v>46069</v>
      </c>
      <c r="F84">
        <v>4</v>
      </c>
      <c r="G84" t="s">
        <v>2703</v>
      </c>
      <c r="H84" t="s">
        <v>2564</v>
      </c>
      <c r="I84" t="s">
        <v>2558</v>
      </c>
      <c r="J84" t="s">
        <v>2569</v>
      </c>
      <c r="K84">
        <v>4</v>
      </c>
      <c r="L84" s="13" t="s">
        <v>257</v>
      </c>
    </row>
    <row r="85" spans="1:12" x14ac:dyDescent="0.25">
      <c r="A85" t="s">
        <v>2704</v>
      </c>
      <c r="B85" t="s">
        <v>210</v>
      </c>
      <c r="C85" t="str">
        <f>_xlfn.XLOOKUP(Table7[[#This Row],[app_id]],Table5[app_id],Table5[app_name],"",0)</f>
        <v>NotePlus</v>
      </c>
      <c r="D85" t="s">
        <v>1078</v>
      </c>
      <c r="E85" s="1">
        <v>45913</v>
      </c>
      <c r="F85">
        <v>4</v>
      </c>
      <c r="G85" t="s">
        <v>2700</v>
      </c>
      <c r="H85" t="s">
        <v>2564</v>
      </c>
      <c r="I85" t="s">
        <v>2565</v>
      </c>
      <c r="J85" t="s">
        <v>2600</v>
      </c>
      <c r="K85">
        <v>30</v>
      </c>
      <c r="L85" s="13" t="s">
        <v>257</v>
      </c>
    </row>
    <row r="86" spans="1:12" x14ac:dyDescent="0.25">
      <c r="A86" t="s">
        <v>2705</v>
      </c>
      <c r="B86" t="s">
        <v>212</v>
      </c>
      <c r="C86" t="str">
        <f>_xlfn.XLOOKUP(Table7[[#This Row],[app_id]],Table5[app_id],Table5[app_name],"",0)</f>
        <v>SyncPlus</v>
      </c>
      <c r="D86" t="s">
        <v>1274</v>
      </c>
      <c r="E86" s="1">
        <v>45959</v>
      </c>
      <c r="F86">
        <v>3</v>
      </c>
      <c r="G86" t="s">
        <v>2706</v>
      </c>
      <c r="H86" t="s">
        <v>2554</v>
      </c>
      <c r="I86" t="s">
        <v>2588</v>
      </c>
      <c r="J86" t="s">
        <v>2596</v>
      </c>
      <c r="K86">
        <v>34</v>
      </c>
      <c r="L86" s="13" t="s">
        <v>258</v>
      </c>
    </row>
    <row r="87" spans="1:12" x14ac:dyDescent="0.25">
      <c r="A87" t="s">
        <v>2707</v>
      </c>
      <c r="B87" t="s">
        <v>214</v>
      </c>
      <c r="C87" t="str">
        <f>_xlfn.XLOOKUP(Table7[[#This Row],[app_id]],Table5[app_id],Table5[app_name],"",0)</f>
        <v>NoteOne</v>
      </c>
      <c r="D87" t="s">
        <v>614</v>
      </c>
      <c r="E87" s="1">
        <v>45466</v>
      </c>
      <c r="F87">
        <v>5</v>
      </c>
      <c r="G87" t="s">
        <v>2708</v>
      </c>
      <c r="H87" t="s">
        <v>2564</v>
      </c>
      <c r="I87" t="s">
        <v>2571</v>
      </c>
      <c r="J87" t="s">
        <v>2603</v>
      </c>
      <c r="K87">
        <v>18</v>
      </c>
      <c r="L87" s="13" t="s">
        <v>257</v>
      </c>
    </row>
    <row r="88" spans="1:12" x14ac:dyDescent="0.25">
      <c r="A88" t="s">
        <v>2709</v>
      </c>
      <c r="B88" t="s">
        <v>216</v>
      </c>
      <c r="C88" t="str">
        <f>_xlfn.XLOOKUP(Table7[[#This Row],[app_id]],Table5[app_id],Table5[app_name],"",0)</f>
        <v>NoteMate</v>
      </c>
      <c r="D88" t="s">
        <v>1464</v>
      </c>
      <c r="E88" s="1">
        <v>45539</v>
      </c>
      <c r="F88">
        <v>3</v>
      </c>
      <c r="G88" t="s">
        <v>2710</v>
      </c>
      <c r="H88" t="s">
        <v>2554</v>
      </c>
      <c r="I88" t="s">
        <v>2558</v>
      </c>
      <c r="J88" t="s">
        <v>2596</v>
      </c>
      <c r="K88">
        <v>31</v>
      </c>
      <c r="L88" s="13" t="s">
        <v>258</v>
      </c>
    </row>
    <row r="89" spans="1:12" x14ac:dyDescent="0.25">
      <c r="A89" t="s">
        <v>2711</v>
      </c>
      <c r="B89" t="s">
        <v>218</v>
      </c>
      <c r="C89" t="str">
        <f>_xlfn.XLOOKUP(Table7[[#This Row],[app_id]],Table5[app_id],Table5[app_name],"",0)</f>
        <v>PlanPlus</v>
      </c>
      <c r="D89" t="s">
        <v>1050</v>
      </c>
      <c r="E89" s="1">
        <v>45404</v>
      </c>
      <c r="F89">
        <v>4</v>
      </c>
      <c r="G89" t="s">
        <v>2703</v>
      </c>
      <c r="H89" t="s">
        <v>2564</v>
      </c>
      <c r="I89" t="s">
        <v>2575</v>
      </c>
      <c r="J89" t="s">
        <v>2561</v>
      </c>
      <c r="K89">
        <v>35</v>
      </c>
      <c r="L89" s="13" t="s">
        <v>257</v>
      </c>
    </row>
    <row r="90" spans="1:12" x14ac:dyDescent="0.25">
      <c r="A90" t="s">
        <v>2712</v>
      </c>
      <c r="B90" t="s">
        <v>220</v>
      </c>
      <c r="C90" t="str">
        <f>_xlfn.XLOOKUP(Table7[[#This Row],[app_id]],Table5[app_id],Table5[app_name],"",0)</f>
        <v>PlanMate</v>
      </c>
      <c r="D90" t="s">
        <v>1174</v>
      </c>
      <c r="E90" s="1">
        <v>45954</v>
      </c>
      <c r="F90">
        <v>3</v>
      </c>
      <c r="G90" t="s">
        <v>2713</v>
      </c>
      <c r="H90" t="s">
        <v>2554</v>
      </c>
      <c r="I90" t="s">
        <v>2588</v>
      </c>
      <c r="J90" t="s">
        <v>2596</v>
      </c>
      <c r="K90">
        <v>37</v>
      </c>
      <c r="L90" s="13" t="s">
        <v>257</v>
      </c>
    </row>
    <row r="91" spans="1:12" x14ac:dyDescent="0.25">
      <c r="A91" t="s">
        <v>2714</v>
      </c>
      <c r="B91" t="s">
        <v>222</v>
      </c>
      <c r="C91" t="str">
        <f>_xlfn.XLOOKUP(Table7[[#This Row],[app_id]],Table5[app_id],Table5[app_name],"",0)</f>
        <v>SyncPlus</v>
      </c>
      <c r="D91" t="s">
        <v>532</v>
      </c>
      <c r="E91" s="1">
        <v>46120</v>
      </c>
      <c r="F91">
        <v>3</v>
      </c>
      <c r="G91" t="s">
        <v>2706</v>
      </c>
      <c r="H91" t="s">
        <v>2554</v>
      </c>
      <c r="I91" t="s">
        <v>2588</v>
      </c>
      <c r="J91" t="s">
        <v>2561</v>
      </c>
      <c r="K91">
        <v>35</v>
      </c>
      <c r="L91" s="13" t="s">
        <v>257</v>
      </c>
    </row>
    <row r="92" spans="1:12" x14ac:dyDescent="0.25">
      <c r="A92" t="s">
        <v>2715</v>
      </c>
      <c r="B92" t="s">
        <v>223</v>
      </c>
      <c r="C92" t="str">
        <f>_xlfn.XLOOKUP(Table7[[#This Row],[app_id]],Table5[app_id],Table5[app_name],"",0)</f>
        <v>ClinicPro</v>
      </c>
      <c r="D92" t="s">
        <v>1726</v>
      </c>
      <c r="E92" s="1">
        <v>45686</v>
      </c>
      <c r="F92">
        <v>5</v>
      </c>
      <c r="G92" t="s">
        <v>2716</v>
      </c>
      <c r="H92" t="s">
        <v>2564</v>
      </c>
      <c r="I92" t="s">
        <v>2558</v>
      </c>
      <c r="J92" t="s">
        <v>2559</v>
      </c>
      <c r="K92">
        <v>38</v>
      </c>
      <c r="L92" s="13" t="s">
        <v>257</v>
      </c>
    </row>
    <row r="93" spans="1:12" x14ac:dyDescent="0.25">
      <c r="A93" t="s">
        <v>2717</v>
      </c>
      <c r="B93" t="s">
        <v>226</v>
      </c>
      <c r="C93" t="str">
        <f>_xlfn.XLOOKUP(Table7[[#This Row],[app_id]],Table5[app_id],Table5[app_name],"",0)</f>
        <v>MindMate</v>
      </c>
      <c r="D93" t="s">
        <v>735</v>
      </c>
      <c r="E93" s="1">
        <v>46008</v>
      </c>
      <c r="F93">
        <v>3</v>
      </c>
      <c r="G93" t="s">
        <v>2718</v>
      </c>
      <c r="H93" t="s">
        <v>2554</v>
      </c>
      <c r="I93" t="s">
        <v>2555</v>
      </c>
      <c r="J93" t="s">
        <v>2633</v>
      </c>
      <c r="K93">
        <v>34</v>
      </c>
      <c r="L93" s="13" t="s">
        <v>257</v>
      </c>
    </row>
    <row r="94" spans="1:12" x14ac:dyDescent="0.25">
      <c r="A94" t="s">
        <v>2719</v>
      </c>
      <c r="B94" t="s">
        <v>228</v>
      </c>
      <c r="C94" t="str">
        <f>_xlfn.XLOOKUP(Table7[[#This Row],[app_id]],Table5[app_id],Table5[app_name],"",0)</f>
        <v>ClinicOne</v>
      </c>
      <c r="D94" t="s">
        <v>1233</v>
      </c>
      <c r="E94" s="1">
        <v>46135</v>
      </c>
      <c r="F94">
        <v>3</v>
      </c>
      <c r="G94" t="s">
        <v>2720</v>
      </c>
      <c r="H94" t="s">
        <v>2554</v>
      </c>
      <c r="I94" t="s">
        <v>2584</v>
      </c>
      <c r="J94" t="s">
        <v>2561</v>
      </c>
      <c r="K94">
        <v>2</v>
      </c>
      <c r="L94" s="13" t="s">
        <v>258</v>
      </c>
    </row>
    <row r="95" spans="1:12" x14ac:dyDescent="0.25">
      <c r="A95" t="s">
        <v>2721</v>
      </c>
      <c r="B95" t="s">
        <v>230</v>
      </c>
      <c r="C95" t="str">
        <f>_xlfn.XLOOKUP(Table7[[#This Row],[app_id]],Table5[app_id],Table5[app_name],"",0)</f>
        <v>WellMate</v>
      </c>
      <c r="D95" t="s">
        <v>1368</v>
      </c>
      <c r="E95" s="1">
        <v>45340</v>
      </c>
      <c r="F95">
        <v>5</v>
      </c>
      <c r="G95" t="s">
        <v>2722</v>
      </c>
      <c r="H95" t="s">
        <v>2564</v>
      </c>
      <c r="I95" t="s">
        <v>2565</v>
      </c>
      <c r="J95" t="s">
        <v>2596</v>
      </c>
      <c r="K95">
        <v>2</v>
      </c>
      <c r="L95" s="13" t="s">
        <v>257</v>
      </c>
    </row>
    <row r="96" spans="1:12" x14ac:dyDescent="0.25">
      <c r="A96" t="s">
        <v>2723</v>
      </c>
      <c r="B96" t="s">
        <v>232</v>
      </c>
      <c r="C96" t="str">
        <f>_xlfn.XLOOKUP(Table7[[#This Row],[app_id]],Table5[app_id],Table5[app_name],"",0)</f>
        <v>MediMate</v>
      </c>
      <c r="D96" t="s">
        <v>1226</v>
      </c>
      <c r="E96" s="1">
        <v>45294</v>
      </c>
      <c r="F96">
        <v>3</v>
      </c>
      <c r="G96" t="s">
        <v>2720</v>
      </c>
      <c r="H96" t="s">
        <v>2554</v>
      </c>
      <c r="I96" t="s">
        <v>2575</v>
      </c>
      <c r="J96" t="s">
        <v>2569</v>
      </c>
      <c r="K96">
        <v>20</v>
      </c>
      <c r="L96" s="13" t="s">
        <v>258</v>
      </c>
    </row>
    <row r="97" spans="1:12" x14ac:dyDescent="0.25">
      <c r="A97" t="s">
        <v>2724</v>
      </c>
      <c r="B97" t="s">
        <v>234</v>
      </c>
      <c r="C97" t="str">
        <f>_xlfn.XLOOKUP(Table7[[#This Row],[app_id]],Table5[app_id],Table5[app_name],"",0)</f>
        <v>WellNow</v>
      </c>
      <c r="D97" t="s">
        <v>915</v>
      </c>
      <c r="E97" s="1">
        <v>45901</v>
      </c>
      <c r="F97">
        <v>4</v>
      </c>
      <c r="G97" t="s">
        <v>2716</v>
      </c>
      <c r="H97" t="s">
        <v>2564</v>
      </c>
      <c r="I97" t="s">
        <v>2575</v>
      </c>
      <c r="J97" t="s">
        <v>2600</v>
      </c>
      <c r="K97">
        <v>48</v>
      </c>
      <c r="L97" s="13" t="s">
        <v>257</v>
      </c>
    </row>
    <row r="98" spans="1:12" x14ac:dyDescent="0.25">
      <c r="A98" t="s">
        <v>2725</v>
      </c>
      <c r="B98" t="s">
        <v>236</v>
      </c>
      <c r="C98" t="str">
        <f>_xlfn.XLOOKUP(Table7[[#This Row],[app_id]],Table5[app_id],Table5[app_name],"",0)</f>
        <v>CareCloud</v>
      </c>
      <c r="D98" t="s">
        <v>1274</v>
      </c>
      <c r="E98" s="1">
        <v>45879</v>
      </c>
      <c r="F98">
        <v>3</v>
      </c>
      <c r="G98" t="s">
        <v>2726</v>
      </c>
      <c r="H98" t="s">
        <v>2554</v>
      </c>
      <c r="I98" t="s">
        <v>2555</v>
      </c>
      <c r="J98" t="s">
        <v>2566</v>
      </c>
      <c r="K98">
        <v>3</v>
      </c>
      <c r="L98" s="13" t="s">
        <v>257</v>
      </c>
    </row>
    <row r="99" spans="1:12" x14ac:dyDescent="0.25">
      <c r="A99" t="s">
        <v>2727</v>
      </c>
      <c r="B99" t="s">
        <v>238</v>
      </c>
      <c r="C99" t="str">
        <f>_xlfn.XLOOKUP(Table7[[#This Row],[app_id]],Table5[app_id],Table5[app_name],"",0)</f>
        <v>MediNow</v>
      </c>
      <c r="D99" t="s">
        <v>1202</v>
      </c>
      <c r="E99" s="1">
        <v>45507</v>
      </c>
      <c r="F99">
        <v>4</v>
      </c>
      <c r="G99" t="s">
        <v>2728</v>
      </c>
      <c r="H99" t="s">
        <v>2564</v>
      </c>
      <c r="I99" t="s">
        <v>2575</v>
      </c>
      <c r="J99" t="s">
        <v>2596</v>
      </c>
      <c r="K99">
        <v>28</v>
      </c>
      <c r="L99" s="13" t="s">
        <v>257</v>
      </c>
    </row>
    <row r="100" spans="1:12" x14ac:dyDescent="0.25">
      <c r="A100" t="s">
        <v>2729</v>
      </c>
      <c r="B100" t="s">
        <v>240</v>
      </c>
      <c r="C100" t="str">
        <f>_xlfn.XLOOKUP(Table7[[#This Row],[app_id]],Table5[app_id],Table5[app_name],"",0)</f>
        <v>MindPlus</v>
      </c>
      <c r="D100" t="s">
        <v>1615</v>
      </c>
      <c r="E100" s="1">
        <v>45606</v>
      </c>
      <c r="F100">
        <v>4</v>
      </c>
      <c r="G100" t="s">
        <v>2728</v>
      </c>
      <c r="H100" t="s">
        <v>2564</v>
      </c>
      <c r="I100" t="s">
        <v>2565</v>
      </c>
      <c r="J100" t="s">
        <v>2566</v>
      </c>
      <c r="K100">
        <v>11</v>
      </c>
      <c r="L100" s="13" t="s">
        <v>257</v>
      </c>
    </row>
    <row r="101" spans="1:12" x14ac:dyDescent="0.25">
      <c r="A101" t="s">
        <v>2730</v>
      </c>
      <c r="B101" t="s">
        <v>242</v>
      </c>
      <c r="C101" t="str">
        <f>_xlfn.XLOOKUP(Table7[[#This Row],[app_id]],Table5[app_id],Table5[app_name],"",0)</f>
        <v>MediCloud</v>
      </c>
      <c r="D101" t="s">
        <v>2031</v>
      </c>
      <c r="E101" s="1">
        <v>45294</v>
      </c>
      <c r="F101">
        <v>5</v>
      </c>
      <c r="G101" t="s">
        <v>2728</v>
      </c>
      <c r="H101" t="s">
        <v>2564</v>
      </c>
      <c r="I101" t="s">
        <v>2565</v>
      </c>
      <c r="J101" t="s">
        <v>2600</v>
      </c>
      <c r="K101">
        <v>13</v>
      </c>
      <c r="L101" s="13" t="s">
        <v>257</v>
      </c>
    </row>
    <row r="102" spans="1:12" x14ac:dyDescent="0.25">
      <c r="A102" t="s">
        <v>2731</v>
      </c>
      <c r="B102" t="s">
        <v>12</v>
      </c>
      <c r="C102" t="str">
        <f>_xlfn.XLOOKUP(Table7[[#This Row],[app_id]],Table5[app_id],Table5[app_name],"",0)</f>
        <v>InvestPro</v>
      </c>
      <c r="D102" t="s">
        <v>1774</v>
      </c>
      <c r="E102" s="1">
        <v>45321</v>
      </c>
      <c r="F102">
        <v>3</v>
      </c>
      <c r="G102" t="s">
        <v>2583</v>
      </c>
      <c r="H102" t="s">
        <v>2554</v>
      </c>
      <c r="I102" t="s">
        <v>2558</v>
      </c>
      <c r="J102" t="s">
        <v>2559</v>
      </c>
      <c r="K102">
        <v>5</v>
      </c>
      <c r="L102" s="13" t="s">
        <v>257</v>
      </c>
    </row>
    <row r="103" spans="1:12" x14ac:dyDescent="0.25">
      <c r="A103" t="s">
        <v>2732</v>
      </c>
      <c r="B103" t="s">
        <v>19</v>
      </c>
      <c r="C103" t="str">
        <f>_xlfn.XLOOKUP(Table7[[#This Row],[app_id]],Table5[app_id],Table5[app_name],"",0)</f>
        <v>BankPro</v>
      </c>
      <c r="D103" t="s">
        <v>1810</v>
      </c>
      <c r="E103" s="1">
        <v>45935</v>
      </c>
      <c r="F103">
        <v>4</v>
      </c>
      <c r="G103" t="s">
        <v>2580</v>
      </c>
      <c r="H103" t="s">
        <v>2564</v>
      </c>
      <c r="I103" t="s">
        <v>2555</v>
      </c>
      <c r="J103" t="s">
        <v>2566</v>
      </c>
      <c r="K103">
        <v>41</v>
      </c>
      <c r="L103" s="13" t="s">
        <v>257</v>
      </c>
    </row>
    <row r="104" spans="1:12" x14ac:dyDescent="0.25">
      <c r="A104" t="s">
        <v>2733</v>
      </c>
      <c r="B104" t="s">
        <v>24</v>
      </c>
      <c r="C104" t="str">
        <f>_xlfn.XLOOKUP(Table7[[#This Row],[app_id]],Table5[app_id],Table5[app_name],"",0)</f>
        <v>BankX</v>
      </c>
      <c r="D104" t="s">
        <v>1197</v>
      </c>
      <c r="E104" s="1">
        <v>46073</v>
      </c>
      <c r="F104">
        <v>5</v>
      </c>
      <c r="G104" t="s">
        <v>2580</v>
      </c>
      <c r="H104" t="s">
        <v>2564</v>
      </c>
      <c r="I104" t="s">
        <v>2565</v>
      </c>
      <c r="J104" t="s">
        <v>2596</v>
      </c>
      <c r="K104">
        <v>28</v>
      </c>
      <c r="L104" s="13" t="s">
        <v>257</v>
      </c>
    </row>
    <row r="105" spans="1:12" x14ac:dyDescent="0.25">
      <c r="A105" t="s">
        <v>2734</v>
      </c>
      <c r="B105" t="s">
        <v>27</v>
      </c>
      <c r="C105" t="str">
        <f>_xlfn.XLOOKUP(Table7[[#This Row],[app_id]],Table5[app_id],Table5[app_name],"",0)</f>
        <v>BankNow</v>
      </c>
      <c r="D105" t="s">
        <v>2175</v>
      </c>
      <c r="E105" s="1">
        <v>45578</v>
      </c>
      <c r="F105">
        <v>3</v>
      </c>
      <c r="G105" t="s">
        <v>2735</v>
      </c>
      <c r="H105" t="s">
        <v>2554</v>
      </c>
      <c r="I105" t="s">
        <v>2565</v>
      </c>
      <c r="J105" t="s">
        <v>2569</v>
      </c>
      <c r="K105">
        <v>16</v>
      </c>
      <c r="L105" s="13" t="s">
        <v>257</v>
      </c>
    </row>
    <row r="106" spans="1:12" x14ac:dyDescent="0.25">
      <c r="A106" t="s">
        <v>2736</v>
      </c>
      <c r="B106" t="s">
        <v>31</v>
      </c>
      <c r="C106" t="str">
        <f>_xlfn.XLOOKUP(Table7[[#This Row],[app_id]],Table5[app_id],Table5[app_name],"",0)</f>
        <v>CreditHub</v>
      </c>
      <c r="D106" t="s">
        <v>1868</v>
      </c>
      <c r="E106" s="1">
        <v>45350</v>
      </c>
      <c r="F106">
        <v>4</v>
      </c>
      <c r="G106" t="s">
        <v>2568</v>
      </c>
      <c r="H106" t="s">
        <v>2564</v>
      </c>
      <c r="I106" t="s">
        <v>2565</v>
      </c>
      <c r="J106" t="s">
        <v>2561</v>
      </c>
      <c r="K106">
        <v>5</v>
      </c>
      <c r="L106" s="13" t="s">
        <v>257</v>
      </c>
    </row>
    <row r="107" spans="1:12" x14ac:dyDescent="0.25">
      <c r="A107" t="s">
        <v>2737</v>
      </c>
      <c r="B107" t="s">
        <v>36</v>
      </c>
      <c r="C107" t="str">
        <f>_xlfn.XLOOKUP(Table7[[#This Row],[app_id]],Table5[app_id],Table5[app_name],"",0)</f>
        <v>PayPlus</v>
      </c>
      <c r="D107" t="s">
        <v>615</v>
      </c>
      <c r="E107" s="1">
        <v>45419</v>
      </c>
      <c r="F107">
        <v>3</v>
      </c>
      <c r="G107" t="s">
        <v>2735</v>
      </c>
      <c r="H107" t="s">
        <v>2554</v>
      </c>
      <c r="I107" t="s">
        <v>2575</v>
      </c>
      <c r="J107" t="s">
        <v>2596</v>
      </c>
      <c r="K107">
        <v>27</v>
      </c>
      <c r="L107" s="13" t="s">
        <v>257</v>
      </c>
    </row>
    <row r="108" spans="1:12" x14ac:dyDescent="0.25">
      <c r="A108" t="s">
        <v>2738</v>
      </c>
      <c r="B108" t="s">
        <v>39</v>
      </c>
      <c r="C108" t="str">
        <f>_xlfn.XLOOKUP(Table7[[#This Row],[app_id]],Table5[app_id],Table5[app_name],"",0)</f>
        <v>BankPlus</v>
      </c>
      <c r="D108" t="s">
        <v>936</v>
      </c>
      <c r="E108" s="1">
        <v>46051</v>
      </c>
      <c r="F108">
        <v>4</v>
      </c>
      <c r="G108" t="s">
        <v>2568</v>
      </c>
      <c r="H108" t="s">
        <v>2564</v>
      </c>
      <c r="I108" t="s">
        <v>2575</v>
      </c>
      <c r="J108" t="s">
        <v>2559</v>
      </c>
      <c r="K108">
        <v>25</v>
      </c>
      <c r="L108" s="13" t="s">
        <v>257</v>
      </c>
    </row>
    <row r="109" spans="1:12" x14ac:dyDescent="0.25">
      <c r="A109" t="s">
        <v>2739</v>
      </c>
      <c r="B109" t="s">
        <v>42</v>
      </c>
      <c r="C109" t="str">
        <f>_xlfn.XLOOKUP(Table7[[#This Row],[app_id]],Table5[app_id],Table5[app_name],"",0)</f>
        <v>CoinPlus</v>
      </c>
      <c r="D109" t="s">
        <v>1100</v>
      </c>
      <c r="E109" s="1">
        <v>45929</v>
      </c>
      <c r="F109">
        <v>2</v>
      </c>
      <c r="G109" t="s">
        <v>2740</v>
      </c>
      <c r="H109" t="s">
        <v>2587</v>
      </c>
      <c r="I109" t="s">
        <v>2571</v>
      </c>
      <c r="J109" t="s">
        <v>2569</v>
      </c>
      <c r="K109">
        <v>29</v>
      </c>
      <c r="L109" s="13" t="s">
        <v>257</v>
      </c>
    </row>
    <row r="110" spans="1:12" x14ac:dyDescent="0.25">
      <c r="A110" t="s">
        <v>2741</v>
      </c>
      <c r="B110" t="s">
        <v>47</v>
      </c>
      <c r="C110" t="str">
        <f>_xlfn.XLOOKUP(Table7[[#This Row],[app_id]],Table5[app_id],Table5[app_name],"",0)</f>
        <v>CreditOne</v>
      </c>
      <c r="D110" t="s">
        <v>1344</v>
      </c>
      <c r="E110" s="1">
        <v>45916</v>
      </c>
      <c r="F110">
        <v>4</v>
      </c>
      <c r="G110" t="s">
        <v>2568</v>
      </c>
      <c r="H110" t="s">
        <v>2564</v>
      </c>
      <c r="I110" t="s">
        <v>2555</v>
      </c>
      <c r="J110" t="s">
        <v>2581</v>
      </c>
      <c r="K110">
        <v>36</v>
      </c>
      <c r="L110" s="13" t="s">
        <v>257</v>
      </c>
    </row>
    <row r="111" spans="1:12" x14ac:dyDescent="0.25">
      <c r="A111" t="s">
        <v>2742</v>
      </c>
      <c r="B111" t="s">
        <v>49</v>
      </c>
      <c r="C111" t="str">
        <f>_xlfn.XLOOKUP(Table7[[#This Row],[app_id]],Table5[app_id],Table5[app_name],"",0)</f>
        <v>PayPro</v>
      </c>
      <c r="D111" t="s">
        <v>699</v>
      </c>
      <c r="E111" s="1">
        <v>45637</v>
      </c>
      <c r="F111">
        <v>4</v>
      </c>
      <c r="G111" t="s">
        <v>2580</v>
      </c>
      <c r="H111" t="s">
        <v>2564</v>
      </c>
      <c r="I111" t="s">
        <v>2571</v>
      </c>
      <c r="J111" t="s">
        <v>2603</v>
      </c>
      <c r="K111">
        <v>30</v>
      </c>
      <c r="L111" s="13" t="s">
        <v>257</v>
      </c>
    </row>
    <row r="112" spans="1:12" x14ac:dyDescent="0.25">
      <c r="A112" t="s">
        <v>2743</v>
      </c>
      <c r="B112" t="s">
        <v>51</v>
      </c>
      <c r="C112" t="str">
        <f>_xlfn.XLOOKUP(Table7[[#This Row],[app_id]],Table5[app_id],Table5[app_name],"",0)</f>
        <v>Creditly</v>
      </c>
      <c r="D112" t="s">
        <v>2449</v>
      </c>
      <c r="E112" s="1">
        <v>45654</v>
      </c>
      <c r="F112">
        <v>3</v>
      </c>
      <c r="G112" t="s">
        <v>2735</v>
      </c>
      <c r="H112" t="s">
        <v>2554</v>
      </c>
      <c r="I112" t="s">
        <v>2555</v>
      </c>
      <c r="J112" t="s">
        <v>2566</v>
      </c>
      <c r="K112">
        <v>39</v>
      </c>
      <c r="L112" s="13" t="s">
        <v>257</v>
      </c>
    </row>
    <row r="113" spans="1:12" x14ac:dyDescent="0.25">
      <c r="A113" t="s">
        <v>2744</v>
      </c>
      <c r="B113" t="s">
        <v>53</v>
      </c>
      <c r="C113" t="str">
        <f>_xlfn.XLOOKUP(Table7[[#This Row],[app_id]],Table5[app_id],Table5[app_name],"",0)</f>
        <v>PayX</v>
      </c>
      <c r="D113" t="s">
        <v>2213</v>
      </c>
      <c r="E113" s="1">
        <v>45853</v>
      </c>
      <c r="F113">
        <v>4</v>
      </c>
      <c r="G113" t="s">
        <v>2568</v>
      </c>
      <c r="H113" t="s">
        <v>2564</v>
      </c>
      <c r="I113" t="s">
        <v>2555</v>
      </c>
      <c r="J113" t="s">
        <v>2569</v>
      </c>
      <c r="K113">
        <v>14</v>
      </c>
      <c r="L113" s="13" t="s">
        <v>257</v>
      </c>
    </row>
    <row r="114" spans="1:12" x14ac:dyDescent="0.25">
      <c r="A114" t="s">
        <v>2745</v>
      </c>
      <c r="B114" t="s">
        <v>56</v>
      </c>
      <c r="C114" t="str">
        <f>_xlfn.XLOOKUP(Table7[[#This Row],[app_id]],Table5[app_id],Table5[app_name],"",0)</f>
        <v>DealGo</v>
      </c>
      <c r="D114" t="s">
        <v>651</v>
      </c>
      <c r="E114" s="1">
        <v>46022</v>
      </c>
      <c r="F114">
        <v>3</v>
      </c>
      <c r="G114" t="s">
        <v>2594</v>
      </c>
      <c r="H114" t="s">
        <v>2554</v>
      </c>
      <c r="I114" t="s">
        <v>2558</v>
      </c>
      <c r="J114" t="s">
        <v>2566</v>
      </c>
      <c r="K114">
        <v>20</v>
      </c>
      <c r="L114" s="13" t="s">
        <v>257</v>
      </c>
    </row>
    <row r="115" spans="1:12" x14ac:dyDescent="0.25">
      <c r="A115" t="s">
        <v>2746</v>
      </c>
      <c r="B115" t="s">
        <v>62</v>
      </c>
      <c r="C115" t="str">
        <f>_xlfn.XLOOKUP(Table7[[#This Row],[app_id]],Table5[app_id],Table5[app_name],"",0)</f>
        <v>MallNow</v>
      </c>
      <c r="D115" t="s">
        <v>795</v>
      </c>
      <c r="E115" s="1">
        <v>46049</v>
      </c>
      <c r="F115">
        <v>5</v>
      </c>
      <c r="G115" t="s">
        <v>2590</v>
      </c>
      <c r="H115" t="s">
        <v>2564</v>
      </c>
      <c r="I115" t="s">
        <v>2555</v>
      </c>
      <c r="J115" t="s">
        <v>2581</v>
      </c>
      <c r="K115">
        <v>5</v>
      </c>
      <c r="L115" s="13" t="s">
        <v>257</v>
      </c>
    </row>
    <row r="116" spans="1:12" x14ac:dyDescent="0.25">
      <c r="A116" t="s">
        <v>2747</v>
      </c>
      <c r="B116" t="s">
        <v>65</v>
      </c>
      <c r="C116" t="str">
        <f>_xlfn.XLOOKUP(Table7[[#This Row],[app_id]],Table5[app_id],Table5[app_name],"",0)</f>
        <v>DealPro</v>
      </c>
      <c r="D116" t="s">
        <v>2012</v>
      </c>
      <c r="E116" s="1">
        <v>45752</v>
      </c>
      <c r="F116">
        <v>3</v>
      </c>
      <c r="G116" t="s">
        <v>2748</v>
      </c>
      <c r="H116" t="s">
        <v>2554</v>
      </c>
      <c r="I116" t="s">
        <v>2555</v>
      </c>
      <c r="J116" t="s">
        <v>2559</v>
      </c>
      <c r="K116">
        <v>44</v>
      </c>
      <c r="L116" s="13" t="s">
        <v>258</v>
      </c>
    </row>
    <row r="117" spans="1:12" x14ac:dyDescent="0.25">
      <c r="A117" t="s">
        <v>2749</v>
      </c>
      <c r="B117" t="s">
        <v>67</v>
      </c>
      <c r="C117" t="str">
        <f>_xlfn.XLOOKUP(Table7[[#This Row],[app_id]],Table5[app_id],Table5[app_name],"",0)</f>
        <v>StyleNow</v>
      </c>
      <c r="D117" t="s">
        <v>577</v>
      </c>
      <c r="E117" s="1">
        <v>46037</v>
      </c>
      <c r="F117">
        <v>4</v>
      </c>
      <c r="G117" t="s">
        <v>2590</v>
      </c>
      <c r="H117" t="s">
        <v>2564</v>
      </c>
      <c r="I117" t="s">
        <v>2565</v>
      </c>
      <c r="J117" t="s">
        <v>2596</v>
      </c>
      <c r="K117">
        <v>43</v>
      </c>
      <c r="L117" s="13" t="s">
        <v>257</v>
      </c>
    </row>
    <row r="118" spans="1:12" x14ac:dyDescent="0.25">
      <c r="A118" t="s">
        <v>2750</v>
      </c>
      <c r="B118" t="s">
        <v>70</v>
      </c>
      <c r="C118" t="str">
        <f>_xlfn.XLOOKUP(Table7[[#This Row],[app_id]],Table5[app_id],Table5[app_name],"",0)</f>
        <v>DealCloud</v>
      </c>
      <c r="D118" t="s">
        <v>890</v>
      </c>
      <c r="E118" s="1">
        <v>45430</v>
      </c>
      <c r="F118">
        <v>5</v>
      </c>
      <c r="G118" t="s">
        <v>2590</v>
      </c>
      <c r="H118" t="s">
        <v>2564</v>
      </c>
      <c r="I118" t="s">
        <v>2565</v>
      </c>
      <c r="J118" t="s">
        <v>2633</v>
      </c>
      <c r="K118">
        <v>6</v>
      </c>
      <c r="L118" s="13" t="s">
        <v>258</v>
      </c>
    </row>
    <row r="119" spans="1:12" x14ac:dyDescent="0.25">
      <c r="A119" t="s">
        <v>2751</v>
      </c>
      <c r="B119" t="s">
        <v>72</v>
      </c>
      <c r="C119" t="str">
        <f>_xlfn.XLOOKUP(Table7[[#This Row],[app_id]],Table5[app_id],Table5[app_name],"",0)</f>
        <v>CartCloud</v>
      </c>
      <c r="D119" t="s">
        <v>1296</v>
      </c>
      <c r="E119" s="1">
        <v>45596</v>
      </c>
      <c r="F119">
        <v>3</v>
      </c>
      <c r="G119" t="s">
        <v>2594</v>
      </c>
      <c r="H119" t="s">
        <v>2554</v>
      </c>
      <c r="I119" t="s">
        <v>2584</v>
      </c>
      <c r="J119" t="s">
        <v>2569</v>
      </c>
      <c r="K119">
        <v>16</v>
      </c>
      <c r="L119" s="13" t="s">
        <v>257</v>
      </c>
    </row>
    <row r="120" spans="1:12" x14ac:dyDescent="0.25">
      <c r="A120" t="s">
        <v>2752</v>
      </c>
      <c r="B120" t="s">
        <v>74</v>
      </c>
      <c r="C120" t="str">
        <f>_xlfn.XLOOKUP(Table7[[#This Row],[app_id]],Table5[app_id],Table5[app_name],"",0)</f>
        <v>CartMate</v>
      </c>
      <c r="D120" t="s">
        <v>553</v>
      </c>
      <c r="E120" s="1">
        <v>45424</v>
      </c>
      <c r="F120">
        <v>4</v>
      </c>
      <c r="G120" t="s">
        <v>2592</v>
      </c>
      <c r="H120" t="s">
        <v>2564</v>
      </c>
      <c r="I120" t="s">
        <v>2558</v>
      </c>
      <c r="J120" t="s">
        <v>2603</v>
      </c>
      <c r="K120">
        <v>2</v>
      </c>
      <c r="L120" s="13" t="s">
        <v>257</v>
      </c>
    </row>
    <row r="121" spans="1:12" x14ac:dyDescent="0.25">
      <c r="A121" t="s">
        <v>2753</v>
      </c>
      <c r="B121" t="s">
        <v>76</v>
      </c>
      <c r="C121" t="str">
        <f>_xlfn.XLOOKUP(Table7[[#This Row],[app_id]],Table5[app_id],Table5[app_name],"",0)</f>
        <v>BazaarOne</v>
      </c>
      <c r="D121" t="s">
        <v>915</v>
      </c>
      <c r="E121" s="1">
        <v>45801</v>
      </c>
      <c r="F121">
        <v>3</v>
      </c>
      <c r="G121" t="s">
        <v>2594</v>
      </c>
      <c r="H121" t="s">
        <v>2554</v>
      </c>
      <c r="I121" t="s">
        <v>2565</v>
      </c>
      <c r="J121" t="s">
        <v>2581</v>
      </c>
      <c r="K121">
        <v>35</v>
      </c>
      <c r="L121" s="13" t="s">
        <v>257</v>
      </c>
    </row>
    <row r="122" spans="1:12" x14ac:dyDescent="0.25">
      <c r="A122" t="s">
        <v>2754</v>
      </c>
      <c r="B122" t="s">
        <v>78</v>
      </c>
      <c r="C122" t="str">
        <f>_xlfn.XLOOKUP(Table7[[#This Row],[app_id]],Table5[app_id],Table5[app_name],"",0)</f>
        <v>StyleOne</v>
      </c>
      <c r="D122" t="s">
        <v>1821</v>
      </c>
      <c r="E122" s="1">
        <v>45510</v>
      </c>
      <c r="F122">
        <v>3</v>
      </c>
      <c r="G122" t="s">
        <v>2609</v>
      </c>
      <c r="H122" t="s">
        <v>2554</v>
      </c>
      <c r="I122" t="s">
        <v>2575</v>
      </c>
      <c r="J122" t="s">
        <v>2581</v>
      </c>
      <c r="K122">
        <v>34</v>
      </c>
      <c r="L122" s="13" t="s">
        <v>257</v>
      </c>
    </row>
    <row r="123" spans="1:12" x14ac:dyDescent="0.25">
      <c r="A123" t="s">
        <v>2755</v>
      </c>
      <c r="B123" t="s">
        <v>80</v>
      </c>
      <c r="C123" t="str">
        <f>_xlfn.XLOOKUP(Table7[[#This Row],[app_id]],Table5[app_id],Table5[app_name],"",0)</f>
        <v>Cartly</v>
      </c>
      <c r="D123" t="s">
        <v>2250</v>
      </c>
      <c r="E123" s="1">
        <v>46102</v>
      </c>
      <c r="F123">
        <v>4</v>
      </c>
      <c r="G123" t="s">
        <v>2592</v>
      </c>
      <c r="H123" t="s">
        <v>2564</v>
      </c>
      <c r="I123" t="s">
        <v>2565</v>
      </c>
      <c r="J123" t="s">
        <v>2596</v>
      </c>
      <c r="K123">
        <v>40</v>
      </c>
      <c r="L123" s="13" t="s">
        <v>257</v>
      </c>
    </row>
    <row r="124" spans="1:12" x14ac:dyDescent="0.25">
      <c r="A124" t="s">
        <v>2756</v>
      </c>
      <c r="B124" t="s">
        <v>83</v>
      </c>
      <c r="C124" t="str">
        <f>_xlfn.XLOOKUP(Table7[[#This Row],[app_id]],Table5[app_id],Table5[app_name],"",0)</f>
        <v>BazaarCloud</v>
      </c>
      <c r="D124" t="s">
        <v>1666</v>
      </c>
      <c r="E124" s="1">
        <v>45354</v>
      </c>
      <c r="F124">
        <v>4</v>
      </c>
      <c r="G124" t="s">
        <v>2590</v>
      </c>
      <c r="H124" t="s">
        <v>2564</v>
      </c>
      <c r="I124" t="s">
        <v>2575</v>
      </c>
      <c r="J124" t="s">
        <v>2600</v>
      </c>
      <c r="K124">
        <v>1</v>
      </c>
      <c r="L124" s="13" t="s">
        <v>257</v>
      </c>
    </row>
    <row r="125" spans="1:12" x14ac:dyDescent="0.25">
      <c r="A125" t="s">
        <v>2757</v>
      </c>
      <c r="B125" t="s">
        <v>85</v>
      </c>
      <c r="C125" t="str">
        <f>_xlfn.XLOOKUP(Table7[[#This Row],[app_id]],Table5[app_id],Table5[app_name],"",0)</f>
        <v>CartPro</v>
      </c>
      <c r="D125" t="s">
        <v>1599</v>
      </c>
      <c r="E125" s="1">
        <v>45649</v>
      </c>
      <c r="F125">
        <v>3</v>
      </c>
      <c r="G125" t="s">
        <v>2748</v>
      </c>
      <c r="H125" t="s">
        <v>2554</v>
      </c>
      <c r="I125" t="s">
        <v>2575</v>
      </c>
      <c r="J125" t="s">
        <v>2556</v>
      </c>
      <c r="K125">
        <v>31</v>
      </c>
      <c r="L125" s="13" t="s">
        <v>257</v>
      </c>
    </row>
    <row r="126" spans="1:12" x14ac:dyDescent="0.25">
      <c r="A126" t="s">
        <v>2758</v>
      </c>
      <c r="B126" t="s">
        <v>87</v>
      </c>
      <c r="C126" t="str">
        <f>_xlfn.XLOOKUP(Table7[[#This Row],[app_id]],Table5[app_id],Table5[app_name],"",0)</f>
        <v>RunPlus</v>
      </c>
      <c r="D126" t="s">
        <v>1859</v>
      </c>
      <c r="E126" s="1">
        <v>45837</v>
      </c>
      <c r="F126">
        <v>2</v>
      </c>
      <c r="G126" t="s">
        <v>2759</v>
      </c>
      <c r="H126" t="s">
        <v>2587</v>
      </c>
      <c r="I126" t="s">
        <v>2578</v>
      </c>
      <c r="J126" t="s">
        <v>2556</v>
      </c>
      <c r="K126">
        <v>60</v>
      </c>
      <c r="L126" s="13" t="s">
        <v>257</v>
      </c>
    </row>
    <row r="127" spans="1:12" x14ac:dyDescent="0.25">
      <c r="A127" t="s">
        <v>2760</v>
      </c>
      <c r="B127" t="s">
        <v>90</v>
      </c>
      <c r="C127" t="str">
        <f>_xlfn.XLOOKUP(Table7[[#This Row],[app_id]],Table5[app_id],Table5[app_name],"",0)</f>
        <v>TrainCloud</v>
      </c>
      <c r="D127" t="s">
        <v>1361</v>
      </c>
      <c r="E127" s="1">
        <v>45474</v>
      </c>
      <c r="F127">
        <v>4</v>
      </c>
      <c r="G127" t="s">
        <v>2622</v>
      </c>
      <c r="H127" t="s">
        <v>2564</v>
      </c>
      <c r="I127" t="s">
        <v>2558</v>
      </c>
      <c r="J127" t="s">
        <v>2600</v>
      </c>
      <c r="K127">
        <v>14</v>
      </c>
      <c r="L127" s="13" t="s">
        <v>257</v>
      </c>
    </row>
    <row r="128" spans="1:12" x14ac:dyDescent="0.25">
      <c r="A128" t="s">
        <v>2761</v>
      </c>
      <c r="B128" t="s">
        <v>92</v>
      </c>
      <c r="C128" t="str">
        <f>_xlfn.XLOOKUP(Table7[[#This Row],[app_id]],Table5[app_id],Table5[app_name],"",0)</f>
        <v>Trainly</v>
      </c>
      <c r="D128" t="s">
        <v>1587</v>
      </c>
      <c r="E128" s="1">
        <v>46135</v>
      </c>
      <c r="F128">
        <v>3</v>
      </c>
      <c r="G128" t="s">
        <v>2620</v>
      </c>
      <c r="H128" t="s">
        <v>2554</v>
      </c>
      <c r="I128" t="s">
        <v>2584</v>
      </c>
      <c r="J128" t="s">
        <v>2566</v>
      </c>
      <c r="K128">
        <v>22</v>
      </c>
      <c r="L128" s="13" t="s">
        <v>257</v>
      </c>
    </row>
    <row r="129" spans="1:12" x14ac:dyDescent="0.25">
      <c r="A129" t="s">
        <v>2762</v>
      </c>
      <c r="B129" t="s">
        <v>94</v>
      </c>
      <c r="C129" t="str">
        <f>_xlfn.XLOOKUP(Table7[[#This Row],[app_id]],Table5[app_id],Table5[app_name],"",0)</f>
        <v>LiftCloud</v>
      </c>
      <c r="D129" t="s">
        <v>664</v>
      </c>
      <c r="E129" s="1">
        <v>45565</v>
      </c>
      <c r="F129">
        <v>4</v>
      </c>
      <c r="G129" t="s">
        <v>2622</v>
      </c>
      <c r="H129" t="s">
        <v>2564</v>
      </c>
      <c r="I129" t="s">
        <v>2565</v>
      </c>
      <c r="J129" t="s">
        <v>2561</v>
      </c>
      <c r="K129">
        <v>35</v>
      </c>
      <c r="L129" s="13" t="s">
        <v>257</v>
      </c>
    </row>
    <row r="130" spans="1:12" x14ac:dyDescent="0.25">
      <c r="A130" t="s">
        <v>2763</v>
      </c>
      <c r="B130" t="s">
        <v>96</v>
      </c>
      <c r="C130" t="str">
        <f>_xlfn.XLOOKUP(Table7[[#This Row],[app_id]],Table5[app_id],Table5[app_name],"",0)</f>
        <v>MoveNow</v>
      </c>
      <c r="D130" t="s">
        <v>2075</v>
      </c>
      <c r="E130" s="1">
        <v>45895</v>
      </c>
      <c r="F130">
        <v>5</v>
      </c>
      <c r="G130" t="s">
        <v>2625</v>
      </c>
      <c r="H130" t="s">
        <v>2564</v>
      </c>
      <c r="I130" t="s">
        <v>2555</v>
      </c>
      <c r="J130" t="s">
        <v>2600</v>
      </c>
      <c r="K130">
        <v>48</v>
      </c>
      <c r="L130" s="13" t="s">
        <v>257</v>
      </c>
    </row>
    <row r="131" spans="1:12" x14ac:dyDescent="0.25">
      <c r="A131" t="s">
        <v>2764</v>
      </c>
      <c r="B131" t="s">
        <v>98</v>
      </c>
      <c r="C131" t="str">
        <f>_xlfn.XLOOKUP(Table7[[#This Row],[app_id]],Table5[app_id],Table5[app_name],"",0)</f>
        <v>ActiveMate</v>
      </c>
      <c r="D131" t="s">
        <v>1990</v>
      </c>
      <c r="E131" s="1">
        <v>45348</v>
      </c>
      <c r="F131">
        <v>3</v>
      </c>
      <c r="G131" t="s">
        <v>2615</v>
      </c>
      <c r="H131" t="s">
        <v>2554</v>
      </c>
      <c r="I131" t="s">
        <v>2578</v>
      </c>
      <c r="J131" t="s">
        <v>2561</v>
      </c>
      <c r="K131">
        <v>31</v>
      </c>
      <c r="L131" s="13" t="s">
        <v>257</v>
      </c>
    </row>
    <row r="132" spans="1:12" x14ac:dyDescent="0.25">
      <c r="A132" t="s">
        <v>2765</v>
      </c>
      <c r="B132" t="s">
        <v>100</v>
      </c>
      <c r="C132" t="str">
        <f>_xlfn.XLOOKUP(Table7[[#This Row],[app_id]],Table5[app_id],Table5[app_name],"",0)</f>
        <v>RunGo</v>
      </c>
      <c r="D132" t="s">
        <v>1218</v>
      </c>
      <c r="E132" s="1">
        <v>45715</v>
      </c>
      <c r="F132">
        <v>5</v>
      </c>
      <c r="G132" t="s">
        <v>2625</v>
      </c>
      <c r="H132" t="s">
        <v>2564</v>
      </c>
      <c r="I132" t="s">
        <v>2555</v>
      </c>
      <c r="J132" t="s">
        <v>2556</v>
      </c>
      <c r="K132">
        <v>31</v>
      </c>
      <c r="L132" s="13" t="s">
        <v>257</v>
      </c>
    </row>
    <row r="133" spans="1:12" x14ac:dyDescent="0.25">
      <c r="A133" t="s">
        <v>2766</v>
      </c>
      <c r="B133" t="s">
        <v>102</v>
      </c>
      <c r="C133" t="str">
        <f>_xlfn.XLOOKUP(Table7[[#This Row],[app_id]],Table5[app_id],Table5[app_name],"",0)</f>
        <v>LiftPro</v>
      </c>
      <c r="D133" t="s">
        <v>1798</v>
      </c>
      <c r="E133" s="1">
        <v>45864</v>
      </c>
      <c r="F133">
        <v>4</v>
      </c>
      <c r="G133" t="s">
        <v>2625</v>
      </c>
      <c r="H133" t="s">
        <v>2564</v>
      </c>
      <c r="I133" t="s">
        <v>2555</v>
      </c>
      <c r="J133" t="s">
        <v>2561</v>
      </c>
      <c r="K133">
        <v>12</v>
      </c>
      <c r="L133" s="13" t="s">
        <v>257</v>
      </c>
    </row>
    <row r="134" spans="1:12" x14ac:dyDescent="0.25">
      <c r="A134" t="s">
        <v>2767</v>
      </c>
      <c r="B134" t="s">
        <v>104</v>
      </c>
      <c r="C134" t="str">
        <f>_xlfn.XLOOKUP(Table7[[#This Row],[app_id]],Table5[app_id],Table5[app_name],"",0)</f>
        <v>LiftPro</v>
      </c>
      <c r="D134" t="s">
        <v>2198</v>
      </c>
      <c r="E134" s="1">
        <v>45923</v>
      </c>
      <c r="F134">
        <v>3</v>
      </c>
      <c r="G134" t="s">
        <v>2620</v>
      </c>
      <c r="H134" t="s">
        <v>2554</v>
      </c>
      <c r="I134" t="s">
        <v>2588</v>
      </c>
      <c r="J134" t="s">
        <v>2569</v>
      </c>
      <c r="K134">
        <v>37</v>
      </c>
      <c r="L134" s="13" t="s">
        <v>258</v>
      </c>
    </row>
    <row r="135" spans="1:12" x14ac:dyDescent="0.25">
      <c r="A135" t="s">
        <v>2768</v>
      </c>
      <c r="B135" t="s">
        <v>105</v>
      </c>
      <c r="C135" t="str">
        <f>_xlfn.XLOOKUP(Table7[[#This Row],[app_id]],Table5[app_id],Table5[app_name],"",0)</f>
        <v>Liftly</v>
      </c>
      <c r="D135" t="s">
        <v>1153</v>
      </c>
      <c r="E135" s="1">
        <v>45995</v>
      </c>
      <c r="F135">
        <v>3</v>
      </c>
      <c r="G135" t="s">
        <v>2620</v>
      </c>
      <c r="H135" t="s">
        <v>2554</v>
      </c>
      <c r="I135" t="s">
        <v>2558</v>
      </c>
      <c r="J135" t="s">
        <v>2603</v>
      </c>
      <c r="K135">
        <v>1</v>
      </c>
      <c r="L135" s="13" t="s">
        <v>257</v>
      </c>
    </row>
    <row r="136" spans="1:12" x14ac:dyDescent="0.25">
      <c r="A136" t="s">
        <v>2769</v>
      </c>
      <c r="B136" t="s">
        <v>107</v>
      </c>
      <c r="C136" t="str">
        <f>_xlfn.XLOOKUP(Table7[[#This Row],[app_id]],Table5[app_id],Table5[app_name],"",0)</f>
        <v>YogaHub</v>
      </c>
      <c r="D136" t="s">
        <v>2116</v>
      </c>
      <c r="E136" s="1">
        <v>45351</v>
      </c>
      <c r="F136">
        <v>3</v>
      </c>
      <c r="G136" t="s">
        <v>2770</v>
      </c>
      <c r="H136" t="s">
        <v>2554</v>
      </c>
      <c r="I136" t="s">
        <v>2555</v>
      </c>
      <c r="J136" t="s">
        <v>2596</v>
      </c>
      <c r="K136">
        <v>25</v>
      </c>
      <c r="L136" s="13" t="s">
        <v>257</v>
      </c>
    </row>
    <row r="137" spans="1:12" x14ac:dyDescent="0.25">
      <c r="A137" t="s">
        <v>2771</v>
      </c>
      <c r="B137" t="s">
        <v>109</v>
      </c>
      <c r="C137" t="str">
        <f>_xlfn.XLOOKUP(Table7[[#This Row],[app_id]],Table5[app_id],Table5[app_name],"",0)</f>
        <v>MoveGo</v>
      </c>
      <c r="D137" t="s">
        <v>2346</v>
      </c>
      <c r="E137" s="1">
        <v>45495</v>
      </c>
      <c r="F137">
        <v>4</v>
      </c>
      <c r="G137" t="s">
        <v>2617</v>
      </c>
      <c r="H137" t="s">
        <v>2564</v>
      </c>
      <c r="I137" t="s">
        <v>2558</v>
      </c>
      <c r="J137" t="s">
        <v>2569</v>
      </c>
      <c r="K137">
        <v>31</v>
      </c>
      <c r="L137" s="13" t="s">
        <v>257</v>
      </c>
    </row>
    <row r="138" spans="1:12" x14ac:dyDescent="0.25">
      <c r="A138" t="s">
        <v>2772</v>
      </c>
      <c r="B138" t="s">
        <v>111</v>
      </c>
      <c r="C138" t="str">
        <f>_xlfn.XLOOKUP(Table7[[#This Row],[app_id]],Table5[app_id],Table5[app_name],"",0)</f>
        <v>BrightNow</v>
      </c>
      <c r="D138" t="s">
        <v>611</v>
      </c>
      <c r="E138" s="1">
        <v>46068</v>
      </c>
      <c r="F138">
        <v>3</v>
      </c>
      <c r="G138" t="s">
        <v>2773</v>
      </c>
      <c r="H138" t="s">
        <v>2554</v>
      </c>
      <c r="I138" t="s">
        <v>2584</v>
      </c>
      <c r="J138" t="s">
        <v>2600</v>
      </c>
      <c r="K138">
        <v>25</v>
      </c>
      <c r="L138" s="13" t="s">
        <v>257</v>
      </c>
    </row>
    <row r="139" spans="1:12" x14ac:dyDescent="0.25">
      <c r="A139" t="s">
        <v>2774</v>
      </c>
      <c r="B139" t="s">
        <v>114</v>
      </c>
      <c r="C139" t="str">
        <f>_xlfn.XLOOKUP(Table7[[#This Row],[app_id]],Table5[app_id],Table5[app_name],"",0)</f>
        <v>StudyCloud</v>
      </c>
      <c r="D139" t="s">
        <v>1524</v>
      </c>
      <c r="E139" s="1">
        <v>45467</v>
      </c>
      <c r="F139">
        <v>4</v>
      </c>
      <c r="G139" t="s">
        <v>2640</v>
      </c>
      <c r="H139" t="s">
        <v>2564</v>
      </c>
      <c r="I139" t="s">
        <v>2565</v>
      </c>
      <c r="J139" t="s">
        <v>2556</v>
      </c>
      <c r="K139">
        <v>35</v>
      </c>
      <c r="L139" s="13" t="s">
        <v>257</v>
      </c>
    </row>
    <row r="140" spans="1:12" x14ac:dyDescent="0.25">
      <c r="A140" t="s">
        <v>2775</v>
      </c>
      <c r="B140" t="s">
        <v>116</v>
      </c>
      <c r="C140" t="str">
        <f>_xlfn.XLOOKUP(Table7[[#This Row],[app_id]],Table5[app_id],Table5[app_name],"",0)</f>
        <v>SkillNow</v>
      </c>
      <c r="D140" t="s">
        <v>2492</v>
      </c>
      <c r="E140" s="1">
        <v>45355</v>
      </c>
      <c r="F140">
        <v>5</v>
      </c>
      <c r="G140" t="s">
        <v>2635</v>
      </c>
      <c r="H140" t="s">
        <v>2564</v>
      </c>
      <c r="I140" t="s">
        <v>2571</v>
      </c>
      <c r="J140" t="s">
        <v>2581</v>
      </c>
      <c r="K140">
        <v>39</v>
      </c>
      <c r="L140" s="13" t="s">
        <v>257</v>
      </c>
    </row>
    <row r="141" spans="1:12" x14ac:dyDescent="0.25">
      <c r="A141" t="s">
        <v>2776</v>
      </c>
      <c r="B141" t="s">
        <v>118</v>
      </c>
      <c r="C141" t="str">
        <f>_xlfn.XLOOKUP(Table7[[#This Row],[app_id]],Table5[app_id],Table5[app_name],"",0)</f>
        <v>LearnMate</v>
      </c>
      <c r="D141" t="s">
        <v>1310</v>
      </c>
      <c r="E141" s="1">
        <v>45440</v>
      </c>
      <c r="F141">
        <v>3</v>
      </c>
      <c r="G141" t="s">
        <v>2646</v>
      </c>
      <c r="H141" t="s">
        <v>2554</v>
      </c>
      <c r="I141" t="s">
        <v>2558</v>
      </c>
      <c r="J141" t="s">
        <v>2581</v>
      </c>
      <c r="K141">
        <v>30</v>
      </c>
      <c r="L141" s="13" t="s">
        <v>257</v>
      </c>
    </row>
    <row r="142" spans="1:12" x14ac:dyDescent="0.25">
      <c r="A142" t="s">
        <v>2777</v>
      </c>
      <c r="B142" t="s">
        <v>120</v>
      </c>
      <c r="C142" t="str">
        <f>_xlfn.XLOOKUP(Table7[[#This Row],[app_id]],Table5[app_id],Table5[app_name],"",0)</f>
        <v>QuestNow</v>
      </c>
      <c r="D142" t="s">
        <v>2356</v>
      </c>
      <c r="E142" s="1">
        <v>45535</v>
      </c>
      <c r="F142">
        <v>3</v>
      </c>
      <c r="G142" t="s">
        <v>2778</v>
      </c>
      <c r="H142" t="s">
        <v>2554</v>
      </c>
      <c r="I142" t="s">
        <v>2555</v>
      </c>
      <c r="J142" t="s">
        <v>2596</v>
      </c>
      <c r="K142">
        <v>26</v>
      </c>
      <c r="L142" s="13" t="s">
        <v>258</v>
      </c>
    </row>
    <row r="143" spans="1:12" x14ac:dyDescent="0.25">
      <c r="A143" t="s">
        <v>2779</v>
      </c>
      <c r="B143" t="s">
        <v>122</v>
      </c>
      <c r="C143" t="str">
        <f>_xlfn.XLOOKUP(Table7[[#This Row],[app_id]],Table5[app_id],Table5[app_name],"",0)</f>
        <v>SkillHub</v>
      </c>
      <c r="D143" t="s">
        <v>1432</v>
      </c>
      <c r="E143" s="1">
        <v>45548</v>
      </c>
      <c r="F143">
        <v>5</v>
      </c>
      <c r="G143" t="s">
        <v>2780</v>
      </c>
      <c r="H143" t="s">
        <v>2564</v>
      </c>
      <c r="I143" t="s">
        <v>2565</v>
      </c>
      <c r="J143" t="s">
        <v>2566</v>
      </c>
      <c r="K143">
        <v>14</v>
      </c>
      <c r="L143" s="13" t="s">
        <v>257</v>
      </c>
    </row>
    <row r="144" spans="1:12" x14ac:dyDescent="0.25">
      <c r="A144" t="s">
        <v>2781</v>
      </c>
      <c r="B144" t="s">
        <v>124</v>
      </c>
      <c r="C144" t="str">
        <f>_xlfn.XLOOKUP(Table7[[#This Row],[app_id]],Table5[app_id],Table5[app_name],"",0)</f>
        <v>TutorCloud</v>
      </c>
      <c r="D144" t="s">
        <v>1216</v>
      </c>
      <c r="E144" s="1">
        <v>45948</v>
      </c>
      <c r="F144">
        <v>4</v>
      </c>
      <c r="G144" t="s">
        <v>2635</v>
      </c>
      <c r="H144" t="s">
        <v>2564</v>
      </c>
      <c r="I144" t="s">
        <v>2558</v>
      </c>
      <c r="J144" t="s">
        <v>2566</v>
      </c>
      <c r="K144">
        <v>42</v>
      </c>
      <c r="L144" s="13" t="s">
        <v>258</v>
      </c>
    </row>
    <row r="145" spans="1:12" x14ac:dyDescent="0.25">
      <c r="A145" t="s">
        <v>2782</v>
      </c>
      <c r="B145" t="s">
        <v>126</v>
      </c>
      <c r="C145" t="str">
        <f>_xlfn.XLOOKUP(Table7[[#This Row],[app_id]],Table5[app_id],Table5[app_name],"",0)</f>
        <v>SkillOne</v>
      </c>
      <c r="D145" t="s">
        <v>1346</v>
      </c>
      <c r="E145" s="1">
        <v>45309</v>
      </c>
      <c r="F145">
        <v>2</v>
      </c>
      <c r="G145" t="s">
        <v>2632</v>
      </c>
      <c r="H145" t="s">
        <v>2587</v>
      </c>
      <c r="I145" t="s">
        <v>2588</v>
      </c>
      <c r="J145" t="s">
        <v>2581</v>
      </c>
      <c r="K145">
        <v>12</v>
      </c>
      <c r="L145" s="13" t="s">
        <v>257</v>
      </c>
    </row>
    <row r="146" spans="1:12" x14ac:dyDescent="0.25">
      <c r="A146" t="s">
        <v>2783</v>
      </c>
      <c r="B146" t="s">
        <v>128</v>
      </c>
      <c r="C146" t="str">
        <f>_xlfn.XLOOKUP(Table7[[#This Row],[app_id]],Table5[app_id],Table5[app_name],"",0)</f>
        <v>LearnOne</v>
      </c>
      <c r="D146" t="s">
        <v>1127</v>
      </c>
      <c r="E146" s="1">
        <v>45984</v>
      </c>
      <c r="F146">
        <v>4</v>
      </c>
      <c r="G146" t="s">
        <v>2780</v>
      </c>
      <c r="H146" t="s">
        <v>2564</v>
      </c>
      <c r="I146" t="s">
        <v>2565</v>
      </c>
      <c r="J146" t="s">
        <v>2603</v>
      </c>
      <c r="K146">
        <v>38</v>
      </c>
      <c r="L146" s="13" t="s">
        <v>257</v>
      </c>
    </row>
    <row r="147" spans="1:12" x14ac:dyDescent="0.25">
      <c r="A147" t="s">
        <v>2784</v>
      </c>
      <c r="B147" t="s">
        <v>130</v>
      </c>
      <c r="C147" t="str">
        <f>_xlfn.XLOOKUP(Table7[[#This Row],[app_id]],Table5[app_id],Table5[app_name],"",0)</f>
        <v>LearnPlus</v>
      </c>
      <c r="D147" t="s">
        <v>862</v>
      </c>
      <c r="E147" s="1">
        <v>45803</v>
      </c>
      <c r="F147">
        <v>4</v>
      </c>
      <c r="G147" t="s">
        <v>2640</v>
      </c>
      <c r="H147" t="s">
        <v>2564</v>
      </c>
      <c r="I147" t="s">
        <v>2575</v>
      </c>
      <c r="J147" t="s">
        <v>2600</v>
      </c>
      <c r="K147">
        <v>22</v>
      </c>
      <c r="L147" s="13" t="s">
        <v>257</v>
      </c>
    </row>
    <row r="148" spans="1:12" x14ac:dyDescent="0.25">
      <c r="A148" t="s">
        <v>2785</v>
      </c>
      <c r="B148" t="s">
        <v>132</v>
      </c>
      <c r="C148" t="str">
        <f>_xlfn.XLOOKUP(Table7[[#This Row],[app_id]],Table5[app_id],Table5[app_name],"",0)</f>
        <v>StudyPlus</v>
      </c>
      <c r="D148" t="s">
        <v>1810</v>
      </c>
      <c r="E148" s="1">
        <v>45556</v>
      </c>
      <c r="F148">
        <v>3</v>
      </c>
      <c r="G148" t="s">
        <v>2773</v>
      </c>
      <c r="H148" t="s">
        <v>2554</v>
      </c>
      <c r="I148" t="s">
        <v>2555</v>
      </c>
      <c r="J148" t="s">
        <v>2600</v>
      </c>
      <c r="K148">
        <v>41</v>
      </c>
      <c r="L148" s="13" t="s">
        <v>258</v>
      </c>
    </row>
    <row r="149" spans="1:12" x14ac:dyDescent="0.25">
      <c r="A149" t="s">
        <v>2786</v>
      </c>
      <c r="B149" t="s">
        <v>134</v>
      </c>
      <c r="C149" t="str">
        <f>_xlfn.XLOOKUP(Table7[[#This Row],[app_id]],Table5[app_id],Table5[app_name],"",0)</f>
        <v>StudyX</v>
      </c>
      <c r="D149" t="s">
        <v>769</v>
      </c>
      <c r="E149" s="1">
        <v>45898</v>
      </c>
      <c r="F149">
        <v>4</v>
      </c>
      <c r="G149" t="s">
        <v>2638</v>
      </c>
      <c r="H149" t="s">
        <v>2564</v>
      </c>
      <c r="I149" t="s">
        <v>2555</v>
      </c>
      <c r="J149" t="s">
        <v>2596</v>
      </c>
      <c r="K149">
        <v>1</v>
      </c>
      <c r="L149" s="13" t="s">
        <v>257</v>
      </c>
    </row>
    <row r="150" spans="1:12" x14ac:dyDescent="0.25">
      <c r="A150" t="s">
        <v>2787</v>
      </c>
      <c r="B150" t="s">
        <v>136</v>
      </c>
      <c r="C150" t="str">
        <f>_xlfn.XLOOKUP(Table7[[#This Row],[app_id]],Table5[app_id],Table5[app_name],"",0)</f>
        <v>PlayPlus</v>
      </c>
      <c r="D150" t="s">
        <v>1278</v>
      </c>
      <c r="E150" s="1">
        <v>45583</v>
      </c>
      <c r="F150">
        <v>4</v>
      </c>
      <c r="G150" t="s">
        <v>2652</v>
      </c>
      <c r="H150" t="s">
        <v>2564</v>
      </c>
      <c r="I150" t="s">
        <v>2555</v>
      </c>
      <c r="J150" t="s">
        <v>2600</v>
      </c>
      <c r="K150">
        <v>48</v>
      </c>
      <c r="L150" s="13" t="s">
        <v>257</v>
      </c>
    </row>
    <row r="151" spans="1:12" x14ac:dyDescent="0.25">
      <c r="A151" t="s">
        <v>2788</v>
      </c>
      <c r="B151" t="s">
        <v>139</v>
      </c>
      <c r="C151" t="str">
        <f>_xlfn.XLOOKUP(Table7[[#This Row],[app_id]],Table5[app_id],Table5[app_name],"",0)</f>
        <v>ShowMate</v>
      </c>
      <c r="D151" t="s">
        <v>1457</v>
      </c>
      <c r="E151" s="1">
        <v>46131</v>
      </c>
      <c r="F151">
        <v>4</v>
      </c>
      <c r="G151" t="s">
        <v>2789</v>
      </c>
      <c r="H151" t="s">
        <v>2564</v>
      </c>
      <c r="I151" t="s">
        <v>2575</v>
      </c>
      <c r="J151" t="s">
        <v>2569</v>
      </c>
      <c r="K151">
        <v>7</v>
      </c>
      <c r="L151" s="13" t="s">
        <v>257</v>
      </c>
    </row>
    <row r="152" spans="1:12" x14ac:dyDescent="0.25">
      <c r="A152" t="s">
        <v>2790</v>
      </c>
      <c r="B152" t="s">
        <v>141</v>
      </c>
      <c r="C152" t="str">
        <f>_xlfn.XLOOKUP(Table7[[#This Row],[app_id]],Table5[app_id],Table5[app_name],"",0)</f>
        <v>VibeX</v>
      </c>
      <c r="D152" t="s">
        <v>2458</v>
      </c>
      <c r="E152" s="1">
        <v>45914</v>
      </c>
      <c r="F152">
        <v>3</v>
      </c>
      <c r="G152" t="s">
        <v>2791</v>
      </c>
      <c r="H152" t="s">
        <v>2554</v>
      </c>
      <c r="I152" t="s">
        <v>2558</v>
      </c>
      <c r="J152" t="s">
        <v>2603</v>
      </c>
      <c r="K152">
        <v>24</v>
      </c>
      <c r="L152" s="13" t="s">
        <v>257</v>
      </c>
    </row>
    <row r="153" spans="1:12" x14ac:dyDescent="0.25">
      <c r="A153" t="s">
        <v>2792</v>
      </c>
      <c r="B153" t="s">
        <v>143</v>
      </c>
      <c r="C153" t="str">
        <f>_xlfn.XLOOKUP(Table7[[#This Row],[app_id]],Table5[app_id],Table5[app_name],"",0)</f>
        <v>BuzzNow</v>
      </c>
      <c r="D153" t="s">
        <v>1548</v>
      </c>
      <c r="E153" s="1">
        <v>45783</v>
      </c>
      <c r="F153">
        <v>3</v>
      </c>
      <c r="G153" t="s">
        <v>2793</v>
      </c>
      <c r="H153" t="s">
        <v>2554</v>
      </c>
      <c r="I153" t="s">
        <v>2578</v>
      </c>
      <c r="J153" t="s">
        <v>2559</v>
      </c>
      <c r="K153">
        <v>39</v>
      </c>
      <c r="L153" s="13" t="s">
        <v>257</v>
      </c>
    </row>
    <row r="154" spans="1:12" x14ac:dyDescent="0.25">
      <c r="A154" t="s">
        <v>2794</v>
      </c>
      <c r="B154" t="s">
        <v>145</v>
      </c>
      <c r="C154" t="str">
        <f>_xlfn.XLOOKUP(Table7[[#This Row],[app_id]],Table5[app_id],Table5[app_name],"",0)</f>
        <v>StreamPlus</v>
      </c>
      <c r="D154" t="s">
        <v>1818</v>
      </c>
      <c r="E154" s="1">
        <v>45809</v>
      </c>
      <c r="F154">
        <v>3</v>
      </c>
      <c r="G154" t="s">
        <v>2791</v>
      </c>
      <c r="H154" t="s">
        <v>2554</v>
      </c>
      <c r="I154" t="s">
        <v>2584</v>
      </c>
      <c r="J154" t="s">
        <v>2600</v>
      </c>
      <c r="K154">
        <v>27</v>
      </c>
      <c r="L154" s="13" t="s">
        <v>257</v>
      </c>
    </row>
    <row r="155" spans="1:12" x14ac:dyDescent="0.25">
      <c r="A155" t="s">
        <v>2795</v>
      </c>
      <c r="B155" t="s">
        <v>147</v>
      </c>
      <c r="C155" t="str">
        <f>_xlfn.XLOOKUP(Table7[[#This Row],[app_id]],Table5[app_id],Table5[app_name],"",0)</f>
        <v>Showly</v>
      </c>
      <c r="D155" t="s">
        <v>2515</v>
      </c>
      <c r="E155" s="1">
        <v>45911</v>
      </c>
      <c r="F155">
        <v>3</v>
      </c>
      <c r="G155" t="s">
        <v>2663</v>
      </c>
      <c r="H155" t="s">
        <v>2554</v>
      </c>
      <c r="I155" t="s">
        <v>2584</v>
      </c>
      <c r="J155" t="s">
        <v>2559</v>
      </c>
      <c r="K155">
        <v>24</v>
      </c>
      <c r="L155" s="13" t="s">
        <v>258</v>
      </c>
    </row>
    <row r="156" spans="1:12" x14ac:dyDescent="0.25">
      <c r="A156" t="s">
        <v>2796</v>
      </c>
      <c r="B156" t="s">
        <v>149</v>
      </c>
      <c r="C156" t="str">
        <f>_xlfn.XLOOKUP(Table7[[#This Row],[app_id]],Table5[app_id],Table5[app_name],"",0)</f>
        <v>BuzzOne</v>
      </c>
      <c r="D156" t="s">
        <v>1995</v>
      </c>
      <c r="E156" s="1">
        <v>46113</v>
      </c>
      <c r="F156">
        <v>3</v>
      </c>
      <c r="G156" t="s">
        <v>2663</v>
      </c>
      <c r="H156" t="s">
        <v>2554</v>
      </c>
      <c r="I156" t="s">
        <v>2571</v>
      </c>
      <c r="J156" t="s">
        <v>2581</v>
      </c>
      <c r="K156">
        <v>15</v>
      </c>
      <c r="L156" s="13" t="s">
        <v>257</v>
      </c>
    </row>
    <row r="157" spans="1:12" x14ac:dyDescent="0.25">
      <c r="A157" t="s">
        <v>2797</v>
      </c>
      <c r="B157" t="s">
        <v>151</v>
      </c>
      <c r="C157" t="str">
        <f>_xlfn.XLOOKUP(Table7[[#This Row],[app_id]],Table5[app_id],Table5[app_name],"",0)</f>
        <v>PlayHub</v>
      </c>
      <c r="D157" t="s">
        <v>1310</v>
      </c>
      <c r="E157" s="1">
        <v>45573</v>
      </c>
      <c r="F157">
        <v>4</v>
      </c>
      <c r="G157" t="s">
        <v>2789</v>
      </c>
      <c r="H157" t="s">
        <v>2564</v>
      </c>
      <c r="I157" t="s">
        <v>2555</v>
      </c>
      <c r="J157" t="s">
        <v>2556</v>
      </c>
      <c r="K157">
        <v>44</v>
      </c>
      <c r="L157" s="13" t="s">
        <v>257</v>
      </c>
    </row>
    <row r="158" spans="1:12" x14ac:dyDescent="0.25">
      <c r="A158" t="s">
        <v>2798</v>
      </c>
      <c r="B158" t="s">
        <v>153</v>
      </c>
      <c r="C158" t="str">
        <f>_xlfn.XLOOKUP(Table7[[#This Row],[app_id]],Table5[app_id],Table5[app_name],"",0)</f>
        <v>CinemaGo</v>
      </c>
      <c r="D158" t="s">
        <v>2413</v>
      </c>
      <c r="E158" s="1">
        <v>45492</v>
      </c>
      <c r="F158">
        <v>5</v>
      </c>
      <c r="G158" t="s">
        <v>2789</v>
      </c>
      <c r="H158" t="s">
        <v>2564</v>
      </c>
      <c r="I158" t="s">
        <v>2558</v>
      </c>
      <c r="J158" t="s">
        <v>2556</v>
      </c>
      <c r="K158">
        <v>27</v>
      </c>
      <c r="L158" s="13" t="s">
        <v>257</v>
      </c>
    </row>
    <row r="159" spans="1:12" x14ac:dyDescent="0.25">
      <c r="A159" t="s">
        <v>2799</v>
      </c>
      <c r="B159" t="s">
        <v>155</v>
      </c>
      <c r="C159" t="str">
        <f>_xlfn.XLOOKUP(Table7[[#This Row],[app_id]],Table5[app_id],Table5[app_name],"",0)</f>
        <v>LaughX</v>
      </c>
      <c r="D159" t="s">
        <v>989</v>
      </c>
      <c r="E159" s="1">
        <v>45706</v>
      </c>
      <c r="F159">
        <v>4</v>
      </c>
      <c r="G159" t="s">
        <v>2650</v>
      </c>
      <c r="H159" t="s">
        <v>2564</v>
      </c>
      <c r="I159" t="s">
        <v>2575</v>
      </c>
      <c r="J159" t="s">
        <v>2596</v>
      </c>
      <c r="K159">
        <v>41</v>
      </c>
      <c r="L159" s="13" t="s">
        <v>257</v>
      </c>
    </row>
    <row r="160" spans="1:12" x14ac:dyDescent="0.25">
      <c r="A160" t="s">
        <v>2800</v>
      </c>
      <c r="B160" t="s">
        <v>157</v>
      </c>
      <c r="C160" t="str">
        <f>_xlfn.XLOOKUP(Table7[[#This Row],[app_id]],Table5[app_id],Table5[app_name],"",0)</f>
        <v>CinemaHub</v>
      </c>
      <c r="D160" t="s">
        <v>1915</v>
      </c>
      <c r="E160" s="1">
        <v>46002</v>
      </c>
      <c r="F160">
        <v>3</v>
      </c>
      <c r="G160" t="s">
        <v>2655</v>
      </c>
      <c r="H160" t="s">
        <v>2554</v>
      </c>
      <c r="I160" t="s">
        <v>2565</v>
      </c>
      <c r="J160" t="s">
        <v>2566</v>
      </c>
      <c r="K160">
        <v>25</v>
      </c>
      <c r="L160" s="13" t="s">
        <v>257</v>
      </c>
    </row>
    <row r="161" spans="1:12" x14ac:dyDescent="0.25">
      <c r="A161" t="s">
        <v>2801</v>
      </c>
      <c r="B161" t="s">
        <v>159</v>
      </c>
      <c r="C161" t="str">
        <f>_xlfn.XLOOKUP(Table7[[#This Row],[app_id]],Table5[app_id],Table5[app_name],"",0)</f>
        <v>ShowPro</v>
      </c>
      <c r="D161" t="s">
        <v>1337</v>
      </c>
      <c r="E161" s="1">
        <v>45358</v>
      </c>
      <c r="F161">
        <v>5</v>
      </c>
      <c r="G161" t="s">
        <v>2789</v>
      </c>
      <c r="H161" t="s">
        <v>2564</v>
      </c>
      <c r="I161" t="s">
        <v>2575</v>
      </c>
      <c r="J161" t="s">
        <v>2633</v>
      </c>
      <c r="K161">
        <v>48</v>
      </c>
      <c r="L161" s="13" t="s">
        <v>257</v>
      </c>
    </row>
    <row r="162" spans="1:12" x14ac:dyDescent="0.25">
      <c r="A162" t="s">
        <v>2802</v>
      </c>
      <c r="B162" t="s">
        <v>161</v>
      </c>
      <c r="C162" t="str">
        <f>_xlfn.XLOOKUP(Table7[[#This Row],[app_id]],Table5[app_id],Table5[app_name],"",0)</f>
        <v>FoodPlus</v>
      </c>
      <c r="D162" t="s">
        <v>1383</v>
      </c>
      <c r="E162" s="1">
        <v>45922</v>
      </c>
      <c r="F162">
        <v>5</v>
      </c>
      <c r="G162" t="s">
        <v>2676</v>
      </c>
      <c r="H162" t="s">
        <v>2564</v>
      </c>
      <c r="I162" t="s">
        <v>2575</v>
      </c>
      <c r="J162" t="s">
        <v>2566</v>
      </c>
      <c r="K162">
        <v>38</v>
      </c>
      <c r="L162" s="13" t="s">
        <v>258</v>
      </c>
    </row>
    <row r="163" spans="1:12" x14ac:dyDescent="0.25">
      <c r="A163" t="s">
        <v>2803</v>
      </c>
      <c r="B163" t="s">
        <v>164</v>
      </c>
      <c r="C163" t="str">
        <f>_xlfn.XLOOKUP(Table7[[#This Row],[app_id]],Table5[app_id],Table5[app_name],"",0)</f>
        <v>BiteGo</v>
      </c>
      <c r="D163" t="s">
        <v>1491</v>
      </c>
      <c r="E163" s="1">
        <v>45560</v>
      </c>
      <c r="F163">
        <v>3</v>
      </c>
      <c r="G163" t="s">
        <v>2672</v>
      </c>
      <c r="H163" t="s">
        <v>2554</v>
      </c>
      <c r="I163" t="s">
        <v>2578</v>
      </c>
      <c r="J163" t="s">
        <v>2569</v>
      </c>
      <c r="K163">
        <v>36</v>
      </c>
      <c r="L163" s="13" t="s">
        <v>258</v>
      </c>
    </row>
    <row r="164" spans="1:12" x14ac:dyDescent="0.25">
      <c r="A164" t="s">
        <v>2804</v>
      </c>
      <c r="B164" t="s">
        <v>166</v>
      </c>
      <c r="C164" t="str">
        <f>_xlfn.XLOOKUP(Table7[[#This Row],[app_id]],Table5[app_id],Table5[app_name],"",0)</f>
        <v>OrderCloud</v>
      </c>
      <c r="D164" t="s">
        <v>2367</v>
      </c>
      <c r="E164" s="1">
        <v>45334</v>
      </c>
      <c r="F164">
        <v>3</v>
      </c>
      <c r="G164" t="s">
        <v>2666</v>
      </c>
      <c r="H164" t="s">
        <v>2554</v>
      </c>
      <c r="I164" t="s">
        <v>2584</v>
      </c>
      <c r="J164" t="s">
        <v>2566</v>
      </c>
      <c r="K164">
        <v>1</v>
      </c>
      <c r="L164" s="13" t="s">
        <v>258</v>
      </c>
    </row>
    <row r="165" spans="1:12" x14ac:dyDescent="0.25">
      <c r="A165" t="s">
        <v>2805</v>
      </c>
      <c r="B165" t="s">
        <v>168</v>
      </c>
      <c r="C165" t="str">
        <f>_xlfn.XLOOKUP(Table7[[#This Row],[app_id]],Table5[app_id],Table5[app_name],"",0)</f>
        <v>DinePlus</v>
      </c>
      <c r="D165" t="s">
        <v>567</v>
      </c>
      <c r="E165" s="1">
        <v>45561</v>
      </c>
      <c r="F165">
        <v>4</v>
      </c>
      <c r="G165" t="s">
        <v>2806</v>
      </c>
      <c r="H165" t="s">
        <v>2564</v>
      </c>
      <c r="I165" t="s">
        <v>2575</v>
      </c>
      <c r="J165" t="s">
        <v>2581</v>
      </c>
      <c r="K165">
        <v>47</v>
      </c>
      <c r="L165" s="13" t="s">
        <v>257</v>
      </c>
    </row>
    <row r="166" spans="1:12" x14ac:dyDescent="0.25">
      <c r="A166" t="s">
        <v>2807</v>
      </c>
      <c r="B166" t="s">
        <v>170</v>
      </c>
      <c r="C166" t="str">
        <f>_xlfn.XLOOKUP(Table7[[#This Row],[app_id]],Table5[app_id],Table5[app_name],"",0)</f>
        <v>SnackX</v>
      </c>
      <c r="D166" t="s">
        <v>1707</v>
      </c>
      <c r="E166" s="1">
        <v>45746</v>
      </c>
      <c r="F166">
        <v>4</v>
      </c>
      <c r="G166" t="s">
        <v>2679</v>
      </c>
      <c r="H166" t="s">
        <v>2564</v>
      </c>
      <c r="I166" t="s">
        <v>2565</v>
      </c>
      <c r="J166" t="s">
        <v>2603</v>
      </c>
      <c r="K166">
        <v>39</v>
      </c>
      <c r="L166" s="13" t="s">
        <v>258</v>
      </c>
    </row>
    <row r="167" spans="1:12" x14ac:dyDescent="0.25">
      <c r="A167" t="s">
        <v>2808</v>
      </c>
      <c r="B167" t="s">
        <v>172</v>
      </c>
      <c r="C167" t="str">
        <f>_xlfn.XLOOKUP(Table7[[#This Row],[app_id]],Table5[app_id],Table5[app_name],"",0)</f>
        <v>FoodOne</v>
      </c>
      <c r="D167" t="s">
        <v>2287</v>
      </c>
      <c r="E167" s="1">
        <v>45849</v>
      </c>
      <c r="F167">
        <v>4</v>
      </c>
      <c r="G167" t="s">
        <v>2806</v>
      </c>
      <c r="H167" t="s">
        <v>2564</v>
      </c>
      <c r="I167" t="s">
        <v>2558</v>
      </c>
      <c r="J167" t="s">
        <v>2556</v>
      </c>
      <c r="K167">
        <v>45</v>
      </c>
      <c r="L167" s="13" t="s">
        <v>257</v>
      </c>
    </row>
    <row r="168" spans="1:12" x14ac:dyDescent="0.25">
      <c r="A168" t="s">
        <v>2809</v>
      </c>
      <c r="B168" t="s">
        <v>174</v>
      </c>
      <c r="C168" t="str">
        <f>_xlfn.XLOOKUP(Table7[[#This Row],[app_id]],Table5[app_id],Table5[app_name],"",0)</f>
        <v>MealMate</v>
      </c>
      <c r="D168" t="s">
        <v>2158</v>
      </c>
      <c r="E168" s="1">
        <v>45473</v>
      </c>
      <c r="F168">
        <v>3</v>
      </c>
      <c r="G168" t="s">
        <v>2668</v>
      </c>
      <c r="H168" t="s">
        <v>2554</v>
      </c>
      <c r="I168" t="s">
        <v>2565</v>
      </c>
      <c r="J168" t="s">
        <v>2559</v>
      </c>
      <c r="K168">
        <v>21</v>
      </c>
      <c r="L168" s="13" t="s">
        <v>258</v>
      </c>
    </row>
    <row r="169" spans="1:12" x14ac:dyDescent="0.25">
      <c r="A169" t="s">
        <v>2810</v>
      </c>
      <c r="B169" t="s">
        <v>176</v>
      </c>
      <c r="C169" t="str">
        <f>_xlfn.XLOOKUP(Table7[[#This Row],[app_id]],Table5[app_id],Table5[app_name],"",0)</f>
        <v>SnackHub</v>
      </c>
      <c r="D169" t="s">
        <v>1598</v>
      </c>
      <c r="E169" s="1">
        <v>46086</v>
      </c>
      <c r="F169">
        <v>4</v>
      </c>
      <c r="G169" t="s">
        <v>2679</v>
      </c>
      <c r="H169" t="s">
        <v>2564</v>
      </c>
      <c r="I169" t="s">
        <v>2565</v>
      </c>
      <c r="J169" t="s">
        <v>2581</v>
      </c>
      <c r="K169">
        <v>46</v>
      </c>
      <c r="L169" s="13" t="s">
        <v>257</v>
      </c>
    </row>
    <row r="170" spans="1:12" x14ac:dyDescent="0.25">
      <c r="A170" t="s">
        <v>2811</v>
      </c>
      <c r="B170" t="s">
        <v>178</v>
      </c>
      <c r="C170" t="str">
        <f>_xlfn.XLOOKUP(Table7[[#This Row],[app_id]],Table5[app_id],Table5[app_name],"",0)</f>
        <v>BiteCloud</v>
      </c>
      <c r="D170" t="s">
        <v>1019</v>
      </c>
      <c r="E170" s="1">
        <v>46067</v>
      </c>
      <c r="F170">
        <v>5</v>
      </c>
      <c r="G170" t="s">
        <v>2806</v>
      </c>
      <c r="H170" t="s">
        <v>2564</v>
      </c>
      <c r="I170" t="s">
        <v>2575</v>
      </c>
      <c r="J170" t="s">
        <v>2556</v>
      </c>
      <c r="K170">
        <v>37</v>
      </c>
      <c r="L170" s="13" t="s">
        <v>257</v>
      </c>
    </row>
    <row r="171" spans="1:12" x14ac:dyDescent="0.25">
      <c r="A171" t="s">
        <v>2812</v>
      </c>
      <c r="B171" t="s">
        <v>180</v>
      </c>
      <c r="C171" t="str">
        <f>_xlfn.XLOOKUP(Table7[[#This Row],[app_id]],Table5[app_id],Table5[app_name],"",0)</f>
        <v>PlatePlus</v>
      </c>
      <c r="D171" t="s">
        <v>1301</v>
      </c>
      <c r="E171" s="1">
        <v>45581</v>
      </c>
      <c r="F171">
        <v>4</v>
      </c>
      <c r="G171" t="s">
        <v>2674</v>
      </c>
      <c r="H171" t="s">
        <v>2564</v>
      </c>
      <c r="I171" t="s">
        <v>2565</v>
      </c>
      <c r="J171" t="s">
        <v>2596</v>
      </c>
      <c r="K171">
        <v>18</v>
      </c>
      <c r="L171" s="13" t="s">
        <v>257</v>
      </c>
    </row>
    <row r="172" spans="1:12" x14ac:dyDescent="0.25">
      <c r="A172" t="s">
        <v>2813</v>
      </c>
      <c r="B172" t="s">
        <v>182</v>
      </c>
      <c r="C172" t="str">
        <f>_xlfn.XLOOKUP(Table7[[#This Row],[app_id]],Table5[app_id],Table5[app_name],"",0)</f>
        <v>VoyageGo</v>
      </c>
      <c r="D172" t="s">
        <v>750</v>
      </c>
      <c r="E172" s="1">
        <v>45989</v>
      </c>
      <c r="F172">
        <v>3</v>
      </c>
      <c r="G172" t="s">
        <v>2690</v>
      </c>
      <c r="H172" t="s">
        <v>2554</v>
      </c>
      <c r="I172" t="s">
        <v>2558</v>
      </c>
      <c r="J172" t="s">
        <v>2600</v>
      </c>
      <c r="K172">
        <v>2</v>
      </c>
      <c r="L172" s="13" t="s">
        <v>258</v>
      </c>
    </row>
    <row r="173" spans="1:12" x14ac:dyDescent="0.25">
      <c r="A173" t="s">
        <v>2814</v>
      </c>
      <c r="B173" t="s">
        <v>185</v>
      </c>
      <c r="C173" t="str">
        <f>_xlfn.XLOOKUP(Table7[[#This Row],[app_id]],Table5[app_id],Table5[app_name],"",0)</f>
        <v>TripOne</v>
      </c>
      <c r="D173" t="s">
        <v>678</v>
      </c>
      <c r="E173" s="1">
        <v>45471</v>
      </c>
      <c r="F173">
        <v>3</v>
      </c>
      <c r="G173" t="s">
        <v>2815</v>
      </c>
      <c r="H173" t="s">
        <v>2554</v>
      </c>
      <c r="I173" t="s">
        <v>2588</v>
      </c>
      <c r="J173" t="s">
        <v>2556</v>
      </c>
      <c r="K173">
        <v>11</v>
      </c>
      <c r="L173" s="13" t="s">
        <v>257</v>
      </c>
    </row>
    <row r="174" spans="1:12" x14ac:dyDescent="0.25">
      <c r="A174" t="s">
        <v>2816</v>
      </c>
      <c r="B174" t="s">
        <v>187</v>
      </c>
      <c r="C174" t="str">
        <f>_xlfn.XLOOKUP(Table7[[#This Row],[app_id]],Table5[app_id],Table5[app_name],"",0)</f>
        <v>FlyGo</v>
      </c>
      <c r="D174" t="s">
        <v>1608</v>
      </c>
      <c r="E174" s="1">
        <v>45344</v>
      </c>
      <c r="F174">
        <v>3</v>
      </c>
      <c r="G174" t="s">
        <v>2690</v>
      </c>
      <c r="H174" t="s">
        <v>2554</v>
      </c>
      <c r="I174" t="s">
        <v>2555</v>
      </c>
      <c r="J174" t="s">
        <v>2603</v>
      </c>
      <c r="K174">
        <v>30</v>
      </c>
      <c r="L174" s="13" t="s">
        <v>257</v>
      </c>
    </row>
    <row r="175" spans="1:12" x14ac:dyDescent="0.25">
      <c r="A175" t="s">
        <v>2817</v>
      </c>
      <c r="B175" t="s">
        <v>189</v>
      </c>
      <c r="C175" t="str">
        <f>_xlfn.XLOOKUP(Table7[[#This Row],[app_id]],Table5[app_id],Table5[app_name],"",0)</f>
        <v>MapX</v>
      </c>
      <c r="D175" t="s">
        <v>2112</v>
      </c>
      <c r="E175" s="1">
        <v>45797</v>
      </c>
      <c r="F175">
        <v>3</v>
      </c>
      <c r="G175" t="s">
        <v>2690</v>
      </c>
      <c r="H175" t="s">
        <v>2554</v>
      </c>
      <c r="I175" t="s">
        <v>2578</v>
      </c>
      <c r="J175" t="s">
        <v>2603</v>
      </c>
      <c r="K175">
        <v>9</v>
      </c>
      <c r="L175" s="13" t="s">
        <v>258</v>
      </c>
    </row>
    <row r="176" spans="1:12" x14ac:dyDescent="0.25">
      <c r="A176" t="s">
        <v>2818</v>
      </c>
      <c r="B176" t="s">
        <v>191</v>
      </c>
      <c r="C176" t="str">
        <f>_xlfn.XLOOKUP(Table7[[#This Row],[app_id]],Table5[app_id],Table5[app_name],"",0)</f>
        <v>StayX</v>
      </c>
      <c r="D176" t="s">
        <v>2262</v>
      </c>
      <c r="E176" s="1">
        <v>45506</v>
      </c>
      <c r="F176">
        <v>3</v>
      </c>
      <c r="G176" t="s">
        <v>2815</v>
      </c>
      <c r="H176" t="s">
        <v>2554</v>
      </c>
      <c r="I176" t="s">
        <v>2588</v>
      </c>
      <c r="J176" t="s">
        <v>2559</v>
      </c>
      <c r="K176">
        <v>42</v>
      </c>
      <c r="L176" s="13" t="s">
        <v>257</v>
      </c>
    </row>
    <row r="177" spans="1:12" x14ac:dyDescent="0.25">
      <c r="A177" t="s">
        <v>2819</v>
      </c>
      <c r="B177" t="s">
        <v>193</v>
      </c>
      <c r="C177" t="str">
        <f>_xlfn.XLOOKUP(Table7[[#This Row],[app_id]],Table5[app_id],Table5[app_name],"",0)</f>
        <v>GoNow</v>
      </c>
      <c r="D177" t="s">
        <v>1715</v>
      </c>
      <c r="E177" s="1">
        <v>45983</v>
      </c>
      <c r="F177">
        <v>3</v>
      </c>
      <c r="G177" t="s">
        <v>2697</v>
      </c>
      <c r="H177" t="s">
        <v>2554</v>
      </c>
      <c r="I177" t="s">
        <v>2555</v>
      </c>
      <c r="J177" t="s">
        <v>2596</v>
      </c>
      <c r="K177">
        <v>14</v>
      </c>
      <c r="L177" s="13" t="s">
        <v>257</v>
      </c>
    </row>
    <row r="178" spans="1:12" x14ac:dyDescent="0.25">
      <c r="A178" t="s">
        <v>2820</v>
      </c>
      <c r="B178" t="s">
        <v>195</v>
      </c>
      <c r="C178" t="str">
        <f>_xlfn.XLOOKUP(Table7[[#This Row],[app_id]],Table5[app_id],Table5[app_name],"",0)</f>
        <v>RouteGo</v>
      </c>
      <c r="D178" t="s">
        <v>2422</v>
      </c>
      <c r="E178" s="1">
        <v>45346</v>
      </c>
      <c r="F178">
        <v>3</v>
      </c>
      <c r="G178" t="s">
        <v>2695</v>
      </c>
      <c r="H178" t="s">
        <v>2554</v>
      </c>
      <c r="I178" t="s">
        <v>2578</v>
      </c>
      <c r="J178" t="s">
        <v>2566</v>
      </c>
      <c r="K178">
        <v>47</v>
      </c>
      <c r="L178" s="13" t="s">
        <v>257</v>
      </c>
    </row>
    <row r="179" spans="1:12" x14ac:dyDescent="0.25">
      <c r="A179" t="s">
        <v>2821</v>
      </c>
      <c r="B179" t="s">
        <v>197</v>
      </c>
      <c r="C179" t="str">
        <f>_xlfn.XLOOKUP(Table7[[#This Row],[app_id]],Table5[app_id],Table5[app_name],"",0)</f>
        <v>TripGo</v>
      </c>
      <c r="D179" t="s">
        <v>1955</v>
      </c>
      <c r="E179" s="1">
        <v>45318</v>
      </c>
      <c r="F179">
        <v>2</v>
      </c>
      <c r="G179" t="s">
        <v>2685</v>
      </c>
      <c r="H179" t="s">
        <v>2587</v>
      </c>
      <c r="I179" t="s">
        <v>2578</v>
      </c>
      <c r="J179" t="s">
        <v>2633</v>
      </c>
      <c r="K179">
        <v>74</v>
      </c>
      <c r="L179" s="13" t="s">
        <v>257</v>
      </c>
    </row>
    <row r="180" spans="1:12" x14ac:dyDescent="0.25">
      <c r="A180" t="s">
        <v>2822</v>
      </c>
      <c r="B180" t="s">
        <v>199</v>
      </c>
      <c r="C180" t="str">
        <f>_xlfn.XLOOKUP(Table7[[#This Row],[app_id]],Table5[app_id],Table5[app_name],"",0)</f>
        <v>Flyly</v>
      </c>
      <c r="D180" t="s">
        <v>1467</v>
      </c>
      <c r="E180" s="1">
        <v>45959</v>
      </c>
      <c r="F180">
        <v>2</v>
      </c>
      <c r="G180" t="s">
        <v>2823</v>
      </c>
      <c r="H180" t="s">
        <v>2587</v>
      </c>
      <c r="I180" t="s">
        <v>2565</v>
      </c>
      <c r="J180" t="s">
        <v>2566</v>
      </c>
      <c r="K180">
        <v>66</v>
      </c>
      <c r="L180" s="13" t="s">
        <v>257</v>
      </c>
    </row>
    <row r="181" spans="1:12" x14ac:dyDescent="0.25">
      <c r="A181" t="s">
        <v>2824</v>
      </c>
      <c r="B181" t="s">
        <v>201</v>
      </c>
      <c r="C181" t="str">
        <f>_xlfn.XLOOKUP(Table7[[#This Row],[app_id]],Table5[app_id],Table5[app_name],"",0)</f>
        <v>TripPro</v>
      </c>
      <c r="D181" t="s">
        <v>2274</v>
      </c>
      <c r="E181" s="1">
        <v>45975</v>
      </c>
      <c r="F181">
        <v>4</v>
      </c>
      <c r="G181" t="s">
        <v>2687</v>
      </c>
      <c r="H181" t="s">
        <v>2564</v>
      </c>
      <c r="I181" t="s">
        <v>2558</v>
      </c>
      <c r="J181" t="s">
        <v>2559</v>
      </c>
      <c r="K181">
        <v>40</v>
      </c>
      <c r="L181" s="13" t="s">
        <v>257</v>
      </c>
    </row>
    <row r="182" spans="1:12" x14ac:dyDescent="0.25">
      <c r="A182" t="s">
        <v>2825</v>
      </c>
      <c r="B182" t="s">
        <v>203</v>
      </c>
      <c r="C182" t="str">
        <f>_xlfn.XLOOKUP(Table7[[#This Row],[app_id]],Table5[app_id],Table5[app_name],"",0)</f>
        <v>Focusly</v>
      </c>
      <c r="D182" t="s">
        <v>1063</v>
      </c>
      <c r="E182" s="1">
        <v>46046</v>
      </c>
      <c r="F182">
        <v>4</v>
      </c>
      <c r="G182" t="s">
        <v>2700</v>
      </c>
      <c r="H182" t="s">
        <v>2564</v>
      </c>
      <c r="I182" t="s">
        <v>2571</v>
      </c>
      <c r="J182" t="s">
        <v>2569</v>
      </c>
      <c r="K182">
        <v>7</v>
      </c>
      <c r="L182" s="13" t="s">
        <v>257</v>
      </c>
    </row>
    <row r="183" spans="1:12" x14ac:dyDescent="0.25">
      <c r="A183" t="s">
        <v>2826</v>
      </c>
      <c r="B183" t="s">
        <v>206</v>
      </c>
      <c r="C183" t="str">
        <f>_xlfn.XLOOKUP(Table7[[#This Row],[app_id]],Table5[app_id],Table5[app_name],"",0)</f>
        <v>DeskX</v>
      </c>
      <c r="D183" t="s">
        <v>1722</v>
      </c>
      <c r="E183" s="1">
        <v>45848</v>
      </c>
      <c r="F183">
        <v>2</v>
      </c>
      <c r="G183" t="s">
        <v>2827</v>
      </c>
      <c r="H183" t="s">
        <v>2587</v>
      </c>
      <c r="I183" t="s">
        <v>2565</v>
      </c>
      <c r="J183" t="s">
        <v>2561</v>
      </c>
      <c r="K183">
        <v>62</v>
      </c>
      <c r="L183" s="13" t="s">
        <v>258</v>
      </c>
    </row>
    <row r="184" spans="1:12" x14ac:dyDescent="0.25">
      <c r="A184" t="s">
        <v>2828</v>
      </c>
      <c r="B184" t="s">
        <v>208</v>
      </c>
      <c r="C184" t="str">
        <f>_xlfn.XLOOKUP(Table7[[#This Row],[app_id]],Table5[app_id],Table5[app_name],"",0)</f>
        <v>DonePro</v>
      </c>
      <c r="D184" t="s">
        <v>1796</v>
      </c>
      <c r="E184" s="1">
        <v>45788</v>
      </c>
      <c r="F184">
        <v>5</v>
      </c>
      <c r="G184" t="s">
        <v>2700</v>
      </c>
      <c r="H184" t="s">
        <v>2564</v>
      </c>
      <c r="I184" t="s">
        <v>2555</v>
      </c>
      <c r="J184" t="s">
        <v>2569</v>
      </c>
      <c r="K184">
        <v>39</v>
      </c>
      <c r="L184" s="13" t="s">
        <v>258</v>
      </c>
    </row>
    <row r="185" spans="1:12" x14ac:dyDescent="0.25">
      <c r="A185" t="s">
        <v>2829</v>
      </c>
      <c r="B185" t="s">
        <v>210</v>
      </c>
      <c r="C185" t="str">
        <f>_xlfn.XLOOKUP(Table7[[#This Row],[app_id]],Table5[app_id],Table5[app_name],"",0)</f>
        <v>NotePlus</v>
      </c>
      <c r="D185" t="s">
        <v>1574</v>
      </c>
      <c r="E185" s="1">
        <v>45827</v>
      </c>
      <c r="F185">
        <v>3</v>
      </c>
      <c r="G185" t="s">
        <v>2710</v>
      </c>
      <c r="H185" t="s">
        <v>2554</v>
      </c>
      <c r="I185" t="s">
        <v>2558</v>
      </c>
      <c r="J185" t="s">
        <v>2596</v>
      </c>
      <c r="K185">
        <v>39</v>
      </c>
      <c r="L185" s="13" t="s">
        <v>257</v>
      </c>
    </row>
    <row r="186" spans="1:12" x14ac:dyDescent="0.25">
      <c r="A186" t="s">
        <v>2830</v>
      </c>
      <c r="B186" t="s">
        <v>212</v>
      </c>
      <c r="C186" t="str">
        <f>_xlfn.XLOOKUP(Table7[[#This Row],[app_id]],Table5[app_id],Table5[app_name],"",0)</f>
        <v>SyncPlus</v>
      </c>
      <c r="D186" t="s">
        <v>1791</v>
      </c>
      <c r="E186" s="1">
        <v>45627</v>
      </c>
      <c r="F186">
        <v>4</v>
      </c>
      <c r="G186" t="s">
        <v>2700</v>
      </c>
      <c r="H186" t="s">
        <v>2564</v>
      </c>
      <c r="I186" t="s">
        <v>2555</v>
      </c>
      <c r="J186" t="s">
        <v>2633</v>
      </c>
      <c r="K186">
        <v>7</v>
      </c>
      <c r="L186" s="13" t="s">
        <v>257</v>
      </c>
    </row>
    <row r="187" spans="1:12" x14ac:dyDescent="0.25">
      <c r="A187" t="s">
        <v>2831</v>
      </c>
      <c r="B187" t="s">
        <v>214</v>
      </c>
      <c r="C187" t="str">
        <f>_xlfn.XLOOKUP(Table7[[#This Row],[app_id]],Table5[app_id],Table5[app_name],"",0)</f>
        <v>NoteOne</v>
      </c>
      <c r="D187" t="s">
        <v>1961</v>
      </c>
      <c r="E187" s="1">
        <v>46025</v>
      </c>
      <c r="F187">
        <v>5</v>
      </c>
      <c r="G187" t="s">
        <v>2703</v>
      </c>
      <c r="H187" t="s">
        <v>2564</v>
      </c>
      <c r="I187" t="s">
        <v>2571</v>
      </c>
      <c r="J187" t="s">
        <v>2556</v>
      </c>
      <c r="K187">
        <v>27</v>
      </c>
      <c r="L187" s="13" t="s">
        <v>258</v>
      </c>
    </row>
    <row r="188" spans="1:12" x14ac:dyDescent="0.25">
      <c r="A188" t="s">
        <v>2832</v>
      </c>
      <c r="B188" t="s">
        <v>216</v>
      </c>
      <c r="C188" t="str">
        <f>_xlfn.XLOOKUP(Table7[[#This Row],[app_id]],Table5[app_id],Table5[app_name],"",0)</f>
        <v>NoteMate</v>
      </c>
      <c r="D188" t="s">
        <v>1338</v>
      </c>
      <c r="E188" s="1">
        <v>45891</v>
      </c>
      <c r="F188">
        <v>5</v>
      </c>
      <c r="G188" t="s">
        <v>2700</v>
      </c>
      <c r="H188" t="s">
        <v>2564</v>
      </c>
      <c r="I188" t="s">
        <v>2575</v>
      </c>
      <c r="J188" t="s">
        <v>2556</v>
      </c>
      <c r="K188">
        <v>22</v>
      </c>
      <c r="L188" s="13" t="s">
        <v>257</v>
      </c>
    </row>
    <row r="189" spans="1:12" x14ac:dyDescent="0.25">
      <c r="A189" t="s">
        <v>2833</v>
      </c>
      <c r="B189" t="s">
        <v>218</v>
      </c>
      <c r="C189" t="str">
        <f>_xlfn.XLOOKUP(Table7[[#This Row],[app_id]],Table5[app_id],Table5[app_name],"",0)</f>
        <v>PlanPlus</v>
      </c>
      <c r="D189" t="s">
        <v>2492</v>
      </c>
      <c r="E189" s="1">
        <v>45406</v>
      </c>
      <c r="F189">
        <v>3</v>
      </c>
      <c r="G189" t="s">
        <v>2706</v>
      </c>
      <c r="H189" t="s">
        <v>2554</v>
      </c>
      <c r="I189" t="s">
        <v>2578</v>
      </c>
      <c r="J189" t="s">
        <v>2569</v>
      </c>
      <c r="K189">
        <v>14</v>
      </c>
      <c r="L189" s="13" t="s">
        <v>257</v>
      </c>
    </row>
    <row r="190" spans="1:12" x14ac:dyDescent="0.25">
      <c r="A190" t="s">
        <v>2834</v>
      </c>
      <c r="B190" t="s">
        <v>220</v>
      </c>
      <c r="C190" t="str">
        <f>_xlfn.XLOOKUP(Table7[[#This Row],[app_id]],Table5[app_id],Table5[app_name],"",0)</f>
        <v>PlanMate</v>
      </c>
      <c r="D190" t="s">
        <v>1520</v>
      </c>
      <c r="E190" s="1">
        <v>45576</v>
      </c>
      <c r="F190">
        <v>4</v>
      </c>
      <c r="G190" t="s">
        <v>2708</v>
      </c>
      <c r="H190" t="s">
        <v>2564</v>
      </c>
      <c r="I190" t="s">
        <v>2575</v>
      </c>
      <c r="J190" t="s">
        <v>2561</v>
      </c>
      <c r="K190">
        <v>35</v>
      </c>
      <c r="L190" s="13" t="s">
        <v>257</v>
      </c>
    </row>
    <row r="191" spans="1:12" x14ac:dyDescent="0.25">
      <c r="A191" t="s">
        <v>2835</v>
      </c>
      <c r="B191" t="s">
        <v>222</v>
      </c>
      <c r="C191" t="str">
        <f>_xlfn.XLOOKUP(Table7[[#This Row],[app_id]],Table5[app_id],Table5[app_name],"",0)</f>
        <v>SyncPlus</v>
      </c>
      <c r="D191" t="s">
        <v>878</v>
      </c>
      <c r="E191" s="1">
        <v>45666</v>
      </c>
      <c r="F191">
        <v>4</v>
      </c>
      <c r="G191" t="s">
        <v>2836</v>
      </c>
      <c r="H191" t="s">
        <v>2564</v>
      </c>
      <c r="I191" t="s">
        <v>2558</v>
      </c>
      <c r="J191" t="s">
        <v>2581</v>
      </c>
      <c r="K191">
        <v>25</v>
      </c>
      <c r="L191" s="13" t="s">
        <v>257</v>
      </c>
    </row>
    <row r="192" spans="1:12" x14ac:dyDescent="0.25">
      <c r="A192" t="s">
        <v>2837</v>
      </c>
      <c r="B192" t="s">
        <v>223</v>
      </c>
      <c r="C192" t="str">
        <f>_xlfn.XLOOKUP(Table7[[#This Row],[app_id]],Table5[app_id],Table5[app_name],"",0)</f>
        <v>ClinicPro</v>
      </c>
      <c r="D192" t="s">
        <v>835</v>
      </c>
      <c r="E192" s="1">
        <v>45371</v>
      </c>
      <c r="F192">
        <v>5</v>
      </c>
      <c r="G192" t="s">
        <v>2722</v>
      </c>
      <c r="H192" t="s">
        <v>2564</v>
      </c>
      <c r="I192" t="s">
        <v>2565</v>
      </c>
      <c r="J192" t="s">
        <v>2569</v>
      </c>
      <c r="K192">
        <v>20</v>
      </c>
      <c r="L192" s="13" t="s">
        <v>257</v>
      </c>
    </row>
    <row r="193" spans="1:12" x14ac:dyDescent="0.25">
      <c r="A193" t="s">
        <v>2838</v>
      </c>
      <c r="B193" t="s">
        <v>226</v>
      </c>
      <c r="C193" t="str">
        <f>_xlfn.XLOOKUP(Table7[[#This Row],[app_id]],Table5[app_id],Table5[app_name],"",0)</f>
        <v>MindMate</v>
      </c>
      <c r="D193" t="s">
        <v>1559</v>
      </c>
      <c r="E193" s="1">
        <v>45758</v>
      </c>
      <c r="F193">
        <v>3</v>
      </c>
      <c r="G193" t="s">
        <v>2720</v>
      </c>
      <c r="H193" t="s">
        <v>2554</v>
      </c>
      <c r="I193" t="s">
        <v>2588</v>
      </c>
      <c r="J193" t="s">
        <v>2559</v>
      </c>
      <c r="K193">
        <v>30</v>
      </c>
      <c r="L193" s="13" t="s">
        <v>257</v>
      </c>
    </row>
    <row r="194" spans="1:12" x14ac:dyDescent="0.25">
      <c r="A194" t="s">
        <v>2839</v>
      </c>
      <c r="B194" t="s">
        <v>228</v>
      </c>
      <c r="C194" t="str">
        <f>_xlfn.XLOOKUP(Table7[[#This Row],[app_id]],Table5[app_id],Table5[app_name],"",0)</f>
        <v>ClinicOne</v>
      </c>
      <c r="D194" t="s">
        <v>1822</v>
      </c>
      <c r="E194" s="1">
        <v>45589</v>
      </c>
      <c r="F194">
        <v>5</v>
      </c>
      <c r="G194" t="s">
        <v>2728</v>
      </c>
      <c r="H194" t="s">
        <v>2564</v>
      </c>
      <c r="I194" t="s">
        <v>2555</v>
      </c>
      <c r="J194" t="s">
        <v>2596</v>
      </c>
      <c r="K194">
        <v>14</v>
      </c>
      <c r="L194" s="13" t="s">
        <v>257</v>
      </c>
    </row>
    <row r="195" spans="1:12" x14ac:dyDescent="0.25">
      <c r="A195" t="s">
        <v>2840</v>
      </c>
      <c r="B195" t="s">
        <v>230</v>
      </c>
      <c r="C195" t="str">
        <f>_xlfn.XLOOKUP(Table7[[#This Row],[app_id]],Table5[app_id],Table5[app_name],"",0)</f>
        <v>WellMate</v>
      </c>
      <c r="D195" t="s">
        <v>2331</v>
      </c>
      <c r="E195" s="1">
        <v>45772</v>
      </c>
      <c r="F195">
        <v>4</v>
      </c>
      <c r="G195" t="s">
        <v>2728</v>
      </c>
      <c r="H195" t="s">
        <v>2564</v>
      </c>
      <c r="I195" t="s">
        <v>2571</v>
      </c>
      <c r="J195" t="s">
        <v>2561</v>
      </c>
      <c r="K195">
        <v>33</v>
      </c>
      <c r="L195" s="13" t="s">
        <v>258</v>
      </c>
    </row>
    <row r="196" spans="1:12" x14ac:dyDescent="0.25">
      <c r="A196" t="s">
        <v>2841</v>
      </c>
      <c r="B196" t="s">
        <v>232</v>
      </c>
      <c r="C196" t="str">
        <f>_xlfn.XLOOKUP(Table7[[#This Row],[app_id]],Table5[app_id],Table5[app_name],"",0)</f>
        <v>MediMate</v>
      </c>
      <c r="D196" t="s">
        <v>1687</v>
      </c>
      <c r="E196" s="1">
        <v>45791</v>
      </c>
      <c r="F196">
        <v>4</v>
      </c>
      <c r="G196" t="s">
        <v>2728</v>
      </c>
      <c r="H196" t="s">
        <v>2564</v>
      </c>
      <c r="I196" t="s">
        <v>2571</v>
      </c>
      <c r="J196" t="s">
        <v>2633</v>
      </c>
      <c r="K196">
        <v>11</v>
      </c>
      <c r="L196" s="13" t="s">
        <v>257</v>
      </c>
    </row>
    <row r="197" spans="1:12" x14ac:dyDescent="0.25">
      <c r="A197" t="s">
        <v>2842</v>
      </c>
      <c r="B197" t="s">
        <v>234</v>
      </c>
      <c r="C197" t="str">
        <f>_xlfn.XLOOKUP(Table7[[#This Row],[app_id]],Table5[app_id],Table5[app_name],"",0)</f>
        <v>WellNow</v>
      </c>
      <c r="D197" t="s">
        <v>965</v>
      </c>
      <c r="E197" s="1">
        <v>45712</v>
      </c>
      <c r="F197">
        <v>3</v>
      </c>
      <c r="G197" t="s">
        <v>2718</v>
      </c>
      <c r="H197" t="s">
        <v>2554</v>
      </c>
      <c r="I197" t="s">
        <v>2588</v>
      </c>
      <c r="J197" t="s">
        <v>2561</v>
      </c>
      <c r="K197">
        <v>15</v>
      </c>
      <c r="L197" s="13" t="s">
        <v>258</v>
      </c>
    </row>
    <row r="198" spans="1:12" x14ac:dyDescent="0.25">
      <c r="A198" t="s">
        <v>2843</v>
      </c>
      <c r="B198" t="s">
        <v>236</v>
      </c>
      <c r="C198" t="str">
        <f>_xlfn.XLOOKUP(Table7[[#This Row],[app_id]],Table5[app_id],Table5[app_name],"",0)</f>
        <v>CareCloud</v>
      </c>
      <c r="D198" t="s">
        <v>925</v>
      </c>
      <c r="E198" s="1">
        <v>46118</v>
      </c>
      <c r="F198">
        <v>2</v>
      </c>
      <c r="G198" t="s">
        <v>2844</v>
      </c>
      <c r="H198" t="s">
        <v>2587</v>
      </c>
      <c r="I198" t="s">
        <v>2571</v>
      </c>
      <c r="J198" t="s">
        <v>2633</v>
      </c>
      <c r="K198">
        <v>95</v>
      </c>
      <c r="L198" s="13" t="s">
        <v>258</v>
      </c>
    </row>
    <row r="199" spans="1:12" x14ac:dyDescent="0.25">
      <c r="A199" t="s">
        <v>2845</v>
      </c>
      <c r="B199" t="s">
        <v>238</v>
      </c>
      <c r="C199" t="str">
        <f>_xlfn.XLOOKUP(Table7[[#This Row],[app_id]],Table5[app_id],Table5[app_name],"",0)</f>
        <v>MediNow</v>
      </c>
      <c r="D199" t="s">
        <v>1839</v>
      </c>
      <c r="E199" s="1">
        <v>45975</v>
      </c>
      <c r="F199">
        <v>3</v>
      </c>
      <c r="G199" t="s">
        <v>2846</v>
      </c>
      <c r="H199" t="s">
        <v>2554</v>
      </c>
      <c r="I199" t="s">
        <v>2588</v>
      </c>
      <c r="J199" t="s">
        <v>2596</v>
      </c>
      <c r="K199">
        <v>20</v>
      </c>
      <c r="L199" s="13" t="s">
        <v>257</v>
      </c>
    </row>
    <row r="200" spans="1:12" x14ac:dyDescent="0.25">
      <c r="A200" t="s">
        <v>2847</v>
      </c>
      <c r="B200" t="s">
        <v>240</v>
      </c>
      <c r="C200" t="str">
        <f>_xlfn.XLOOKUP(Table7[[#This Row],[app_id]],Table5[app_id],Table5[app_name],"",0)</f>
        <v>MindPlus</v>
      </c>
      <c r="D200" t="s">
        <v>1949</v>
      </c>
      <c r="E200" s="1">
        <v>46069</v>
      </c>
      <c r="F200">
        <v>4</v>
      </c>
      <c r="G200" t="s">
        <v>2728</v>
      </c>
      <c r="H200" t="s">
        <v>2564</v>
      </c>
      <c r="I200" t="s">
        <v>2555</v>
      </c>
      <c r="J200" t="s">
        <v>2561</v>
      </c>
      <c r="K200">
        <v>6</v>
      </c>
      <c r="L200" s="13" t="s">
        <v>257</v>
      </c>
    </row>
    <row r="201" spans="1:12" x14ac:dyDescent="0.25">
      <c r="A201" t="s">
        <v>2848</v>
      </c>
      <c r="B201" t="s">
        <v>242</v>
      </c>
      <c r="C201" t="str">
        <f>_xlfn.XLOOKUP(Table7[[#This Row],[app_id]],Table5[app_id],Table5[app_name],"",0)</f>
        <v>MediCloud</v>
      </c>
      <c r="D201" t="s">
        <v>553</v>
      </c>
      <c r="E201" s="1">
        <v>46129</v>
      </c>
      <c r="F201">
        <v>5</v>
      </c>
      <c r="G201" t="s">
        <v>2728</v>
      </c>
      <c r="H201" t="s">
        <v>2564</v>
      </c>
      <c r="I201" t="s">
        <v>2565</v>
      </c>
      <c r="J201" t="s">
        <v>2603</v>
      </c>
      <c r="K201">
        <v>4</v>
      </c>
      <c r="L201" s="13" t="s">
        <v>257</v>
      </c>
    </row>
    <row r="202" spans="1:12" x14ac:dyDescent="0.25">
      <c r="A202" t="s">
        <v>2849</v>
      </c>
      <c r="B202" t="s">
        <v>12</v>
      </c>
      <c r="C202" t="str">
        <f>_xlfn.XLOOKUP(Table7[[#This Row],[app_id]],Table5[app_id],Table5[app_name],"",0)</f>
        <v>InvestPro</v>
      </c>
      <c r="D202" t="s">
        <v>1713</v>
      </c>
      <c r="E202" s="1">
        <v>45824</v>
      </c>
      <c r="F202">
        <v>3</v>
      </c>
      <c r="G202" t="s">
        <v>2553</v>
      </c>
      <c r="H202" t="s">
        <v>2554</v>
      </c>
      <c r="I202" t="s">
        <v>2565</v>
      </c>
      <c r="J202" t="s">
        <v>2569</v>
      </c>
      <c r="K202">
        <v>32</v>
      </c>
      <c r="L202" s="13" t="s">
        <v>257</v>
      </c>
    </row>
    <row r="203" spans="1:12" x14ac:dyDescent="0.25">
      <c r="A203" t="s">
        <v>2850</v>
      </c>
      <c r="B203" t="s">
        <v>19</v>
      </c>
      <c r="C203" t="str">
        <f>_xlfn.XLOOKUP(Table7[[#This Row],[app_id]],Table5[app_id],Table5[app_name],"",0)</f>
        <v>BankPro</v>
      </c>
      <c r="D203" t="s">
        <v>572</v>
      </c>
      <c r="E203" s="1">
        <v>45389</v>
      </c>
      <c r="F203">
        <v>4</v>
      </c>
      <c r="G203" t="s">
        <v>2563</v>
      </c>
      <c r="H203" t="s">
        <v>2564</v>
      </c>
      <c r="I203" t="s">
        <v>2575</v>
      </c>
      <c r="J203" t="s">
        <v>2561</v>
      </c>
      <c r="K203">
        <v>14</v>
      </c>
      <c r="L203" s="13" t="s">
        <v>257</v>
      </c>
    </row>
    <row r="204" spans="1:12" x14ac:dyDescent="0.25">
      <c r="A204" t="s">
        <v>2851</v>
      </c>
      <c r="B204" t="s">
        <v>24</v>
      </c>
      <c r="C204" t="str">
        <f>_xlfn.XLOOKUP(Table7[[#This Row],[app_id]],Table5[app_id],Table5[app_name],"",0)</f>
        <v>BankX</v>
      </c>
      <c r="D204" t="s">
        <v>2335</v>
      </c>
      <c r="E204" s="1">
        <v>45880</v>
      </c>
      <c r="F204">
        <v>5</v>
      </c>
      <c r="G204" t="s">
        <v>2573</v>
      </c>
      <c r="H204" t="s">
        <v>2564</v>
      </c>
      <c r="I204" t="s">
        <v>2575</v>
      </c>
      <c r="J204" t="s">
        <v>2556</v>
      </c>
      <c r="K204">
        <v>2</v>
      </c>
      <c r="L204" s="13" t="s">
        <v>257</v>
      </c>
    </row>
    <row r="205" spans="1:12" x14ac:dyDescent="0.25">
      <c r="A205" t="s">
        <v>2852</v>
      </c>
      <c r="B205" t="s">
        <v>27</v>
      </c>
      <c r="C205" t="str">
        <f>_xlfn.XLOOKUP(Table7[[#This Row],[app_id]],Table5[app_id],Table5[app_name],"",0)</f>
        <v>BankNow</v>
      </c>
      <c r="D205" t="s">
        <v>1830</v>
      </c>
      <c r="E205" s="1">
        <v>45651</v>
      </c>
      <c r="F205">
        <v>3</v>
      </c>
      <c r="G205" t="s">
        <v>2553</v>
      </c>
      <c r="H205" t="s">
        <v>2554</v>
      </c>
      <c r="I205" t="s">
        <v>2555</v>
      </c>
      <c r="J205" t="s">
        <v>2569</v>
      </c>
      <c r="K205">
        <v>41</v>
      </c>
      <c r="L205" s="13" t="s">
        <v>257</v>
      </c>
    </row>
    <row r="206" spans="1:12" x14ac:dyDescent="0.25">
      <c r="A206" t="s">
        <v>2853</v>
      </c>
      <c r="B206" t="s">
        <v>31</v>
      </c>
      <c r="C206" t="str">
        <f>_xlfn.XLOOKUP(Table7[[#This Row],[app_id]],Table5[app_id],Table5[app_name],"",0)</f>
        <v>CreditHub</v>
      </c>
      <c r="D206" t="s">
        <v>1726</v>
      </c>
      <c r="E206" s="1">
        <v>45822</v>
      </c>
      <c r="F206">
        <v>5</v>
      </c>
      <c r="G206" t="s">
        <v>2568</v>
      </c>
      <c r="H206" t="s">
        <v>2564</v>
      </c>
      <c r="I206" t="s">
        <v>2558</v>
      </c>
      <c r="J206" t="s">
        <v>2556</v>
      </c>
      <c r="K206">
        <v>40</v>
      </c>
      <c r="L206" s="13" t="s">
        <v>257</v>
      </c>
    </row>
    <row r="207" spans="1:12" x14ac:dyDescent="0.25">
      <c r="A207" t="s">
        <v>2854</v>
      </c>
      <c r="B207" t="s">
        <v>36</v>
      </c>
      <c r="C207" t="str">
        <f>_xlfn.XLOOKUP(Table7[[#This Row],[app_id]],Table5[app_id],Table5[app_name],"",0)</f>
        <v>PayPlus</v>
      </c>
      <c r="D207" t="s">
        <v>1365</v>
      </c>
      <c r="E207" s="1">
        <v>46012</v>
      </c>
      <c r="F207">
        <v>5</v>
      </c>
      <c r="G207" t="s">
        <v>2568</v>
      </c>
      <c r="H207" t="s">
        <v>2564</v>
      </c>
      <c r="I207" t="s">
        <v>2565</v>
      </c>
      <c r="J207" t="s">
        <v>2600</v>
      </c>
      <c r="K207">
        <v>5</v>
      </c>
      <c r="L207" s="13" t="s">
        <v>257</v>
      </c>
    </row>
    <row r="208" spans="1:12" x14ac:dyDescent="0.25">
      <c r="A208" t="s">
        <v>2855</v>
      </c>
      <c r="B208" t="s">
        <v>39</v>
      </c>
      <c r="C208" t="str">
        <f>_xlfn.XLOOKUP(Table7[[#This Row],[app_id]],Table5[app_id],Table5[app_name],"",0)</f>
        <v>BankPlus</v>
      </c>
      <c r="D208" t="s">
        <v>2212</v>
      </c>
      <c r="E208" s="1">
        <v>45657</v>
      </c>
      <c r="F208">
        <v>4</v>
      </c>
      <c r="G208" t="s">
        <v>2580</v>
      </c>
      <c r="H208" t="s">
        <v>2564</v>
      </c>
      <c r="I208" t="s">
        <v>2575</v>
      </c>
      <c r="J208" t="s">
        <v>2569</v>
      </c>
      <c r="K208">
        <v>30</v>
      </c>
      <c r="L208" s="13" t="s">
        <v>258</v>
      </c>
    </row>
    <row r="209" spans="1:12" x14ac:dyDescent="0.25">
      <c r="A209" t="s">
        <v>2856</v>
      </c>
      <c r="B209" t="s">
        <v>42</v>
      </c>
      <c r="C209" t="str">
        <f>_xlfn.XLOOKUP(Table7[[#This Row],[app_id]],Table5[app_id],Table5[app_name],"",0)</f>
        <v>CoinPlus</v>
      </c>
      <c r="D209" t="s">
        <v>1947</v>
      </c>
      <c r="E209" s="1">
        <v>45804</v>
      </c>
      <c r="F209">
        <v>4</v>
      </c>
      <c r="G209" t="s">
        <v>2568</v>
      </c>
      <c r="H209" t="s">
        <v>2564</v>
      </c>
      <c r="I209" t="s">
        <v>2575</v>
      </c>
      <c r="J209" t="s">
        <v>2566</v>
      </c>
      <c r="K209">
        <v>37</v>
      </c>
      <c r="L209" s="13" t="s">
        <v>257</v>
      </c>
    </row>
    <row r="210" spans="1:12" x14ac:dyDescent="0.25">
      <c r="A210" t="s">
        <v>2857</v>
      </c>
      <c r="B210" t="s">
        <v>47</v>
      </c>
      <c r="C210" t="str">
        <f>_xlfn.XLOOKUP(Table7[[#This Row],[app_id]],Table5[app_id],Table5[app_name],"",0)</f>
        <v>CreditOne</v>
      </c>
      <c r="D210" t="s">
        <v>1161</v>
      </c>
      <c r="E210" s="1">
        <v>45436</v>
      </c>
      <c r="F210">
        <v>3</v>
      </c>
      <c r="G210" t="s">
        <v>2553</v>
      </c>
      <c r="H210" t="s">
        <v>2554</v>
      </c>
      <c r="I210" t="s">
        <v>2565</v>
      </c>
      <c r="J210" t="s">
        <v>2566</v>
      </c>
      <c r="K210">
        <v>36</v>
      </c>
      <c r="L210" s="13" t="s">
        <v>258</v>
      </c>
    </row>
    <row r="211" spans="1:12" x14ac:dyDescent="0.25">
      <c r="A211" t="s">
        <v>2858</v>
      </c>
      <c r="B211" t="s">
        <v>49</v>
      </c>
      <c r="C211" t="str">
        <f>_xlfn.XLOOKUP(Table7[[#This Row],[app_id]],Table5[app_id],Table5[app_name],"",0)</f>
        <v>PayPro</v>
      </c>
      <c r="D211" t="s">
        <v>698</v>
      </c>
      <c r="E211" s="1">
        <v>45921</v>
      </c>
      <c r="F211">
        <v>4</v>
      </c>
      <c r="G211" t="s">
        <v>2568</v>
      </c>
      <c r="H211" t="s">
        <v>2564</v>
      </c>
      <c r="I211" t="s">
        <v>2571</v>
      </c>
      <c r="J211" t="s">
        <v>2561</v>
      </c>
      <c r="K211">
        <v>38</v>
      </c>
      <c r="L211" s="13" t="s">
        <v>257</v>
      </c>
    </row>
    <row r="212" spans="1:12" x14ac:dyDescent="0.25">
      <c r="A212" t="s">
        <v>2859</v>
      </c>
      <c r="B212" t="s">
        <v>51</v>
      </c>
      <c r="C212" t="str">
        <f>_xlfn.XLOOKUP(Table7[[#This Row],[app_id]],Table5[app_id],Table5[app_name],"",0)</f>
        <v>Creditly</v>
      </c>
      <c r="D212" t="s">
        <v>1606</v>
      </c>
      <c r="E212" s="1">
        <v>45739</v>
      </c>
      <c r="F212">
        <v>5</v>
      </c>
      <c r="G212" t="s">
        <v>2563</v>
      </c>
      <c r="H212" t="s">
        <v>2564</v>
      </c>
      <c r="I212" t="s">
        <v>2555</v>
      </c>
      <c r="J212" t="s">
        <v>2559</v>
      </c>
      <c r="K212">
        <v>9</v>
      </c>
      <c r="L212" s="13" t="s">
        <v>257</v>
      </c>
    </row>
    <row r="213" spans="1:12" x14ac:dyDescent="0.25">
      <c r="A213" t="s">
        <v>2860</v>
      </c>
      <c r="B213" t="s">
        <v>53</v>
      </c>
      <c r="C213" t="str">
        <f>_xlfn.XLOOKUP(Table7[[#This Row],[app_id]],Table5[app_id],Table5[app_name],"",0)</f>
        <v>PayX</v>
      </c>
      <c r="D213" t="s">
        <v>1720</v>
      </c>
      <c r="E213" s="1">
        <v>45895</v>
      </c>
      <c r="F213">
        <v>4</v>
      </c>
      <c r="G213" t="s">
        <v>2573</v>
      </c>
      <c r="H213" t="s">
        <v>2564</v>
      </c>
      <c r="I213" t="s">
        <v>2558</v>
      </c>
      <c r="J213" t="s">
        <v>2600</v>
      </c>
      <c r="K213">
        <v>7</v>
      </c>
      <c r="L213" s="13" t="s">
        <v>258</v>
      </c>
    </row>
    <row r="214" spans="1:12" x14ac:dyDescent="0.25">
      <c r="A214" t="s">
        <v>2861</v>
      </c>
      <c r="B214" t="s">
        <v>56</v>
      </c>
      <c r="C214" t="str">
        <f>_xlfn.XLOOKUP(Table7[[#This Row],[app_id]],Table5[app_id],Table5[app_name],"",0)</f>
        <v>DealGo</v>
      </c>
      <c r="D214" t="s">
        <v>871</v>
      </c>
      <c r="E214" s="1">
        <v>45597</v>
      </c>
      <c r="F214">
        <v>3</v>
      </c>
      <c r="G214" t="s">
        <v>2609</v>
      </c>
      <c r="H214" t="s">
        <v>2554</v>
      </c>
      <c r="I214" t="s">
        <v>2584</v>
      </c>
      <c r="J214" t="s">
        <v>2600</v>
      </c>
      <c r="K214">
        <v>17</v>
      </c>
      <c r="L214" s="13" t="s">
        <v>257</v>
      </c>
    </row>
    <row r="215" spans="1:12" x14ac:dyDescent="0.25">
      <c r="A215" t="s">
        <v>2862</v>
      </c>
      <c r="B215" t="s">
        <v>62</v>
      </c>
      <c r="C215" t="str">
        <f>_xlfn.XLOOKUP(Table7[[#This Row],[app_id]],Table5[app_id],Table5[app_name],"",0)</f>
        <v>MallNow</v>
      </c>
      <c r="D215" t="s">
        <v>716</v>
      </c>
      <c r="E215" s="1">
        <v>46077</v>
      </c>
      <c r="F215">
        <v>5</v>
      </c>
      <c r="G215" t="s">
        <v>2592</v>
      </c>
      <c r="H215" t="s">
        <v>2564</v>
      </c>
      <c r="I215" t="s">
        <v>2558</v>
      </c>
      <c r="J215" t="s">
        <v>2561</v>
      </c>
      <c r="K215">
        <v>28</v>
      </c>
      <c r="L215" s="13" t="s">
        <v>257</v>
      </c>
    </row>
    <row r="216" spans="1:12" x14ac:dyDescent="0.25">
      <c r="A216" t="s">
        <v>2863</v>
      </c>
      <c r="B216" t="s">
        <v>65</v>
      </c>
      <c r="C216" t="str">
        <f>_xlfn.XLOOKUP(Table7[[#This Row],[app_id]],Table5[app_id],Table5[app_name],"",0)</f>
        <v>DealPro</v>
      </c>
      <c r="D216" t="s">
        <v>1196</v>
      </c>
      <c r="E216" s="1">
        <v>45524</v>
      </c>
      <c r="F216">
        <v>3</v>
      </c>
      <c r="G216" t="s">
        <v>2609</v>
      </c>
      <c r="H216" t="s">
        <v>2554</v>
      </c>
      <c r="I216" t="s">
        <v>2575</v>
      </c>
      <c r="J216" t="s">
        <v>2566</v>
      </c>
      <c r="K216">
        <v>40</v>
      </c>
      <c r="L216" s="13" t="s">
        <v>258</v>
      </c>
    </row>
    <row r="217" spans="1:12" x14ac:dyDescent="0.25">
      <c r="A217" t="s">
        <v>2864</v>
      </c>
      <c r="B217" t="s">
        <v>67</v>
      </c>
      <c r="C217" t="str">
        <f>_xlfn.XLOOKUP(Table7[[#This Row],[app_id]],Table5[app_id],Table5[app_name],"",0)</f>
        <v>StyleNow</v>
      </c>
      <c r="D217" t="s">
        <v>1619</v>
      </c>
      <c r="E217" s="1">
        <v>45562</v>
      </c>
      <c r="F217">
        <v>2</v>
      </c>
      <c r="G217" t="s">
        <v>2586</v>
      </c>
      <c r="H217" t="s">
        <v>2587</v>
      </c>
      <c r="I217" t="s">
        <v>2578</v>
      </c>
      <c r="J217" t="s">
        <v>2600</v>
      </c>
      <c r="K217">
        <v>52</v>
      </c>
      <c r="L217" s="13" t="s">
        <v>257</v>
      </c>
    </row>
    <row r="218" spans="1:12" x14ac:dyDescent="0.25">
      <c r="A218" t="s">
        <v>2865</v>
      </c>
      <c r="B218" t="s">
        <v>70</v>
      </c>
      <c r="C218" t="str">
        <f>_xlfn.XLOOKUP(Table7[[#This Row],[app_id]],Table5[app_id],Table5[app_name],"",0)</f>
        <v>DealCloud</v>
      </c>
      <c r="D218" t="s">
        <v>2364</v>
      </c>
      <c r="E218" s="1">
        <v>45443</v>
      </c>
      <c r="F218">
        <v>3</v>
      </c>
      <c r="G218" t="s">
        <v>2748</v>
      </c>
      <c r="H218" t="s">
        <v>2554</v>
      </c>
      <c r="I218" t="s">
        <v>2588</v>
      </c>
      <c r="J218" t="s">
        <v>2581</v>
      </c>
      <c r="K218">
        <v>14</v>
      </c>
      <c r="L218" s="13" t="s">
        <v>258</v>
      </c>
    </row>
    <row r="219" spans="1:12" x14ac:dyDescent="0.25">
      <c r="A219" t="s">
        <v>2866</v>
      </c>
      <c r="B219" t="s">
        <v>72</v>
      </c>
      <c r="C219" t="str">
        <f>_xlfn.XLOOKUP(Table7[[#This Row],[app_id]],Table5[app_id],Table5[app_name],"",0)</f>
        <v>CartCloud</v>
      </c>
      <c r="D219" t="s">
        <v>1215</v>
      </c>
      <c r="E219" s="1">
        <v>46072</v>
      </c>
      <c r="F219">
        <v>4</v>
      </c>
      <c r="G219" t="s">
        <v>2867</v>
      </c>
      <c r="H219" t="s">
        <v>2564</v>
      </c>
      <c r="I219" t="s">
        <v>2555</v>
      </c>
      <c r="J219" t="s">
        <v>2633</v>
      </c>
      <c r="K219">
        <v>39</v>
      </c>
      <c r="L219" s="13" t="s">
        <v>257</v>
      </c>
    </row>
    <row r="220" spans="1:12" x14ac:dyDescent="0.25">
      <c r="A220" t="s">
        <v>2868</v>
      </c>
      <c r="B220" t="s">
        <v>74</v>
      </c>
      <c r="C220" t="str">
        <f>_xlfn.XLOOKUP(Table7[[#This Row],[app_id]],Table5[app_id],Table5[app_name],"",0)</f>
        <v>CartMate</v>
      </c>
      <c r="D220" t="s">
        <v>2321</v>
      </c>
      <c r="E220" s="1">
        <v>46015</v>
      </c>
      <c r="F220">
        <v>5</v>
      </c>
      <c r="G220" t="s">
        <v>2590</v>
      </c>
      <c r="H220" t="s">
        <v>2564</v>
      </c>
      <c r="I220" t="s">
        <v>2555</v>
      </c>
      <c r="J220" t="s">
        <v>2633</v>
      </c>
      <c r="K220">
        <v>13</v>
      </c>
      <c r="L220" s="13" t="s">
        <v>257</v>
      </c>
    </row>
    <row r="221" spans="1:12" x14ac:dyDescent="0.25">
      <c r="A221" t="s">
        <v>2869</v>
      </c>
      <c r="B221" t="s">
        <v>76</v>
      </c>
      <c r="C221" t="str">
        <f>_xlfn.XLOOKUP(Table7[[#This Row],[app_id]],Table5[app_id],Table5[app_name],"",0)</f>
        <v>BazaarOne</v>
      </c>
      <c r="D221" t="s">
        <v>1770</v>
      </c>
      <c r="E221" s="1">
        <v>45628</v>
      </c>
      <c r="F221">
        <v>4</v>
      </c>
      <c r="G221" t="s">
        <v>2590</v>
      </c>
      <c r="H221" t="s">
        <v>2564</v>
      </c>
      <c r="I221" t="s">
        <v>2565</v>
      </c>
      <c r="J221" t="s">
        <v>2556</v>
      </c>
      <c r="K221">
        <v>30</v>
      </c>
      <c r="L221" s="13" t="s">
        <v>258</v>
      </c>
    </row>
    <row r="222" spans="1:12" x14ac:dyDescent="0.25">
      <c r="A222" t="s">
        <v>2870</v>
      </c>
      <c r="B222" t="s">
        <v>78</v>
      </c>
      <c r="C222" t="str">
        <f>_xlfn.XLOOKUP(Table7[[#This Row],[app_id]],Table5[app_id],Table5[app_name],"",0)</f>
        <v>StyleOne</v>
      </c>
      <c r="D222" t="s">
        <v>1805</v>
      </c>
      <c r="E222" s="1">
        <v>45718</v>
      </c>
      <c r="F222">
        <v>2</v>
      </c>
      <c r="G222" t="s">
        <v>2871</v>
      </c>
      <c r="H222" t="s">
        <v>2587</v>
      </c>
      <c r="I222" t="s">
        <v>2558</v>
      </c>
      <c r="J222" t="s">
        <v>2556</v>
      </c>
      <c r="K222">
        <v>89</v>
      </c>
      <c r="L222" s="13" t="s">
        <v>257</v>
      </c>
    </row>
    <row r="223" spans="1:12" x14ac:dyDescent="0.25">
      <c r="A223" t="s">
        <v>2872</v>
      </c>
      <c r="B223" t="s">
        <v>80</v>
      </c>
      <c r="C223" t="str">
        <f>_xlfn.XLOOKUP(Table7[[#This Row],[app_id]],Table5[app_id],Table5[app_name],"",0)</f>
        <v>Cartly</v>
      </c>
      <c r="D223" t="s">
        <v>1651</v>
      </c>
      <c r="E223" s="1">
        <v>45831</v>
      </c>
      <c r="F223">
        <v>5</v>
      </c>
      <c r="G223" t="s">
        <v>2598</v>
      </c>
      <c r="H223" t="s">
        <v>2564</v>
      </c>
      <c r="I223" t="s">
        <v>2558</v>
      </c>
      <c r="J223" t="s">
        <v>2596</v>
      </c>
      <c r="K223">
        <v>6</v>
      </c>
      <c r="L223" s="13" t="s">
        <v>257</v>
      </c>
    </row>
    <row r="224" spans="1:12" x14ac:dyDescent="0.25">
      <c r="A224" t="s">
        <v>2873</v>
      </c>
      <c r="B224" t="s">
        <v>83</v>
      </c>
      <c r="C224" t="str">
        <f>_xlfn.XLOOKUP(Table7[[#This Row],[app_id]],Table5[app_id],Table5[app_name],"",0)</f>
        <v>BazaarCloud</v>
      </c>
      <c r="D224" t="s">
        <v>973</v>
      </c>
      <c r="E224" s="1">
        <v>45572</v>
      </c>
      <c r="F224">
        <v>4</v>
      </c>
      <c r="G224" t="s">
        <v>2592</v>
      </c>
      <c r="H224" t="s">
        <v>2564</v>
      </c>
      <c r="I224" t="s">
        <v>2555</v>
      </c>
      <c r="J224" t="s">
        <v>2561</v>
      </c>
      <c r="K224">
        <v>46</v>
      </c>
      <c r="L224" s="13" t="s">
        <v>257</v>
      </c>
    </row>
    <row r="225" spans="1:12" x14ac:dyDescent="0.25">
      <c r="A225" t="s">
        <v>2874</v>
      </c>
      <c r="B225" t="s">
        <v>85</v>
      </c>
      <c r="C225" t="str">
        <f>_xlfn.XLOOKUP(Table7[[#This Row],[app_id]],Table5[app_id],Table5[app_name],"",0)</f>
        <v>CartPro</v>
      </c>
      <c r="D225" t="s">
        <v>1956</v>
      </c>
      <c r="E225" s="1">
        <v>45544</v>
      </c>
      <c r="F225">
        <v>5</v>
      </c>
      <c r="G225" t="s">
        <v>2592</v>
      </c>
      <c r="H225" t="s">
        <v>2564</v>
      </c>
      <c r="I225" t="s">
        <v>2555</v>
      </c>
      <c r="J225" t="s">
        <v>2596</v>
      </c>
      <c r="K225">
        <v>20</v>
      </c>
      <c r="L225" s="13" t="s">
        <v>258</v>
      </c>
    </row>
    <row r="226" spans="1:12" x14ac:dyDescent="0.25">
      <c r="A226" t="s">
        <v>2875</v>
      </c>
      <c r="B226" t="s">
        <v>87</v>
      </c>
      <c r="C226" t="str">
        <f>_xlfn.XLOOKUP(Table7[[#This Row],[app_id]],Table5[app_id],Table5[app_name],"",0)</f>
        <v>RunPlus</v>
      </c>
      <c r="D226" t="s">
        <v>2018</v>
      </c>
      <c r="E226" s="1">
        <v>45373</v>
      </c>
      <c r="F226">
        <v>4</v>
      </c>
      <c r="G226" t="s">
        <v>2625</v>
      </c>
      <c r="H226" t="s">
        <v>2564</v>
      </c>
      <c r="I226" t="s">
        <v>2555</v>
      </c>
      <c r="J226" t="s">
        <v>2566</v>
      </c>
      <c r="K226">
        <v>14</v>
      </c>
      <c r="L226" s="13" t="s">
        <v>257</v>
      </c>
    </row>
    <row r="227" spans="1:12" x14ac:dyDescent="0.25">
      <c r="A227" t="s">
        <v>2876</v>
      </c>
      <c r="B227" t="s">
        <v>90</v>
      </c>
      <c r="C227" t="str">
        <f>_xlfn.XLOOKUP(Table7[[#This Row],[app_id]],Table5[app_id],Table5[app_name],"",0)</f>
        <v>TrainCloud</v>
      </c>
      <c r="D227" t="s">
        <v>1134</v>
      </c>
      <c r="E227" s="1">
        <v>45611</v>
      </c>
      <c r="F227">
        <v>3</v>
      </c>
      <c r="G227" t="s">
        <v>2620</v>
      </c>
      <c r="H227" t="s">
        <v>2554</v>
      </c>
      <c r="I227" t="s">
        <v>2555</v>
      </c>
      <c r="J227" t="s">
        <v>2581</v>
      </c>
      <c r="K227">
        <v>14</v>
      </c>
      <c r="L227" s="13" t="s">
        <v>257</v>
      </c>
    </row>
    <row r="228" spans="1:12" x14ac:dyDescent="0.25">
      <c r="A228" t="s">
        <v>2877</v>
      </c>
      <c r="B228" t="s">
        <v>92</v>
      </c>
      <c r="C228" t="str">
        <f>_xlfn.XLOOKUP(Table7[[#This Row],[app_id]],Table5[app_id],Table5[app_name],"",0)</f>
        <v>Trainly</v>
      </c>
      <c r="D228" t="s">
        <v>1802</v>
      </c>
      <c r="E228" s="1">
        <v>45864</v>
      </c>
      <c r="F228">
        <v>4</v>
      </c>
      <c r="G228" t="s">
        <v>2625</v>
      </c>
      <c r="H228" t="s">
        <v>2564</v>
      </c>
      <c r="I228" t="s">
        <v>2565</v>
      </c>
      <c r="J228" t="s">
        <v>2556</v>
      </c>
      <c r="K228">
        <v>2</v>
      </c>
      <c r="L228" s="13" t="s">
        <v>257</v>
      </c>
    </row>
    <row r="229" spans="1:12" x14ac:dyDescent="0.25">
      <c r="A229" t="s">
        <v>2878</v>
      </c>
      <c r="B229" t="s">
        <v>94</v>
      </c>
      <c r="C229" t="str">
        <f>_xlfn.XLOOKUP(Table7[[#This Row],[app_id]],Table5[app_id],Table5[app_name],"",0)</f>
        <v>LiftCloud</v>
      </c>
      <c r="D229" t="s">
        <v>1615</v>
      </c>
      <c r="E229" s="1">
        <v>45946</v>
      </c>
      <c r="F229">
        <v>4</v>
      </c>
      <c r="G229" t="s">
        <v>2613</v>
      </c>
      <c r="H229" t="s">
        <v>2564</v>
      </c>
      <c r="I229" t="s">
        <v>2575</v>
      </c>
      <c r="J229" t="s">
        <v>2561</v>
      </c>
      <c r="K229">
        <v>2</v>
      </c>
      <c r="L229" s="13" t="s">
        <v>257</v>
      </c>
    </row>
    <row r="230" spans="1:12" x14ac:dyDescent="0.25">
      <c r="A230" t="s">
        <v>2879</v>
      </c>
      <c r="B230" t="s">
        <v>96</v>
      </c>
      <c r="C230" t="str">
        <f>_xlfn.XLOOKUP(Table7[[#This Row],[app_id]],Table5[app_id],Table5[app_name],"",0)</f>
        <v>MoveNow</v>
      </c>
      <c r="D230" t="s">
        <v>2478</v>
      </c>
      <c r="E230" s="1">
        <v>45818</v>
      </c>
      <c r="F230">
        <v>5</v>
      </c>
      <c r="G230" t="s">
        <v>2625</v>
      </c>
      <c r="H230" t="s">
        <v>2564</v>
      </c>
      <c r="I230" t="s">
        <v>2565</v>
      </c>
      <c r="J230" t="s">
        <v>2569</v>
      </c>
      <c r="K230">
        <v>8</v>
      </c>
      <c r="L230" s="13" t="s">
        <v>257</v>
      </c>
    </row>
    <row r="231" spans="1:12" x14ac:dyDescent="0.25">
      <c r="A231" t="s">
        <v>2880</v>
      </c>
      <c r="B231" t="s">
        <v>98</v>
      </c>
      <c r="C231" t="str">
        <f>_xlfn.XLOOKUP(Table7[[#This Row],[app_id]],Table5[app_id],Table5[app_name],"",0)</f>
        <v>ActiveMate</v>
      </c>
      <c r="D231" t="s">
        <v>2431</v>
      </c>
      <c r="E231" s="1">
        <v>46001</v>
      </c>
      <c r="F231">
        <v>4</v>
      </c>
      <c r="G231" t="s">
        <v>2625</v>
      </c>
      <c r="H231" t="s">
        <v>2564</v>
      </c>
      <c r="I231" t="s">
        <v>2571</v>
      </c>
      <c r="J231" t="s">
        <v>2600</v>
      </c>
      <c r="K231">
        <v>14</v>
      </c>
      <c r="L231" s="13" t="s">
        <v>258</v>
      </c>
    </row>
    <row r="232" spans="1:12" x14ac:dyDescent="0.25">
      <c r="A232" t="s">
        <v>2881</v>
      </c>
      <c r="B232" t="s">
        <v>100</v>
      </c>
      <c r="C232" t="str">
        <f>_xlfn.XLOOKUP(Table7[[#This Row],[app_id]],Table5[app_id],Table5[app_name],"",0)</f>
        <v>RunGo</v>
      </c>
      <c r="D232" t="s">
        <v>2114</v>
      </c>
      <c r="E232" s="1">
        <v>45915</v>
      </c>
      <c r="F232">
        <v>4</v>
      </c>
      <c r="G232" t="s">
        <v>2617</v>
      </c>
      <c r="H232" t="s">
        <v>2564</v>
      </c>
      <c r="I232" t="s">
        <v>2555</v>
      </c>
      <c r="J232" t="s">
        <v>2633</v>
      </c>
      <c r="K232">
        <v>20</v>
      </c>
      <c r="L232" s="13" t="s">
        <v>257</v>
      </c>
    </row>
    <row r="233" spans="1:12" x14ac:dyDescent="0.25">
      <c r="A233" t="s">
        <v>2882</v>
      </c>
      <c r="B233" t="s">
        <v>102</v>
      </c>
      <c r="C233" t="str">
        <f>_xlfn.XLOOKUP(Table7[[#This Row],[app_id]],Table5[app_id],Table5[app_name],"",0)</f>
        <v>LiftPro</v>
      </c>
      <c r="D233" t="s">
        <v>1843</v>
      </c>
      <c r="E233" s="1">
        <v>46101</v>
      </c>
      <c r="F233">
        <v>3</v>
      </c>
      <c r="G233" t="s">
        <v>2620</v>
      </c>
      <c r="H233" t="s">
        <v>2554</v>
      </c>
      <c r="I233" t="s">
        <v>2575</v>
      </c>
      <c r="J233" t="s">
        <v>2600</v>
      </c>
      <c r="K233">
        <v>40</v>
      </c>
      <c r="L233" s="13" t="s">
        <v>258</v>
      </c>
    </row>
    <row r="234" spans="1:12" x14ac:dyDescent="0.25">
      <c r="A234" t="s">
        <v>2883</v>
      </c>
      <c r="B234" t="s">
        <v>104</v>
      </c>
      <c r="C234" t="str">
        <f>_xlfn.XLOOKUP(Table7[[#This Row],[app_id]],Table5[app_id],Table5[app_name],"",0)</f>
        <v>LiftPro</v>
      </c>
      <c r="D234" t="s">
        <v>1320</v>
      </c>
      <c r="E234" s="1">
        <v>45818</v>
      </c>
      <c r="F234">
        <v>4</v>
      </c>
      <c r="G234" t="s">
        <v>2625</v>
      </c>
      <c r="H234" t="s">
        <v>2564</v>
      </c>
      <c r="I234" t="s">
        <v>2555</v>
      </c>
      <c r="J234" t="s">
        <v>2566</v>
      </c>
      <c r="K234">
        <v>1</v>
      </c>
      <c r="L234" s="13" t="s">
        <v>257</v>
      </c>
    </row>
    <row r="235" spans="1:12" x14ac:dyDescent="0.25">
      <c r="A235" t="s">
        <v>2884</v>
      </c>
      <c r="B235" t="s">
        <v>105</v>
      </c>
      <c r="C235" t="str">
        <f>_xlfn.XLOOKUP(Table7[[#This Row],[app_id]],Table5[app_id],Table5[app_name],"",0)</f>
        <v>Liftly</v>
      </c>
      <c r="D235" t="s">
        <v>1965</v>
      </c>
      <c r="E235" s="1">
        <v>45370</v>
      </c>
      <c r="F235">
        <v>5</v>
      </c>
      <c r="G235" t="s">
        <v>2617</v>
      </c>
      <c r="H235" t="s">
        <v>2564</v>
      </c>
      <c r="I235" t="s">
        <v>2571</v>
      </c>
      <c r="J235" t="s">
        <v>2633</v>
      </c>
      <c r="K235">
        <v>17</v>
      </c>
      <c r="L235" s="13" t="s">
        <v>258</v>
      </c>
    </row>
    <row r="236" spans="1:12" x14ac:dyDescent="0.25">
      <c r="A236" t="s">
        <v>2885</v>
      </c>
      <c r="B236" t="s">
        <v>107</v>
      </c>
      <c r="C236" t="str">
        <f>_xlfn.XLOOKUP(Table7[[#This Row],[app_id]],Table5[app_id],Table5[app_name],"",0)</f>
        <v>YogaHub</v>
      </c>
      <c r="D236" t="s">
        <v>1872</v>
      </c>
      <c r="E236" s="1">
        <v>45506</v>
      </c>
      <c r="F236">
        <v>4</v>
      </c>
      <c r="G236" t="s">
        <v>2622</v>
      </c>
      <c r="H236" t="s">
        <v>2564</v>
      </c>
      <c r="I236" t="s">
        <v>2555</v>
      </c>
      <c r="J236" t="s">
        <v>2633</v>
      </c>
      <c r="K236">
        <v>29</v>
      </c>
      <c r="L236" s="13" t="s">
        <v>257</v>
      </c>
    </row>
    <row r="237" spans="1:12" x14ac:dyDescent="0.25">
      <c r="A237" t="s">
        <v>2886</v>
      </c>
      <c r="B237" t="s">
        <v>109</v>
      </c>
      <c r="C237" t="str">
        <f>_xlfn.XLOOKUP(Table7[[#This Row],[app_id]],Table5[app_id],Table5[app_name],"",0)</f>
        <v>MoveGo</v>
      </c>
      <c r="D237" t="s">
        <v>1391</v>
      </c>
      <c r="E237" s="1">
        <v>45608</v>
      </c>
      <c r="F237">
        <v>4</v>
      </c>
      <c r="G237" t="s">
        <v>2625</v>
      </c>
      <c r="H237" t="s">
        <v>2564</v>
      </c>
      <c r="I237" t="s">
        <v>2558</v>
      </c>
      <c r="J237" t="s">
        <v>2603</v>
      </c>
      <c r="K237">
        <v>16</v>
      </c>
      <c r="L237" s="13" t="s">
        <v>257</v>
      </c>
    </row>
    <row r="238" spans="1:12" x14ac:dyDescent="0.25">
      <c r="A238" t="s">
        <v>2887</v>
      </c>
      <c r="B238" t="s">
        <v>111</v>
      </c>
      <c r="C238" t="str">
        <f>_xlfn.XLOOKUP(Table7[[#This Row],[app_id]],Table5[app_id],Table5[app_name],"",0)</f>
        <v>BrightNow</v>
      </c>
      <c r="D238" t="s">
        <v>1335</v>
      </c>
      <c r="E238" s="1">
        <v>45747</v>
      </c>
      <c r="F238">
        <v>4</v>
      </c>
      <c r="G238" t="s">
        <v>2638</v>
      </c>
      <c r="H238" t="s">
        <v>2564</v>
      </c>
      <c r="I238" t="s">
        <v>2565</v>
      </c>
      <c r="J238" t="s">
        <v>2596</v>
      </c>
      <c r="K238">
        <v>47</v>
      </c>
      <c r="L238" s="13" t="s">
        <v>257</v>
      </c>
    </row>
    <row r="239" spans="1:12" x14ac:dyDescent="0.25">
      <c r="A239" t="s">
        <v>2888</v>
      </c>
      <c r="B239" t="s">
        <v>114</v>
      </c>
      <c r="C239" t="str">
        <f>_xlfn.XLOOKUP(Table7[[#This Row],[app_id]],Table5[app_id],Table5[app_name],"",0)</f>
        <v>StudyCloud</v>
      </c>
      <c r="D239" t="s">
        <v>1816</v>
      </c>
      <c r="E239" s="1">
        <v>45822</v>
      </c>
      <c r="F239">
        <v>3</v>
      </c>
      <c r="G239" t="s">
        <v>2889</v>
      </c>
      <c r="H239" t="s">
        <v>2554</v>
      </c>
      <c r="I239" t="s">
        <v>2584</v>
      </c>
      <c r="J239" t="s">
        <v>2603</v>
      </c>
      <c r="K239">
        <v>41</v>
      </c>
      <c r="L239" s="13" t="s">
        <v>257</v>
      </c>
    </row>
    <row r="240" spans="1:12" x14ac:dyDescent="0.25">
      <c r="A240" t="s">
        <v>2890</v>
      </c>
      <c r="B240" t="s">
        <v>116</v>
      </c>
      <c r="C240" t="str">
        <f>_xlfn.XLOOKUP(Table7[[#This Row],[app_id]],Table5[app_id],Table5[app_name],"",0)</f>
        <v>SkillNow</v>
      </c>
      <c r="D240" t="s">
        <v>1693</v>
      </c>
      <c r="E240" s="1">
        <v>46028</v>
      </c>
      <c r="F240">
        <v>3</v>
      </c>
      <c r="G240" t="s">
        <v>2646</v>
      </c>
      <c r="H240" t="s">
        <v>2554</v>
      </c>
      <c r="I240" t="s">
        <v>2578</v>
      </c>
      <c r="J240" t="s">
        <v>2633</v>
      </c>
      <c r="K240">
        <v>43</v>
      </c>
      <c r="L240" s="13" t="s">
        <v>258</v>
      </c>
    </row>
    <row r="241" spans="1:12" x14ac:dyDescent="0.25">
      <c r="A241" t="s">
        <v>2891</v>
      </c>
      <c r="B241" t="s">
        <v>118</v>
      </c>
      <c r="C241" t="str">
        <f>_xlfn.XLOOKUP(Table7[[#This Row],[app_id]],Table5[app_id],Table5[app_name],"",0)</f>
        <v>LearnMate</v>
      </c>
      <c r="D241" t="s">
        <v>665</v>
      </c>
      <c r="E241" s="1">
        <v>46099</v>
      </c>
      <c r="F241">
        <v>4</v>
      </c>
      <c r="G241" t="s">
        <v>2640</v>
      </c>
      <c r="H241" t="s">
        <v>2564</v>
      </c>
      <c r="I241" t="s">
        <v>2555</v>
      </c>
      <c r="J241" t="s">
        <v>2600</v>
      </c>
      <c r="K241">
        <v>15</v>
      </c>
      <c r="L241" s="13" t="s">
        <v>258</v>
      </c>
    </row>
    <row r="242" spans="1:12" x14ac:dyDescent="0.25">
      <c r="A242" t="s">
        <v>2892</v>
      </c>
      <c r="B242" t="s">
        <v>120</v>
      </c>
      <c r="C242" t="str">
        <f>_xlfn.XLOOKUP(Table7[[#This Row],[app_id]],Table5[app_id],Table5[app_name],"",0)</f>
        <v>QuestNow</v>
      </c>
      <c r="D242" t="s">
        <v>1969</v>
      </c>
      <c r="E242" s="1">
        <v>45884</v>
      </c>
      <c r="F242">
        <v>3</v>
      </c>
      <c r="G242" t="s">
        <v>2773</v>
      </c>
      <c r="H242" t="s">
        <v>2554</v>
      </c>
      <c r="I242" t="s">
        <v>2571</v>
      </c>
      <c r="J242" t="s">
        <v>2566</v>
      </c>
      <c r="K242">
        <v>45</v>
      </c>
      <c r="L242" s="13" t="s">
        <v>257</v>
      </c>
    </row>
    <row r="243" spans="1:12" x14ac:dyDescent="0.25">
      <c r="A243" t="s">
        <v>2893</v>
      </c>
      <c r="B243" t="s">
        <v>122</v>
      </c>
      <c r="C243" t="str">
        <f>_xlfn.XLOOKUP(Table7[[#This Row],[app_id]],Table5[app_id],Table5[app_name],"",0)</f>
        <v>SkillHub</v>
      </c>
      <c r="D243" t="s">
        <v>1718</v>
      </c>
      <c r="E243" s="1">
        <v>45541</v>
      </c>
      <c r="F243">
        <v>4</v>
      </c>
      <c r="G243" t="s">
        <v>2638</v>
      </c>
      <c r="H243" t="s">
        <v>2564</v>
      </c>
      <c r="I243" t="s">
        <v>2558</v>
      </c>
      <c r="J243" t="s">
        <v>2556</v>
      </c>
      <c r="K243">
        <v>19</v>
      </c>
      <c r="L243" s="13" t="s">
        <v>257</v>
      </c>
    </row>
    <row r="244" spans="1:12" x14ac:dyDescent="0.25">
      <c r="A244" t="s">
        <v>2894</v>
      </c>
      <c r="B244" t="s">
        <v>124</v>
      </c>
      <c r="C244" t="str">
        <f>_xlfn.XLOOKUP(Table7[[#This Row],[app_id]],Table5[app_id],Table5[app_name],"",0)</f>
        <v>TutorCloud</v>
      </c>
      <c r="D244" t="s">
        <v>853</v>
      </c>
      <c r="E244" s="1">
        <v>45375</v>
      </c>
      <c r="F244">
        <v>3</v>
      </c>
      <c r="G244" t="s">
        <v>2646</v>
      </c>
      <c r="H244" t="s">
        <v>2554</v>
      </c>
      <c r="I244" t="s">
        <v>2558</v>
      </c>
      <c r="J244" t="s">
        <v>2603</v>
      </c>
      <c r="K244">
        <v>12</v>
      </c>
      <c r="L244" s="13" t="s">
        <v>257</v>
      </c>
    </row>
    <row r="245" spans="1:12" x14ac:dyDescent="0.25">
      <c r="A245" t="s">
        <v>2895</v>
      </c>
      <c r="B245" t="s">
        <v>126</v>
      </c>
      <c r="C245" t="str">
        <f>_xlfn.XLOOKUP(Table7[[#This Row],[app_id]],Table5[app_id],Table5[app_name],"",0)</f>
        <v>SkillOne</v>
      </c>
      <c r="D245" t="s">
        <v>1730</v>
      </c>
      <c r="E245" s="1">
        <v>46137</v>
      </c>
      <c r="F245">
        <v>3</v>
      </c>
      <c r="G245" t="s">
        <v>2646</v>
      </c>
      <c r="H245" t="s">
        <v>2554</v>
      </c>
      <c r="I245" t="s">
        <v>2571</v>
      </c>
      <c r="J245" t="s">
        <v>2566</v>
      </c>
      <c r="K245">
        <v>35</v>
      </c>
      <c r="L245" s="13" t="s">
        <v>258</v>
      </c>
    </row>
    <row r="246" spans="1:12" x14ac:dyDescent="0.25">
      <c r="A246" t="s">
        <v>2896</v>
      </c>
      <c r="B246" t="s">
        <v>128</v>
      </c>
      <c r="C246" t="str">
        <f>_xlfn.XLOOKUP(Table7[[#This Row],[app_id]],Table5[app_id],Table5[app_name],"",0)</f>
        <v>LearnOne</v>
      </c>
      <c r="D246" t="s">
        <v>1325</v>
      </c>
      <c r="E246" s="1">
        <v>45565</v>
      </c>
      <c r="F246">
        <v>2</v>
      </c>
      <c r="G246" t="s">
        <v>2644</v>
      </c>
      <c r="H246" t="s">
        <v>2587</v>
      </c>
      <c r="I246" t="s">
        <v>2558</v>
      </c>
      <c r="J246" t="s">
        <v>2561</v>
      </c>
      <c r="K246">
        <v>46</v>
      </c>
      <c r="L246" s="13" t="s">
        <v>257</v>
      </c>
    </row>
    <row r="247" spans="1:12" x14ac:dyDescent="0.25">
      <c r="A247" t="s">
        <v>2897</v>
      </c>
      <c r="B247" t="s">
        <v>130</v>
      </c>
      <c r="C247" t="str">
        <f>_xlfn.XLOOKUP(Table7[[#This Row],[app_id]],Table5[app_id],Table5[app_name],"",0)</f>
        <v>LearnPlus</v>
      </c>
      <c r="D247" t="s">
        <v>1064</v>
      </c>
      <c r="E247" s="1">
        <v>45594</v>
      </c>
      <c r="F247">
        <v>4</v>
      </c>
      <c r="G247" t="s">
        <v>2640</v>
      </c>
      <c r="H247" t="s">
        <v>2564</v>
      </c>
      <c r="I247" t="s">
        <v>2575</v>
      </c>
      <c r="J247" t="s">
        <v>2569</v>
      </c>
      <c r="K247">
        <v>39</v>
      </c>
      <c r="L247" s="13" t="s">
        <v>257</v>
      </c>
    </row>
    <row r="248" spans="1:12" x14ac:dyDescent="0.25">
      <c r="A248" t="s">
        <v>2898</v>
      </c>
      <c r="B248" t="s">
        <v>132</v>
      </c>
      <c r="C248" t="str">
        <f>_xlfn.XLOOKUP(Table7[[#This Row],[app_id]],Table5[app_id],Table5[app_name],"",0)</f>
        <v>StudyPlus</v>
      </c>
      <c r="D248" t="s">
        <v>1282</v>
      </c>
      <c r="E248" s="1">
        <v>45600</v>
      </c>
      <c r="F248">
        <v>5</v>
      </c>
      <c r="G248" t="s">
        <v>2635</v>
      </c>
      <c r="H248" t="s">
        <v>2564</v>
      </c>
      <c r="I248" t="s">
        <v>2558</v>
      </c>
      <c r="J248" t="s">
        <v>2600</v>
      </c>
      <c r="K248">
        <v>16</v>
      </c>
      <c r="L248" s="13" t="s">
        <v>257</v>
      </c>
    </row>
    <row r="249" spans="1:12" x14ac:dyDescent="0.25">
      <c r="A249" t="s">
        <v>2899</v>
      </c>
      <c r="B249" t="s">
        <v>134</v>
      </c>
      <c r="C249" t="str">
        <f>_xlfn.XLOOKUP(Table7[[#This Row],[app_id]],Table5[app_id],Table5[app_name],"",0)</f>
        <v>StudyX</v>
      </c>
      <c r="D249" t="s">
        <v>2307</v>
      </c>
      <c r="E249" s="1">
        <v>45467</v>
      </c>
      <c r="F249">
        <v>4</v>
      </c>
      <c r="G249" t="s">
        <v>2638</v>
      </c>
      <c r="H249" t="s">
        <v>2564</v>
      </c>
      <c r="I249" t="s">
        <v>2565</v>
      </c>
      <c r="J249" t="s">
        <v>2603</v>
      </c>
      <c r="K249">
        <v>36</v>
      </c>
      <c r="L249" s="13" t="s">
        <v>257</v>
      </c>
    </row>
    <row r="250" spans="1:12" x14ac:dyDescent="0.25">
      <c r="A250" t="s">
        <v>2900</v>
      </c>
      <c r="B250" t="s">
        <v>136</v>
      </c>
      <c r="C250" t="str">
        <f>_xlfn.XLOOKUP(Table7[[#This Row],[app_id]],Table5[app_id],Table5[app_name],"",0)</f>
        <v>PlayPlus</v>
      </c>
      <c r="D250" t="s">
        <v>2162</v>
      </c>
      <c r="E250" s="1">
        <v>45735</v>
      </c>
      <c r="F250">
        <v>5</v>
      </c>
      <c r="G250" t="s">
        <v>2652</v>
      </c>
      <c r="H250" t="s">
        <v>2564</v>
      </c>
      <c r="I250" t="s">
        <v>2565</v>
      </c>
      <c r="J250" t="s">
        <v>2566</v>
      </c>
      <c r="K250">
        <v>38</v>
      </c>
      <c r="L250" s="13" t="s">
        <v>257</v>
      </c>
    </row>
    <row r="251" spans="1:12" x14ac:dyDescent="0.25">
      <c r="A251" t="s">
        <v>2901</v>
      </c>
      <c r="B251" t="s">
        <v>139</v>
      </c>
      <c r="C251" t="str">
        <f>_xlfn.XLOOKUP(Table7[[#This Row],[app_id]],Table5[app_id],Table5[app_name],"",0)</f>
        <v>ShowMate</v>
      </c>
      <c r="D251" t="s">
        <v>902</v>
      </c>
      <c r="E251" s="1">
        <v>45681</v>
      </c>
      <c r="F251">
        <v>3</v>
      </c>
      <c r="G251" t="s">
        <v>2655</v>
      </c>
      <c r="H251" t="s">
        <v>2554</v>
      </c>
      <c r="I251" t="s">
        <v>2555</v>
      </c>
      <c r="J251" t="s">
        <v>2556</v>
      </c>
      <c r="K251">
        <v>5</v>
      </c>
      <c r="L251" s="13" t="s">
        <v>258</v>
      </c>
    </row>
    <row r="252" spans="1:12" x14ac:dyDescent="0.25">
      <c r="A252" t="s">
        <v>2902</v>
      </c>
      <c r="B252" t="s">
        <v>141</v>
      </c>
      <c r="C252" t="str">
        <f>_xlfn.XLOOKUP(Table7[[#This Row],[app_id]],Table5[app_id],Table5[app_name],"",0)</f>
        <v>VibeX</v>
      </c>
      <c r="D252" t="s">
        <v>1567</v>
      </c>
      <c r="E252" s="1">
        <v>46114</v>
      </c>
      <c r="F252">
        <v>4</v>
      </c>
      <c r="G252" t="s">
        <v>2789</v>
      </c>
      <c r="H252" t="s">
        <v>2564</v>
      </c>
      <c r="I252" t="s">
        <v>2571</v>
      </c>
      <c r="J252" t="s">
        <v>2633</v>
      </c>
      <c r="K252">
        <v>26</v>
      </c>
      <c r="L252" s="13" t="s">
        <v>257</v>
      </c>
    </row>
    <row r="253" spans="1:12" x14ac:dyDescent="0.25">
      <c r="A253" t="s">
        <v>2903</v>
      </c>
      <c r="B253" t="s">
        <v>143</v>
      </c>
      <c r="C253" t="str">
        <f>_xlfn.XLOOKUP(Table7[[#This Row],[app_id]],Table5[app_id],Table5[app_name],"",0)</f>
        <v>BuzzNow</v>
      </c>
      <c r="D253" t="s">
        <v>1770</v>
      </c>
      <c r="E253" s="1">
        <v>45865</v>
      </c>
      <c r="F253">
        <v>5</v>
      </c>
      <c r="G253" t="s">
        <v>2789</v>
      </c>
      <c r="H253" t="s">
        <v>2564</v>
      </c>
      <c r="I253" t="s">
        <v>2555</v>
      </c>
      <c r="J253" t="s">
        <v>2600</v>
      </c>
      <c r="K253">
        <v>34</v>
      </c>
      <c r="L253" s="13" t="s">
        <v>257</v>
      </c>
    </row>
    <row r="254" spans="1:12" x14ac:dyDescent="0.25">
      <c r="A254" t="s">
        <v>2904</v>
      </c>
      <c r="B254" t="s">
        <v>145</v>
      </c>
      <c r="C254" t="str">
        <f>_xlfn.XLOOKUP(Table7[[#This Row],[app_id]],Table5[app_id],Table5[app_name],"",0)</f>
        <v>StreamPlus</v>
      </c>
      <c r="D254" t="s">
        <v>1894</v>
      </c>
      <c r="E254" s="1">
        <v>45545</v>
      </c>
      <c r="F254">
        <v>4</v>
      </c>
      <c r="G254" t="s">
        <v>2905</v>
      </c>
      <c r="H254" t="s">
        <v>2564</v>
      </c>
      <c r="I254" t="s">
        <v>2565</v>
      </c>
      <c r="J254" t="s">
        <v>2600</v>
      </c>
      <c r="K254">
        <v>46</v>
      </c>
      <c r="L254" s="13" t="s">
        <v>258</v>
      </c>
    </row>
    <row r="255" spans="1:12" x14ac:dyDescent="0.25">
      <c r="A255" t="s">
        <v>2906</v>
      </c>
      <c r="B255" t="s">
        <v>147</v>
      </c>
      <c r="C255" t="str">
        <f>_xlfn.XLOOKUP(Table7[[#This Row],[app_id]],Table5[app_id],Table5[app_name],"",0)</f>
        <v>Showly</v>
      </c>
      <c r="D255" t="s">
        <v>1936</v>
      </c>
      <c r="E255" s="1">
        <v>45830</v>
      </c>
      <c r="F255">
        <v>2</v>
      </c>
      <c r="G255" t="s">
        <v>2907</v>
      </c>
      <c r="H255" t="s">
        <v>2587</v>
      </c>
      <c r="I255" t="s">
        <v>2571</v>
      </c>
      <c r="J255" t="s">
        <v>2561</v>
      </c>
      <c r="K255">
        <v>49</v>
      </c>
      <c r="L255" s="13" t="s">
        <v>257</v>
      </c>
    </row>
    <row r="256" spans="1:12" x14ac:dyDescent="0.25">
      <c r="A256" t="s">
        <v>2908</v>
      </c>
      <c r="B256" t="s">
        <v>149</v>
      </c>
      <c r="C256" t="str">
        <f>_xlfn.XLOOKUP(Table7[[#This Row],[app_id]],Table5[app_id],Table5[app_name],"",0)</f>
        <v>BuzzOne</v>
      </c>
      <c r="D256" t="s">
        <v>953</v>
      </c>
      <c r="E256" s="1">
        <v>45383</v>
      </c>
      <c r="F256">
        <v>2</v>
      </c>
      <c r="G256" t="s">
        <v>2909</v>
      </c>
      <c r="H256" t="s">
        <v>2587</v>
      </c>
      <c r="I256" t="s">
        <v>2571</v>
      </c>
      <c r="J256" t="s">
        <v>2556</v>
      </c>
      <c r="K256">
        <v>90</v>
      </c>
      <c r="L256" s="13" t="s">
        <v>258</v>
      </c>
    </row>
    <row r="257" spans="1:12" x14ac:dyDescent="0.25">
      <c r="A257" t="s">
        <v>2910</v>
      </c>
      <c r="B257" t="s">
        <v>151</v>
      </c>
      <c r="C257" t="str">
        <f>_xlfn.XLOOKUP(Table7[[#This Row],[app_id]],Table5[app_id],Table5[app_name],"",0)</f>
        <v>PlayHub</v>
      </c>
      <c r="D257" t="s">
        <v>1152</v>
      </c>
      <c r="E257" s="1">
        <v>46043</v>
      </c>
      <c r="F257">
        <v>5</v>
      </c>
      <c r="G257" t="s">
        <v>2789</v>
      </c>
      <c r="H257" t="s">
        <v>2564</v>
      </c>
      <c r="I257" t="s">
        <v>2555</v>
      </c>
      <c r="J257" t="s">
        <v>2596</v>
      </c>
      <c r="K257">
        <v>9</v>
      </c>
      <c r="L257" s="13" t="s">
        <v>257</v>
      </c>
    </row>
    <row r="258" spans="1:12" x14ac:dyDescent="0.25">
      <c r="A258" t="s">
        <v>2911</v>
      </c>
      <c r="B258" t="s">
        <v>153</v>
      </c>
      <c r="C258" t="str">
        <f>_xlfn.XLOOKUP(Table7[[#This Row],[app_id]],Table5[app_id],Table5[app_name],"",0)</f>
        <v>CinemaGo</v>
      </c>
      <c r="D258" t="s">
        <v>594</v>
      </c>
      <c r="E258" s="1">
        <v>45753</v>
      </c>
      <c r="F258">
        <v>5</v>
      </c>
      <c r="G258" t="s">
        <v>2789</v>
      </c>
      <c r="H258" t="s">
        <v>2564</v>
      </c>
      <c r="I258" t="s">
        <v>2565</v>
      </c>
      <c r="J258" t="s">
        <v>2600</v>
      </c>
      <c r="K258">
        <v>30</v>
      </c>
      <c r="L258" s="13" t="s">
        <v>258</v>
      </c>
    </row>
    <row r="259" spans="1:12" x14ac:dyDescent="0.25">
      <c r="A259" t="s">
        <v>2912</v>
      </c>
      <c r="B259" t="s">
        <v>155</v>
      </c>
      <c r="C259" t="str">
        <f>_xlfn.XLOOKUP(Table7[[#This Row],[app_id]],Table5[app_id],Table5[app_name],"",0)</f>
        <v>LaughX</v>
      </c>
      <c r="D259" t="s">
        <v>2526</v>
      </c>
      <c r="E259" s="1">
        <v>45557</v>
      </c>
      <c r="F259">
        <v>3</v>
      </c>
      <c r="G259" t="s">
        <v>2663</v>
      </c>
      <c r="H259" t="s">
        <v>2554</v>
      </c>
      <c r="I259" t="s">
        <v>2571</v>
      </c>
      <c r="J259" t="s">
        <v>2556</v>
      </c>
      <c r="K259">
        <v>17</v>
      </c>
      <c r="L259" s="13" t="s">
        <v>257</v>
      </c>
    </row>
    <row r="260" spans="1:12" x14ac:dyDescent="0.25">
      <c r="A260" t="s">
        <v>2913</v>
      </c>
      <c r="B260" t="s">
        <v>157</v>
      </c>
      <c r="C260" t="str">
        <f>_xlfn.XLOOKUP(Table7[[#This Row],[app_id]],Table5[app_id],Table5[app_name],"",0)</f>
        <v>CinemaHub</v>
      </c>
      <c r="D260" t="s">
        <v>1337</v>
      </c>
      <c r="E260" s="1">
        <v>46031</v>
      </c>
      <c r="F260">
        <v>2</v>
      </c>
      <c r="G260" t="s">
        <v>2907</v>
      </c>
      <c r="H260" t="s">
        <v>2587</v>
      </c>
      <c r="I260" t="s">
        <v>2588</v>
      </c>
      <c r="J260" t="s">
        <v>2596</v>
      </c>
      <c r="K260">
        <v>33</v>
      </c>
      <c r="L260" s="13" t="s">
        <v>258</v>
      </c>
    </row>
    <row r="261" spans="1:12" x14ac:dyDescent="0.25">
      <c r="A261" t="s">
        <v>2914</v>
      </c>
      <c r="B261" t="s">
        <v>159</v>
      </c>
      <c r="C261" t="str">
        <f>_xlfn.XLOOKUP(Table7[[#This Row],[app_id]],Table5[app_id],Table5[app_name],"",0)</f>
        <v>ShowPro</v>
      </c>
      <c r="D261" t="s">
        <v>1143</v>
      </c>
      <c r="E261" s="1">
        <v>45890</v>
      </c>
      <c r="F261">
        <v>4</v>
      </c>
      <c r="G261" t="s">
        <v>2789</v>
      </c>
      <c r="H261" t="s">
        <v>2564</v>
      </c>
      <c r="I261" t="s">
        <v>2558</v>
      </c>
      <c r="J261" t="s">
        <v>2581</v>
      </c>
      <c r="K261">
        <v>46</v>
      </c>
      <c r="L261" s="13" t="s">
        <v>257</v>
      </c>
    </row>
    <row r="262" spans="1:12" x14ac:dyDescent="0.25">
      <c r="A262" t="s">
        <v>2915</v>
      </c>
      <c r="B262" t="s">
        <v>161</v>
      </c>
      <c r="C262" t="str">
        <f>_xlfn.XLOOKUP(Table7[[#This Row],[app_id]],Table5[app_id],Table5[app_name],"",0)</f>
        <v>FoodPlus</v>
      </c>
      <c r="D262" t="s">
        <v>990</v>
      </c>
      <c r="E262" s="1">
        <v>45323</v>
      </c>
      <c r="F262">
        <v>5</v>
      </c>
      <c r="G262" t="s">
        <v>2676</v>
      </c>
      <c r="H262" t="s">
        <v>2564</v>
      </c>
      <c r="I262" t="s">
        <v>2565</v>
      </c>
      <c r="J262" t="s">
        <v>2569</v>
      </c>
      <c r="K262">
        <v>7</v>
      </c>
      <c r="L262" s="13" t="s">
        <v>257</v>
      </c>
    </row>
    <row r="263" spans="1:12" x14ac:dyDescent="0.25">
      <c r="A263" t="s">
        <v>2916</v>
      </c>
      <c r="B263" t="s">
        <v>164</v>
      </c>
      <c r="C263" t="str">
        <f>_xlfn.XLOOKUP(Table7[[#This Row],[app_id]],Table5[app_id],Table5[app_name],"",0)</f>
        <v>BiteGo</v>
      </c>
      <c r="D263" t="s">
        <v>691</v>
      </c>
      <c r="E263" s="1">
        <v>45555</v>
      </c>
      <c r="F263">
        <v>2</v>
      </c>
      <c r="G263" t="s">
        <v>2917</v>
      </c>
      <c r="H263" t="s">
        <v>2587</v>
      </c>
      <c r="I263" t="s">
        <v>2555</v>
      </c>
      <c r="J263" t="s">
        <v>2556</v>
      </c>
      <c r="K263">
        <v>38</v>
      </c>
      <c r="L263" s="13" t="s">
        <v>257</v>
      </c>
    </row>
    <row r="264" spans="1:12" x14ac:dyDescent="0.25">
      <c r="A264" t="s">
        <v>2918</v>
      </c>
      <c r="B264" t="s">
        <v>166</v>
      </c>
      <c r="C264" t="str">
        <f>_xlfn.XLOOKUP(Table7[[#This Row],[app_id]],Table5[app_id],Table5[app_name],"",0)</f>
        <v>OrderCloud</v>
      </c>
      <c r="D264" t="s">
        <v>1278</v>
      </c>
      <c r="E264" s="1">
        <v>45490</v>
      </c>
      <c r="F264">
        <v>2</v>
      </c>
      <c r="G264" t="s">
        <v>2917</v>
      </c>
      <c r="H264" t="s">
        <v>2587</v>
      </c>
      <c r="I264" t="s">
        <v>2571</v>
      </c>
      <c r="J264" t="s">
        <v>2556</v>
      </c>
      <c r="K264">
        <v>16</v>
      </c>
      <c r="L264" s="13" t="s">
        <v>257</v>
      </c>
    </row>
    <row r="265" spans="1:12" x14ac:dyDescent="0.25">
      <c r="A265" t="s">
        <v>2919</v>
      </c>
      <c r="B265" t="s">
        <v>168</v>
      </c>
      <c r="C265" t="str">
        <f>_xlfn.XLOOKUP(Table7[[#This Row],[app_id]],Table5[app_id],Table5[app_name],"",0)</f>
        <v>DinePlus</v>
      </c>
      <c r="D265" t="s">
        <v>2087</v>
      </c>
      <c r="E265" s="1">
        <v>45631</v>
      </c>
      <c r="F265">
        <v>4</v>
      </c>
      <c r="G265" t="s">
        <v>2676</v>
      </c>
      <c r="H265" t="s">
        <v>2564</v>
      </c>
      <c r="I265" t="s">
        <v>2565</v>
      </c>
      <c r="J265" t="s">
        <v>2556</v>
      </c>
      <c r="K265">
        <v>48</v>
      </c>
      <c r="L265" s="13" t="s">
        <v>257</v>
      </c>
    </row>
    <row r="266" spans="1:12" x14ac:dyDescent="0.25">
      <c r="A266" t="s">
        <v>2920</v>
      </c>
      <c r="B266" t="s">
        <v>170</v>
      </c>
      <c r="C266" t="str">
        <f>_xlfn.XLOOKUP(Table7[[#This Row],[app_id]],Table5[app_id],Table5[app_name],"",0)</f>
        <v>SnackX</v>
      </c>
      <c r="D266" t="s">
        <v>2465</v>
      </c>
      <c r="E266" s="1">
        <v>45678</v>
      </c>
      <c r="F266">
        <v>4</v>
      </c>
      <c r="G266" t="s">
        <v>2806</v>
      </c>
      <c r="H266" t="s">
        <v>2564</v>
      </c>
      <c r="I266" t="s">
        <v>2565</v>
      </c>
      <c r="J266" t="s">
        <v>2569</v>
      </c>
      <c r="K266">
        <v>30</v>
      </c>
      <c r="L266" s="13" t="s">
        <v>257</v>
      </c>
    </row>
    <row r="267" spans="1:12" x14ac:dyDescent="0.25">
      <c r="A267" t="s">
        <v>2921</v>
      </c>
      <c r="B267" t="s">
        <v>172</v>
      </c>
      <c r="C267" t="str">
        <f>_xlfn.XLOOKUP(Table7[[#This Row],[app_id]],Table5[app_id],Table5[app_name],"",0)</f>
        <v>FoodOne</v>
      </c>
      <c r="D267" t="s">
        <v>2102</v>
      </c>
      <c r="E267" s="1">
        <v>46001</v>
      </c>
      <c r="F267">
        <v>4</v>
      </c>
      <c r="G267" t="s">
        <v>2676</v>
      </c>
      <c r="H267" t="s">
        <v>2564</v>
      </c>
      <c r="I267" t="s">
        <v>2558</v>
      </c>
      <c r="J267" t="s">
        <v>2561</v>
      </c>
      <c r="K267">
        <v>15</v>
      </c>
      <c r="L267" s="13" t="s">
        <v>257</v>
      </c>
    </row>
    <row r="268" spans="1:12" x14ac:dyDescent="0.25">
      <c r="A268" t="s">
        <v>2922</v>
      </c>
      <c r="B268" t="s">
        <v>174</v>
      </c>
      <c r="C268" t="str">
        <f>_xlfn.XLOOKUP(Table7[[#This Row],[app_id]],Table5[app_id],Table5[app_name],"",0)</f>
        <v>MealMate</v>
      </c>
      <c r="D268" t="s">
        <v>1985</v>
      </c>
      <c r="E268" s="1">
        <v>45347</v>
      </c>
      <c r="F268">
        <v>3</v>
      </c>
      <c r="G268" t="s">
        <v>2672</v>
      </c>
      <c r="H268" t="s">
        <v>2554</v>
      </c>
      <c r="I268" t="s">
        <v>2575</v>
      </c>
      <c r="J268" t="s">
        <v>2566</v>
      </c>
      <c r="K268">
        <v>27</v>
      </c>
      <c r="L268" s="13" t="s">
        <v>257</v>
      </c>
    </row>
    <row r="269" spans="1:12" x14ac:dyDescent="0.25">
      <c r="A269" t="s">
        <v>2923</v>
      </c>
      <c r="B269" t="s">
        <v>176</v>
      </c>
      <c r="C269" t="str">
        <f>_xlfn.XLOOKUP(Table7[[#This Row],[app_id]],Table5[app_id],Table5[app_name],"",0)</f>
        <v>SnackHub</v>
      </c>
      <c r="D269" t="s">
        <v>1985</v>
      </c>
      <c r="E269" s="1">
        <v>45821</v>
      </c>
      <c r="F269">
        <v>2</v>
      </c>
      <c r="G269" t="s">
        <v>2917</v>
      </c>
      <c r="H269" t="s">
        <v>2587</v>
      </c>
      <c r="I269" t="s">
        <v>2565</v>
      </c>
      <c r="J269" t="s">
        <v>2596</v>
      </c>
      <c r="K269">
        <v>48</v>
      </c>
      <c r="L269" s="13" t="s">
        <v>258</v>
      </c>
    </row>
    <row r="270" spans="1:12" x14ac:dyDescent="0.25">
      <c r="A270" t="s">
        <v>2924</v>
      </c>
      <c r="B270" t="s">
        <v>178</v>
      </c>
      <c r="C270" t="str">
        <f>_xlfn.XLOOKUP(Table7[[#This Row],[app_id]],Table5[app_id],Table5[app_name],"",0)</f>
        <v>BiteCloud</v>
      </c>
      <c r="D270" t="s">
        <v>1060</v>
      </c>
      <c r="E270" s="1">
        <v>45597</v>
      </c>
      <c r="F270">
        <v>3</v>
      </c>
      <c r="G270" t="s">
        <v>2668</v>
      </c>
      <c r="H270" t="s">
        <v>2554</v>
      </c>
      <c r="I270" t="s">
        <v>2571</v>
      </c>
      <c r="J270" t="s">
        <v>2600</v>
      </c>
      <c r="K270">
        <v>42</v>
      </c>
      <c r="L270" s="13" t="s">
        <v>257</v>
      </c>
    </row>
    <row r="271" spans="1:12" x14ac:dyDescent="0.25">
      <c r="A271" t="s">
        <v>2925</v>
      </c>
      <c r="B271" t="s">
        <v>180</v>
      </c>
      <c r="C271" t="str">
        <f>_xlfn.XLOOKUP(Table7[[#This Row],[app_id]],Table5[app_id],Table5[app_name],"",0)</f>
        <v>PlatePlus</v>
      </c>
      <c r="D271" t="s">
        <v>2089</v>
      </c>
      <c r="E271" s="1">
        <v>45704</v>
      </c>
      <c r="F271">
        <v>4</v>
      </c>
      <c r="G271" t="s">
        <v>2676</v>
      </c>
      <c r="H271" t="s">
        <v>2564</v>
      </c>
      <c r="I271" t="s">
        <v>2565</v>
      </c>
      <c r="J271" t="s">
        <v>2556</v>
      </c>
      <c r="K271">
        <v>11</v>
      </c>
      <c r="L271" s="13" t="s">
        <v>258</v>
      </c>
    </row>
    <row r="272" spans="1:12" x14ac:dyDescent="0.25">
      <c r="A272" t="s">
        <v>2926</v>
      </c>
      <c r="B272" t="s">
        <v>182</v>
      </c>
      <c r="C272" t="str">
        <f>_xlfn.XLOOKUP(Table7[[#This Row],[app_id]],Table5[app_id],Table5[app_name],"",0)</f>
        <v>VoyageGo</v>
      </c>
      <c r="D272" t="s">
        <v>1329</v>
      </c>
      <c r="E272" s="1">
        <v>45397</v>
      </c>
      <c r="F272">
        <v>4</v>
      </c>
      <c r="G272" t="s">
        <v>2683</v>
      </c>
      <c r="H272" t="s">
        <v>2564</v>
      </c>
      <c r="I272" t="s">
        <v>2575</v>
      </c>
      <c r="J272" t="s">
        <v>2633</v>
      </c>
      <c r="K272">
        <v>26</v>
      </c>
      <c r="L272" s="13" t="s">
        <v>257</v>
      </c>
    </row>
    <row r="273" spans="1:12" x14ac:dyDescent="0.25">
      <c r="A273" t="s">
        <v>2927</v>
      </c>
      <c r="B273" t="s">
        <v>185</v>
      </c>
      <c r="C273" t="str">
        <f>_xlfn.XLOOKUP(Table7[[#This Row],[app_id]],Table5[app_id],Table5[app_name],"",0)</f>
        <v>TripOne</v>
      </c>
      <c r="D273" t="s">
        <v>2495</v>
      </c>
      <c r="E273" s="1">
        <v>45647</v>
      </c>
      <c r="F273">
        <v>4</v>
      </c>
      <c r="G273" t="s">
        <v>2683</v>
      </c>
      <c r="H273" t="s">
        <v>2564</v>
      </c>
      <c r="I273" t="s">
        <v>2575</v>
      </c>
      <c r="J273" t="s">
        <v>2569</v>
      </c>
      <c r="K273">
        <v>36</v>
      </c>
      <c r="L273" s="13" t="s">
        <v>257</v>
      </c>
    </row>
    <row r="274" spans="1:12" x14ac:dyDescent="0.25">
      <c r="A274" t="s">
        <v>2928</v>
      </c>
      <c r="B274" t="s">
        <v>187</v>
      </c>
      <c r="C274" t="str">
        <f>_xlfn.XLOOKUP(Table7[[#This Row],[app_id]],Table5[app_id],Table5[app_name],"",0)</f>
        <v>FlyGo</v>
      </c>
      <c r="D274" t="s">
        <v>1471</v>
      </c>
      <c r="E274" s="1">
        <v>45465</v>
      </c>
      <c r="F274">
        <v>4</v>
      </c>
      <c r="G274" t="s">
        <v>2929</v>
      </c>
      <c r="H274" t="s">
        <v>2564</v>
      </c>
      <c r="I274" t="s">
        <v>2565</v>
      </c>
      <c r="J274" t="s">
        <v>2596</v>
      </c>
      <c r="K274">
        <v>16</v>
      </c>
      <c r="L274" s="13" t="s">
        <v>258</v>
      </c>
    </row>
    <row r="275" spans="1:12" x14ac:dyDescent="0.25">
      <c r="A275" t="s">
        <v>2930</v>
      </c>
      <c r="B275" t="s">
        <v>189</v>
      </c>
      <c r="C275" t="str">
        <f>_xlfn.XLOOKUP(Table7[[#This Row],[app_id]],Table5[app_id],Table5[app_name],"",0)</f>
        <v>MapX</v>
      </c>
      <c r="D275" t="s">
        <v>1638</v>
      </c>
      <c r="E275" s="1">
        <v>45506</v>
      </c>
      <c r="F275">
        <v>4</v>
      </c>
      <c r="G275" t="s">
        <v>2931</v>
      </c>
      <c r="H275" t="s">
        <v>2564</v>
      </c>
      <c r="I275" t="s">
        <v>2558</v>
      </c>
      <c r="J275" t="s">
        <v>2600</v>
      </c>
      <c r="K275">
        <v>18</v>
      </c>
      <c r="L275" s="13" t="s">
        <v>257</v>
      </c>
    </row>
    <row r="276" spans="1:12" x14ac:dyDescent="0.25">
      <c r="A276" t="s">
        <v>2932</v>
      </c>
      <c r="B276" t="s">
        <v>191</v>
      </c>
      <c r="C276" t="str">
        <f>_xlfn.XLOOKUP(Table7[[#This Row],[app_id]],Table5[app_id],Table5[app_name],"",0)</f>
        <v>StayX</v>
      </c>
      <c r="D276" t="s">
        <v>1833</v>
      </c>
      <c r="E276" s="1">
        <v>45343</v>
      </c>
      <c r="F276">
        <v>4</v>
      </c>
      <c r="G276" t="s">
        <v>2931</v>
      </c>
      <c r="H276" t="s">
        <v>2564</v>
      </c>
      <c r="I276" t="s">
        <v>2558</v>
      </c>
      <c r="J276" t="s">
        <v>2559</v>
      </c>
      <c r="K276">
        <v>31</v>
      </c>
      <c r="L276" s="13" t="s">
        <v>257</v>
      </c>
    </row>
    <row r="277" spans="1:12" x14ac:dyDescent="0.25">
      <c r="A277" t="s">
        <v>2933</v>
      </c>
      <c r="B277" t="s">
        <v>193</v>
      </c>
      <c r="C277" t="str">
        <f>_xlfn.XLOOKUP(Table7[[#This Row],[app_id]],Table5[app_id],Table5[app_name],"",0)</f>
        <v>GoNow</v>
      </c>
      <c r="D277" t="s">
        <v>931</v>
      </c>
      <c r="E277" s="1">
        <v>45479</v>
      </c>
      <c r="F277">
        <v>3</v>
      </c>
      <c r="G277" t="s">
        <v>2815</v>
      </c>
      <c r="H277" t="s">
        <v>2554</v>
      </c>
      <c r="I277" t="s">
        <v>2575</v>
      </c>
      <c r="J277" t="s">
        <v>2561</v>
      </c>
      <c r="K277">
        <v>21</v>
      </c>
      <c r="L277" s="13" t="s">
        <v>258</v>
      </c>
    </row>
    <row r="278" spans="1:12" x14ac:dyDescent="0.25">
      <c r="A278" t="s">
        <v>2934</v>
      </c>
      <c r="B278" t="s">
        <v>195</v>
      </c>
      <c r="C278" t="str">
        <f>_xlfn.XLOOKUP(Table7[[#This Row],[app_id]],Table5[app_id],Table5[app_name],"",0)</f>
        <v>RouteGo</v>
      </c>
      <c r="D278" t="s">
        <v>1052</v>
      </c>
      <c r="E278" s="1">
        <v>45577</v>
      </c>
      <c r="F278">
        <v>3</v>
      </c>
      <c r="G278" t="s">
        <v>2815</v>
      </c>
      <c r="H278" t="s">
        <v>2554</v>
      </c>
      <c r="I278" t="s">
        <v>2565</v>
      </c>
      <c r="J278" t="s">
        <v>2633</v>
      </c>
      <c r="K278">
        <v>12</v>
      </c>
      <c r="L278" s="13" t="s">
        <v>257</v>
      </c>
    </row>
    <row r="279" spans="1:12" x14ac:dyDescent="0.25">
      <c r="A279" t="s">
        <v>2935</v>
      </c>
      <c r="B279" t="s">
        <v>197</v>
      </c>
      <c r="C279" t="str">
        <f>_xlfn.XLOOKUP(Table7[[#This Row],[app_id]],Table5[app_id],Table5[app_name],"",0)</f>
        <v>TripGo</v>
      </c>
      <c r="D279" t="s">
        <v>1391</v>
      </c>
      <c r="E279" s="1">
        <v>45729</v>
      </c>
      <c r="F279">
        <v>3</v>
      </c>
      <c r="G279" t="s">
        <v>2697</v>
      </c>
      <c r="H279" t="s">
        <v>2554</v>
      </c>
      <c r="I279" t="s">
        <v>2571</v>
      </c>
      <c r="J279" t="s">
        <v>2633</v>
      </c>
      <c r="K279">
        <v>7</v>
      </c>
      <c r="L279" s="13" t="s">
        <v>257</v>
      </c>
    </row>
    <row r="280" spans="1:12" x14ac:dyDescent="0.25">
      <c r="A280" t="s">
        <v>2936</v>
      </c>
      <c r="B280" t="s">
        <v>199</v>
      </c>
      <c r="C280" t="str">
        <f>_xlfn.XLOOKUP(Table7[[#This Row],[app_id]],Table5[app_id],Table5[app_name],"",0)</f>
        <v>Flyly</v>
      </c>
      <c r="D280" t="s">
        <v>679</v>
      </c>
      <c r="E280" s="1">
        <v>45644</v>
      </c>
      <c r="F280">
        <v>3</v>
      </c>
      <c r="G280" t="s">
        <v>2697</v>
      </c>
      <c r="H280" t="s">
        <v>2554</v>
      </c>
      <c r="I280" t="s">
        <v>2584</v>
      </c>
      <c r="J280" t="s">
        <v>2561</v>
      </c>
      <c r="K280">
        <v>8</v>
      </c>
      <c r="L280" s="13" t="s">
        <v>257</v>
      </c>
    </row>
    <row r="281" spans="1:12" x14ac:dyDescent="0.25">
      <c r="A281" t="s">
        <v>2937</v>
      </c>
      <c r="B281" t="s">
        <v>201</v>
      </c>
      <c r="C281" t="str">
        <f>_xlfn.XLOOKUP(Table7[[#This Row],[app_id]],Table5[app_id],Table5[app_name],"",0)</f>
        <v>TripPro</v>
      </c>
      <c r="D281" t="s">
        <v>2263</v>
      </c>
      <c r="E281" s="1">
        <v>46018</v>
      </c>
      <c r="F281">
        <v>4</v>
      </c>
      <c r="G281" t="s">
        <v>2931</v>
      </c>
      <c r="H281" t="s">
        <v>2564</v>
      </c>
      <c r="I281" t="s">
        <v>2571</v>
      </c>
      <c r="J281" t="s">
        <v>2633</v>
      </c>
      <c r="K281">
        <v>15</v>
      </c>
      <c r="L281" s="13" t="s">
        <v>258</v>
      </c>
    </row>
    <row r="282" spans="1:12" x14ac:dyDescent="0.25">
      <c r="A282" t="s">
        <v>2938</v>
      </c>
      <c r="B282" t="s">
        <v>203</v>
      </c>
      <c r="C282" t="str">
        <f>_xlfn.XLOOKUP(Table7[[#This Row],[app_id]],Table5[app_id],Table5[app_name],"",0)</f>
        <v>Focusly</v>
      </c>
      <c r="D282" t="s">
        <v>1810</v>
      </c>
      <c r="E282" s="1">
        <v>46132</v>
      </c>
      <c r="F282">
        <v>4</v>
      </c>
      <c r="G282" t="s">
        <v>2708</v>
      </c>
      <c r="H282" t="s">
        <v>2564</v>
      </c>
      <c r="I282" t="s">
        <v>2565</v>
      </c>
      <c r="J282" t="s">
        <v>2559</v>
      </c>
      <c r="K282">
        <v>23</v>
      </c>
      <c r="L282" s="13" t="s">
        <v>257</v>
      </c>
    </row>
    <row r="283" spans="1:12" x14ac:dyDescent="0.25">
      <c r="A283" t="s">
        <v>2939</v>
      </c>
      <c r="B283" t="s">
        <v>206</v>
      </c>
      <c r="C283" t="str">
        <f>_xlfn.XLOOKUP(Table7[[#This Row],[app_id]],Table5[app_id],Table5[app_name],"",0)</f>
        <v>DeskX</v>
      </c>
      <c r="D283" t="s">
        <v>1645</v>
      </c>
      <c r="E283" s="1">
        <v>45329</v>
      </c>
      <c r="F283">
        <v>3</v>
      </c>
      <c r="G283" t="s">
        <v>2706</v>
      </c>
      <c r="H283" t="s">
        <v>2554</v>
      </c>
      <c r="I283" t="s">
        <v>2571</v>
      </c>
      <c r="J283" t="s">
        <v>2596</v>
      </c>
      <c r="K283">
        <v>10</v>
      </c>
      <c r="L283" s="13" t="s">
        <v>257</v>
      </c>
    </row>
    <row r="284" spans="1:12" x14ac:dyDescent="0.25">
      <c r="A284" t="s">
        <v>2940</v>
      </c>
      <c r="B284" t="s">
        <v>208</v>
      </c>
      <c r="C284" t="str">
        <f>_xlfn.XLOOKUP(Table7[[#This Row],[app_id]],Table5[app_id],Table5[app_name],"",0)</f>
        <v>DonePro</v>
      </c>
      <c r="D284" t="s">
        <v>1704</v>
      </c>
      <c r="E284" s="1">
        <v>45816</v>
      </c>
      <c r="F284">
        <v>3</v>
      </c>
      <c r="G284" t="s">
        <v>2713</v>
      </c>
      <c r="H284" t="s">
        <v>2554</v>
      </c>
      <c r="I284" t="s">
        <v>2571</v>
      </c>
      <c r="J284" t="s">
        <v>2633</v>
      </c>
      <c r="K284">
        <v>6</v>
      </c>
      <c r="L284" s="13" t="s">
        <v>258</v>
      </c>
    </row>
    <row r="285" spans="1:12" x14ac:dyDescent="0.25">
      <c r="A285" t="s">
        <v>2941</v>
      </c>
      <c r="B285" t="s">
        <v>210</v>
      </c>
      <c r="C285" t="str">
        <f>_xlfn.XLOOKUP(Table7[[#This Row],[app_id]],Table5[app_id],Table5[app_name],"",0)</f>
        <v>NotePlus</v>
      </c>
      <c r="D285" t="s">
        <v>1116</v>
      </c>
      <c r="E285" s="1">
        <v>45748</v>
      </c>
      <c r="F285">
        <v>4</v>
      </c>
      <c r="G285" t="s">
        <v>2708</v>
      </c>
      <c r="H285" t="s">
        <v>2564</v>
      </c>
      <c r="I285" t="s">
        <v>2565</v>
      </c>
      <c r="J285" t="s">
        <v>2581</v>
      </c>
      <c r="K285">
        <v>17</v>
      </c>
      <c r="L285" s="13" t="s">
        <v>257</v>
      </c>
    </row>
    <row r="286" spans="1:12" x14ac:dyDescent="0.25">
      <c r="A286" t="s">
        <v>2942</v>
      </c>
      <c r="B286" t="s">
        <v>212</v>
      </c>
      <c r="C286" t="str">
        <f>_xlfn.XLOOKUP(Table7[[#This Row],[app_id]],Table5[app_id],Table5[app_name],"",0)</f>
        <v>SyncPlus</v>
      </c>
      <c r="D286" t="s">
        <v>2411</v>
      </c>
      <c r="E286" s="1">
        <v>45537</v>
      </c>
      <c r="F286">
        <v>2</v>
      </c>
      <c r="G286" t="s">
        <v>2943</v>
      </c>
      <c r="H286" t="s">
        <v>2587</v>
      </c>
      <c r="I286" t="s">
        <v>2565</v>
      </c>
      <c r="J286" t="s">
        <v>2556</v>
      </c>
      <c r="K286">
        <v>65</v>
      </c>
      <c r="L286" s="13" t="s">
        <v>258</v>
      </c>
    </row>
    <row r="287" spans="1:12" x14ac:dyDescent="0.25">
      <c r="A287" t="s">
        <v>2944</v>
      </c>
      <c r="B287" t="s">
        <v>214</v>
      </c>
      <c r="C287" t="str">
        <f>_xlfn.XLOOKUP(Table7[[#This Row],[app_id]],Table5[app_id],Table5[app_name],"",0)</f>
        <v>NoteOne</v>
      </c>
      <c r="D287" t="s">
        <v>2355</v>
      </c>
      <c r="E287" s="1">
        <v>46141</v>
      </c>
      <c r="F287">
        <v>5</v>
      </c>
      <c r="G287" t="s">
        <v>2703</v>
      </c>
      <c r="H287" t="s">
        <v>2564</v>
      </c>
      <c r="I287" t="s">
        <v>2555</v>
      </c>
      <c r="J287" t="s">
        <v>2556</v>
      </c>
      <c r="K287">
        <v>18</v>
      </c>
      <c r="L287" s="13" t="s">
        <v>258</v>
      </c>
    </row>
    <row r="288" spans="1:12" x14ac:dyDescent="0.25">
      <c r="A288" t="s">
        <v>2945</v>
      </c>
      <c r="B288" t="s">
        <v>216</v>
      </c>
      <c r="C288" t="str">
        <f>_xlfn.XLOOKUP(Table7[[#This Row],[app_id]],Table5[app_id],Table5[app_name],"",0)</f>
        <v>NoteMate</v>
      </c>
      <c r="D288" t="s">
        <v>1400</v>
      </c>
      <c r="E288" s="1">
        <v>46131</v>
      </c>
      <c r="F288">
        <v>4</v>
      </c>
      <c r="G288" t="s">
        <v>2700</v>
      </c>
      <c r="H288" t="s">
        <v>2564</v>
      </c>
      <c r="I288" t="s">
        <v>2558</v>
      </c>
      <c r="J288" t="s">
        <v>2633</v>
      </c>
      <c r="K288">
        <v>9</v>
      </c>
      <c r="L288" s="13" t="s">
        <v>257</v>
      </c>
    </row>
    <row r="289" spans="1:12" x14ac:dyDescent="0.25">
      <c r="A289" t="s">
        <v>2946</v>
      </c>
      <c r="B289" t="s">
        <v>218</v>
      </c>
      <c r="C289" t="str">
        <f>_xlfn.XLOOKUP(Table7[[#This Row],[app_id]],Table5[app_id],Table5[app_name],"",0)</f>
        <v>PlanPlus</v>
      </c>
      <c r="D289" t="s">
        <v>1773</v>
      </c>
      <c r="E289" s="1">
        <v>46034</v>
      </c>
      <c r="F289">
        <v>4</v>
      </c>
      <c r="G289" t="s">
        <v>2836</v>
      </c>
      <c r="H289" t="s">
        <v>2564</v>
      </c>
      <c r="I289" t="s">
        <v>2565</v>
      </c>
      <c r="J289" t="s">
        <v>2603</v>
      </c>
      <c r="K289">
        <v>36</v>
      </c>
      <c r="L289" s="13" t="s">
        <v>257</v>
      </c>
    </row>
    <row r="290" spans="1:12" x14ac:dyDescent="0.25">
      <c r="A290" t="s">
        <v>2947</v>
      </c>
      <c r="B290" t="s">
        <v>220</v>
      </c>
      <c r="C290" t="str">
        <f>_xlfn.XLOOKUP(Table7[[#This Row],[app_id]],Table5[app_id],Table5[app_name],"",0)</f>
        <v>PlanMate</v>
      </c>
      <c r="D290" t="s">
        <v>2178</v>
      </c>
      <c r="E290" s="1">
        <v>45506</v>
      </c>
      <c r="F290">
        <v>3</v>
      </c>
      <c r="G290" t="s">
        <v>2710</v>
      </c>
      <c r="H290" t="s">
        <v>2554</v>
      </c>
      <c r="I290" t="s">
        <v>2588</v>
      </c>
      <c r="J290" t="s">
        <v>2633</v>
      </c>
      <c r="K290">
        <v>3</v>
      </c>
      <c r="L290" s="13" t="s">
        <v>257</v>
      </c>
    </row>
    <row r="291" spans="1:12" x14ac:dyDescent="0.25">
      <c r="A291" t="s">
        <v>2948</v>
      </c>
      <c r="B291" t="s">
        <v>222</v>
      </c>
      <c r="C291" t="str">
        <f>_xlfn.XLOOKUP(Table7[[#This Row],[app_id]],Table5[app_id],Table5[app_name],"",0)</f>
        <v>SyncPlus</v>
      </c>
      <c r="D291" t="s">
        <v>1132</v>
      </c>
      <c r="E291" s="1">
        <v>46086</v>
      </c>
      <c r="F291">
        <v>4</v>
      </c>
      <c r="G291" t="s">
        <v>2703</v>
      </c>
      <c r="H291" t="s">
        <v>2564</v>
      </c>
      <c r="I291" t="s">
        <v>2575</v>
      </c>
      <c r="J291" t="s">
        <v>2603</v>
      </c>
      <c r="K291">
        <v>33</v>
      </c>
      <c r="L291" s="13" t="s">
        <v>257</v>
      </c>
    </row>
    <row r="292" spans="1:12" x14ac:dyDescent="0.25">
      <c r="A292" t="s">
        <v>2949</v>
      </c>
      <c r="B292" t="s">
        <v>223</v>
      </c>
      <c r="C292" t="str">
        <f>_xlfn.XLOOKUP(Table7[[#This Row],[app_id]],Table5[app_id],Table5[app_name],"",0)</f>
        <v>ClinicPro</v>
      </c>
      <c r="D292" t="s">
        <v>919</v>
      </c>
      <c r="E292" s="1">
        <v>45921</v>
      </c>
      <c r="F292">
        <v>3</v>
      </c>
      <c r="G292" t="s">
        <v>2726</v>
      </c>
      <c r="H292" t="s">
        <v>2554</v>
      </c>
      <c r="I292" t="s">
        <v>2555</v>
      </c>
      <c r="J292" t="s">
        <v>2556</v>
      </c>
      <c r="K292">
        <v>38</v>
      </c>
      <c r="L292" s="13" t="s">
        <v>257</v>
      </c>
    </row>
    <row r="293" spans="1:12" x14ac:dyDescent="0.25">
      <c r="A293" t="s">
        <v>2950</v>
      </c>
      <c r="B293" t="s">
        <v>226</v>
      </c>
      <c r="C293" t="str">
        <f>_xlfn.XLOOKUP(Table7[[#This Row],[app_id]],Table5[app_id],Table5[app_name],"",0)</f>
        <v>MindMate</v>
      </c>
      <c r="D293" t="s">
        <v>2173</v>
      </c>
      <c r="E293" s="1">
        <v>46024</v>
      </c>
      <c r="F293">
        <v>4</v>
      </c>
      <c r="G293" t="s">
        <v>2728</v>
      </c>
      <c r="H293" t="s">
        <v>2564</v>
      </c>
      <c r="I293" t="s">
        <v>2565</v>
      </c>
      <c r="J293" t="s">
        <v>2581</v>
      </c>
      <c r="K293">
        <v>44</v>
      </c>
      <c r="L293" s="13" t="s">
        <v>257</v>
      </c>
    </row>
    <row r="294" spans="1:12" x14ac:dyDescent="0.25">
      <c r="A294" t="s">
        <v>2951</v>
      </c>
      <c r="B294" t="s">
        <v>228</v>
      </c>
      <c r="C294" t="str">
        <f>_xlfn.XLOOKUP(Table7[[#This Row],[app_id]],Table5[app_id],Table5[app_name],"",0)</f>
        <v>ClinicOne</v>
      </c>
      <c r="D294" t="s">
        <v>1087</v>
      </c>
      <c r="E294" s="1">
        <v>45962</v>
      </c>
      <c r="F294">
        <v>5</v>
      </c>
      <c r="G294" t="s">
        <v>2728</v>
      </c>
      <c r="H294" t="s">
        <v>2564</v>
      </c>
      <c r="I294" t="s">
        <v>2565</v>
      </c>
      <c r="J294" t="s">
        <v>2561</v>
      </c>
      <c r="K294">
        <v>35</v>
      </c>
      <c r="L294" s="13" t="s">
        <v>257</v>
      </c>
    </row>
    <row r="295" spans="1:12" x14ac:dyDescent="0.25">
      <c r="A295" t="s">
        <v>2952</v>
      </c>
      <c r="B295" t="s">
        <v>230</v>
      </c>
      <c r="C295" t="str">
        <f>_xlfn.XLOOKUP(Table7[[#This Row],[app_id]],Table5[app_id],Table5[app_name],"",0)</f>
        <v>WellMate</v>
      </c>
      <c r="D295" t="s">
        <v>1242</v>
      </c>
      <c r="E295" s="1">
        <v>45965</v>
      </c>
      <c r="F295">
        <v>4</v>
      </c>
      <c r="G295" t="s">
        <v>2728</v>
      </c>
      <c r="H295" t="s">
        <v>2564</v>
      </c>
      <c r="I295" t="s">
        <v>2575</v>
      </c>
      <c r="J295" t="s">
        <v>2569</v>
      </c>
      <c r="K295">
        <v>20</v>
      </c>
      <c r="L295" s="13" t="s">
        <v>257</v>
      </c>
    </row>
    <row r="296" spans="1:12" x14ac:dyDescent="0.25">
      <c r="A296" t="s">
        <v>2953</v>
      </c>
      <c r="B296" t="s">
        <v>232</v>
      </c>
      <c r="C296" t="str">
        <f>_xlfn.XLOOKUP(Table7[[#This Row],[app_id]],Table5[app_id],Table5[app_name],"",0)</f>
        <v>MediMate</v>
      </c>
      <c r="D296" t="s">
        <v>2065</v>
      </c>
      <c r="E296" s="1">
        <v>46122</v>
      </c>
      <c r="F296">
        <v>5</v>
      </c>
      <c r="G296" t="s">
        <v>2954</v>
      </c>
      <c r="H296" t="s">
        <v>2564</v>
      </c>
      <c r="I296" t="s">
        <v>2575</v>
      </c>
      <c r="J296" t="s">
        <v>2556</v>
      </c>
      <c r="K296">
        <v>1</v>
      </c>
      <c r="L296" s="13" t="s">
        <v>257</v>
      </c>
    </row>
    <row r="297" spans="1:12" x14ac:dyDescent="0.25">
      <c r="A297" t="s">
        <v>2955</v>
      </c>
      <c r="B297" t="s">
        <v>234</v>
      </c>
      <c r="C297" t="str">
        <f>_xlfn.XLOOKUP(Table7[[#This Row],[app_id]],Table5[app_id],Table5[app_name],"",0)</f>
        <v>WellNow</v>
      </c>
      <c r="D297" t="s">
        <v>1911</v>
      </c>
      <c r="E297" s="1">
        <v>46048</v>
      </c>
      <c r="F297">
        <v>4</v>
      </c>
      <c r="G297" t="s">
        <v>2728</v>
      </c>
      <c r="H297" t="s">
        <v>2564</v>
      </c>
      <c r="I297" t="s">
        <v>2555</v>
      </c>
      <c r="J297" t="s">
        <v>2569</v>
      </c>
      <c r="K297">
        <v>20</v>
      </c>
      <c r="L297" s="13" t="s">
        <v>257</v>
      </c>
    </row>
    <row r="298" spans="1:12" x14ac:dyDescent="0.25">
      <c r="A298" t="s">
        <v>2956</v>
      </c>
      <c r="B298" t="s">
        <v>236</v>
      </c>
      <c r="C298" t="str">
        <f>_xlfn.XLOOKUP(Table7[[#This Row],[app_id]],Table5[app_id],Table5[app_name],"",0)</f>
        <v>CareCloud</v>
      </c>
      <c r="D298" t="s">
        <v>1773</v>
      </c>
      <c r="E298" s="1">
        <v>45881</v>
      </c>
      <c r="F298">
        <v>3</v>
      </c>
      <c r="G298" t="s">
        <v>2720</v>
      </c>
      <c r="H298" t="s">
        <v>2554</v>
      </c>
      <c r="I298" t="s">
        <v>2565</v>
      </c>
      <c r="J298" t="s">
        <v>2633</v>
      </c>
      <c r="K298">
        <v>16</v>
      </c>
      <c r="L298" s="13" t="s">
        <v>258</v>
      </c>
    </row>
    <row r="299" spans="1:12" x14ac:dyDescent="0.25">
      <c r="A299" t="s">
        <v>2957</v>
      </c>
      <c r="B299" t="s">
        <v>238</v>
      </c>
      <c r="C299" t="str">
        <f>_xlfn.XLOOKUP(Table7[[#This Row],[app_id]],Table5[app_id],Table5[app_name],"",0)</f>
        <v>MediNow</v>
      </c>
      <c r="D299" t="s">
        <v>1609</v>
      </c>
      <c r="E299" s="1">
        <v>46060</v>
      </c>
      <c r="F299">
        <v>4</v>
      </c>
      <c r="G299" t="s">
        <v>2722</v>
      </c>
      <c r="H299" t="s">
        <v>2564</v>
      </c>
      <c r="I299" t="s">
        <v>2565</v>
      </c>
      <c r="J299" t="s">
        <v>2581</v>
      </c>
      <c r="K299">
        <v>48</v>
      </c>
      <c r="L299" s="13" t="s">
        <v>257</v>
      </c>
    </row>
    <row r="300" spans="1:12" x14ac:dyDescent="0.25">
      <c r="A300" t="s">
        <v>2958</v>
      </c>
      <c r="B300" t="s">
        <v>240</v>
      </c>
      <c r="C300" t="str">
        <f>_xlfn.XLOOKUP(Table7[[#This Row],[app_id]],Table5[app_id],Table5[app_name],"",0)</f>
        <v>MindPlus</v>
      </c>
      <c r="D300" t="s">
        <v>1301</v>
      </c>
      <c r="E300" s="1">
        <v>45879</v>
      </c>
      <c r="F300">
        <v>3</v>
      </c>
      <c r="G300" t="s">
        <v>2718</v>
      </c>
      <c r="H300" t="s">
        <v>2554</v>
      </c>
      <c r="I300" t="s">
        <v>2555</v>
      </c>
      <c r="J300" t="s">
        <v>2569</v>
      </c>
      <c r="K300">
        <v>34</v>
      </c>
      <c r="L300" s="13" t="s">
        <v>258</v>
      </c>
    </row>
    <row r="301" spans="1:12" x14ac:dyDescent="0.25">
      <c r="A301" t="s">
        <v>2959</v>
      </c>
      <c r="B301" t="s">
        <v>242</v>
      </c>
      <c r="C301" t="str">
        <f>_xlfn.XLOOKUP(Table7[[#This Row],[app_id]],Table5[app_id],Table5[app_name],"",0)</f>
        <v>MediCloud</v>
      </c>
      <c r="D301" t="s">
        <v>2239</v>
      </c>
      <c r="E301" s="1">
        <v>45917</v>
      </c>
      <c r="F301">
        <v>5</v>
      </c>
      <c r="G301" t="s">
        <v>2716</v>
      </c>
      <c r="H301" t="s">
        <v>2564</v>
      </c>
      <c r="I301" t="s">
        <v>2555</v>
      </c>
      <c r="J301" t="s">
        <v>2596</v>
      </c>
      <c r="K301">
        <v>4</v>
      </c>
      <c r="L301" s="13" t="s">
        <v>257</v>
      </c>
    </row>
    <row r="302" spans="1:12" x14ac:dyDescent="0.25">
      <c r="A302" t="s">
        <v>2960</v>
      </c>
      <c r="B302" t="s">
        <v>12</v>
      </c>
      <c r="C302" t="str">
        <f>_xlfn.XLOOKUP(Table7[[#This Row],[app_id]],Table5[app_id],Table5[app_name],"",0)</f>
        <v>InvestPro</v>
      </c>
      <c r="D302" t="s">
        <v>1526</v>
      </c>
      <c r="E302" s="1">
        <v>45850</v>
      </c>
      <c r="F302">
        <v>3</v>
      </c>
      <c r="G302" t="s">
        <v>2735</v>
      </c>
      <c r="H302" t="s">
        <v>2554</v>
      </c>
      <c r="I302" t="s">
        <v>2588</v>
      </c>
      <c r="J302" t="s">
        <v>2569</v>
      </c>
      <c r="K302">
        <v>15</v>
      </c>
      <c r="L302" s="13" t="s">
        <v>257</v>
      </c>
    </row>
    <row r="303" spans="1:12" x14ac:dyDescent="0.25">
      <c r="A303" t="s">
        <v>2961</v>
      </c>
      <c r="B303" t="s">
        <v>19</v>
      </c>
      <c r="C303" t="str">
        <f>_xlfn.XLOOKUP(Table7[[#This Row],[app_id]],Table5[app_id],Table5[app_name],"",0)</f>
        <v>BankPro</v>
      </c>
      <c r="D303" t="s">
        <v>811</v>
      </c>
      <c r="E303" s="1">
        <v>46138</v>
      </c>
      <c r="F303">
        <v>3</v>
      </c>
      <c r="G303" t="s">
        <v>2583</v>
      </c>
      <c r="H303" t="s">
        <v>2554</v>
      </c>
      <c r="I303" t="s">
        <v>2575</v>
      </c>
      <c r="J303" t="s">
        <v>2556</v>
      </c>
      <c r="K303">
        <v>4</v>
      </c>
      <c r="L303" s="13" t="s">
        <v>258</v>
      </c>
    </row>
    <row r="304" spans="1:12" x14ac:dyDescent="0.25">
      <c r="A304" t="s">
        <v>2962</v>
      </c>
      <c r="B304" t="s">
        <v>24</v>
      </c>
      <c r="C304" t="str">
        <f>_xlfn.XLOOKUP(Table7[[#This Row],[app_id]],Table5[app_id],Table5[app_name],"",0)</f>
        <v>BankX</v>
      </c>
      <c r="D304" t="s">
        <v>1745</v>
      </c>
      <c r="E304" s="1">
        <v>45944</v>
      </c>
      <c r="F304">
        <v>4</v>
      </c>
      <c r="G304" t="s">
        <v>2580</v>
      </c>
      <c r="H304" t="s">
        <v>2564</v>
      </c>
      <c r="I304" t="s">
        <v>2565</v>
      </c>
      <c r="J304" t="s">
        <v>2569</v>
      </c>
      <c r="K304">
        <v>17</v>
      </c>
      <c r="L304" s="13" t="s">
        <v>257</v>
      </c>
    </row>
    <row r="305" spans="1:12" x14ac:dyDescent="0.25">
      <c r="A305" t="s">
        <v>2963</v>
      </c>
      <c r="B305" t="s">
        <v>27</v>
      </c>
      <c r="C305" t="str">
        <f>_xlfn.XLOOKUP(Table7[[#This Row],[app_id]],Table5[app_id],Table5[app_name],"",0)</f>
        <v>BankNow</v>
      </c>
      <c r="D305" t="s">
        <v>2063</v>
      </c>
      <c r="E305" s="1">
        <v>45775</v>
      </c>
      <c r="F305">
        <v>3</v>
      </c>
      <c r="G305" t="s">
        <v>2583</v>
      </c>
      <c r="H305" t="s">
        <v>2554</v>
      </c>
      <c r="I305" t="s">
        <v>2584</v>
      </c>
      <c r="J305" t="s">
        <v>2633</v>
      </c>
      <c r="K305">
        <v>43</v>
      </c>
      <c r="L305" s="13" t="s">
        <v>257</v>
      </c>
    </row>
    <row r="306" spans="1:12" x14ac:dyDescent="0.25">
      <c r="A306" t="s">
        <v>2964</v>
      </c>
      <c r="B306" t="s">
        <v>31</v>
      </c>
      <c r="C306" t="str">
        <f>_xlfn.XLOOKUP(Table7[[#This Row],[app_id]],Table5[app_id],Table5[app_name],"",0)</f>
        <v>CreditHub</v>
      </c>
      <c r="D306" t="s">
        <v>2292</v>
      </c>
      <c r="E306" s="1">
        <v>45510</v>
      </c>
      <c r="F306">
        <v>5</v>
      </c>
      <c r="G306" t="s">
        <v>2580</v>
      </c>
      <c r="H306" t="s">
        <v>2564</v>
      </c>
      <c r="I306" t="s">
        <v>2575</v>
      </c>
      <c r="J306" t="s">
        <v>2561</v>
      </c>
      <c r="K306">
        <v>38</v>
      </c>
      <c r="L306" s="13" t="s">
        <v>258</v>
      </c>
    </row>
    <row r="307" spans="1:12" x14ac:dyDescent="0.25">
      <c r="A307" t="s">
        <v>2965</v>
      </c>
      <c r="B307" t="s">
        <v>36</v>
      </c>
      <c r="C307" t="str">
        <f>_xlfn.XLOOKUP(Table7[[#This Row],[app_id]],Table5[app_id],Table5[app_name],"",0)</f>
        <v>PayPlus</v>
      </c>
      <c r="D307" t="s">
        <v>1085</v>
      </c>
      <c r="E307" s="1">
        <v>45444</v>
      </c>
      <c r="F307">
        <v>5</v>
      </c>
      <c r="G307" t="s">
        <v>2573</v>
      </c>
      <c r="H307" t="s">
        <v>2564</v>
      </c>
      <c r="I307" t="s">
        <v>2558</v>
      </c>
      <c r="J307" t="s">
        <v>2633</v>
      </c>
      <c r="K307">
        <v>26</v>
      </c>
      <c r="L307" s="13" t="s">
        <v>257</v>
      </c>
    </row>
    <row r="308" spans="1:12" x14ac:dyDescent="0.25">
      <c r="A308" t="s">
        <v>2966</v>
      </c>
      <c r="B308" t="s">
        <v>39</v>
      </c>
      <c r="C308" t="str">
        <f>_xlfn.XLOOKUP(Table7[[#This Row],[app_id]],Table5[app_id],Table5[app_name],"",0)</f>
        <v>BankPlus</v>
      </c>
      <c r="D308" t="s">
        <v>1172</v>
      </c>
      <c r="E308" s="1">
        <v>46124</v>
      </c>
      <c r="F308">
        <v>3</v>
      </c>
      <c r="G308" t="s">
        <v>2553</v>
      </c>
      <c r="H308" t="s">
        <v>2554</v>
      </c>
      <c r="I308" t="s">
        <v>2588</v>
      </c>
      <c r="J308" t="s">
        <v>2569</v>
      </c>
      <c r="K308">
        <v>9</v>
      </c>
      <c r="L308" s="13" t="s">
        <v>258</v>
      </c>
    </row>
    <row r="309" spans="1:12" x14ac:dyDescent="0.25">
      <c r="A309" t="s">
        <v>2967</v>
      </c>
      <c r="B309" t="s">
        <v>42</v>
      </c>
      <c r="C309" t="str">
        <f>_xlfn.XLOOKUP(Table7[[#This Row],[app_id]],Table5[app_id],Table5[app_name],"",0)</f>
        <v>CoinPlus</v>
      </c>
      <c r="D309" t="s">
        <v>1947</v>
      </c>
      <c r="E309" s="1">
        <v>46099</v>
      </c>
      <c r="F309">
        <v>3</v>
      </c>
      <c r="G309" t="s">
        <v>2968</v>
      </c>
      <c r="H309" t="s">
        <v>2554</v>
      </c>
      <c r="I309" t="s">
        <v>2571</v>
      </c>
      <c r="J309" t="s">
        <v>2569</v>
      </c>
      <c r="K309">
        <v>4</v>
      </c>
      <c r="L309" s="13" t="s">
        <v>257</v>
      </c>
    </row>
    <row r="310" spans="1:12" x14ac:dyDescent="0.25">
      <c r="A310" t="s">
        <v>2969</v>
      </c>
      <c r="B310" t="s">
        <v>47</v>
      </c>
      <c r="C310" t="str">
        <f>_xlfn.XLOOKUP(Table7[[#This Row],[app_id]],Table5[app_id],Table5[app_name],"",0)</f>
        <v>CreditOne</v>
      </c>
      <c r="D310" t="s">
        <v>675</v>
      </c>
      <c r="E310" s="1">
        <v>46112</v>
      </c>
      <c r="F310">
        <v>4</v>
      </c>
      <c r="G310" t="s">
        <v>2573</v>
      </c>
      <c r="H310" t="s">
        <v>2564</v>
      </c>
      <c r="I310" t="s">
        <v>2555</v>
      </c>
      <c r="J310" t="s">
        <v>2566</v>
      </c>
      <c r="K310">
        <v>27</v>
      </c>
      <c r="L310" s="13" t="s">
        <v>257</v>
      </c>
    </row>
    <row r="311" spans="1:12" x14ac:dyDescent="0.25">
      <c r="A311" t="s">
        <v>2970</v>
      </c>
      <c r="B311" t="s">
        <v>49</v>
      </c>
      <c r="C311" t="str">
        <f>_xlfn.XLOOKUP(Table7[[#This Row],[app_id]],Table5[app_id],Table5[app_name],"",0)</f>
        <v>PayPro</v>
      </c>
      <c r="D311" t="s">
        <v>2322</v>
      </c>
      <c r="E311" s="1">
        <v>46109</v>
      </c>
      <c r="F311">
        <v>5</v>
      </c>
      <c r="G311" t="s">
        <v>2563</v>
      </c>
      <c r="H311" t="s">
        <v>2564</v>
      </c>
      <c r="I311" t="s">
        <v>2555</v>
      </c>
      <c r="J311" t="s">
        <v>2556</v>
      </c>
      <c r="K311">
        <v>19</v>
      </c>
      <c r="L311" s="13" t="s">
        <v>258</v>
      </c>
    </row>
    <row r="312" spans="1:12" x14ac:dyDescent="0.25">
      <c r="A312" t="s">
        <v>2971</v>
      </c>
      <c r="B312" t="s">
        <v>51</v>
      </c>
      <c r="C312" t="str">
        <f>_xlfn.XLOOKUP(Table7[[#This Row],[app_id]],Table5[app_id],Table5[app_name],"",0)</f>
        <v>Creditly</v>
      </c>
      <c r="D312" t="s">
        <v>2012</v>
      </c>
      <c r="E312" s="1">
        <v>46134</v>
      </c>
      <c r="F312">
        <v>4</v>
      </c>
      <c r="G312" t="s">
        <v>2568</v>
      </c>
      <c r="H312" t="s">
        <v>2564</v>
      </c>
      <c r="I312" t="s">
        <v>2565</v>
      </c>
      <c r="J312" t="s">
        <v>2556</v>
      </c>
      <c r="K312">
        <v>6</v>
      </c>
      <c r="L312" s="13" t="s">
        <v>257</v>
      </c>
    </row>
    <row r="313" spans="1:12" x14ac:dyDescent="0.25">
      <c r="A313" t="s">
        <v>2972</v>
      </c>
      <c r="B313" t="s">
        <v>53</v>
      </c>
      <c r="C313" t="str">
        <f>_xlfn.XLOOKUP(Table7[[#This Row],[app_id]],Table5[app_id],Table5[app_name],"",0)</f>
        <v>PayX</v>
      </c>
      <c r="D313" t="s">
        <v>2112</v>
      </c>
      <c r="E313" s="1">
        <v>45994</v>
      </c>
      <c r="F313">
        <v>3</v>
      </c>
      <c r="G313" t="s">
        <v>2583</v>
      </c>
      <c r="H313" t="s">
        <v>2554</v>
      </c>
      <c r="I313" t="s">
        <v>2558</v>
      </c>
      <c r="J313" t="s">
        <v>2559</v>
      </c>
      <c r="K313">
        <v>2</v>
      </c>
      <c r="L313" s="13" t="s">
        <v>257</v>
      </c>
    </row>
    <row r="314" spans="1:12" x14ac:dyDescent="0.25">
      <c r="A314" t="s">
        <v>2973</v>
      </c>
      <c r="B314" t="s">
        <v>56</v>
      </c>
      <c r="C314" t="str">
        <f>_xlfn.XLOOKUP(Table7[[#This Row],[app_id]],Table5[app_id],Table5[app_name],"",0)</f>
        <v>DealGo</v>
      </c>
      <c r="D314" t="s">
        <v>1933</v>
      </c>
      <c r="E314" s="1">
        <v>45411</v>
      </c>
      <c r="F314">
        <v>3</v>
      </c>
      <c r="G314" t="s">
        <v>2748</v>
      </c>
      <c r="H314" t="s">
        <v>2554</v>
      </c>
      <c r="I314" t="s">
        <v>2565</v>
      </c>
      <c r="J314" t="s">
        <v>2556</v>
      </c>
      <c r="K314">
        <v>8</v>
      </c>
      <c r="L314" s="13" t="s">
        <v>258</v>
      </c>
    </row>
    <row r="315" spans="1:12" x14ac:dyDescent="0.25">
      <c r="A315" t="s">
        <v>2974</v>
      </c>
      <c r="B315" t="s">
        <v>62</v>
      </c>
      <c r="C315" t="str">
        <f>_xlfn.XLOOKUP(Table7[[#This Row],[app_id]],Table5[app_id],Table5[app_name],"",0)</f>
        <v>MallNow</v>
      </c>
      <c r="D315" t="s">
        <v>2071</v>
      </c>
      <c r="E315" s="1">
        <v>45494</v>
      </c>
      <c r="F315">
        <v>4</v>
      </c>
      <c r="G315" t="s">
        <v>2590</v>
      </c>
      <c r="H315" t="s">
        <v>2564</v>
      </c>
      <c r="I315" t="s">
        <v>2555</v>
      </c>
      <c r="J315" t="s">
        <v>2633</v>
      </c>
      <c r="K315">
        <v>45</v>
      </c>
      <c r="L315" s="13" t="s">
        <v>257</v>
      </c>
    </row>
    <row r="316" spans="1:12" x14ac:dyDescent="0.25">
      <c r="A316" t="s">
        <v>2975</v>
      </c>
      <c r="B316" t="s">
        <v>65</v>
      </c>
      <c r="C316" t="str">
        <f>_xlfn.XLOOKUP(Table7[[#This Row],[app_id]],Table5[app_id],Table5[app_name],"",0)</f>
        <v>DealPro</v>
      </c>
      <c r="D316" t="s">
        <v>1354</v>
      </c>
      <c r="E316" s="1">
        <v>45598</v>
      </c>
      <c r="F316">
        <v>4</v>
      </c>
      <c r="G316" t="s">
        <v>2592</v>
      </c>
      <c r="H316" t="s">
        <v>2564</v>
      </c>
      <c r="I316" t="s">
        <v>2571</v>
      </c>
      <c r="J316" t="s">
        <v>2633</v>
      </c>
      <c r="K316">
        <v>38</v>
      </c>
      <c r="L316" s="13" t="s">
        <v>257</v>
      </c>
    </row>
    <row r="317" spans="1:12" x14ac:dyDescent="0.25">
      <c r="A317" t="s">
        <v>2976</v>
      </c>
      <c r="B317" t="s">
        <v>67</v>
      </c>
      <c r="C317" t="str">
        <f>_xlfn.XLOOKUP(Table7[[#This Row],[app_id]],Table5[app_id],Table5[app_name],"",0)</f>
        <v>StyleNow</v>
      </c>
      <c r="D317" t="s">
        <v>2433</v>
      </c>
      <c r="E317" s="1">
        <v>45752</v>
      </c>
      <c r="F317">
        <v>2</v>
      </c>
      <c r="G317" t="s">
        <v>2871</v>
      </c>
      <c r="H317" t="s">
        <v>2587</v>
      </c>
      <c r="I317" t="s">
        <v>2571</v>
      </c>
      <c r="J317" t="s">
        <v>2603</v>
      </c>
      <c r="K317">
        <v>40</v>
      </c>
      <c r="L317" s="13" t="s">
        <v>257</v>
      </c>
    </row>
    <row r="318" spans="1:12" x14ac:dyDescent="0.25">
      <c r="A318" t="s">
        <v>2977</v>
      </c>
      <c r="B318" t="s">
        <v>70</v>
      </c>
      <c r="C318" t="str">
        <f>_xlfn.XLOOKUP(Table7[[#This Row],[app_id]],Table5[app_id],Table5[app_name],"",0)</f>
        <v>DealCloud</v>
      </c>
      <c r="D318" t="s">
        <v>1982</v>
      </c>
      <c r="E318" s="1">
        <v>45321</v>
      </c>
      <c r="F318">
        <v>5</v>
      </c>
      <c r="G318" t="s">
        <v>2592</v>
      </c>
      <c r="H318" t="s">
        <v>2564</v>
      </c>
      <c r="I318" t="s">
        <v>2565</v>
      </c>
      <c r="J318" t="s">
        <v>2561</v>
      </c>
      <c r="K318">
        <v>39</v>
      </c>
      <c r="L318" s="13" t="s">
        <v>257</v>
      </c>
    </row>
    <row r="319" spans="1:12" x14ac:dyDescent="0.25">
      <c r="A319" t="s">
        <v>2978</v>
      </c>
      <c r="B319" t="s">
        <v>72</v>
      </c>
      <c r="C319" t="str">
        <f>_xlfn.XLOOKUP(Table7[[#This Row],[app_id]],Table5[app_id],Table5[app_name],"",0)</f>
        <v>CartCloud</v>
      </c>
      <c r="D319" t="s">
        <v>1535</v>
      </c>
      <c r="E319" s="1">
        <v>45542</v>
      </c>
      <c r="F319">
        <v>3</v>
      </c>
      <c r="G319" t="s">
        <v>2748</v>
      </c>
      <c r="H319" t="s">
        <v>2554</v>
      </c>
      <c r="I319" t="s">
        <v>2578</v>
      </c>
      <c r="J319" t="s">
        <v>2581</v>
      </c>
      <c r="K319">
        <v>30</v>
      </c>
      <c r="L319" s="13" t="s">
        <v>258</v>
      </c>
    </row>
    <row r="320" spans="1:12" x14ac:dyDescent="0.25">
      <c r="A320" t="s">
        <v>2979</v>
      </c>
      <c r="B320" t="s">
        <v>74</v>
      </c>
      <c r="C320" t="str">
        <f>_xlfn.XLOOKUP(Table7[[#This Row],[app_id]],Table5[app_id],Table5[app_name],"",0)</f>
        <v>CartMate</v>
      </c>
      <c r="D320" t="s">
        <v>940</v>
      </c>
      <c r="E320" s="1">
        <v>45745</v>
      </c>
      <c r="F320">
        <v>3</v>
      </c>
      <c r="G320" t="s">
        <v>2748</v>
      </c>
      <c r="H320" t="s">
        <v>2554</v>
      </c>
      <c r="I320" t="s">
        <v>2555</v>
      </c>
      <c r="J320" t="s">
        <v>2559</v>
      </c>
      <c r="K320">
        <v>25</v>
      </c>
      <c r="L320" s="13" t="s">
        <v>258</v>
      </c>
    </row>
    <row r="321" spans="1:12" x14ac:dyDescent="0.25">
      <c r="A321" t="s">
        <v>2980</v>
      </c>
      <c r="B321" t="s">
        <v>76</v>
      </c>
      <c r="C321" t="str">
        <f>_xlfn.XLOOKUP(Table7[[#This Row],[app_id]],Table5[app_id],Table5[app_name],"",0)</f>
        <v>BazaarOne</v>
      </c>
      <c r="D321" t="s">
        <v>2443</v>
      </c>
      <c r="E321" s="1">
        <v>45994</v>
      </c>
      <c r="F321">
        <v>3</v>
      </c>
      <c r="G321" t="s">
        <v>2609</v>
      </c>
      <c r="H321" t="s">
        <v>2554</v>
      </c>
      <c r="I321" t="s">
        <v>2584</v>
      </c>
      <c r="J321" t="s">
        <v>2633</v>
      </c>
      <c r="K321">
        <v>44</v>
      </c>
      <c r="L321" s="13" t="s">
        <v>257</v>
      </c>
    </row>
    <row r="322" spans="1:12" x14ac:dyDescent="0.25">
      <c r="A322" t="s">
        <v>2981</v>
      </c>
      <c r="B322" t="s">
        <v>78</v>
      </c>
      <c r="C322" t="str">
        <f>_xlfn.XLOOKUP(Table7[[#This Row],[app_id]],Table5[app_id],Table5[app_name],"",0)</f>
        <v>StyleOne</v>
      </c>
      <c r="D322" t="s">
        <v>1393</v>
      </c>
      <c r="E322" s="1">
        <v>45962</v>
      </c>
      <c r="F322">
        <v>3</v>
      </c>
      <c r="G322" t="s">
        <v>2594</v>
      </c>
      <c r="H322" t="s">
        <v>2554</v>
      </c>
      <c r="I322" t="s">
        <v>2555</v>
      </c>
      <c r="J322" t="s">
        <v>2559</v>
      </c>
      <c r="K322">
        <v>22</v>
      </c>
      <c r="L322" s="13" t="s">
        <v>257</v>
      </c>
    </row>
    <row r="323" spans="1:12" x14ac:dyDescent="0.25">
      <c r="A323" t="s">
        <v>2982</v>
      </c>
      <c r="B323" t="s">
        <v>80</v>
      </c>
      <c r="C323" t="str">
        <f>_xlfn.XLOOKUP(Table7[[#This Row],[app_id]],Table5[app_id],Table5[app_name],"",0)</f>
        <v>Cartly</v>
      </c>
      <c r="D323" t="s">
        <v>1576</v>
      </c>
      <c r="E323" s="1">
        <v>45978</v>
      </c>
      <c r="F323">
        <v>4</v>
      </c>
      <c r="G323" t="s">
        <v>2590</v>
      </c>
      <c r="H323" t="s">
        <v>2564</v>
      </c>
      <c r="I323" t="s">
        <v>2571</v>
      </c>
      <c r="J323" t="s">
        <v>2569</v>
      </c>
      <c r="K323">
        <v>6</v>
      </c>
      <c r="L323" s="13" t="s">
        <v>258</v>
      </c>
    </row>
    <row r="324" spans="1:12" x14ac:dyDescent="0.25">
      <c r="A324" t="s">
        <v>2983</v>
      </c>
      <c r="B324" t="s">
        <v>83</v>
      </c>
      <c r="C324" t="str">
        <f>_xlfn.XLOOKUP(Table7[[#This Row],[app_id]],Table5[app_id],Table5[app_name],"",0)</f>
        <v>BazaarCloud</v>
      </c>
      <c r="D324" t="s">
        <v>1170</v>
      </c>
      <c r="E324" s="1">
        <v>46011</v>
      </c>
      <c r="F324">
        <v>3</v>
      </c>
      <c r="G324" t="s">
        <v>2594</v>
      </c>
      <c r="H324" t="s">
        <v>2554</v>
      </c>
      <c r="I324" t="s">
        <v>2588</v>
      </c>
      <c r="J324" t="s">
        <v>2633</v>
      </c>
      <c r="K324">
        <v>16</v>
      </c>
      <c r="L324" s="13" t="s">
        <v>257</v>
      </c>
    </row>
    <row r="325" spans="1:12" x14ac:dyDescent="0.25">
      <c r="A325" t="s">
        <v>2984</v>
      </c>
      <c r="B325" t="s">
        <v>85</v>
      </c>
      <c r="C325" t="str">
        <f>_xlfn.XLOOKUP(Table7[[#This Row],[app_id]],Table5[app_id],Table5[app_name],"",0)</f>
        <v>CartPro</v>
      </c>
      <c r="D325" t="s">
        <v>1331</v>
      </c>
      <c r="E325" s="1">
        <v>45975</v>
      </c>
      <c r="F325">
        <v>4</v>
      </c>
      <c r="G325" t="s">
        <v>2598</v>
      </c>
      <c r="H325" t="s">
        <v>2564</v>
      </c>
      <c r="I325" t="s">
        <v>2575</v>
      </c>
      <c r="J325" t="s">
        <v>2633</v>
      </c>
      <c r="K325">
        <v>33</v>
      </c>
      <c r="L325" s="13" t="s">
        <v>257</v>
      </c>
    </row>
    <row r="326" spans="1:12" x14ac:dyDescent="0.25">
      <c r="A326" t="s">
        <v>2985</v>
      </c>
      <c r="B326" t="s">
        <v>87</v>
      </c>
      <c r="C326" t="str">
        <f>_xlfn.XLOOKUP(Table7[[#This Row],[app_id]],Table5[app_id],Table5[app_name],"",0)</f>
        <v>RunPlus</v>
      </c>
      <c r="D326" t="s">
        <v>1394</v>
      </c>
      <c r="E326" s="1">
        <v>45662</v>
      </c>
      <c r="F326">
        <v>4</v>
      </c>
      <c r="G326" t="s">
        <v>2617</v>
      </c>
      <c r="H326" t="s">
        <v>2564</v>
      </c>
      <c r="I326" t="s">
        <v>2571</v>
      </c>
      <c r="J326" t="s">
        <v>2556</v>
      </c>
      <c r="K326">
        <v>35</v>
      </c>
      <c r="L326" s="13" t="s">
        <v>257</v>
      </c>
    </row>
    <row r="327" spans="1:12" x14ac:dyDescent="0.25">
      <c r="A327" t="s">
        <v>2986</v>
      </c>
      <c r="B327" t="s">
        <v>90</v>
      </c>
      <c r="C327" t="str">
        <f>_xlfn.XLOOKUP(Table7[[#This Row],[app_id]],Table5[app_id],Table5[app_name],"",0)</f>
        <v>TrainCloud</v>
      </c>
      <c r="D327" t="s">
        <v>710</v>
      </c>
      <c r="E327" s="1">
        <v>46010</v>
      </c>
      <c r="F327">
        <v>4</v>
      </c>
      <c r="G327" t="s">
        <v>2617</v>
      </c>
      <c r="H327" t="s">
        <v>2564</v>
      </c>
      <c r="I327" t="s">
        <v>2565</v>
      </c>
      <c r="J327" t="s">
        <v>2633</v>
      </c>
      <c r="K327">
        <v>15</v>
      </c>
      <c r="L327" s="13" t="s">
        <v>257</v>
      </c>
    </row>
    <row r="328" spans="1:12" x14ac:dyDescent="0.25">
      <c r="A328" t="s">
        <v>2987</v>
      </c>
      <c r="B328" t="s">
        <v>92</v>
      </c>
      <c r="C328" t="str">
        <f>_xlfn.XLOOKUP(Table7[[#This Row],[app_id]],Table5[app_id],Table5[app_name],"",0)</f>
        <v>Trainly</v>
      </c>
      <c r="D328" t="s">
        <v>1100</v>
      </c>
      <c r="E328" s="1">
        <v>45740</v>
      </c>
      <c r="F328">
        <v>4</v>
      </c>
      <c r="G328" t="s">
        <v>2613</v>
      </c>
      <c r="H328" t="s">
        <v>2564</v>
      </c>
      <c r="I328" t="s">
        <v>2558</v>
      </c>
      <c r="J328" t="s">
        <v>2600</v>
      </c>
      <c r="K328">
        <v>46</v>
      </c>
      <c r="L328" s="13" t="s">
        <v>257</v>
      </c>
    </row>
    <row r="329" spans="1:12" x14ac:dyDescent="0.25">
      <c r="A329" t="s">
        <v>2988</v>
      </c>
      <c r="B329" t="s">
        <v>94</v>
      </c>
      <c r="C329" t="str">
        <f>_xlfn.XLOOKUP(Table7[[#This Row],[app_id]],Table5[app_id],Table5[app_name],"",0)</f>
        <v>LiftCloud</v>
      </c>
      <c r="D329" t="s">
        <v>1941</v>
      </c>
      <c r="E329" s="1">
        <v>46129</v>
      </c>
      <c r="F329">
        <v>4</v>
      </c>
      <c r="G329" t="s">
        <v>2625</v>
      </c>
      <c r="H329" t="s">
        <v>2564</v>
      </c>
      <c r="I329" t="s">
        <v>2565</v>
      </c>
      <c r="J329" t="s">
        <v>2556</v>
      </c>
      <c r="K329">
        <v>43</v>
      </c>
      <c r="L329" s="13" t="s">
        <v>257</v>
      </c>
    </row>
    <row r="330" spans="1:12" x14ac:dyDescent="0.25">
      <c r="A330" t="s">
        <v>2989</v>
      </c>
      <c r="B330" t="s">
        <v>96</v>
      </c>
      <c r="C330" t="str">
        <f>_xlfn.XLOOKUP(Table7[[#This Row],[app_id]],Table5[app_id],Table5[app_name],"",0)</f>
        <v>MoveNow</v>
      </c>
      <c r="D330" t="s">
        <v>1869</v>
      </c>
      <c r="E330" s="1">
        <v>46055</v>
      </c>
      <c r="F330">
        <v>3</v>
      </c>
      <c r="G330" t="s">
        <v>2770</v>
      </c>
      <c r="H330" t="s">
        <v>2554</v>
      </c>
      <c r="I330" t="s">
        <v>2588</v>
      </c>
      <c r="J330" t="s">
        <v>2596</v>
      </c>
      <c r="K330">
        <v>45</v>
      </c>
      <c r="L330" s="13" t="s">
        <v>258</v>
      </c>
    </row>
    <row r="331" spans="1:12" x14ac:dyDescent="0.25">
      <c r="A331" t="s">
        <v>2990</v>
      </c>
      <c r="B331" t="s">
        <v>98</v>
      </c>
      <c r="C331" t="str">
        <f>_xlfn.XLOOKUP(Table7[[#This Row],[app_id]],Table5[app_id],Table5[app_name],"",0)</f>
        <v>ActiveMate</v>
      </c>
      <c r="D331" t="s">
        <v>1110</v>
      </c>
      <c r="E331" s="1">
        <v>46027</v>
      </c>
      <c r="F331">
        <v>3</v>
      </c>
      <c r="G331" t="s">
        <v>2615</v>
      </c>
      <c r="H331" t="s">
        <v>2554</v>
      </c>
      <c r="I331" t="s">
        <v>2565</v>
      </c>
      <c r="J331" t="s">
        <v>2559</v>
      </c>
      <c r="K331">
        <v>12</v>
      </c>
      <c r="L331" s="13" t="s">
        <v>258</v>
      </c>
    </row>
    <row r="332" spans="1:12" x14ac:dyDescent="0.25">
      <c r="A332" t="s">
        <v>2991</v>
      </c>
      <c r="B332" t="s">
        <v>100</v>
      </c>
      <c r="C332" t="str">
        <f>_xlfn.XLOOKUP(Table7[[#This Row],[app_id]],Table5[app_id],Table5[app_name],"",0)</f>
        <v>RunGo</v>
      </c>
      <c r="D332" t="s">
        <v>2443</v>
      </c>
      <c r="E332" s="1">
        <v>45882</v>
      </c>
      <c r="F332">
        <v>2</v>
      </c>
      <c r="G332" t="s">
        <v>2992</v>
      </c>
      <c r="H332" t="s">
        <v>2587</v>
      </c>
      <c r="I332" t="s">
        <v>2584</v>
      </c>
      <c r="J332" t="s">
        <v>2596</v>
      </c>
      <c r="K332">
        <v>83</v>
      </c>
      <c r="L332" s="13" t="s">
        <v>257</v>
      </c>
    </row>
    <row r="333" spans="1:12" x14ac:dyDescent="0.25">
      <c r="A333" t="s">
        <v>2993</v>
      </c>
      <c r="B333" t="s">
        <v>102</v>
      </c>
      <c r="C333" t="str">
        <f>_xlfn.XLOOKUP(Table7[[#This Row],[app_id]],Table5[app_id],Table5[app_name],"",0)</f>
        <v>LiftPro</v>
      </c>
      <c r="D333" t="s">
        <v>776</v>
      </c>
      <c r="E333" s="1">
        <v>45525</v>
      </c>
      <c r="F333">
        <v>5</v>
      </c>
      <c r="G333" t="s">
        <v>2622</v>
      </c>
      <c r="H333" t="s">
        <v>2564</v>
      </c>
      <c r="I333" t="s">
        <v>2565</v>
      </c>
      <c r="J333" t="s">
        <v>2603</v>
      </c>
      <c r="K333">
        <v>47</v>
      </c>
      <c r="L333" s="13" t="s">
        <v>257</v>
      </c>
    </row>
    <row r="334" spans="1:12" x14ac:dyDescent="0.25">
      <c r="A334" t="s">
        <v>2994</v>
      </c>
      <c r="B334" t="s">
        <v>104</v>
      </c>
      <c r="C334" t="str">
        <f>_xlfn.XLOOKUP(Table7[[#This Row],[app_id]],Table5[app_id],Table5[app_name],"",0)</f>
        <v>LiftPro</v>
      </c>
      <c r="D334" t="s">
        <v>1358</v>
      </c>
      <c r="E334" s="1">
        <v>46134</v>
      </c>
      <c r="F334">
        <v>3</v>
      </c>
      <c r="G334" t="s">
        <v>2615</v>
      </c>
      <c r="H334" t="s">
        <v>2554</v>
      </c>
      <c r="I334" t="s">
        <v>2565</v>
      </c>
      <c r="J334" t="s">
        <v>2581</v>
      </c>
      <c r="K334">
        <v>7</v>
      </c>
      <c r="L334" s="13" t="s">
        <v>257</v>
      </c>
    </row>
    <row r="335" spans="1:12" x14ac:dyDescent="0.25">
      <c r="A335" t="s">
        <v>2995</v>
      </c>
      <c r="B335" t="s">
        <v>105</v>
      </c>
      <c r="C335" t="str">
        <f>_xlfn.XLOOKUP(Table7[[#This Row],[app_id]],Table5[app_id],Table5[app_name],"",0)</f>
        <v>Liftly</v>
      </c>
      <c r="D335" t="s">
        <v>604</v>
      </c>
      <c r="E335" s="1">
        <v>45900</v>
      </c>
      <c r="F335">
        <v>3</v>
      </c>
      <c r="G335" t="s">
        <v>2620</v>
      </c>
      <c r="H335" t="s">
        <v>2554</v>
      </c>
      <c r="I335" t="s">
        <v>2575</v>
      </c>
      <c r="J335" t="s">
        <v>2596</v>
      </c>
      <c r="K335">
        <v>10</v>
      </c>
      <c r="L335" s="13" t="s">
        <v>257</v>
      </c>
    </row>
    <row r="336" spans="1:12" x14ac:dyDescent="0.25">
      <c r="A336" t="s">
        <v>2996</v>
      </c>
      <c r="B336" t="s">
        <v>107</v>
      </c>
      <c r="C336" t="str">
        <f>_xlfn.XLOOKUP(Table7[[#This Row],[app_id]],Table5[app_id],Table5[app_name],"",0)</f>
        <v>YogaHub</v>
      </c>
      <c r="D336" t="s">
        <v>1565</v>
      </c>
      <c r="E336" s="1">
        <v>45595</v>
      </c>
      <c r="F336">
        <v>3</v>
      </c>
      <c r="G336" t="s">
        <v>2611</v>
      </c>
      <c r="H336" t="s">
        <v>2554</v>
      </c>
      <c r="I336" t="s">
        <v>2565</v>
      </c>
      <c r="J336" t="s">
        <v>2566</v>
      </c>
      <c r="K336">
        <v>7</v>
      </c>
      <c r="L336" s="13" t="s">
        <v>257</v>
      </c>
    </row>
    <row r="337" spans="1:12" x14ac:dyDescent="0.25">
      <c r="A337" t="s">
        <v>2997</v>
      </c>
      <c r="B337" t="s">
        <v>109</v>
      </c>
      <c r="C337" t="str">
        <f>_xlfn.XLOOKUP(Table7[[#This Row],[app_id]],Table5[app_id],Table5[app_name],"",0)</f>
        <v>MoveGo</v>
      </c>
      <c r="D337" t="s">
        <v>1992</v>
      </c>
      <c r="E337" s="1">
        <v>46113</v>
      </c>
      <c r="F337">
        <v>3</v>
      </c>
      <c r="G337" t="s">
        <v>2611</v>
      </c>
      <c r="H337" t="s">
        <v>2554</v>
      </c>
      <c r="I337" t="s">
        <v>2555</v>
      </c>
      <c r="J337" t="s">
        <v>2581</v>
      </c>
      <c r="K337">
        <v>26</v>
      </c>
      <c r="L337" s="13" t="s">
        <v>257</v>
      </c>
    </row>
    <row r="338" spans="1:12" x14ac:dyDescent="0.25">
      <c r="A338" t="s">
        <v>2998</v>
      </c>
      <c r="B338" t="s">
        <v>111</v>
      </c>
      <c r="C338" t="str">
        <f>_xlfn.XLOOKUP(Table7[[#This Row],[app_id]],Table5[app_id],Table5[app_name],"",0)</f>
        <v>BrightNow</v>
      </c>
      <c r="D338" t="s">
        <v>1057</v>
      </c>
      <c r="E338" s="1">
        <v>45646</v>
      </c>
      <c r="F338">
        <v>4</v>
      </c>
      <c r="G338" t="s">
        <v>2638</v>
      </c>
      <c r="H338" t="s">
        <v>2564</v>
      </c>
      <c r="I338" t="s">
        <v>2565</v>
      </c>
      <c r="J338" t="s">
        <v>2633</v>
      </c>
      <c r="K338">
        <v>4</v>
      </c>
      <c r="L338" s="13" t="s">
        <v>257</v>
      </c>
    </row>
    <row r="339" spans="1:12" x14ac:dyDescent="0.25">
      <c r="A339" t="s">
        <v>2999</v>
      </c>
      <c r="B339" t="s">
        <v>114</v>
      </c>
      <c r="C339" t="str">
        <f>_xlfn.XLOOKUP(Table7[[#This Row],[app_id]],Table5[app_id],Table5[app_name],"",0)</f>
        <v>StudyCloud</v>
      </c>
      <c r="D339" t="s">
        <v>682</v>
      </c>
      <c r="E339" s="1">
        <v>45834</v>
      </c>
      <c r="F339">
        <v>3</v>
      </c>
      <c r="G339" t="s">
        <v>2778</v>
      </c>
      <c r="H339" t="s">
        <v>2554</v>
      </c>
      <c r="I339" t="s">
        <v>2588</v>
      </c>
      <c r="J339" t="s">
        <v>2559</v>
      </c>
      <c r="K339">
        <v>34</v>
      </c>
      <c r="L339" s="13" t="s">
        <v>258</v>
      </c>
    </row>
    <row r="340" spans="1:12" x14ac:dyDescent="0.25">
      <c r="A340" t="s">
        <v>3000</v>
      </c>
      <c r="B340" t="s">
        <v>116</v>
      </c>
      <c r="C340" t="str">
        <f>_xlfn.XLOOKUP(Table7[[#This Row],[app_id]],Table5[app_id],Table5[app_name],"",0)</f>
        <v>SkillNow</v>
      </c>
      <c r="D340" t="s">
        <v>1493</v>
      </c>
      <c r="E340" s="1">
        <v>45643</v>
      </c>
      <c r="F340">
        <v>3</v>
      </c>
      <c r="G340" t="s">
        <v>2773</v>
      </c>
      <c r="H340" t="s">
        <v>2554</v>
      </c>
      <c r="I340" t="s">
        <v>2584</v>
      </c>
      <c r="J340" t="s">
        <v>2596</v>
      </c>
      <c r="K340">
        <v>33</v>
      </c>
      <c r="L340" s="13" t="s">
        <v>258</v>
      </c>
    </row>
    <row r="341" spans="1:12" x14ac:dyDescent="0.25">
      <c r="A341" t="s">
        <v>3001</v>
      </c>
      <c r="B341" t="s">
        <v>118</v>
      </c>
      <c r="C341" t="str">
        <f>_xlfn.XLOOKUP(Table7[[#This Row],[app_id]],Table5[app_id],Table5[app_name],"",0)</f>
        <v>LearnMate</v>
      </c>
      <c r="D341" t="s">
        <v>1403</v>
      </c>
      <c r="E341" s="1">
        <v>45924</v>
      </c>
      <c r="F341">
        <v>4</v>
      </c>
      <c r="G341" t="s">
        <v>2638</v>
      </c>
      <c r="H341" t="s">
        <v>2564</v>
      </c>
      <c r="I341" t="s">
        <v>2571</v>
      </c>
      <c r="J341" t="s">
        <v>2596</v>
      </c>
      <c r="K341">
        <v>22</v>
      </c>
      <c r="L341" s="13" t="s">
        <v>258</v>
      </c>
    </row>
    <row r="342" spans="1:12" x14ac:dyDescent="0.25">
      <c r="A342" t="s">
        <v>3002</v>
      </c>
      <c r="B342" t="s">
        <v>120</v>
      </c>
      <c r="C342" t="str">
        <f>_xlfn.XLOOKUP(Table7[[#This Row],[app_id]],Table5[app_id],Table5[app_name],"",0)</f>
        <v>QuestNow</v>
      </c>
      <c r="D342" t="s">
        <v>821</v>
      </c>
      <c r="E342" s="1">
        <v>45947</v>
      </c>
      <c r="F342">
        <v>4</v>
      </c>
      <c r="G342" t="s">
        <v>2638</v>
      </c>
      <c r="H342" t="s">
        <v>2564</v>
      </c>
      <c r="I342" t="s">
        <v>2565</v>
      </c>
      <c r="J342" t="s">
        <v>2603</v>
      </c>
      <c r="K342">
        <v>9</v>
      </c>
      <c r="L342" s="13" t="s">
        <v>257</v>
      </c>
    </row>
    <row r="343" spans="1:12" x14ac:dyDescent="0.25">
      <c r="A343" t="s">
        <v>3003</v>
      </c>
      <c r="B343" t="s">
        <v>122</v>
      </c>
      <c r="C343" t="str">
        <f>_xlfn.XLOOKUP(Table7[[#This Row],[app_id]],Table5[app_id],Table5[app_name],"",0)</f>
        <v>SkillHub</v>
      </c>
      <c r="D343" t="s">
        <v>2482</v>
      </c>
      <c r="E343" s="1">
        <v>45513</v>
      </c>
      <c r="F343">
        <v>4</v>
      </c>
      <c r="G343" t="s">
        <v>2780</v>
      </c>
      <c r="H343" t="s">
        <v>2564</v>
      </c>
      <c r="I343" t="s">
        <v>2565</v>
      </c>
      <c r="J343" t="s">
        <v>2581</v>
      </c>
      <c r="K343">
        <v>18</v>
      </c>
      <c r="L343" s="13" t="s">
        <v>257</v>
      </c>
    </row>
    <row r="344" spans="1:12" x14ac:dyDescent="0.25">
      <c r="A344" t="s">
        <v>3004</v>
      </c>
      <c r="B344" t="s">
        <v>124</v>
      </c>
      <c r="C344" t="str">
        <f>_xlfn.XLOOKUP(Table7[[#This Row],[app_id]],Table5[app_id],Table5[app_name],"",0)</f>
        <v>TutorCloud</v>
      </c>
      <c r="D344" t="s">
        <v>1907</v>
      </c>
      <c r="E344" s="1">
        <v>45849</v>
      </c>
      <c r="F344">
        <v>3</v>
      </c>
      <c r="G344" t="s">
        <v>2646</v>
      </c>
      <c r="H344" t="s">
        <v>2554</v>
      </c>
      <c r="I344" t="s">
        <v>2584</v>
      </c>
      <c r="J344" t="s">
        <v>2603</v>
      </c>
      <c r="K344">
        <v>1</v>
      </c>
      <c r="L344" s="13" t="s">
        <v>257</v>
      </c>
    </row>
    <row r="345" spans="1:12" x14ac:dyDescent="0.25">
      <c r="A345" t="s">
        <v>3005</v>
      </c>
      <c r="B345" t="s">
        <v>126</v>
      </c>
      <c r="C345" t="str">
        <f>_xlfn.XLOOKUP(Table7[[#This Row],[app_id]],Table5[app_id],Table5[app_name],"",0)</f>
        <v>SkillOne</v>
      </c>
      <c r="D345" t="s">
        <v>2479</v>
      </c>
      <c r="E345" s="1">
        <v>45874</v>
      </c>
      <c r="F345">
        <v>2</v>
      </c>
      <c r="G345" t="s">
        <v>2644</v>
      </c>
      <c r="H345" t="s">
        <v>2587</v>
      </c>
      <c r="I345" t="s">
        <v>2578</v>
      </c>
      <c r="J345" t="s">
        <v>2596</v>
      </c>
      <c r="K345">
        <v>70</v>
      </c>
      <c r="L345" s="13" t="s">
        <v>258</v>
      </c>
    </row>
    <row r="346" spans="1:12" x14ac:dyDescent="0.25">
      <c r="A346" t="s">
        <v>3006</v>
      </c>
      <c r="B346" t="s">
        <v>128</v>
      </c>
      <c r="C346" t="str">
        <f>_xlfn.XLOOKUP(Table7[[#This Row],[app_id]],Table5[app_id],Table5[app_name],"",0)</f>
        <v>LearnOne</v>
      </c>
      <c r="D346" t="s">
        <v>1157</v>
      </c>
      <c r="E346" s="1">
        <v>45750</v>
      </c>
      <c r="F346">
        <v>4</v>
      </c>
      <c r="G346" t="s">
        <v>2640</v>
      </c>
      <c r="H346" t="s">
        <v>2564</v>
      </c>
      <c r="I346" t="s">
        <v>2565</v>
      </c>
      <c r="J346" t="s">
        <v>2561</v>
      </c>
      <c r="K346">
        <v>30</v>
      </c>
      <c r="L346" s="13" t="s">
        <v>257</v>
      </c>
    </row>
    <row r="347" spans="1:12" x14ac:dyDescent="0.25">
      <c r="A347" t="s">
        <v>3007</v>
      </c>
      <c r="B347" t="s">
        <v>130</v>
      </c>
      <c r="C347" t="str">
        <f>_xlfn.XLOOKUP(Table7[[#This Row],[app_id]],Table5[app_id],Table5[app_name],"",0)</f>
        <v>LearnPlus</v>
      </c>
      <c r="D347" t="s">
        <v>804</v>
      </c>
      <c r="E347" s="1">
        <v>45805</v>
      </c>
      <c r="F347">
        <v>3</v>
      </c>
      <c r="G347" t="s">
        <v>2646</v>
      </c>
      <c r="H347" t="s">
        <v>2554</v>
      </c>
      <c r="I347" t="s">
        <v>2555</v>
      </c>
      <c r="J347" t="s">
        <v>2559</v>
      </c>
      <c r="K347">
        <v>7</v>
      </c>
      <c r="L347" s="13" t="s">
        <v>257</v>
      </c>
    </row>
    <row r="348" spans="1:12" x14ac:dyDescent="0.25">
      <c r="A348" t="s">
        <v>3008</v>
      </c>
      <c r="B348" t="s">
        <v>132</v>
      </c>
      <c r="C348" t="str">
        <f>_xlfn.XLOOKUP(Table7[[#This Row],[app_id]],Table5[app_id],Table5[app_name],"",0)</f>
        <v>StudyPlus</v>
      </c>
      <c r="D348" t="s">
        <v>1144</v>
      </c>
      <c r="E348" s="1">
        <v>45940</v>
      </c>
      <c r="F348">
        <v>4</v>
      </c>
      <c r="G348" t="s">
        <v>2635</v>
      </c>
      <c r="H348" t="s">
        <v>2564</v>
      </c>
      <c r="I348" t="s">
        <v>2575</v>
      </c>
      <c r="J348" t="s">
        <v>2600</v>
      </c>
      <c r="K348">
        <v>18</v>
      </c>
      <c r="L348" s="13" t="s">
        <v>257</v>
      </c>
    </row>
    <row r="349" spans="1:12" x14ac:dyDescent="0.25">
      <c r="A349" t="s">
        <v>3009</v>
      </c>
      <c r="B349" t="s">
        <v>134</v>
      </c>
      <c r="C349" t="str">
        <f>_xlfn.XLOOKUP(Table7[[#This Row],[app_id]],Table5[app_id],Table5[app_name],"",0)</f>
        <v>StudyX</v>
      </c>
      <c r="D349" t="s">
        <v>2346</v>
      </c>
      <c r="E349" s="1">
        <v>45507</v>
      </c>
      <c r="F349">
        <v>5</v>
      </c>
      <c r="G349" t="s">
        <v>2780</v>
      </c>
      <c r="H349" t="s">
        <v>2564</v>
      </c>
      <c r="I349" t="s">
        <v>2575</v>
      </c>
      <c r="J349" t="s">
        <v>2559</v>
      </c>
      <c r="K349">
        <v>28</v>
      </c>
      <c r="L349" s="13" t="s">
        <v>257</v>
      </c>
    </row>
    <row r="350" spans="1:12" x14ac:dyDescent="0.25">
      <c r="A350" t="s">
        <v>3010</v>
      </c>
      <c r="B350" t="s">
        <v>136</v>
      </c>
      <c r="C350" t="str">
        <f>_xlfn.XLOOKUP(Table7[[#This Row],[app_id]],Table5[app_id],Table5[app_name],"",0)</f>
        <v>PlayPlus</v>
      </c>
      <c r="D350" t="s">
        <v>1231</v>
      </c>
      <c r="E350" s="1">
        <v>45374</v>
      </c>
      <c r="F350">
        <v>3</v>
      </c>
      <c r="G350" t="s">
        <v>2655</v>
      </c>
      <c r="H350" t="s">
        <v>2554</v>
      </c>
      <c r="I350" t="s">
        <v>2558</v>
      </c>
      <c r="J350" t="s">
        <v>2603</v>
      </c>
      <c r="K350">
        <v>12</v>
      </c>
      <c r="L350" s="13" t="s">
        <v>257</v>
      </c>
    </row>
    <row r="351" spans="1:12" x14ac:dyDescent="0.25">
      <c r="A351" t="s">
        <v>3011</v>
      </c>
      <c r="B351" t="s">
        <v>139</v>
      </c>
      <c r="C351" t="str">
        <f>_xlfn.XLOOKUP(Table7[[#This Row],[app_id]],Table5[app_id],Table5[app_name],"",0)</f>
        <v>ShowMate</v>
      </c>
      <c r="D351" t="s">
        <v>2100</v>
      </c>
      <c r="E351" s="1">
        <v>45360</v>
      </c>
      <c r="F351">
        <v>4</v>
      </c>
      <c r="G351" t="s">
        <v>2650</v>
      </c>
      <c r="H351" t="s">
        <v>2564</v>
      </c>
      <c r="I351" t="s">
        <v>2571</v>
      </c>
      <c r="J351" t="s">
        <v>2603</v>
      </c>
      <c r="K351">
        <v>4</v>
      </c>
      <c r="L351" s="13" t="s">
        <v>257</v>
      </c>
    </row>
    <row r="352" spans="1:12" x14ac:dyDescent="0.25">
      <c r="A352" t="s">
        <v>3012</v>
      </c>
      <c r="B352" t="s">
        <v>141</v>
      </c>
      <c r="C352" t="str">
        <f>_xlfn.XLOOKUP(Table7[[#This Row],[app_id]],Table5[app_id],Table5[app_name],"",0)</f>
        <v>VibeX</v>
      </c>
      <c r="D352" t="s">
        <v>2198</v>
      </c>
      <c r="E352" s="1">
        <v>45553</v>
      </c>
      <c r="F352">
        <v>3</v>
      </c>
      <c r="G352" t="s">
        <v>2655</v>
      </c>
      <c r="H352" t="s">
        <v>2554</v>
      </c>
      <c r="I352" t="s">
        <v>2571</v>
      </c>
      <c r="J352" t="s">
        <v>2559</v>
      </c>
      <c r="K352">
        <v>35</v>
      </c>
      <c r="L352" s="13" t="s">
        <v>257</v>
      </c>
    </row>
    <row r="353" spans="1:12" x14ac:dyDescent="0.25">
      <c r="A353" t="s">
        <v>3013</v>
      </c>
      <c r="B353" t="s">
        <v>143</v>
      </c>
      <c r="C353" t="str">
        <f>_xlfn.XLOOKUP(Table7[[#This Row],[app_id]],Table5[app_id],Table5[app_name],"",0)</f>
        <v>BuzzNow</v>
      </c>
      <c r="D353" t="s">
        <v>1788</v>
      </c>
      <c r="E353" s="1">
        <v>45553</v>
      </c>
      <c r="F353">
        <v>5</v>
      </c>
      <c r="G353" t="s">
        <v>2650</v>
      </c>
      <c r="H353" t="s">
        <v>2564</v>
      </c>
      <c r="I353" t="s">
        <v>2565</v>
      </c>
      <c r="J353" t="s">
        <v>2566</v>
      </c>
      <c r="K353">
        <v>24</v>
      </c>
      <c r="L353" s="13" t="s">
        <v>257</v>
      </c>
    </row>
    <row r="354" spans="1:12" x14ac:dyDescent="0.25">
      <c r="A354" t="s">
        <v>3014</v>
      </c>
      <c r="B354" t="s">
        <v>145</v>
      </c>
      <c r="C354" t="str">
        <f>_xlfn.XLOOKUP(Table7[[#This Row],[app_id]],Table5[app_id],Table5[app_name],"",0)</f>
        <v>StreamPlus</v>
      </c>
      <c r="D354" t="s">
        <v>864</v>
      </c>
      <c r="E354" s="1">
        <v>45897</v>
      </c>
      <c r="F354">
        <v>4</v>
      </c>
      <c r="G354" t="s">
        <v>2650</v>
      </c>
      <c r="H354" t="s">
        <v>2564</v>
      </c>
      <c r="I354" t="s">
        <v>2555</v>
      </c>
      <c r="J354" t="s">
        <v>2559</v>
      </c>
      <c r="K354">
        <v>29</v>
      </c>
      <c r="L354" s="13" t="s">
        <v>257</v>
      </c>
    </row>
    <row r="355" spans="1:12" x14ac:dyDescent="0.25">
      <c r="A355" t="s">
        <v>3015</v>
      </c>
      <c r="B355" t="s">
        <v>147</v>
      </c>
      <c r="C355" t="str">
        <f>_xlfn.XLOOKUP(Table7[[#This Row],[app_id]],Table5[app_id],Table5[app_name],"",0)</f>
        <v>Showly</v>
      </c>
      <c r="D355" t="s">
        <v>2483</v>
      </c>
      <c r="E355" s="1">
        <v>45710</v>
      </c>
      <c r="F355">
        <v>3</v>
      </c>
      <c r="G355" t="s">
        <v>2655</v>
      </c>
      <c r="H355" t="s">
        <v>2554</v>
      </c>
      <c r="I355" t="s">
        <v>2578</v>
      </c>
      <c r="J355" t="s">
        <v>2596</v>
      </c>
      <c r="K355">
        <v>23</v>
      </c>
      <c r="L355" s="13" t="s">
        <v>257</v>
      </c>
    </row>
    <row r="356" spans="1:12" x14ac:dyDescent="0.25">
      <c r="A356" t="s">
        <v>3016</v>
      </c>
      <c r="B356" t="s">
        <v>149</v>
      </c>
      <c r="C356" t="str">
        <f>_xlfn.XLOOKUP(Table7[[#This Row],[app_id]],Table5[app_id],Table5[app_name],"",0)</f>
        <v>BuzzOne</v>
      </c>
      <c r="D356" t="s">
        <v>718</v>
      </c>
      <c r="E356" s="1">
        <v>45930</v>
      </c>
      <c r="F356">
        <v>3</v>
      </c>
      <c r="G356" t="s">
        <v>2793</v>
      </c>
      <c r="H356" t="s">
        <v>2554</v>
      </c>
      <c r="I356" t="s">
        <v>2578</v>
      </c>
      <c r="J356" t="s">
        <v>2633</v>
      </c>
      <c r="K356">
        <v>36</v>
      </c>
      <c r="L356" s="13" t="s">
        <v>257</v>
      </c>
    </row>
    <row r="357" spans="1:12" x14ac:dyDescent="0.25">
      <c r="A357" t="s">
        <v>3017</v>
      </c>
      <c r="B357" t="s">
        <v>151</v>
      </c>
      <c r="C357" t="str">
        <f>_xlfn.XLOOKUP(Table7[[#This Row],[app_id]],Table5[app_id],Table5[app_name],"",0)</f>
        <v>PlayHub</v>
      </c>
      <c r="D357" t="s">
        <v>1241</v>
      </c>
      <c r="E357" s="1">
        <v>45370</v>
      </c>
      <c r="F357">
        <v>4</v>
      </c>
      <c r="G357" t="s">
        <v>2652</v>
      </c>
      <c r="H357" t="s">
        <v>2564</v>
      </c>
      <c r="I357" t="s">
        <v>2575</v>
      </c>
      <c r="J357" t="s">
        <v>2600</v>
      </c>
      <c r="K357">
        <v>5</v>
      </c>
      <c r="L357" s="13" t="s">
        <v>258</v>
      </c>
    </row>
    <row r="358" spans="1:12" x14ac:dyDescent="0.25">
      <c r="A358" t="s">
        <v>3018</v>
      </c>
      <c r="B358" t="s">
        <v>153</v>
      </c>
      <c r="C358" t="str">
        <f>_xlfn.XLOOKUP(Table7[[#This Row],[app_id]],Table5[app_id],Table5[app_name],"",0)</f>
        <v>CinemaGo</v>
      </c>
      <c r="D358" t="s">
        <v>2535</v>
      </c>
      <c r="E358" s="1">
        <v>45752</v>
      </c>
      <c r="F358">
        <v>4</v>
      </c>
      <c r="G358" t="s">
        <v>2652</v>
      </c>
      <c r="H358" t="s">
        <v>2564</v>
      </c>
      <c r="I358" t="s">
        <v>2558</v>
      </c>
      <c r="J358" t="s">
        <v>2600</v>
      </c>
      <c r="K358">
        <v>45</v>
      </c>
      <c r="L358" s="13" t="s">
        <v>257</v>
      </c>
    </row>
    <row r="359" spans="1:12" x14ac:dyDescent="0.25">
      <c r="A359" t="s">
        <v>3019</v>
      </c>
      <c r="B359" t="s">
        <v>155</v>
      </c>
      <c r="C359" t="str">
        <f>_xlfn.XLOOKUP(Table7[[#This Row],[app_id]],Table5[app_id],Table5[app_name],"",0)</f>
        <v>LaughX</v>
      </c>
      <c r="D359" t="s">
        <v>1719</v>
      </c>
      <c r="E359" s="1">
        <v>45317</v>
      </c>
      <c r="F359">
        <v>3</v>
      </c>
      <c r="G359" t="s">
        <v>2793</v>
      </c>
      <c r="H359" t="s">
        <v>2554</v>
      </c>
      <c r="I359" t="s">
        <v>2571</v>
      </c>
      <c r="J359" t="s">
        <v>2596</v>
      </c>
      <c r="K359">
        <v>40</v>
      </c>
      <c r="L359" s="13" t="s">
        <v>257</v>
      </c>
    </row>
    <row r="360" spans="1:12" x14ac:dyDescent="0.25">
      <c r="A360" t="s">
        <v>3020</v>
      </c>
      <c r="B360" t="s">
        <v>157</v>
      </c>
      <c r="C360" t="str">
        <f>_xlfn.XLOOKUP(Table7[[#This Row],[app_id]],Table5[app_id],Table5[app_name],"",0)</f>
        <v>CinemaHub</v>
      </c>
      <c r="D360" t="s">
        <v>1010</v>
      </c>
      <c r="E360" s="1">
        <v>45671</v>
      </c>
      <c r="F360">
        <v>4</v>
      </c>
      <c r="G360" t="s">
        <v>2650</v>
      </c>
      <c r="H360" t="s">
        <v>2564</v>
      </c>
      <c r="I360" t="s">
        <v>2555</v>
      </c>
      <c r="J360" t="s">
        <v>2596</v>
      </c>
      <c r="K360">
        <v>36</v>
      </c>
      <c r="L360" s="13" t="s">
        <v>257</v>
      </c>
    </row>
    <row r="361" spans="1:12" x14ac:dyDescent="0.25">
      <c r="A361" t="s">
        <v>3021</v>
      </c>
      <c r="B361" t="s">
        <v>159</v>
      </c>
      <c r="C361" t="str">
        <f>_xlfn.XLOOKUP(Table7[[#This Row],[app_id]],Table5[app_id],Table5[app_name],"",0)</f>
        <v>ShowPro</v>
      </c>
      <c r="D361" t="s">
        <v>802</v>
      </c>
      <c r="E361" s="1">
        <v>45502</v>
      </c>
      <c r="F361">
        <v>5</v>
      </c>
      <c r="G361" t="s">
        <v>2789</v>
      </c>
      <c r="H361" t="s">
        <v>2564</v>
      </c>
      <c r="I361" t="s">
        <v>2555</v>
      </c>
      <c r="J361" t="s">
        <v>2603</v>
      </c>
      <c r="K361">
        <v>11</v>
      </c>
      <c r="L361" s="13" t="s">
        <v>257</v>
      </c>
    </row>
    <row r="362" spans="1:12" x14ac:dyDescent="0.25">
      <c r="A362" t="s">
        <v>3022</v>
      </c>
      <c r="B362" t="s">
        <v>161</v>
      </c>
      <c r="C362" t="str">
        <f>_xlfn.XLOOKUP(Table7[[#This Row],[app_id]],Table5[app_id],Table5[app_name],"",0)</f>
        <v>FoodPlus</v>
      </c>
      <c r="D362" t="s">
        <v>1377</v>
      </c>
      <c r="E362" s="1">
        <v>45829</v>
      </c>
      <c r="F362">
        <v>4</v>
      </c>
      <c r="G362" t="s">
        <v>2806</v>
      </c>
      <c r="H362" t="s">
        <v>2564</v>
      </c>
      <c r="I362" t="s">
        <v>2575</v>
      </c>
      <c r="J362" t="s">
        <v>2603</v>
      </c>
      <c r="K362">
        <v>11</v>
      </c>
      <c r="L362" s="13" t="s">
        <v>258</v>
      </c>
    </row>
    <row r="363" spans="1:12" x14ac:dyDescent="0.25">
      <c r="A363" t="s">
        <v>3023</v>
      </c>
      <c r="B363" t="s">
        <v>164</v>
      </c>
      <c r="C363" t="str">
        <f>_xlfn.XLOOKUP(Table7[[#This Row],[app_id]],Table5[app_id],Table5[app_name],"",0)</f>
        <v>BiteGo</v>
      </c>
      <c r="D363" t="s">
        <v>1231</v>
      </c>
      <c r="E363" s="1">
        <v>45528</v>
      </c>
      <c r="F363">
        <v>3</v>
      </c>
      <c r="G363" t="s">
        <v>2668</v>
      </c>
      <c r="H363" t="s">
        <v>2554</v>
      </c>
      <c r="I363" t="s">
        <v>2565</v>
      </c>
      <c r="J363" t="s">
        <v>2566</v>
      </c>
      <c r="K363">
        <v>41</v>
      </c>
      <c r="L363" s="13" t="s">
        <v>257</v>
      </c>
    </row>
    <row r="364" spans="1:12" x14ac:dyDescent="0.25">
      <c r="A364" t="s">
        <v>3024</v>
      </c>
      <c r="B364" t="s">
        <v>166</v>
      </c>
      <c r="C364" t="str">
        <f>_xlfn.XLOOKUP(Table7[[#This Row],[app_id]],Table5[app_id],Table5[app_name],"",0)</f>
        <v>OrderCloud</v>
      </c>
      <c r="D364" t="s">
        <v>2036</v>
      </c>
      <c r="E364" s="1">
        <v>45833</v>
      </c>
      <c r="F364">
        <v>4</v>
      </c>
      <c r="G364" t="s">
        <v>2674</v>
      </c>
      <c r="H364" t="s">
        <v>2564</v>
      </c>
      <c r="I364" t="s">
        <v>2565</v>
      </c>
      <c r="J364" t="s">
        <v>2569</v>
      </c>
      <c r="K364">
        <v>40</v>
      </c>
      <c r="L364" s="13" t="s">
        <v>257</v>
      </c>
    </row>
    <row r="365" spans="1:12" x14ac:dyDescent="0.25">
      <c r="A365" t="s">
        <v>3025</v>
      </c>
      <c r="B365" t="s">
        <v>168</v>
      </c>
      <c r="C365" t="str">
        <f>_xlfn.XLOOKUP(Table7[[#This Row],[app_id]],Table5[app_id],Table5[app_name],"",0)</f>
        <v>DinePlus</v>
      </c>
      <c r="D365" t="s">
        <v>2222</v>
      </c>
      <c r="E365" s="1">
        <v>45972</v>
      </c>
      <c r="F365">
        <v>3</v>
      </c>
      <c r="G365" t="s">
        <v>2670</v>
      </c>
      <c r="H365" t="s">
        <v>2554</v>
      </c>
      <c r="I365" t="s">
        <v>2588</v>
      </c>
      <c r="J365" t="s">
        <v>2556</v>
      </c>
      <c r="K365">
        <v>46</v>
      </c>
      <c r="L365" s="13" t="s">
        <v>257</v>
      </c>
    </row>
    <row r="366" spans="1:12" x14ac:dyDescent="0.25">
      <c r="A366" t="s">
        <v>3026</v>
      </c>
      <c r="B366" t="s">
        <v>170</v>
      </c>
      <c r="C366" t="str">
        <f>_xlfn.XLOOKUP(Table7[[#This Row],[app_id]],Table5[app_id],Table5[app_name],"",0)</f>
        <v>SnackX</v>
      </c>
      <c r="D366" t="s">
        <v>1180</v>
      </c>
      <c r="E366" s="1">
        <v>46077</v>
      </c>
      <c r="F366">
        <v>5</v>
      </c>
      <c r="G366" t="s">
        <v>2676</v>
      </c>
      <c r="H366" t="s">
        <v>2564</v>
      </c>
      <c r="I366" t="s">
        <v>2555</v>
      </c>
      <c r="J366" t="s">
        <v>2581</v>
      </c>
      <c r="K366">
        <v>7</v>
      </c>
      <c r="L366" s="13" t="s">
        <v>258</v>
      </c>
    </row>
    <row r="367" spans="1:12" x14ac:dyDescent="0.25">
      <c r="A367" t="s">
        <v>3027</v>
      </c>
      <c r="B367" t="s">
        <v>172</v>
      </c>
      <c r="C367" t="str">
        <f>_xlfn.XLOOKUP(Table7[[#This Row],[app_id]],Table5[app_id],Table5[app_name],"",0)</f>
        <v>FoodOne</v>
      </c>
      <c r="D367" t="s">
        <v>2098</v>
      </c>
      <c r="E367" s="1">
        <v>45470</v>
      </c>
      <c r="F367">
        <v>4</v>
      </c>
      <c r="G367" t="s">
        <v>2806</v>
      </c>
      <c r="H367" t="s">
        <v>2564</v>
      </c>
      <c r="I367" t="s">
        <v>2555</v>
      </c>
      <c r="J367" t="s">
        <v>2581</v>
      </c>
      <c r="K367">
        <v>21</v>
      </c>
      <c r="L367" s="13" t="s">
        <v>257</v>
      </c>
    </row>
    <row r="368" spans="1:12" x14ac:dyDescent="0.25">
      <c r="A368" t="s">
        <v>3028</v>
      </c>
      <c r="B368" t="s">
        <v>174</v>
      </c>
      <c r="C368" t="str">
        <f>_xlfn.XLOOKUP(Table7[[#This Row],[app_id]],Table5[app_id],Table5[app_name],"",0)</f>
        <v>MealMate</v>
      </c>
      <c r="D368" t="s">
        <v>1416</v>
      </c>
      <c r="E368" s="1">
        <v>45679</v>
      </c>
      <c r="F368">
        <v>3</v>
      </c>
      <c r="G368" t="s">
        <v>2670</v>
      </c>
      <c r="H368" t="s">
        <v>2554</v>
      </c>
      <c r="I368" t="s">
        <v>2578</v>
      </c>
      <c r="J368" t="s">
        <v>2596</v>
      </c>
      <c r="K368">
        <v>36</v>
      </c>
      <c r="L368" s="13" t="s">
        <v>257</v>
      </c>
    </row>
    <row r="369" spans="1:12" x14ac:dyDescent="0.25">
      <c r="A369" t="s">
        <v>3029</v>
      </c>
      <c r="B369" t="s">
        <v>176</v>
      </c>
      <c r="C369" t="str">
        <f>_xlfn.XLOOKUP(Table7[[#This Row],[app_id]],Table5[app_id],Table5[app_name],"",0)</f>
        <v>SnackHub</v>
      </c>
      <c r="D369" t="s">
        <v>908</v>
      </c>
      <c r="E369" s="1">
        <v>45437</v>
      </c>
      <c r="F369">
        <v>3</v>
      </c>
      <c r="G369" t="s">
        <v>2666</v>
      </c>
      <c r="H369" t="s">
        <v>2554</v>
      </c>
      <c r="I369" t="s">
        <v>2575</v>
      </c>
      <c r="J369" t="s">
        <v>2566</v>
      </c>
      <c r="K369">
        <v>25</v>
      </c>
      <c r="L369" s="13" t="s">
        <v>257</v>
      </c>
    </row>
    <row r="370" spans="1:12" x14ac:dyDescent="0.25">
      <c r="A370" t="s">
        <v>3030</v>
      </c>
      <c r="B370" t="s">
        <v>178</v>
      </c>
      <c r="C370" t="str">
        <f>_xlfn.XLOOKUP(Table7[[#This Row],[app_id]],Table5[app_id],Table5[app_name],"",0)</f>
        <v>BiteCloud</v>
      </c>
      <c r="D370" t="s">
        <v>2391</v>
      </c>
      <c r="E370" s="1">
        <v>45501</v>
      </c>
      <c r="F370">
        <v>4</v>
      </c>
      <c r="G370" t="s">
        <v>2679</v>
      </c>
      <c r="H370" t="s">
        <v>2564</v>
      </c>
      <c r="I370" t="s">
        <v>2565</v>
      </c>
      <c r="J370" t="s">
        <v>2556</v>
      </c>
      <c r="K370">
        <v>1</v>
      </c>
      <c r="L370" s="13" t="s">
        <v>257</v>
      </c>
    </row>
    <row r="371" spans="1:12" x14ac:dyDescent="0.25">
      <c r="A371" t="s">
        <v>3031</v>
      </c>
      <c r="B371" t="s">
        <v>180</v>
      </c>
      <c r="C371" t="str">
        <f>_xlfn.XLOOKUP(Table7[[#This Row],[app_id]],Table5[app_id],Table5[app_name],"",0)</f>
        <v>PlatePlus</v>
      </c>
      <c r="D371" t="s">
        <v>1056</v>
      </c>
      <c r="E371" s="1">
        <v>45453</v>
      </c>
      <c r="F371">
        <v>5</v>
      </c>
      <c r="G371" t="s">
        <v>2676</v>
      </c>
      <c r="H371" t="s">
        <v>2564</v>
      </c>
      <c r="I371" t="s">
        <v>2558</v>
      </c>
      <c r="J371" t="s">
        <v>2581</v>
      </c>
      <c r="K371">
        <v>32</v>
      </c>
      <c r="L371" s="13" t="s">
        <v>257</v>
      </c>
    </row>
    <row r="372" spans="1:12" x14ac:dyDescent="0.25">
      <c r="A372" t="s">
        <v>3032</v>
      </c>
      <c r="B372" t="s">
        <v>182</v>
      </c>
      <c r="C372" t="str">
        <f>_xlfn.XLOOKUP(Table7[[#This Row],[app_id]],Table5[app_id],Table5[app_name],"",0)</f>
        <v>VoyageGo</v>
      </c>
      <c r="D372" t="s">
        <v>1422</v>
      </c>
      <c r="E372" s="1">
        <v>46081</v>
      </c>
      <c r="F372">
        <v>5</v>
      </c>
      <c r="G372" t="s">
        <v>2931</v>
      </c>
      <c r="H372" t="s">
        <v>2564</v>
      </c>
      <c r="I372" t="s">
        <v>2558</v>
      </c>
      <c r="J372" t="s">
        <v>2581</v>
      </c>
      <c r="K372">
        <v>46</v>
      </c>
      <c r="L372" s="13" t="s">
        <v>257</v>
      </c>
    </row>
    <row r="373" spans="1:12" x14ac:dyDescent="0.25">
      <c r="A373" t="s">
        <v>3033</v>
      </c>
      <c r="B373" t="s">
        <v>185</v>
      </c>
      <c r="C373" t="str">
        <f>_xlfn.XLOOKUP(Table7[[#This Row],[app_id]],Table5[app_id],Table5[app_name],"",0)</f>
        <v>TripOne</v>
      </c>
      <c r="D373" t="s">
        <v>1924</v>
      </c>
      <c r="E373" s="1">
        <v>45435</v>
      </c>
      <c r="F373">
        <v>3</v>
      </c>
      <c r="G373" t="s">
        <v>2697</v>
      </c>
      <c r="H373" t="s">
        <v>2554</v>
      </c>
      <c r="I373" t="s">
        <v>2578</v>
      </c>
      <c r="J373" t="s">
        <v>2603</v>
      </c>
      <c r="K373">
        <v>18</v>
      </c>
      <c r="L373" s="13" t="s">
        <v>258</v>
      </c>
    </row>
    <row r="374" spans="1:12" x14ac:dyDescent="0.25">
      <c r="A374" t="s">
        <v>3034</v>
      </c>
      <c r="B374" t="s">
        <v>187</v>
      </c>
      <c r="C374" t="str">
        <f>_xlfn.XLOOKUP(Table7[[#This Row],[app_id]],Table5[app_id],Table5[app_name],"",0)</f>
        <v>FlyGo</v>
      </c>
      <c r="D374" t="s">
        <v>2114</v>
      </c>
      <c r="E374" s="1">
        <v>45561</v>
      </c>
      <c r="F374">
        <v>4</v>
      </c>
      <c r="G374" t="s">
        <v>2683</v>
      </c>
      <c r="H374" t="s">
        <v>2564</v>
      </c>
      <c r="I374" t="s">
        <v>2558</v>
      </c>
      <c r="J374" t="s">
        <v>2569</v>
      </c>
      <c r="K374">
        <v>46</v>
      </c>
      <c r="L374" s="13" t="s">
        <v>257</v>
      </c>
    </row>
    <row r="375" spans="1:12" x14ac:dyDescent="0.25">
      <c r="A375" t="s">
        <v>3035</v>
      </c>
      <c r="B375" t="s">
        <v>189</v>
      </c>
      <c r="C375" t="str">
        <f>_xlfn.XLOOKUP(Table7[[#This Row],[app_id]],Table5[app_id],Table5[app_name],"",0)</f>
        <v>MapX</v>
      </c>
      <c r="D375" t="s">
        <v>2497</v>
      </c>
      <c r="E375" s="1">
        <v>46118</v>
      </c>
      <c r="F375">
        <v>5</v>
      </c>
      <c r="G375" t="s">
        <v>2931</v>
      </c>
      <c r="H375" t="s">
        <v>2564</v>
      </c>
      <c r="I375" t="s">
        <v>2575</v>
      </c>
      <c r="J375" t="s">
        <v>2561</v>
      </c>
      <c r="K375">
        <v>43</v>
      </c>
      <c r="L375" s="13" t="s">
        <v>258</v>
      </c>
    </row>
    <row r="376" spans="1:12" x14ac:dyDescent="0.25">
      <c r="A376" t="s">
        <v>3036</v>
      </c>
      <c r="B376" t="s">
        <v>191</v>
      </c>
      <c r="C376" t="str">
        <f>_xlfn.XLOOKUP(Table7[[#This Row],[app_id]],Table5[app_id],Table5[app_name],"",0)</f>
        <v>StayX</v>
      </c>
      <c r="D376" t="s">
        <v>987</v>
      </c>
      <c r="E376" s="1">
        <v>46116</v>
      </c>
      <c r="F376">
        <v>3</v>
      </c>
      <c r="G376" t="s">
        <v>2695</v>
      </c>
      <c r="H376" t="s">
        <v>2554</v>
      </c>
      <c r="I376" t="s">
        <v>2555</v>
      </c>
      <c r="J376" t="s">
        <v>2596</v>
      </c>
      <c r="K376">
        <v>32</v>
      </c>
      <c r="L376" s="13" t="s">
        <v>257</v>
      </c>
    </row>
    <row r="377" spans="1:12" x14ac:dyDescent="0.25">
      <c r="A377" t="s">
        <v>3037</v>
      </c>
      <c r="B377" t="s">
        <v>193</v>
      </c>
      <c r="C377" t="str">
        <f>_xlfn.XLOOKUP(Table7[[#This Row],[app_id]],Table5[app_id],Table5[app_name],"",0)</f>
        <v>GoNow</v>
      </c>
      <c r="D377" t="s">
        <v>1990</v>
      </c>
      <c r="E377" s="1">
        <v>46135</v>
      </c>
      <c r="F377">
        <v>4</v>
      </c>
      <c r="G377" t="s">
        <v>2931</v>
      </c>
      <c r="H377" t="s">
        <v>2564</v>
      </c>
      <c r="I377" t="s">
        <v>2575</v>
      </c>
      <c r="J377" t="s">
        <v>2559</v>
      </c>
      <c r="K377">
        <v>9</v>
      </c>
      <c r="L377" s="13" t="s">
        <v>258</v>
      </c>
    </row>
    <row r="378" spans="1:12" x14ac:dyDescent="0.25">
      <c r="A378" t="s">
        <v>3038</v>
      </c>
      <c r="B378" t="s">
        <v>195</v>
      </c>
      <c r="C378" t="str">
        <f>_xlfn.XLOOKUP(Table7[[#This Row],[app_id]],Table5[app_id],Table5[app_name],"",0)</f>
        <v>RouteGo</v>
      </c>
      <c r="D378" t="s">
        <v>2106</v>
      </c>
      <c r="E378" s="1">
        <v>45928</v>
      </c>
      <c r="F378">
        <v>4</v>
      </c>
      <c r="G378" t="s">
        <v>2931</v>
      </c>
      <c r="H378" t="s">
        <v>2564</v>
      </c>
      <c r="I378" t="s">
        <v>2558</v>
      </c>
      <c r="J378" t="s">
        <v>2603</v>
      </c>
      <c r="K378">
        <v>35</v>
      </c>
      <c r="L378" s="13" t="s">
        <v>257</v>
      </c>
    </row>
    <row r="379" spans="1:12" x14ac:dyDescent="0.25">
      <c r="A379" t="s">
        <v>3039</v>
      </c>
      <c r="B379" t="s">
        <v>197</v>
      </c>
      <c r="C379" t="str">
        <f>_xlfn.XLOOKUP(Table7[[#This Row],[app_id]],Table5[app_id],Table5[app_name],"",0)</f>
        <v>TripGo</v>
      </c>
      <c r="D379" t="s">
        <v>2469</v>
      </c>
      <c r="E379" s="1">
        <v>45891</v>
      </c>
      <c r="F379">
        <v>5</v>
      </c>
      <c r="G379" t="s">
        <v>2929</v>
      </c>
      <c r="H379" t="s">
        <v>2564</v>
      </c>
      <c r="I379" t="s">
        <v>2555</v>
      </c>
      <c r="J379" t="s">
        <v>2569</v>
      </c>
      <c r="K379">
        <v>29</v>
      </c>
      <c r="L379" s="13" t="s">
        <v>257</v>
      </c>
    </row>
    <row r="380" spans="1:12" x14ac:dyDescent="0.25">
      <c r="A380" t="s">
        <v>3040</v>
      </c>
      <c r="B380" t="s">
        <v>199</v>
      </c>
      <c r="C380" t="str">
        <f>_xlfn.XLOOKUP(Table7[[#This Row],[app_id]],Table5[app_id],Table5[app_name],"",0)</f>
        <v>Flyly</v>
      </c>
      <c r="D380" t="s">
        <v>1698</v>
      </c>
      <c r="E380" s="1">
        <v>45619</v>
      </c>
      <c r="F380">
        <v>4</v>
      </c>
      <c r="G380" t="s">
        <v>2687</v>
      </c>
      <c r="H380" t="s">
        <v>2564</v>
      </c>
      <c r="I380" t="s">
        <v>2555</v>
      </c>
      <c r="J380" t="s">
        <v>2559</v>
      </c>
      <c r="K380">
        <v>33</v>
      </c>
      <c r="L380" s="13" t="s">
        <v>258</v>
      </c>
    </row>
    <row r="381" spans="1:12" x14ac:dyDescent="0.25">
      <c r="A381" t="s">
        <v>3041</v>
      </c>
      <c r="B381" t="s">
        <v>201</v>
      </c>
      <c r="C381" t="str">
        <f>_xlfn.XLOOKUP(Table7[[#This Row],[app_id]],Table5[app_id],Table5[app_name],"",0)</f>
        <v>TripPro</v>
      </c>
      <c r="D381" t="s">
        <v>1481</v>
      </c>
      <c r="E381" s="1">
        <v>45491</v>
      </c>
      <c r="F381">
        <v>5</v>
      </c>
      <c r="G381" t="s">
        <v>2687</v>
      </c>
      <c r="H381" t="s">
        <v>2564</v>
      </c>
      <c r="I381" t="s">
        <v>2575</v>
      </c>
      <c r="J381" t="s">
        <v>2556</v>
      </c>
      <c r="K381">
        <v>39</v>
      </c>
      <c r="L381" s="13" t="s">
        <v>258</v>
      </c>
    </row>
    <row r="382" spans="1:12" x14ac:dyDescent="0.25">
      <c r="A382" t="s">
        <v>3042</v>
      </c>
      <c r="B382" t="s">
        <v>203</v>
      </c>
      <c r="C382" t="str">
        <f>_xlfn.XLOOKUP(Table7[[#This Row],[app_id]],Table5[app_id],Table5[app_name],"",0)</f>
        <v>Focusly</v>
      </c>
      <c r="D382" t="s">
        <v>783</v>
      </c>
      <c r="E382" s="1">
        <v>45327</v>
      </c>
      <c r="F382">
        <v>4</v>
      </c>
      <c r="G382" t="s">
        <v>2836</v>
      </c>
      <c r="H382" t="s">
        <v>2564</v>
      </c>
      <c r="I382" t="s">
        <v>2575</v>
      </c>
      <c r="J382" t="s">
        <v>2633</v>
      </c>
      <c r="K382">
        <v>37</v>
      </c>
      <c r="L382" s="13" t="s">
        <v>258</v>
      </c>
    </row>
    <row r="383" spans="1:12" x14ac:dyDescent="0.25">
      <c r="A383" t="s">
        <v>3043</v>
      </c>
      <c r="B383" t="s">
        <v>206</v>
      </c>
      <c r="C383" t="str">
        <f>_xlfn.XLOOKUP(Table7[[#This Row],[app_id]],Table5[app_id],Table5[app_name],"",0)</f>
        <v>DeskX</v>
      </c>
      <c r="D383" t="s">
        <v>676</v>
      </c>
      <c r="E383" s="1">
        <v>46075</v>
      </c>
      <c r="F383">
        <v>2</v>
      </c>
      <c r="G383" t="s">
        <v>2827</v>
      </c>
      <c r="H383" t="s">
        <v>2587</v>
      </c>
      <c r="I383" t="s">
        <v>2575</v>
      </c>
      <c r="J383" t="s">
        <v>2600</v>
      </c>
      <c r="K383">
        <v>52</v>
      </c>
      <c r="L383" s="13" t="s">
        <v>258</v>
      </c>
    </row>
    <row r="384" spans="1:12" x14ac:dyDescent="0.25">
      <c r="A384" t="s">
        <v>3044</v>
      </c>
      <c r="B384" t="s">
        <v>208</v>
      </c>
      <c r="C384" t="str">
        <f>_xlfn.XLOOKUP(Table7[[#This Row],[app_id]],Table5[app_id],Table5[app_name],"",0)</f>
        <v>DonePro</v>
      </c>
      <c r="D384" t="s">
        <v>1797</v>
      </c>
      <c r="E384" s="1">
        <v>46033</v>
      </c>
      <c r="F384">
        <v>3</v>
      </c>
      <c r="G384" t="s">
        <v>2713</v>
      </c>
      <c r="H384" t="s">
        <v>2554</v>
      </c>
      <c r="I384" t="s">
        <v>2565</v>
      </c>
      <c r="J384" t="s">
        <v>2556</v>
      </c>
      <c r="K384">
        <v>32</v>
      </c>
      <c r="L384" s="13" t="s">
        <v>257</v>
      </c>
    </row>
    <row r="385" spans="1:12" x14ac:dyDescent="0.25">
      <c r="A385" t="s">
        <v>3045</v>
      </c>
      <c r="B385" t="s">
        <v>210</v>
      </c>
      <c r="C385" t="str">
        <f>_xlfn.XLOOKUP(Table7[[#This Row],[app_id]],Table5[app_id],Table5[app_name],"",0)</f>
        <v>NotePlus</v>
      </c>
      <c r="D385" t="s">
        <v>2432</v>
      </c>
      <c r="E385" s="1">
        <v>46037</v>
      </c>
      <c r="F385">
        <v>2</v>
      </c>
      <c r="G385" t="s">
        <v>2943</v>
      </c>
      <c r="H385" t="s">
        <v>2587</v>
      </c>
      <c r="I385" t="s">
        <v>2584</v>
      </c>
      <c r="J385" t="s">
        <v>2596</v>
      </c>
      <c r="K385">
        <v>35</v>
      </c>
      <c r="L385" s="13" t="s">
        <v>257</v>
      </c>
    </row>
    <row r="386" spans="1:12" x14ac:dyDescent="0.25">
      <c r="A386" t="s">
        <v>3046</v>
      </c>
      <c r="B386" t="s">
        <v>212</v>
      </c>
      <c r="C386" t="str">
        <f>_xlfn.XLOOKUP(Table7[[#This Row],[app_id]],Table5[app_id],Table5[app_name],"",0)</f>
        <v>SyncPlus</v>
      </c>
      <c r="D386" t="s">
        <v>1217</v>
      </c>
      <c r="E386" s="1">
        <v>45791</v>
      </c>
      <c r="F386">
        <v>3</v>
      </c>
      <c r="G386" t="s">
        <v>2710</v>
      </c>
      <c r="H386" t="s">
        <v>2554</v>
      </c>
      <c r="I386" t="s">
        <v>2584</v>
      </c>
      <c r="J386" t="s">
        <v>2633</v>
      </c>
      <c r="K386">
        <v>15</v>
      </c>
      <c r="L386" s="13" t="s">
        <v>258</v>
      </c>
    </row>
    <row r="387" spans="1:12" x14ac:dyDescent="0.25">
      <c r="A387" t="s">
        <v>3047</v>
      </c>
      <c r="B387" t="s">
        <v>214</v>
      </c>
      <c r="C387" t="str">
        <f>_xlfn.XLOOKUP(Table7[[#This Row],[app_id]],Table5[app_id],Table5[app_name],"",0)</f>
        <v>NoteOne</v>
      </c>
      <c r="D387" t="s">
        <v>2479</v>
      </c>
      <c r="E387" s="1">
        <v>45760</v>
      </c>
      <c r="F387">
        <v>5</v>
      </c>
      <c r="G387" t="s">
        <v>2708</v>
      </c>
      <c r="H387" t="s">
        <v>2564</v>
      </c>
      <c r="I387" t="s">
        <v>2555</v>
      </c>
      <c r="J387" t="s">
        <v>2559</v>
      </c>
      <c r="K387">
        <v>26</v>
      </c>
      <c r="L387" s="13" t="s">
        <v>257</v>
      </c>
    </row>
    <row r="388" spans="1:12" x14ac:dyDescent="0.25">
      <c r="A388" t="s">
        <v>3048</v>
      </c>
      <c r="B388" t="s">
        <v>216</v>
      </c>
      <c r="C388" t="str">
        <f>_xlfn.XLOOKUP(Table7[[#This Row],[app_id]],Table5[app_id],Table5[app_name],"",0)</f>
        <v>NoteMate</v>
      </c>
      <c r="D388" t="s">
        <v>2185</v>
      </c>
      <c r="E388" s="1">
        <v>45305</v>
      </c>
      <c r="F388">
        <v>3</v>
      </c>
      <c r="G388" t="s">
        <v>2713</v>
      </c>
      <c r="H388" t="s">
        <v>2554</v>
      </c>
      <c r="I388" t="s">
        <v>2555</v>
      </c>
      <c r="J388" t="s">
        <v>2633</v>
      </c>
      <c r="K388">
        <v>40</v>
      </c>
      <c r="L388" s="13" t="s">
        <v>257</v>
      </c>
    </row>
    <row r="389" spans="1:12" x14ac:dyDescent="0.25">
      <c r="A389" t="s">
        <v>3049</v>
      </c>
      <c r="B389" t="s">
        <v>218</v>
      </c>
      <c r="C389" t="str">
        <f>_xlfn.XLOOKUP(Table7[[#This Row],[app_id]],Table5[app_id],Table5[app_name],"",0)</f>
        <v>PlanPlus</v>
      </c>
      <c r="D389" t="s">
        <v>2529</v>
      </c>
      <c r="E389" s="1">
        <v>45539</v>
      </c>
      <c r="F389">
        <v>2</v>
      </c>
      <c r="G389" t="s">
        <v>2943</v>
      </c>
      <c r="H389" t="s">
        <v>2587</v>
      </c>
      <c r="I389" t="s">
        <v>2584</v>
      </c>
      <c r="J389" t="s">
        <v>2556</v>
      </c>
      <c r="K389">
        <v>94</v>
      </c>
      <c r="L389" s="13" t="s">
        <v>257</v>
      </c>
    </row>
    <row r="390" spans="1:12" x14ac:dyDescent="0.25">
      <c r="A390" t="s">
        <v>3050</v>
      </c>
      <c r="B390" t="s">
        <v>220</v>
      </c>
      <c r="C390" t="str">
        <f>_xlfn.XLOOKUP(Table7[[#This Row],[app_id]],Table5[app_id],Table5[app_name],"",0)</f>
        <v>PlanMate</v>
      </c>
      <c r="D390" t="s">
        <v>1136</v>
      </c>
      <c r="E390" s="1">
        <v>45860</v>
      </c>
      <c r="F390">
        <v>2</v>
      </c>
      <c r="G390" t="s">
        <v>3051</v>
      </c>
      <c r="H390" t="s">
        <v>2587</v>
      </c>
      <c r="I390" t="s">
        <v>2578</v>
      </c>
      <c r="J390" t="s">
        <v>2569</v>
      </c>
      <c r="K390">
        <v>26</v>
      </c>
      <c r="L390" s="13" t="s">
        <v>258</v>
      </c>
    </row>
    <row r="391" spans="1:12" x14ac:dyDescent="0.25">
      <c r="A391" t="s">
        <v>3052</v>
      </c>
      <c r="B391" t="s">
        <v>222</v>
      </c>
      <c r="C391" t="str">
        <f>_xlfn.XLOOKUP(Table7[[#This Row],[app_id]],Table5[app_id],Table5[app_name],"",0)</f>
        <v>SyncPlus</v>
      </c>
      <c r="D391" t="s">
        <v>895</v>
      </c>
      <c r="E391" s="1">
        <v>46065</v>
      </c>
      <c r="F391">
        <v>3</v>
      </c>
      <c r="G391" t="s">
        <v>2706</v>
      </c>
      <c r="H391" t="s">
        <v>2554</v>
      </c>
      <c r="I391" t="s">
        <v>2558</v>
      </c>
      <c r="J391" t="s">
        <v>2559</v>
      </c>
      <c r="K391">
        <v>38</v>
      </c>
      <c r="L391" s="13" t="s">
        <v>257</v>
      </c>
    </row>
    <row r="392" spans="1:12" x14ac:dyDescent="0.25">
      <c r="A392" t="s">
        <v>3053</v>
      </c>
      <c r="B392" t="s">
        <v>223</v>
      </c>
      <c r="C392" t="str">
        <f>_xlfn.XLOOKUP(Table7[[#This Row],[app_id]],Table5[app_id],Table5[app_name],"",0)</f>
        <v>ClinicPro</v>
      </c>
      <c r="D392" t="s">
        <v>2418</v>
      </c>
      <c r="E392" s="1">
        <v>45543</v>
      </c>
      <c r="F392">
        <v>4</v>
      </c>
      <c r="G392" t="s">
        <v>2716</v>
      </c>
      <c r="H392" t="s">
        <v>2564</v>
      </c>
      <c r="I392" t="s">
        <v>2555</v>
      </c>
      <c r="J392" t="s">
        <v>2603</v>
      </c>
      <c r="K392">
        <v>10</v>
      </c>
      <c r="L392" s="13" t="s">
        <v>258</v>
      </c>
    </row>
    <row r="393" spans="1:12" x14ac:dyDescent="0.25">
      <c r="A393" t="s">
        <v>3054</v>
      </c>
      <c r="B393" t="s">
        <v>226</v>
      </c>
      <c r="C393" t="str">
        <f>_xlfn.XLOOKUP(Table7[[#This Row],[app_id]],Table5[app_id],Table5[app_name],"",0)</f>
        <v>MindMate</v>
      </c>
      <c r="D393" t="s">
        <v>1119</v>
      </c>
      <c r="E393" s="1">
        <v>45496</v>
      </c>
      <c r="F393">
        <v>3</v>
      </c>
      <c r="G393" t="s">
        <v>2718</v>
      </c>
      <c r="H393" t="s">
        <v>2554</v>
      </c>
      <c r="I393" t="s">
        <v>2588</v>
      </c>
      <c r="J393" t="s">
        <v>2633</v>
      </c>
      <c r="K393">
        <v>13</v>
      </c>
      <c r="L393" s="13" t="s">
        <v>258</v>
      </c>
    </row>
    <row r="394" spans="1:12" x14ac:dyDescent="0.25">
      <c r="A394" t="s">
        <v>3055</v>
      </c>
      <c r="B394" t="s">
        <v>228</v>
      </c>
      <c r="C394" t="str">
        <f>_xlfn.XLOOKUP(Table7[[#This Row],[app_id]],Table5[app_id],Table5[app_name],"",0)</f>
        <v>ClinicOne</v>
      </c>
      <c r="D394" t="s">
        <v>923</v>
      </c>
      <c r="E394" s="1">
        <v>45681</v>
      </c>
      <c r="F394">
        <v>5</v>
      </c>
      <c r="G394" t="s">
        <v>2716</v>
      </c>
      <c r="H394" t="s">
        <v>2564</v>
      </c>
      <c r="I394" t="s">
        <v>2575</v>
      </c>
      <c r="J394" t="s">
        <v>2596</v>
      </c>
      <c r="K394">
        <v>3</v>
      </c>
      <c r="L394" s="13" t="s">
        <v>257</v>
      </c>
    </row>
    <row r="395" spans="1:12" x14ac:dyDescent="0.25">
      <c r="A395" t="s">
        <v>3056</v>
      </c>
      <c r="B395" t="s">
        <v>230</v>
      </c>
      <c r="C395" t="str">
        <f>_xlfn.XLOOKUP(Table7[[#This Row],[app_id]],Table5[app_id],Table5[app_name],"",0)</f>
        <v>WellMate</v>
      </c>
      <c r="D395" t="s">
        <v>595</v>
      </c>
      <c r="E395" s="1">
        <v>45891</v>
      </c>
      <c r="F395">
        <v>2</v>
      </c>
      <c r="G395" t="s">
        <v>3057</v>
      </c>
      <c r="H395" t="s">
        <v>2587</v>
      </c>
      <c r="I395" t="s">
        <v>2578</v>
      </c>
      <c r="J395" t="s">
        <v>2596</v>
      </c>
      <c r="K395">
        <v>62</v>
      </c>
      <c r="L395" s="13" t="s">
        <v>258</v>
      </c>
    </row>
    <row r="396" spans="1:12" x14ac:dyDescent="0.25">
      <c r="A396" t="s">
        <v>3058</v>
      </c>
      <c r="B396" t="s">
        <v>232</v>
      </c>
      <c r="C396" t="str">
        <f>_xlfn.XLOOKUP(Table7[[#This Row],[app_id]],Table5[app_id],Table5[app_name],"",0)</f>
        <v>MediMate</v>
      </c>
      <c r="D396" t="s">
        <v>707</v>
      </c>
      <c r="E396" s="1">
        <v>45360</v>
      </c>
      <c r="F396">
        <v>3</v>
      </c>
      <c r="G396" t="s">
        <v>2846</v>
      </c>
      <c r="H396" t="s">
        <v>2554</v>
      </c>
      <c r="I396" t="s">
        <v>2555</v>
      </c>
      <c r="J396" t="s">
        <v>2556</v>
      </c>
      <c r="K396">
        <v>21</v>
      </c>
      <c r="L396" s="13" t="s">
        <v>257</v>
      </c>
    </row>
    <row r="397" spans="1:12" x14ac:dyDescent="0.25">
      <c r="A397" t="s">
        <v>3059</v>
      </c>
      <c r="B397" t="s">
        <v>234</v>
      </c>
      <c r="C397" t="str">
        <f>_xlfn.XLOOKUP(Table7[[#This Row],[app_id]],Table5[app_id],Table5[app_name],"",0)</f>
        <v>WellNow</v>
      </c>
      <c r="D397" t="s">
        <v>1202</v>
      </c>
      <c r="E397" s="1">
        <v>46037</v>
      </c>
      <c r="F397">
        <v>3</v>
      </c>
      <c r="G397" t="s">
        <v>2846</v>
      </c>
      <c r="H397" t="s">
        <v>2554</v>
      </c>
      <c r="I397" t="s">
        <v>2558</v>
      </c>
      <c r="J397" t="s">
        <v>2596</v>
      </c>
      <c r="K397">
        <v>41</v>
      </c>
      <c r="L397" s="13" t="s">
        <v>258</v>
      </c>
    </row>
    <row r="398" spans="1:12" x14ac:dyDescent="0.25">
      <c r="A398" t="s">
        <v>3060</v>
      </c>
      <c r="B398" t="s">
        <v>236</v>
      </c>
      <c r="C398" t="str">
        <f>_xlfn.XLOOKUP(Table7[[#This Row],[app_id]],Table5[app_id],Table5[app_name],"",0)</f>
        <v>CareCloud</v>
      </c>
      <c r="D398" t="s">
        <v>1618</v>
      </c>
      <c r="E398" s="1">
        <v>45308</v>
      </c>
      <c r="F398">
        <v>2</v>
      </c>
      <c r="G398" t="s">
        <v>3061</v>
      </c>
      <c r="H398" t="s">
        <v>2587</v>
      </c>
      <c r="I398" t="s">
        <v>2555</v>
      </c>
      <c r="J398" t="s">
        <v>2556</v>
      </c>
      <c r="K398">
        <v>20</v>
      </c>
      <c r="L398" s="13" t="s">
        <v>257</v>
      </c>
    </row>
    <row r="399" spans="1:12" x14ac:dyDescent="0.25">
      <c r="A399" t="s">
        <v>3062</v>
      </c>
      <c r="B399" t="s">
        <v>238</v>
      </c>
      <c r="C399" t="str">
        <f>_xlfn.XLOOKUP(Table7[[#This Row],[app_id]],Table5[app_id],Table5[app_name],"",0)</f>
        <v>MediNow</v>
      </c>
      <c r="D399" t="s">
        <v>1913</v>
      </c>
      <c r="E399" s="1">
        <v>45324</v>
      </c>
      <c r="F399">
        <v>5</v>
      </c>
      <c r="G399" t="s">
        <v>2954</v>
      </c>
      <c r="H399" t="s">
        <v>2564</v>
      </c>
      <c r="I399" t="s">
        <v>2555</v>
      </c>
      <c r="J399" t="s">
        <v>2603</v>
      </c>
      <c r="K399">
        <v>26</v>
      </c>
      <c r="L399" s="13" t="s">
        <v>257</v>
      </c>
    </row>
    <row r="400" spans="1:12" x14ac:dyDescent="0.25">
      <c r="A400" t="s">
        <v>3063</v>
      </c>
      <c r="B400" t="s">
        <v>240</v>
      </c>
      <c r="C400" t="str">
        <f>_xlfn.XLOOKUP(Table7[[#This Row],[app_id]],Table5[app_id],Table5[app_name],"",0)</f>
        <v>MindPlus</v>
      </c>
      <c r="D400" t="s">
        <v>1921</v>
      </c>
      <c r="E400" s="1">
        <v>45824</v>
      </c>
      <c r="F400">
        <v>4</v>
      </c>
      <c r="G400" t="s">
        <v>2728</v>
      </c>
      <c r="H400" t="s">
        <v>2564</v>
      </c>
      <c r="I400" t="s">
        <v>2558</v>
      </c>
      <c r="J400" t="s">
        <v>2559</v>
      </c>
      <c r="K400">
        <v>46</v>
      </c>
      <c r="L400" s="13" t="s">
        <v>257</v>
      </c>
    </row>
    <row r="401" spans="1:12" x14ac:dyDescent="0.25">
      <c r="A401" t="s">
        <v>3064</v>
      </c>
      <c r="B401" t="s">
        <v>242</v>
      </c>
      <c r="C401" t="str">
        <f>_xlfn.XLOOKUP(Table7[[#This Row],[app_id]],Table5[app_id],Table5[app_name],"",0)</f>
        <v>MediCloud</v>
      </c>
      <c r="D401" t="s">
        <v>1436</v>
      </c>
      <c r="E401" s="1">
        <v>45926</v>
      </c>
      <c r="F401">
        <v>4</v>
      </c>
      <c r="G401" t="s">
        <v>2716</v>
      </c>
      <c r="H401" t="s">
        <v>2564</v>
      </c>
      <c r="I401" t="s">
        <v>2558</v>
      </c>
      <c r="J401" t="s">
        <v>2559</v>
      </c>
      <c r="K401">
        <v>30</v>
      </c>
      <c r="L401" s="13" t="s">
        <v>258</v>
      </c>
    </row>
    <row r="402" spans="1:12" x14ac:dyDescent="0.25">
      <c r="A402" t="s">
        <v>3065</v>
      </c>
      <c r="B402" t="s">
        <v>12</v>
      </c>
      <c r="C402" t="str">
        <f>_xlfn.XLOOKUP(Table7[[#This Row],[app_id]],Table5[app_id],Table5[app_name],"",0)</f>
        <v>InvestPro</v>
      </c>
      <c r="D402" t="s">
        <v>919</v>
      </c>
      <c r="E402" s="1">
        <v>45552</v>
      </c>
      <c r="F402">
        <v>4</v>
      </c>
      <c r="G402" t="s">
        <v>2573</v>
      </c>
      <c r="H402" t="s">
        <v>2564</v>
      </c>
      <c r="I402" t="s">
        <v>2565</v>
      </c>
      <c r="J402" t="s">
        <v>2556</v>
      </c>
      <c r="K402">
        <v>22</v>
      </c>
      <c r="L402" s="13" t="s">
        <v>257</v>
      </c>
    </row>
    <row r="403" spans="1:12" x14ac:dyDescent="0.25">
      <c r="A403" t="s">
        <v>3066</v>
      </c>
      <c r="B403" t="s">
        <v>19</v>
      </c>
      <c r="C403" t="str">
        <f>_xlfn.XLOOKUP(Table7[[#This Row],[app_id]],Table5[app_id],Table5[app_name],"",0)</f>
        <v>BankPro</v>
      </c>
      <c r="D403" t="s">
        <v>831</v>
      </c>
      <c r="E403" s="1">
        <v>45629</v>
      </c>
      <c r="F403">
        <v>4</v>
      </c>
      <c r="G403" t="s">
        <v>2563</v>
      </c>
      <c r="H403" t="s">
        <v>2564</v>
      </c>
      <c r="I403" t="s">
        <v>2571</v>
      </c>
      <c r="J403" t="s">
        <v>2596</v>
      </c>
      <c r="K403">
        <v>13</v>
      </c>
      <c r="L403" s="13" t="s">
        <v>257</v>
      </c>
    </row>
    <row r="404" spans="1:12" x14ac:dyDescent="0.25">
      <c r="A404" t="s">
        <v>3067</v>
      </c>
      <c r="B404" t="s">
        <v>24</v>
      </c>
      <c r="C404" t="str">
        <f>_xlfn.XLOOKUP(Table7[[#This Row],[app_id]],Table5[app_id],Table5[app_name],"",0)</f>
        <v>BankX</v>
      </c>
      <c r="D404" t="s">
        <v>1585</v>
      </c>
      <c r="E404" s="1">
        <v>45364</v>
      </c>
      <c r="F404">
        <v>4</v>
      </c>
      <c r="G404" t="s">
        <v>2568</v>
      </c>
      <c r="H404" t="s">
        <v>2564</v>
      </c>
      <c r="I404" t="s">
        <v>2555</v>
      </c>
      <c r="J404" t="s">
        <v>2600</v>
      </c>
      <c r="K404">
        <v>40</v>
      </c>
      <c r="L404" s="13" t="s">
        <v>257</v>
      </c>
    </row>
    <row r="405" spans="1:12" x14ac:dyDescent="0.25">
      <c r="A405" t="s">
        <v>3068</v>
      </c>
      <c r="B405" t="s">
        <v>27</v>
      </c>
      <c r="C405" t="str">
        <f>_xlfn.XLOOKUP(Table7[[#This Row],[app_id]],Table5[app_id],Table5[app_name],"",0)</f>
        <v>BankNow</v>
      </c>
      <c r="D405" t="s">
        <v>2135</v>
      </c>
      <c r="E405" s="1">
        <v>45957</v>
      </c>
      <c r="F405">
        <v>3</v>
      </c>
      <c r="G405" t="s">
        <v>2968</v>
      </c>
      <c r="H405" t="s">
        <v>2554</v>
      </c>
      <c r="I405" t="s">
        <v>2565</v>
      </c>
      <c r="J405" t="s">
        <v>2603</v>
      </c>
      <c r="K405">
        <v>31</v>
      </c>
      <c r="L405" s="13" t="s">
        <v>257</v>
      </c>
    </row>
    <row r="406" spans="1:12" x14ac:dyDescent="0.25">
      <c r="A406" t="s">
        <v>3069</v>
      </c>
      <c r="B406" t="s">
        <v>31</v>
      </c>
      <c r="C406" t="str">
        <f>_xlfn.XLOOKUP(Table7[[#This Row],[app_id]],Table5[app_id],Table5[app_name],"",0)</f>
        <v>CreditHub</v>
      </c>
      <c r="D406" t="s">
        <v>1179</v>
      </c>
      <c r="E406" s="1">
        <v>45432</v>
      </c>
      <c r="F406">
        <v>4</v>
      </c>
      <c r="G406" t="s">
        <v>2568</v>
      </c>
      <c r="H406" t="s">
        <v>2564</v>
      </c>
      <c r="I406" t="s">
        <v>2565</v>
      </c>
      <c r="J406" t="s">
        <v>2559</v>
      </c>
      <c r="K406">
        <v>33</v>
      </c>
      <c r="L406" s="13" t="s">
        <v>258</v>
      </c>
    </row>
    <row r="407" spans="1:12" x14ac:dyDescent="0.25">
      <c r="A407" t="s">
        <v>3070</v>
      </c>
      <c r="B407" t="s">
        <v>36</v>
      </c>
      <c r="C407" t="str">
        <f>_xlfn.XLOOKUP(Table7[[#This Row],[app_id]],Table5[app_id],Table5[app_name],"",0)</f>
        <v>PayPlus</v>
      </c>
      <c r="D407" t="s">
        <v>991</v>
      </c>
      <c r="E407" s="1">
        <v>45853</v>
      </c>
      <c r="F407">
        <v>3</v>
      </c>
      <c r="G407" t="s">
        <v>2583</v>
      </c>
      <c r="H407" t="s">
        <v>2554</v>
      </c>
      <c r="I407" t="s">
        <v>2555</v>
      </c>
      <c r="J407" t="s">
        <v>2581</v>
      </c>
      <c r="K407">
        <v>36</v>
      </c>
      <c r="L407" s="13" t="s">
        <v>257</v>
      </c>
    </row>
    <row r="408" spans="1:12" x14ac:dyDescent="0.25">
      <c r="A408" t="s">
        <v>3071</v>
      </c>
      <c r="B408" t="s">
        <v>39</v>
      </c>
      <c r="C408" t="str">
        <f>_xlfn.XLOOKUP(Table7[[#This Row],[app_id]],Table5[app_id],Table5[app_name],"",0)</f>
        <v>BankPlus</v>
      </c>
      <c r="D408" t="s">
        <v>1879</v>
      </c>
      <c r="E408" s="1">
        <v>45713</v>
      </c>
      <c r="F408">
        <v>5</v>
      </c>
      <c r="G408" t="s">
        <v>2573</v>
      </c>
      <c r="H408" t="s">
        <v>2564</v>
      </c>
      <c r="I408" t="s">
        <v>2555</v>
      </c>
      <c r="J408" t="s">
        <v>2581</v>
      </c>
      <c r="K408">
        <v>41</v>
      </c>
      <c r="L408" s="13" t="s">
        <v>257</v>
      </c>
    </row>
    <row r="409" spans="1:12" x14ac:dyDescent="0.25">
      <c r="A409" t="s">
        <v>3072</v>
      </c>
      <c r="B409" t="s">
        <v>42</v>
      </c>
      <c r="C409" t="str">
        <f>_xlfn.XLOOKUP(Table7[[#This Row],[app_id]],Table5[app_id],Table5[app_name],"",0)</f>
        <v>CoinPlus</v>
      </c>
      <c r="D409" t="s">
        <v>1268</v>
      </c>
      <c r="E409" s="1">
        <v>45556</v>
      </c>
      <c r="F409">
        <v>3</v>
      </c>
      <c r="G409" t="s">
        <v>2968</v>
      </c>
      <c r="H409" t="s">
        <v>2554</v>
      </c>
      <c r="I409" t="s">
        <v>2578</v>
      </c>
      <c r="J409" t="s">
        <v>2561</v>
      </c>
      <c r="K409">
        <v>11</v>
      </c>
      <c r="L409" s="13" t="s">
        <v>257</v>
      </c>
    </row>
    <row r="410" spans="1:12" x14ac:dyDescent="0.25">
      <c r="A410" t="s">
        <v>3073</v>
      </c>
      <c r="B410" t="s">
        <v>47</v>
      </c>
      <c r="C410" t="str">
        <f>_xlfn.XLOOKUP(Table7[[#This Row],[app_id]],Table5[app_id],Table5[app_name],"",0)</f>
        <v>CreditOne</v>
      </c>
      <c r="D410" t="s">
        <v>1405</v>
      </c>
      <c r="E410" s="1">
        <v>45573</v>
      </c>
      <c r="F410">
        <v>4</v>
      </c>
      <c r="G410" t="s">
        <v>2580</v>
      </c>
      <c r="H410" t="s">
        <v>2564</v>
      </c>
      <c r="I410" t="s">
        <v>2571</v>
      </c>
      <c r="J410" t="s">
        <v>2603</v>
      </c>
      <c r="K410">
        <v>11</v>
      </c>
      <c r="L410" s="13" t="s">
        <v>258</v>
      </c>
    </row>
    <row r="411" spans="1:12" x14ac:dyDescent="0.25">
      <c r="A411" t="s">
        <v>3074</v>
      </c>
      <c r="B411" t="s">
        <v>49</v>
      </c>
      <c r="C411" t="str">
        <f>_xlfn.XLOOKUP(Table7[[#This Row],[app_id]],Table5[app_id],Table5[app_name],"",0)</f>
        <v>PayPro</v>
      </c>
      <c r="D411" t="s">
        <v>1691</v>
      </c>
      <c r="E411" s="1">
        <v>45378</v>
      </c>
      <c r="F411">
        <v>3</v>
      </c>
      <c r="G411" t="s">
        <v>2968</v>
      </c>
      <c r="H411" t="s">
        <v>2554</v>
      </c>
      <c r="I411" t="s">
        <v>2575</v>
      </c>
      <c r="J411" t="s">
        <v>2603</v>
      </c>
      <c r="K411">
        <v>7</v>
      </c>
      <c r="L411" s="13" t="s">
        <v>257</v>
      </c>
    </row>
    <row r="412" spans="1:12" x14ac:dyDescent="0.25">
      <c r="A412" t="s">
        <v>3075</v>
      </c>
      <c r="B412" t="s">
        <v>51</v>
      </c>
      <c r="C412" t="str">
        <f>_xlfn.XLOOKUP(Table7[[#This Row],[app_id]],Table5[app_id],Table5[app_name],"",0)</f>
        <v>Creditly</v>
      </c>
      <c r="D412" t="s">
        <v>1641</v>
      </c>
      <c r="E412" s="1">
        <v>45964</v>
      </c>
      <c r="F412">
        <v>5</v>
      </c>
      <c r="G412" t="s">
        <v>2563</v>
      </c>
      <c r="H412" t="s">
        <v>2564</v>
      </c>
      <c r="I412" t="s">
        <v>2558</v>
      </c>
      <c r="J412" t="s">
        <v>2633</v>
      </c>
      <c r="K412">
        <v>27</v>
      </c>
      <c r="L412" s="13" t="s">
        <v>257</v>
      </c>
    </row>
    <row r="413" spans="1:12" x14ac:dyDescent="0.25">
      <c r="A413" t="s">
        <v>3076</v>
      </c>
      <c r="B413" t="s">
        <v>53</v>
      </c>
      <c r="C413" t="str">
        <f>_xlfn.XLOOKUP(Table7[[#This Row],[app_id]],Table5[app_id],Table5[app_name],"",0)</f>
        <v>PayX</v>
      </c>
      <c r="D413" t="s">
        <v>2462</v>
      </c>
      <c r="E413" s="1">
        <v>45332</v>
      </c>
      <c r="F413">
        <v>3</v>
      </c>
      <c r="G413" t="s">
        <v>2968</v>
      </c>
      <c r="H413" t="s">
        <v>2554</v>
      </c>
      <c r="I413" t="s">
        <v>2558</v>
      </c>
      <c r="J413" t="s">
        <v>2556</v>
      </c>
      <c r="K413">
        <v>40</v>
      </c>
      <c r="L413" s="13" t="s">
        <v>258</v>
      </c>
    </row>
    <row r="414" spans="1:12" x14ac:dyDescent="0.25">
      <c r="A414" t="s">
        <v>3077</v>
      </c>
      <c r="B414" t="s">
        <v>56</v>
      </c>
      <c r="C414" t="str">
        <f>_xlfn.XLOOKUP(Table7[[#This Row],[app_id]],Table5[app_id],Table5[app_name],"",0)</f>
        <v>DealGo</v>
      </c>
      <c r="D414" t="s">
        <v>1264</v>
      </c>
      <c r="E414" s="1">
        <v>45656</v>
      </c>
      <c r="F414">
        <v>2</v>
      </c>
      <c r="G414" t="s">
        <v>3078</v>
      </c>
      <c r="H414" t="s">
        <v>2587</v>
      </c>
      <c r="I414" t="s">
        <v>2588</v>
      </c>
      <c r="J414" t="s">
        <v>2581</v>
      </c>
      <c r="K414">
        <v>25</v>
      </c>
      <c r="L414" s="13" t="s">
        <v>257</v>
      </c>
    </row>
    <row r="415" spans="1:12" x14ac:dyDescent="0.25">
      <c r="A415" t="s">
        <v>3079</v>
      </c>
      <c r="B415" t="s">
        <v>62</v>
      </c>
      <c r="C415" t="str">
        <f>_xlfn.XLOOKUP(Table7[[#This Row],[app_id]],Table5[app_id],Table5[app_name],"",0)</f>
        <v>MallNow</v>
      </c>
      <c r="D415" t="s">
        <v>1887</v>
      </c>
      <c r="E415" s="1">
        <v>45614</v>
      </c>
      <c r="F415">
        <v>5</v>
      </c>
      <c r="G415" t="s">
        <v>2590</v>
      </c>
      <c r="H415" t="s">
        <v>2564</v>
      </c>
      <c r="I415" t="s">
        <v>2565</v>
      </c>
      <c r="J415" t="s">
        <v>2633</v>
      </c>
      <c r="K415">
        <v>36</v>
      </c>
      <c r="L415" s="13" t="s">
        <v>257</v>
      </c>
    </row>
    <row r="416" spans="1:12" x14ac:dyDescent="0.25">
      <c r="A416" t="s">
        <v>3080</v>
      </c>
      <c r="B416" t="s">
        <v>65</v>
      </c>
      <c r="C416" t="str">
        <f>_xlfn.XLOOKUP(Table7[[#This Row],[app_id]],Table5[app_id],Table5[app_name],"",0)</f>
        <v>DealPro</v>
      </c>
      <c r="D416" t="s">
        <v>2365</v>
      </c>
      <c r="E416" s="1">
        <v>45963</v>
      </c>
      <c r="F416">
        <v>4</v>
      </c>
      <c r="G416" t="s">
        <v>2592</v>
      </c>
      <c r="H416" t="s">
        <v>2564</v>
      </c>
      <c r="I416" t="s">
        <v>2558</v>
      </c>
      <c r="J416" t="s">
        <v>2633</v>
      </c>
      <c r="K416">
        <v>5</v>
      </c>
      <c r="L416" s="13" t="s">
        <v>257</v>
      </c>
    </row>
    <row r="417" spans="1:12" x14ac:dyDescent="0.25">
      <c r="A417" t="s">
        <v>3081</v>
      </c>
      <c r="B417" t="s">
        <v>67</v>
      </c>
      <c r="C417" t="str">
        <f>_xlfn.XLOOKUP(Table7[[#This Row],[app_id]],Table5[app_id],Table5[app_name],"",0)</f>
        <v>StyleNow</v>
      </c>
      <c r="D417" t="s">
        <v>1000</v>
      </c>
      <c r="E417" s="1">
        <v>45376</v>
      </c>
      <c r="F417">
        <v>3</v>
      </c>
      <c r="G417" t="s">
        <v>2748</v>
      </c>
      <c r="H417" t="s">
        <v>2554</v>
      </c>
      <c r="I417" t="s">
        <v>2578</v>
      </c>
      <c r="J417" t="s">
        <v>2559</v>
      </c>
      <c r="K417">
        <v>8</v>
      </c>
      <c r="L417" s="13" t="s">
        <v>257</v>
      </c>
    </row>
    <row r="418" spans="1:12" x14ac:dyDescent="0.25">
      <c r="A418" t="s">
        <v>3082</v>
      </c>
      <c r="B418" t="s">
        <v>70</v>
      </c>
      <c r="C418" t="str">
        <f>_xlfn.XLOOKUP(Table7[[#This Row],[app_id]],Table5[app_id],Table5[app_name],"",0)</f>
        <v>DealCloud</v>
      </c>
      <c r="D418" t="s">
        <v>1077</v>
      </c>
      <c r="E418" s="1">
        <v>46121</v>
      </c>
      <c r="F418">
        <v>3</v>
      </c>
      <c r="G418" t="s">
        <v>2602</v>
      </c>
      <c r="H418" t="s">
        <v>2554</v>
      </c>
      <c r="I418" t="s">
        <v>2588</v>
      </c>
      <c r="J418" t="s">
        <v>2561</v>
      </c>
      <c r="K418">
        <v>20</v>
      </c>
      <c r="L418" s="13" t="s">
        <v>257</v>
      </c>
    </row>
    <row r="419" spans="1:12" x14ac:dyDescent="0.25">
      <c r="A419" t="s">
        <v>3083</v>
      </c>
      <c r="B419" t="s">
        <v>72</v>
      </c>
      <c r="C419" t="str">
        <f>_xlfn.XLOOKUP(Table7[[#This Row],[app_id]],Table5[app_id],Table5[app_name],"",0)</f>
        <v>CartCloud</v>
      </c>
      <c r="D419" t="s">
        <v>2189</v>
      </c>
      <c r="E419" s="1">
        <v>45757</v>
      </c>
      <c r="F419">
        <v>3</v>
      </c>
      <c r="G419" t="s">
        <v>2748</v>
      </c>
      <c r="H419" t="s">
        <v>2554</v>
      </c>
      <c r="I419" t="s">
        <v>2588</v>
      </c>
      <c r="J419" t="s">
        <v>2581</v>
      </c>
      <c r="K419">
        <v>6</v>
      </c>
      <c r="L419" s="13" t="s">
        <v>257</v>
      </c>
    </row>
    <row r="420" spans="1:12" x14ac:dyDescent="0.25">
      <c r="A420" t="s">
        <v>3084</v>
      </c>
      <c r="B420" t="s">
        <v>74</v>
      </c>
      <c r="C420" t="str">
        <f>_xlfn.XLOOKUP(Table7[[#This Row],[app_id]],Table5[app_id],Table5[app_name],"",0)</f>
        <v>CartMate</v>
      </c>
      <c r="D420" t="s">
        <v>2199</v>
      </c>
      <c r="E420" s="1">
        <v>45466</v>
      </c>
      <c r="F420">
        <v>3</v>
      </c>
      <c r="G420" t="s">
        <v>2602</v>
      </c>
      <c r="H420" t="s">
        <v>2554</v>
      </c>
      <c r="I420" t="s">
        <v>2575</v>
      </c>
      <c r="J420" t="s">
        <v>2556</v>
      </c>
      <c r="K420">
        <v>20</v>
      </c>
      <c r="L420" s="13" t="s">
        <v>258</v>
      </c>
    </row>
    <row r="421" spans="1:12" x14ac:dyDescent="0.25">
      <c r="A421" t="s">
        <v>3085</v>
      </c>
      <c r="B421" t="s">
        <v>76</v>
      </c>
      <c r="C421" t="str">
        <f>_xlfn.XLOOKUP(Table7[[#This Row],[app_id]],Table5[app_id],Table5[app_name],"",0)</f>
        <v>BazaarOne</v>
      </c>
      <c r="D421" t="s">
        <v>1819</v>
      </c>
      <c r="E421" s="1">
        <v>46110</v>
      </c>
      <c r="F421">
        <v>4</v>
      </c>
      <c r="G421" t="s">
        <v>2592</v>
      </c>
      <c r="H421" t="s">
        <v>2564</v>
      </c>
      <c r="I421" t="s">
        <v>2565</v>
      </c>
      <c r="J421" t="s">
        <v>2596</v>
      </c>
      <c r="K421">
        <v>6</v>
      </c>
      <c r="L421" s="13" t="s">
        <v>257</v>
      </c>
    </row>
    <row r="422" spans="1:12" x14ac:dyDescent="0.25">
      <c r="A422" t="s">
        <v>3086</v>
      </c>
      <c r="B422" t="s">
        <v>78</v>
      </c>
      <c r="C422" t="str">
        <f>_xlfn.XLOOKUP(Table7[[#This Row],[app_id]],Table5[app_id],Table5[app_name],"",0)</f>
        <v>StyleOne</v>
      </c>
      <c r="D422" t="s">
        <v>1821</v>
      </c>
      <c r="E422" s="1">
        <v>45614</v>
      </c>
      <c r="F422">
        <v>4</v>
      </c>
      <c r="G422" t="s">
        <v>2592</v>
      </c>
      <c r="H422" t="s">
        <v>2564</v>
      </c>
      <c r="I422" t="s">
        <v>2565</v>
      </c>
      <c r="J422" t="s">
        <v>2633</v>
      </c>
      <c r="K422">
        <v>17</v>
      </c>
      <c r="L422" s="13" t="s">
        <v>257</v>
      </c>
    </row>
    <row r="423" spans="1:12" x14ac:dyDescent="0.25">
      <c r="A423" t="s">
        <v>3087</v>
      </c>
      <c r="B423" t="s">
        <v>80</v>
      </c>
      <c r="C423" t="str">
        <f>_xlfn.XLOOKUP(Table7[[#This Row],[app_id]],Table5[app_id],Table5[app_name],"",0)</f>
        <v>Cartly</v>
      </c>
      <c r="D423" t="s">
        <v>862</v>
      </c>
      <c r="E423" s="1">
        <v>45331</v>
      </c>
      <c r="F423">
        <v>5</v>
      </c>
      <c r="G423" t="s">
        <v>2598</v>
      </c>
      <c r="H423" t="s">
        <v>2564</v>
      </c>
      <c r="I423" t="s">
        <v>2575</v>
      </c>
      <c r="J423" t="s">
        <v>2566</v>
      </c>
      <c r="K423">
        <v>1</v>
      </c>
      <c r="L423" s="13" t="s">
        <v>257</v>
      </c>
    </row>
    <row r="424" spans="1:12" x14ac:dyDescent="0.25">
      <c r="A424" t="s">
        <v>3088</v>
      </c>
      <c r="B424" t="s">
        <v>83</v>
      </c>
      <c r="C424" t="str">
        <f>_xlfn.XLOOKUP(Table7[[#This Row],[app_id]],Table5[app_id],Table5[app_name],"",0)</f>
        <v>BazaarCloud</v>
      </c>
      <c r="D424" t="s">
        <v>1949</v>
      </c>
      <c r="E424" s="1">
        <v>45836</v>
      </c>
      <c r="F424">
        <v>5</v>
      </c>
      <c r="G424" t="s">
        <v>2867</v>
      </c>
      <c r="H424" t="s">
        <v>2564</v>
      </c>
      <c r="I424" t="s">
        <v>2575</v>
      </c>
      <c r="J424" t="s">
        <v>2559</v>
      </c>
      <c r="K424">
        <v>6</v>
      </c>
      <c r="L424" s="13" t="s">
        <v>257</v>
      </c>
    </row>
    <row r="425" spans="1:12" x14ac:dyDescent="0.25">
      <c r="A425" t="s">
        <v>3089</v>
      </c>
      <c r="B425" t="s">
        <v>85</v>
      </c>
      <c r="C425" t="str">
        <f>_xlfn.XLOOKUP(Table7[[#This Row],[app_id]],Table5[app_id],Table5[app_name],"",0)</f>
        <v>CartPro</v>
      </c>
      <c r="D425" t="s">
        <v>1516</v>
      </c>
      <c r="E425" s="1">
        <v>45738</v>
      </c>
      <c r="F425">
        <v>3</v>
      </c>
      <c r="G425" t="s">
        <v>2609</v>
      </c>
      <c r="H425" t="s">
        <v>2554</v>
      </c>
      <c r="I425" t="s">
        <v>2565</v>
      </c>
      <c r="J425" t="s">
        <v>2600</v>
      </c>
      <c r="K425">
        <v>38</v>
      </c>
      <c r="L425" s="13" t="s">
        <v>257</v>
      </c>
    </row>
    <row r="426" spans="1:12" x14ac:dyDescent="0.25">
      <c r="A426" t="s">
        <v>3090</v>
      </c>
      <c r="B426" t="s">
        <v>87</v>
      </c>
      <c r="C426" t="str">
        <f>_xlfn.XLOOKUP(Table7[[#This Row],[app_id]],Table5[app_id],Table5[app_name],"",0)</f>
        <v>RunPlus</v>
      </c>
      <c r="D426" t="s">
        <v>1131</v>
      </c>
      <c r="E426" s="1">
        <v>46088</v>
      </c>
      <c r="F426">
        <v>4</v>
      </c>
      <c r="G426" t="s">
        <v>2617</v>
      </c>
      <c r="H426" t="s">
        <v>2564</v>
      </c>
      <c r="I426" t="s">
        <v>2558</v>
      </c>
      <c r="J426" t="s">
        <v>2561</v>
      </c>
      <c r="K426">
        <v>11</v>
      </c>
      <c r="L426" s="13" t="s">
        <v>258</v>
      </c>
    </row>
    <row r="427" spans="1:12" x14ac:dyDescent="0.25">
      <c r="A427" t="s">
        <v>3091</v>
      </c>
      <c r="B427" t="s">
        <v>90</v>
      </c>
      <c r="C427" t="str">
        <f>_xlfn.XLOOKUP(Table7[[#This Row],[app_id]],Table5[app_id],Table5[app_name],"",0)</f>
        <v>TrainCloud</v>
      </c>
      <c r="D427" t="s">
        <v>1832</v>
      </c>
      <c r="E427" s="1">
        <v>45896</v>
      </c>
      <c r="F427">
        <v>2</v>
      </c>
      <c r="G427" t="s">
        <v>2759</v>
      </c>
      <c r="H427" t="s">
        <v>2587</v>
      </c>
      <c r="I427" t="s">
        <v>2555</v>
      </c>
      <c r="J427" t="s">
        <v>2569</v>
      </c>
      <c r="K427">
        <v>40</v>
      </c>
      <c r="L427" s="13" t="s">
        <v>257</v>
      </c>
    </row>
    <row r="428" spans="1:12" x14ac:dyDescent="0.25">
      <c r="A428" t="s">
        <v>3092</v>
      </c>
      <c r="B428" t="s">
        <v>92</v>
      </c>
      <c r="C428" t="str">
        <f>_xlfn.XLOOKUP(Table7[[#This Row],[app_id]],Table5[app_id],Table5[app_name],"",0)</f>
        <v>Trainly</v>
      </c>
      <c r="D428" t="s">
        <v>1079</v>
      </c>
      <c r="E428" s="1">
        <v>45791</v>
      </c>
      <c r="F428">
        <v>3</v>
      </c>
      <c r="G428" t="s">
        <v>2620</v>
      </c>
      <c r="H428" t="s">
        <v>2554</v>
      </c>
      <c r="I428" t="s">
        <v>2571</v>
      </c>
      <c r="J428" t="s">
        <v>2566</v>
      </c>
      <c r="K428">
        <v>24</v>
      </c>
      <c r="L428" s="13" t="s">
        <v>257</v>
      </c>
    </row>
    <row r="429" spans="1:12" x14ac:dyDescent="0.25">
      <c r="A429" t="s">
        <v>3093</v>
      </c>
      <c r="B429" t="s">
        <v>94</v>
      </c>
      <c r="C429" t="str">
        <f>_xlfn.XLOOKUP(Table7[[#This Row],[app_id]],Table5[app_id],Table5[app_name],"",0)</f>
        <v>LiftCloud</v>
      </c>
      <c r="D429" t="s">
        <v>2341</v>
      </c>
      <c r="E429" s="1">
        <v>45348</v>
      </c>
      <c r="F429">
        <v>4</v>
      </c>
      <c r="G429" t="s">
        <v>2613</v>
      </c>
      <c r="H429" t="s">
        <v>2564</v>
      </c>
      <c r="I429" t="s">
        <v>2555</v>
      </c>
      <c r="J429" t="s">
        <v>2561</v>
      </c>
      <c r="K429">
        <v>23</v>
      </c>
      <c r="L429" s="13" t="s">
        <v>257</v>
      </c>
    </row>
    <row r="430" spans="1:12" x14ac:dyDescent="0.25">
      <c r="A430" t="s">
        <v>3094</v>
      </c>
      <c r="B430" t="s">
        <v>96</v>
      </c>
      <c r="C430" t="str">
        <f>_xlfn.XLOOKUP(Table7[[#This Row],[app_id]],Table5[app_id],Table5[app_name],"",0)</f>
        <v>MoveNow</v>
      </c>
      <c r="D430" t="s">
        <v>1298</v>
      </c>
      <c r="E430" s="1">
        <v>46004</v>
      </c>
      <c r="F430">
        <v>4</v>
      </c>
      <c r="G430" t="s">
        <v>2622</v>
      </c>
      <c r="H430" t="s">
        <v>2564</v>
      </c>
      <c r="I430" t="s">
        <v>2555</v>
      </c>
      <c r="J430" t="s">
        <v>2596</v>
      </c>
      <c r="K430">
        <v>46</v>
      </c>
      <c r="L430" s="13" t="s">
        <v>257</v>
      </c>
    </row>
    <row r="431" spans="1:12" x14ac:dyDescent="0.25">
      <c r="A431" t="s">
        <v>3095</v>
      </c>
      <c r="B431" t="s">
        <v>98</v>
      </c>
      <c r="C431" t="str">
        <f>_xlfn.XLOOKUP(Table7[[#This Row],[app_id]],Table5[app_id],Table5[app_name],"",0)</f>
        <v>ActiveMate</v>
      </c>
      <c r="D431" t="s">
        <v>676</v>
      </c>
      <c r="E431" s="1">
        <v>45942</v>
      </c>
      <c r="F431">
        <v>2</v>
      </c>
      <c r="G431" t="s">
        <v>2992</v>
      </c>
      <c r="H431" t="s">
        <v>2587</v>
      </c>
      <c r="I431" t="s">
        <v>2575</v>
      </c>
      <c r="J431" t="s">
        <v>2569</v>
      </c>
      <c r="K431">
        <v>38</v>
      </c>
      <c r="L431" s="13" t="s">
        <v>258</v>
      </c>
    </row>
    <row r="432" spans="1:12" x14ac:dyDescent="0.25">
      <c r="A432" t="s">
        <v>3096</v>
      </c>
      <c r="B432" t="s">
        <v>100</v>
      </c>
      <c r="C432" t="str">
        <f>_xlfn.XLOOKUP(Table7[[#This Row],[app_id]],Table5[app_id],Table5[app_name],"",0)</f>
        <v>RunGo</v>
      </c>
      <c r="D432" t="s">
        <v>1706</v>
      </c>
      <c r="E432" s="1">
        <v>45658</v>
      </c>
      <c r="F432">
        <v>4</v>
      </c>
      <c r="G432" t="s">
        <v>2617</v>
      </c>
      <c r="H432" t="s">
        <v>2564</v>
      </c>
      <c r="I432" t="s">
        <v>2555</v>
      </c>
      <c r="J432" t="s">
        <v>2596</v>
      </c>
      <c r="K432">
        <v>28</v>
      </c>
      <c r="L432" s="13" t="s">
        <v>258</v>
      </c>
    </row>
    <row r="433" spans="1:12" x14ac:dyDescent="0.25">
      <c r="A433" t="s">
        <v>3097</v>
      </c>
      <c r="B433" t="s">
        <v>102</v>
      </c>
      <c r="C433" t="str">
        <f>_xlfn.XLOOKUP(Table7[[#This Row],[app_id]],Table5[app_id],Table5[app_name],"",0)</f>
        <v>LiftPro</v>
      </c>
      <c r="D433" t="s">
        <v>2201</v>
      </c>
      <c r="E433" s="1">
        <v>45509</v>
      </c>
      <c r="F433">
        <v>3</v>
      </c>
      <c r="G433" t="s">
        <v>2611</v>
      </c>
      <c r="H433" t="s">
        <v>2554</v>
      </c>
      <c r="I433" t="s">
        <v>2584</v>
      </c>
      <c r="J433" t="s">
        <v>2566</v>
      </c>
      <c r="K433">
        <v>33</v>
      </c>
      <c r="L433" s="13" t="s">
        <v>257</v>
      </c>
    </row>
    <row r="434" spans="1:12" x14ac:dyDescent="0.25">
      <c r="A434" t="s">
        <v>3098</v>
      </c>
      <c r="B434" t="s">
        <v>104</v>
      </c>
      <c r="C434" t="str">
        <f>_xlfn.XLOOKUP(Table7[[#This Row],[app_id]],Table5[app_id],Table5[app_name],"",0)</f>
        <v>LiftPro</v>
      </c>
      <c r="D434" t="s">
        <v>1266</v>
      </c>
      <c r="E434" s="1">
        <v>45430</v>
      </c>
      <c r="F434">
        <v>4</v>
      </c>
      <c r="G434" t="s">
        <v>2617</v>
      </c>
      <c r="H434" t="s">
        <v>2564</v>
      </c>
      <c r="I434" t="s">
        <v>2565</v>
      </c>
      <c r="J434" t="s">
        <v>2561</v>
      </c>
      <c r="K434">
        <v>8</v>
      </c>
      <c r="L434" s="13" t="s">
        <v>258</v>
      </c>
    </row>
    <row r="435" spans="1:12" x14ac:dyDescent="0.25">
      <c r="A435" t="s">
        <v>3099</v>
      </c>
      <c r="B435" t="s">
        <v>105</v>
      </c>
      <c r="C435" t="str">
        <f>_xlfn.XLOOKUP(Table7[[#This Row],[app_id]],Table5[app_id],Table5[app_name],"",0)</f>
        <v>Liftly</v>
      </c>
      <c r="D435" t="s">
        <v>631</v>
      </c>
      <c r="E435" s="1">
        <v>45991</v>
      </c>
      <c r="F435">
        <v>4</v>
      </c>
      <c r="G435" t="s">
        <v>2625</v>
      </c>
      <c r="H435" t="s">
        <v>2564</v>
      </c>
      <c r="I435" t="s">
        <v>2555</v>
      </c>
      <c r="J435" t="s">
        <v>2603</v>
      </c>
      <c r="K435">
        <v>15</v>
      </c>
      <c r="L435" s="13" t="s">
        <v>257</v>
      </c>
    </row>
    <row r="436" spans="1:12" x14ac:dyDescent="0.25">
      <c r="A436" t="s">
        <v>3100</v>
      </c>
      <c r="B436" t="s">
        <v>107</v>
      </c>
      <c r="C436" t="str">
        <f>_xlfn.XLOOKUP(Table7[[#This Row],[app_id]],Table5[app_id],Table5[app_name],"",0)</f>
        <v>YogaHub</v>
      </c>
      <c r="D436" t="s">
        <v>604</v>
      </c>
      <c r="E436" s="1">
        <v>45671</v>
      </c>
      <c r="F436">
        <v>4</v>
      </c>
      <c r="G436" t="s">
        <v>2622</v>
      </c>
      <c r="H436" t="s">
        <v>2564</v>
      </c>
      <c r="I436" t="s">
        <v>2571</v>
      </c>
      <c r="J436" t="s">
        <v>2561</v>
      </c>
      <c r="K436">
        <v>4</v>
      </c>
      <c r="L436" s="13" t="s">
        <v>257</v>
      </c>
    </row>
    <row r="437" spans="1:12" x14ac:dyDescent="0.25">
      <c r="A437" t="s">
        <v>3101</v>
      </c>
      <c r="B437" t="s">
        <v>109</v>
      </c>
      <c r="C437" t="str">
        <f>_xlfn.XLOOKUP(Table7[[#This Row],[app_id]],Table5[app_id],Table5[app_name],"",0)</f>
        <v>MoveGo</v>
      </c>
      <c r="D437" t="s">
        <v>661</v>
      </c>
      <c r="E437" s="1">
        <v>45420</v>
      </c>
      <c r="F437">
        <v>3</v>
      </c>
      <c r="G437" t="s">
        <v>2770</v>
      </c>
      <c r="H437" t="s">
        <v>2554</v>
      </c>
      <c r="I437" t="s">
        <v>2575</v>
      </c>
      <c r="J437" t="s">
        <v>2581</v>
      </c>
      <c r="K437">
        <v>5</v>
      </c>
      <c r="L437" s="13" t="s">
        <v>257</v>
      </c>
    </row>
    <row r="438" spans="1:12" x14ac:dyDescent="0.25">
      <c r="A438" t="s">
        <v>3102</v>
      </c>
      <c r="B438" t="s">
        <v>111</v>
      </c>
      <c r="C438" t="str">
        <f>_xlfn.XLOOKUP(Table7[[#This Row],[app_id]],Table5[app_id],Table5[app_name],"",0)</f>
        <v>BrightNow</v>
      </c>
      <c r="D438" t="s">
        <v>641</v>
      </c>
      <c r="E438" s="1">
        <v>46039</v>
      </c>
      <c r="F438">
        <v>2</v>
      </c>
      <c r="G438" t="s">
        <v>2632</v>
      </c>
      <c r="H438" t="s">
        <v>2587</v>
      </c>
      <c r="I438" t="s">
        <v>2571</v>
      </c>
      <c r="J438" t="s">
        <v>2633</v>
      </c>
      <c r="K438">
        <v>22</v>
      </c>
      <c r="L438" s="13" t="s">
        <v>258</v>
      </c>
    </row>
    <row r="439" spans="1:12" x14ac:dyDescent="0.25">
      <c r="A439" t="s">
        <v>3103</v>
      </c>
      <c r="B439" t="s">
        <v>114</v>
      </c>
      <c r="C439" t="str">
        <f>_xlfn.XLOOKUP(Table7[[#This Row],[app_id]],Table5[app_id],Table5[app_name],"",0)</f>
        <v>StudyCloud</v>
      </c>
      <c r="D439" t="s">
        <v>587</v>
      </c>
      <c r="E439" s="1">
        <v>46046</v>
      </c>
      <c r="F439">
        <v>2</v>
      </c>
      <c r="G439" t="s">
        <v>2630</v>
      </c>
      <c r="H439" t="s">
        <v>2587</v>
      </c>
      <c r="I439" t="s">
        <v>2578</v>
      </c>
      <c r="J439" t="s">
        <v>2600</v>
      </c>
      <c r="K439">
        <v>77</v>
      </c>
      <c r="L439" s="13" t="s">
        <v>257</v>
      </c>
    </row>
    <row r="440" spans="1:12" x14ac:dyDescent="0.25">
      <c r="A440" t="s">
        <v>3104</v>
      </c>
      <c r="B440" t="s">
        <v>116</v>
      </c>
      <c r="C440" t="str">
        <f>_xlfn.XLOOKUP(Table7[[#This Row],[app_id]],Table5[app_id],Table5[app_name],"",0)</f>
        <v>SkillNow</v>
      </c>
      <c r="D440" t="s">
        <v>1207</v>
      </c>
      <c r="E440" s="1">
        <v>45970</v>
      </c>
      <c r="F440">
        <v>3</v>
      </c>
      <c r="G440" t="s">
        <v>2773</v>
      </c>
      <c r="H440" t="s">
        <v>2554</v>
      </c>
      <c r="I440" t="s">
        <v>2555</v>
      </c>
      <c r="J440" t="s">
        <v>2596</v>
      </c>
      <c r="K440">
        <v>21</v>
      </c>
      <c r="L440" s="13" t="s">
        <v>257</v>
      </c>
    </row>
    <row r="441" spans="1:12" x14ac:dyDescent="0.25">
      <c r="A441" t="s">
        <v>3105</v>
      </c>
      <c r="B441" t="s">
        <v>118</v>
      </c>
      <c r="C441" t="str">
        <f>_xlfn.XLOOKUP(Table7[[#This Row],[app_id]],Table5[app_id],Table5[app_name],"",0)</f>
        <v>LearnMate</v>
      </c>
      <c r="D441" t="s">
        <v>940</v>
      </c>
      <c r="E441" s="1">
        <v>45465</v>
      </c>
      <c r="F441">
        <v>4</v>
      </c>
      <c r="G441" t="s">
        <v>2640</v>
      </c>
      <c r="H441" t="s">
        <v>2564</v>
      </c>
      <c r="I441" t="s">
        <v>2575</v>
      </c>
      <c r="J441" t="s">
        <v>2569</v>
      </c>
      <c r="K441">
        <v>33</v>
      </c>
      <c r="L441" s="13" t="s">
        <v>258</v>
      </c>
    </row>
    <row r="442" spans="1:12" x14ac:dyDescent="0.25">
      <c r="A442" t="s">
        <v>3106</v>
      </c>
      <c r="B442" t="s">
        <v>120</v>
      </c>
      <c r="C442" t="str">
        <f>_xlfn.XLOOKUP(Table7[[#This Row],[app_id]],Table5[app_id],Table5[app_name],"",0)</f>
        <v>QuestNow</v>
      </c>
      <c r="D442" t="s">
        <v>1679</v>
      </c>
      <c r="E442" s="1">
        <v>46012</v>
      </c>
      <c r="F442">
        <v>2</v>
      </c>
      <c r="G442" t="s">
        <v>3107</v>
      </c>
      <c r="H442" t="s">
        <v>2587</v>
      </c>
      <c r="I442" t="s">
        <v>2578</v>
      </c>
      <c r="J442" t="s">
        <v>2559</v>
      </c>
      <c r="K442">
        <v>95</v>
      </c>
      <c r="L442" s="13" t="s">
        <v>258</v>
      </c>
    </row>
    <row r="443" spans="1:12" x14ac:dyDescent="0.25">
      <c r="A443" t="s">
        <v>3108</v>
      </c>
      <c r="B443" t="s">
        <v>122</v>
      </c>
      <c r="C443" t="str">
        <f>_xlfn.XLOOKUP(Table7[[#This Row],[app_id]],Table5[app_id],Table5[app_name],"",0)</f>
        <v>SkillHub</v>
      </c>
      <c r="D443" t="s">
        <v>1096</v>
      </c>
      <c r="E443" s="1">
        <v>45595</v>
      </c>
      <c r="F443">
        <v>3</v>
      </c>
      <c r="G443" t="s">
        <v>2773</v>
      </c>
      <c r="H443" t="s">
        <v>2554</v>
      </c>
      <c r="I443" t="s">
        <v>2584</v>
      </c>
      <c r="J443" t="s">
        <v>2569</v>
      </c>
      <c r="K443">
        <v>27</v>
      </c>
      <c r="L443" s="13" t="s">
        <v>257</v>
      </c>
    </row>
    <row r="444" spans="1:12" x14ac:dyDescent="0.25">
      <c r="A444" t="s">
        <v>3109</v>
      </c>
      <c r="B444" t="s">
        <v>124</v>
      </c>
      <c r="C444" t="str">
        <f>_xlfn.XLOOKUP(Table7[[#This Row],[app_id]],Table5[app_id],Table5[app_name],"",0)</f>
        <v>TutorCloud</v>
      </c>
      <c r="D444" t="s">
        <v>1599</v>
      </c>
      <c r="E444" s="1">
        <v>45751</v>
      </c>
      <c r="F444">
        <v>3</v>
      </c>
      <c r="G444" t="s">
        <v>2773</v>
      </c>
      <c r="H444" t="s">
        <v>2554</v>
      </c>
      <c r="I444" t="s">
        <v>2578</v>
      </c>
      <c r="J444" t="s">
        <v>2569</v>
      </c>
      <c r="K444">
        <v>37</v>
      </c>
      <c r="L444" s="13" t="s">
        <v>257</v>
      </c>
    </row>
    <row r="445" spans="1:12" x14ac:dyDescent="0.25">
      <c r="A445" t="s">
        <v>3110</v>
      </c>
      <c r="B445" t="s">
        <v>126</v>
      </c>
      <c r="C445" t="str">
        <f>_xlfn.XLOOKUP(Table7[[#This Row],[app_id]],Table5[app_id],Table5[app_name],"",0)</f>
        <v>SkillOne</v>
      </c>
      <c r="D445" t="s">
        <v>1915</v>
      </c>
      <c r="E445" s="1">
        <v>45508</v>
      </c>
      <c r="F445">
        <v>3</v>
      </c>
      <c r="G445" t="s">
        <v>2889</v>
      </c>
      <c r="H445" t="s">
        <v>2554</v>
      </c>
      <c r="I445" t="s">
        <v>2555</v>
      </c>
      <c r="J445" t="s">
        <v>2596</v>
      </c>
      <c r="K445">
        <v>24</v>
      </c>
      <c r="L445" s="13" t="s">
        <v>258</v>
      </c>
    </row>
    <row r="446" spans="1:12" x14ac:dyDescent="0.25">
      <c r="A446" t="s">
        <v>3111</v>
      </c>
      <c r="B446" t="s">
        <v>128</v>
      </c>
      <c r="C446" t="str">
        <f>_xlfn.XLOOKUP(Table7[[#This Row],[app_id]],Table5[app_id],Table5[app_name],"",0)</f>
        <v>LearnOne</v>
      </c>
      <c r="D446" t="s">
        <v>1298</v>
      </c>
      <c r="E446" s="1">
        <v>45989</v>
      </c>
      <c r="F446">
        <v>4</v>
      </c>
      <c r="G446" t="s">
        <v>2780</v>
      </c>
      <c r="H446" t="s">
        <v>2564</v>
      </c>
      <c r="I446" t="s">
        <v>2565</v>
      </c>
      <c r="J446" t="s">
        <v>2633</v>
      </c>
      <c r="K446">
        <v>17</v>
      </c>
      <c r="L446" s="13" t="s">
        <v>257</v>
      </c>
    </row>
    <row r="447" spans="1:12" x14ac:dyDescent="0.25">
      <c r="A447" t="s">
        <v>3112</v>
      </c>
      <c r="B447" t="s">
        <v>130</v>
      </c>
      <c r="C447" t="str">
        <f>_xlfn.XLOOKUP(Table7[[#This Row],[app_id]],Table5[app_id],Table5[app_name],"",0)</f>
        <v>LearnPlus</v>
      </c>
      <c r="D447" t="s">
        <v>2359</v>
      </c>
      <c r="E447" s="1">
        <v>45305</v>
      </c>
      <c r="F447">
        <v>3</v>
      </c>
      <c r="G447" t="s">
        <v>2778</v>
      </c>
      <c r="H447" t="s">
        <v>2554</v>
      </c>
      <c r="I447" t="s">
        <v>2584</v>
      </c>
      <c r="J447" t="s">
        <v>2603</v>
      </c>
      <c r="K447">
        <v>29</v>
      </c>
      <c r="L447" s="13" t="s">
        <v>257</v>
      </c>
    </row>
    <row r="448" spans="1:12" x14ac:dyDescent="0.25">
      <c r="A448" t="s">
        <v>3113</v>
      </c>
      <c r="B448" t="s">
        <v>132</v>
      </c>
      <c r="C448" t="str">
        <f>_xlfn.XLOOKUP(Table7[[#This Row],[app_id]],Table5[app_id],Table5[app_name],"",0)</f>
        <v>StudyPlus</v>
      </c>
      <c r="D448" t="s">
        <v>2524</v>
      </c>
      <c r="E448" s="1">
        <v>45821</v>
      </c>
      <c r="F448">
        <v>5</v>
      </c>
      <c r="G448" t="s">
        <v>2780</v>
      </c>
      <c r="H448" t="s">
        <v>2564</v>
      </c>
      <c r="I448" t="s">
        <v>2575</v>
      </c>
      <c r="J448" t="s">
        <v>2569</v>
      </c>
      <c r="K448">
        <v>42</v>
      </c>
      <c r="L448" s="13" t="s">
        <v>257</v>
      </c>
    </row>
    <row r="449" spans="1:12" x14ac:dyDescent="0.25">
      <c r="A449" t="s">
        <v>3114</v>
      </c>
      <c r="B449" t="s">
        <v>134</v>
      </c>
      <c r="C449" t="str">
        <f>_xlfn.XLOOKUP(Table7[[#This Row],[app_id]],Table5[app_id],Table5[app_name],"",0)</f>
        <v>StudyX</v>
      </c>
      <c r="D449" t="s">
        <v>2118</v>
      </c>
      <c r="E449" s="1">
        <v>45747</v>
      </c>
      <c r="F449">
        <v>5</v>
      </c>
      <c r="G449" t="s">
        <v>2638</v>
      </c>
      <c r="H449" t="s">
        <v>2564</v>
      </c>
      <c r="I449" t="s">
        <v>2565</v>
      </c>
      <c r="J449" t="s">
        <v>2559</v>
      </c>
      <c r="K449">
        <v>42</v>
      </c>
      <c r="L449" s="13" t="s">
        <v>257</v>
      </c>
    </row>
    <row r="450" spans="1:12" x14ac:dyDescent="0.25">
      <c r="A450" t="s">
        <v>3115</v>
      </c>
      <c r="B450" t="s">
        <v>136</v>
      </c>
      <c r="C450" t="str">
        <f>_xlfn.XLOOKUP(Table7[[#This Row],[app_id]],Table5[app_id],Table5[app_name],"",0)</f>
        <v>PlayPlus</v>
      </c>
      <c r="D450" t="s">
        <v>1067</v>
      </c>
      <c r="E450" s="1">
        <v>45665</v>
      </c>
      <c r="F450">
        <v>5</v>
      </c>
      <c r="G450" t="s">
        <v>2905</v>
      </c>
      <c r="H450" t="s">
        <v>2564</v>
      </c>
      <c r="I450" t="s">
        <v>2555</v>
      </c>
      <c r="J450" t="s">
        <v>2561</v>
      </c>
      <c r="K450">
        <v>33</v>
      </c>
      <c r="L450" s="13" t="s">
        <v>258</v>
      </c>
    </row>
    <row r="451" spans="1:12" x14ac:dyDescent="0.25">
      <c r="A451" t="s">
        <v>3116</v>
      </c>
      <c r="B451" t="s">
        <v>139</v>
      </c>
      <c r="C451" t="str">
        <f>_xlfn.XLOOKUP(Table7[[#This Row],[app_id]],Table5[app_id],Table5[app_name],"",0)</f>
        <v>ShowMate</v>
      </c>
      <c r="D451" t="s">
        <v>2237</v>
      </c>
      <c r="E451" s="1">
        <v>45328</v>
      </c>
      <c r="F451">
        <v>2</v>
      </c>
      <c r="G451" t="s">
        <v>3117</v>
      </c>
      <c r="H451" t="s">
        <v>2587</v>
      </c>
      <c r="I451" t="s">
        <v>2565</v>
      </c>
      <c r="J451" t="s">
        <v>2561</v>
      </c>
      <c r="K451">
        <v>11</v>
      </c>
      <c r="L451" s="13" t="s">
        <v>258</v>
      </c>
    </row>
    <row r="452" spans="1:12" x14ac:dyDescent="0.25">
      <c r="A452" t="s">
        <v>3118</v>
      </c>
      <c r="B452" t="s">
        <v>141</v>
      </c>
      <c r="C452" t="str">
        <f>_xlfn.XLOOKUP(Table7[[#This Row],[app_id]],Table5[app_id],Table5[app_name],"",0)</f>
        <v>VibeX</v>
      </c>
      <c r="D452" t="s">
        <v>1382</v>
      </c>
      <c r="E452" s="1">
        <v>46039</v>
      </c>
      <c r="F452">
        <v>3</v>
      </c>
      <c r="G452" t="s">
        <v>2793</v>
      </c>
      <c r="H452" t="s">
        <v>2554</v>
      </c>
      <c r="I452" t="s">
        <v>2584</v>
      </c>
      <c r="J452" t="s">
        <v>2556</v>
      </c>
      <c r="K452">
        <v>15</v>
      </c>
      <c r="L452" s="13" t="s">
        <v>257</v>
      </c>
    </row>
    <row r="453" spans="1:12" x14ac:dyDescent="0.25">
      <c r="A453" t="s">
        <v>3119</v>
      </c>
      <c r="B453" t="s">
        <v>143</v>
      </c>
      <c r="C453" t="str">
        <f>_xlfn.XLOOKUP(Table7[[#This Row],[app_id]],Table5[app_id],Table5[app_name],"",0)</f>
        <v>BuzzNow</v>
      </c>
      <c r="D453" t="s">
        <v>1737</v>
      </c>
      <c r="E453" s="1">
        <v>45860</v>
      </c>
      <c r="F453">
        <v>4</v>
      </c>
      <c r="G453" t="s">
        <v>2650</v>
      </c>
      <c r="H453" t="s">
        <v>2564</v>
      </c>
      <c r="I453" t="s">
        <v>2575</v>
      </c>
      <c r="J453" t="s">
        <v>2569</v>
      </c>
      <c r="K453">
        <v>17</v>
      </c>
      <c r="L453" s="13" t="s">
        <v>258</v>
      </c>
    </row>
    <row r="454" spans="1:12" x14ac:dyDescent="0.25">
      <c r="A454" t="s">
        <v>3120</v>
      </c>
      <c r="B454" t="s">
        <v>145</v>
      </c>
      <c r="C454" t="str">
        <f>_xlfn.XLOOKUP(Table7[[#This Row],[app_id]],Table5[app_id],Table5[app_name],"",0)</f>
        <v>StreamPlus</v>
      </c>
      <c r="D454" t="s">
        <v>1216</v>
      </c>
      <c r="E454" s="1">
        <v>45492</v>
      </c>
      <c r="F454">
        <v>4</v>
      </c>
      <c r="G454" t="s">
        <v>2905</v>
      </c>
      <c r="H454" t="s">
        <v>2564</v>
      </c>
      <c r="I454" t="s">
        <v>2571</v>
      </c>
      <c r="J454" t="s">
        <v>2569</v>
      </c>
      <c r="K454">
        <v>7</v>
      </c>
      <c r="L454" s="13" t="s">
        <v>258</v>
      </c>
    </row>
    <row r="455" spans="1:12" x14ac:dyDescent="0.25">
      <c r="A455" t="s">
        <v>3121</v>
      </c>
      <c r="B455" t="s">
        <v>147</v>
      </c>
      <c r="C455" t="str">
        <f>_xlfn.XLOOKUP(Table7[[#This Row],[app_id]],Table5[app_id],Table5[app_name],"",0)</f>
        <v>Showly</v>
      </c>
      <c r="D455" t="s">
        <v>2247</v>
      </c>
      <c r="E455" s="1">
        <v>45295</v>
      </c>
      <c r="F455">
        <v>2</v>
      </c>
      <c r="G455" t="s">
        <v>2909</v>
      </c>
      <c r="H455" t="s">
        <v>2587</v>
      </c>
      <c r="I455" t="s">
        <v>2558</v>
      </c>
      <c r="J455" t="s">
        <v>2596</v>
      </c>
      <c r="K455">
        <v>34</v>
      </c>
      <c r="L455" s="13" t="s">
        <v>257</v>
      </c>
    </row>
    <row r="456" spans="1:12" x14ac:dyDescent="0.25">
      <c r="A456" t="s">
        <v>3122</v>
      </c>
      <c r="B456" t="s">
        <v>149</v>
      </c>
      <c r="C456" t="str">
        <f>_xlfn.XLOOKUP(Table7[[#This Row],[app_id]],Table5[app_id],Table5[app_name],"",0)</f>
        <v>BuzzOne</v>
      </c>
      <c r="D456" t="s">
        <v>2230</v>
      </c>
      <c r="E456" s="1">
        <v>45326</v>
      </c>
      <c r="F456">
        <v>4</v>
      </c>
      <c r="G456" t="s">
        <v>2650</v>
      </c>
      <c r="H456" t="s">
        <v>2564</v>
      </c>
      <c r="I456" t="s">
        <v>2575</v>
      </c>
      <c r="J456" t="s">
        <v>2556</v>
      </c>
      <c r="K456">
        <v>15</v>
      </c>
      <c r="L456" s="13" t="s">
        <v>257</v>
      </c>
    </row>
    <row r="457" spans="1:12" x14ac:dyDescent="0.25">
      <c r="A457" t="s">
        <v>3123</v>
      </c>
      <c r="B457" t="s">
        <v>151</v>
      </c>
      <c r="C457" t="str">
        <f>_xlfn.XLOOKUP(Table7[[#This Row],[app_id]],Table5[app_id],Table5[app_name],"",0)</f>
        <v>PlayHub</v>
      </c>
      <c r="D457" t="s">
        <v>618</v>
      </c>
      <c r="E457" s="1">
        <v>45858</v>
      </c>
      <c r="F457">
        <v>5</v>
      </c>
      <c r="G457" t="s">
        <v>2652</v>
      </c>
      <c r="H457" t="s">
        <v>2564</v>
      </c>
      <c r="I457" t="s">
        <v>2575</v>
      </c>
      <c r="J457" t="s">
        <v>2581</v>
      </c>
      <c r="K457">
        <v>30</v>
      </c>
      <c r="L457" s="13" t="s">
        <v>258</v>
      </c>
    </row>
    <row r="458" spans="1:12" x14ac:dyDescent="0.25">
      <c r="A458" t="s">
        <v>3124</v>
      </c>
      <c r="B458" t="s">
        <v>153</v>
      </c>
      <c r="C458" t="str">
        <f>_xlfn.XLOOKUP(Table7[[#This Row],[app_id]],Table5[app_id],Table5[app_name],"",0)</f>
        <v>CinemaGo</v>
      </c>
      <c r="D458" t="s">
        <v>627</v>
      </c>
      <c r="E458" s="1">
        <v>45829</v>
      </c>
      <c r="F458">
        <v>4</v>
      </c>
      <c r="G458" t="s">
        <v>2650</v>
      </c>
      <c r="H458" t="s">
        <v>2564</v>
      </c>
      <c r="I458" t="s">
        <v>2555</v>
      </c>
      <c r="J458" t="s">
        <v>2603</v>
      </c>
      <c r="K458">
        <v>25</v>
      </c>
      <c r="L458" s="13" t="s">
        <v>258</v>
      </c>
    </row>
    <row r="459" spans="1:12" x14ac:dyDescent="0.25">
      <c r="A459" t="s">
        <v>3125</v>
      </c>
      <c r="B459" t="s">
        <v>155</v>
      </c>
      <c r="C459" t="str">
        <f>_xlfn.XLOOKUP(Table7[[#This Row],[app_id]],Table5[app_id],Table5[app_name],"",0)</f>
        <v>LaughX</v>
      </c>
      <c r="D459" t="s">
        <v>1562</v>
      </c>
      <c r="E459" s="1">
        <v>46020</v>
      </c>
      <c r="F459">
        <v>4</v>
      </c>
      <c r="G459" t="s">
        <v>2652</v>
      </c>
      <c r="H459" t="s">
        <v>2564</v>
      </c>
      <c r="I459" t="s">
        <v>2555</v>
      </c>
      <c r="J459" t="s">
        <v>2569</v>
      </c>
      <c r="K459">
        <v>44</v>
      </c>
      <c r="L459" s="13" t="s">
        <v>257</v>
      </c>
    </row>
    <row r="460" spans="1:12" x14ac:dyDescent="0.25">
      <c r="A460" t="s">
        <v>3126</v>
      </c>
      <c r="B460" t="s">
        <v>157</v>
      </c>
      <c r="C460" t="str">
        <f>_xlfn.XLOOKUP(Table7[[#This Row],[app_id]],Table5[app_id],Table5[app_name],"",0)</f>
        <v>CinemaHub</v>
      </c>
      <c r="D460" t="s">
        <v>1778</v>
      </c>
      <c r="E460" s="1">
        <v>45905</v>
      </c>
      <c r="F460">
        <v>4</v>
      </c>
      <c r="G460" t="s">
        <v>2652</v>
      </c>
      <c r="H460" t="s">
        <v>2564</v>
      </c>
      <c r="I460" t="s">
        <v>2575</v>
      </c>
      <c r="J460" t="s">
        <v>2603</v>
      </c>
      <c r="K460">
        <v>39</v>
      </c>
      <c r="L460" s="13" t="s">
        <v>257</v>
      </c>
    </row>
    <row r="461" spans="1:12" x14ac:dyDescent="0.25">
      <c r="A461" t="s">
        <v>3127</v>
      </c>
      <c r="B461" t="s">
        <v>159</v>
      </c>
      <c r="C461" t="str">
        <f>_xlfn.XLOOKUP(Table7[[#This Row],[app_id]],Table5[app_id],Table5[app_name],"",0)</f>
        <v>ShowPro</v>
      </c>
      <c r="D461" t="s">
        <v>2263</v>
      </c>
      <c r="E461" s="1">
        <v>46083</v>
      </c>
      <c r="F461">
        <v>3</v>
      </c>
      <c r="G461" t="s">
        <v>2793</v>
      </c>
      <c r="H461" t="s">
        <v>2554</v>
      </c>
      <c r="I461" t="s">
        <v>2558</v>
      </c>
      <c r="J461" t="s">
        <v>2556</v>
      </c>
      <c r="K461">
        <v>30</v>
      </c>
      <c r="L461" s="13" t="s">
        <v>257</v>
      </c>
    </row>
    <row r="462" spans="1:12" x14ac:dyDescent="0.25">
      <c r="A462" t="s">
        <v>3128</v>
      </c>
      <c r="B462" t="s">
        <v>161</v>
      </c>
      <c r="C462" t="str">
        <f>_xlfn.XLOOKUP(Table7[[#This Row],[app_id]],Table5[app_id],Table5[app_name],"",0)</f>
        <v>FoodPlus</v>
      </c>
      <c r="D462" t="s">
        <v>842</v>
      </c>
      <c r="E462" s="1">
        <v>46094</v>
      </c>
      <c r="F462">
        <v>4</v>
      </c>
      <c r="G462" t="s">
        <v>2676</v>
      </c>
      <c r="H462" t="s">
        <v>2564</v>
      </c>
      <c r="I462" t="s">
        <v>2565</v>
      </c>
      <c r="J462" t="s">
        <v>2559</v>
      </c>
      <c r="K462">
        <v>19</v>
      </c>
      <c r="L462" s="13" t="s">
        <v>257</v>
      </c>
    </row>
    <row r="463" spans="1:12" x14ac:dyDescent="0.25">
      <c r="A463" t="s">
        <v>3129</v>
      </c>
      <c r="B463" t="s">
        <v>164</v>
      </c>
      <c r="C463" t="str">
        <f>_xlfn.XLOOKUP(Table7[[#This Row],[app_id]],Table5[app_id],Table5[app_name],"",0)</f>
        <v>BiteGo</v>
      </c>
      <c r="D463" t="s">
        <v>1012</v>
      </c>
      <c r="E463" s="1">
        <v>46101</v>
      </c>
      <c r="F463">
        <v>3</v>
      </c>
      <c r="G463" t="s">
        <v>2666</v>
      </c>
      <c r="H463" t="s">
        <v>2554</v>
      </c>
      <c r="I463" t="s">
        <v>2565</v>
      </c>
      <c r="J463" t="s">
        <v>2633</v>
      </c>
      <c r="K463">
        <v>33</v>
      </c>
      <c r="L463" s="13" t="s">
        <v>257</v>
      </c>
    </row>
    <row r="464" spans="1:12" x14ac:dyDescent="0.25">
      <c r="A464" t="s">
        <v>3130</v>
      </c>
      <c r="B464" t="s">
        <v>166</v>
      </c>
      <c r="C464" t="str">
        <f>_xlfn.XLOOKUP(Table7[[#This Row],[app_id]],Table5[app_id],Table5[app_name],"",0)</f>
        <v>OrderCloud</v>
      </c>
      <c r="D464" t="s">
        <v>1396</v>
      </c>
      <c r="E464" s="1">
        <v>45660</v>
      </c>
      <c r="F464">
        <v>2</v>
      </c>
      <c r="G464" t="s">
        <v>3131</v>
      </c>
      <c r="H464" t="s">
        <v>2587</v>
      </c>
      <c r="I464" t="s">
        <v>2558</v>
      </c>
      <c r="J464" t="s">
        <v>2569</v>
      </c>
      <c r="K464">
        <v>47</v>
      </c>
      <c r="L464" s="13" t="s">
        <v>257</v>
      </c>
    </row>
    <row r="465" spans="1:12" x14ac:dyDescent="0.25">
      <c r="A465" t="s">
        <v>3132</v>
      </c>
      <c r="B465" t="s">
        <v>168</v>
      </c>
      <c r="C465" t="str">
        <f>_xlfn.XLOOKUP(Table7[[#This Row],[app_id]],Table5[app_id],Table5[app_name],"",0)</f>
        <v>DinePlus</v>
      </c>
      <c r="D465" t="s">
        <v>1828</v>
      </c>
      <c r="E465" s="1">
        <v>45512</v>
      </c>
      <c r="F465">
        <v>4</v>
      </c>
      <c r="G465" t="s">
        <v>2806</v>
      </c>
      <c r="H465" t="s">
        <v>2564</v>
      </c>
      <c r="I465" t="s">
        <v>2558</v>
      </c>
      <c r="J465" t="s">
        <v>2566</v>
      </c>
      <c r="K465">
        <v>24</v>
      </c>
      <c r="L465" s="13" t="s">
        <v>257</v>
      </c>
    </row>
    <row r="466" spans="1:12" x14ac:dyDescent="0.25">
      <c r="A466" t="s">
        <v>3133</v>
      </c>
      <c r="B466" t="s">
        <v>170</v>
      </c>
      <c r="C466" t="str">
        <f>_xlfn.XLOOKUP(Table7[[#This Row],[app_id]],Table5[app_id],Table5[app_name],"",0)</f>
        <v>SnackX</v>
      </c>
      <c r="D466" t="s">
        <v>2057</v>
      </c>
      <c r="E466" s="1">
        <v>45610</v>
      </c>
      <c r="F466">
        <v>5</v>
      </c>
      <c r="G466" t="s">
        <v>2674</v>
      </c>
      <c r="H466" t="s">
        <v>2564</v>
      </c>
      <c r="I466" t="s">
        <v>2555</v>
      </c>
      <c r="J466" t="s">
        <v>2581</v>
      </c>
      <c r="K466">
        <v>47</v>
      </c>
      <c r="L466" s="13" t="s">
        <v>257</v>
      </c>
    </row>
    <row r="467" spans="1:12" x14ac:dyDescent="0.25">
      <c r="A467" t="s">
        <v>3134</v>
      </c>
      <c r="B467" t="s">
        <v>172</v>
      </c>
      <c r="C467" t="str">
        <f>_xlfn.XLOOKUP(Table7[[#This Row],[app_id]],Table5[app_id],Table5[app_name],"",0)</f>
        <v>FoodOne</v>
      </c>
      <c r="D467" t="s">
        <v>1083</v>
      </c>
      <c r="E467" s="1">
        <v>45316</v>
      </c>
      <c r="F467">
        <v>4</v>
      </c>
      <c r="G467" t="s">
        <v>2679</v>
      </c>
      <c r="H467" t="s">
        <v>2564</v>
      </c>
      <c r="I467" t="s">
        <v>2555</v>
      </c>
      <c r="J467" t="s">
        <v>2633</v>
      </c>
      <c r="K467">
        <v>28</v>
      </c>
      <c r="L467" s="13" t="s">
        <v>257</v>
      </c>
    </row>
    <row r="468" spans="1:12" x14ac:dyDescent="0.25">
      <c r="A468" t="s">
        <v>3135</v>
      </c>
      <c r="B468" t="s">
        <v>174</v>
      </c>
      <c r="C468" t="str">
        <f>_xlfn.XLOOKUP(Table7[[#This Row],[app_id]],Table5[app_id],Table5[app_name],"",0)</f>
        <v>MealMate</v>
      </c>
      <c r="D468" t="s">
        <v>1109</v>
      </c>
      <c r="E468" s="1">
        <v>45780</v>
      </c>
      <c r="F468">
        <v>3</v>
      </c>
      <c r="G468" t="s">
        <v>2668</v>
      </c>
      <c r="H468" t="s">
        <v>2554</v>
      </c>
      <c r="I468" t="s">
        <v>2571</v>
      </c>
      <c r="J468" t="s">
        <v>2556</v>
      </c>
      <c r="K468">
        <v>27</v>
      </c>
      <c r="L468" s="13" t="s">
        <v>257</v>
      </c>
    </row>
    <row r="469" spans="1:12" x14ac:dyDescent="0.25">
      <c r="A469" t="s">
        <v>3136</v>
      </c>
      <c r="B469" t="s">
        <v>176</v>
      </c>
      <c r="C469" t="str">
        <f>_xlfn.XLOOKUP(Table7[[#This Row],[app_id]],Table5[app_id],Table5[app_name],"",0)</f>
        <v>SnackHub</v>
      </c>
      <c r="D469" t="s">
        <v>2127</v>
      </c>
      <c r="E469" s="1">
        <v>46001</v>
      </c>
      <c r="F469">
        <v>4</v>
      </c>
      <c r="G469" t="s">
        <v>2679</v>
      </c>
      <c r="H469" t="s">
        <v>2564</v>
      </c>
      <c r="I469" t="s">
        <v>2575</v>
      </c>
      <c r="J469" t="s">
        <v>2561</v>
      </c>
      <c r="K469">
        <v>27</v>
      </c>
      <c r="L469" s="13" t="s">
        <v>257</v>
      </c>
    </row>
    <row r="470" spans="1:12" x14ac:dyDescent="0.25">
      <c r="A470" t="s">
        <v>3137</v>
      </c>
      <c r="B470" t="s">
        <v>178</v>
      </c>
      <c r="C470" t="str">
        <f>_xlfn.XLOOKUP(Table7[[#This Row],[app_id]],Table5[app_id],Table5[app_name],"",0)</f>
        <v>BiteCloud</v>
      </c>
      <c r="D470" t="s">
        <v>1125</v>
      </c>
      <c r="E470" s="1">
        <v>45308</v>
      </c>
      <c r="F470">
        <v>4</v>
      </c>
      <c r="G470" t="s">
        <v>2806</v>
      </c>
      <c r="H470" t="s">
        <v>2564</v>
      </c>
      <c r="I470" t="s">
        <v>2565</v>
      </c>
      <c r="J470" t="s">
        <v>2569</v>
      </c>
      <c r="K470">
        <v>11</v>
      </c>
      <c r="L470" s="13" t="s">
        <v>257</v>
      </c>
    </row>
    <row r="471" spans="1:12" x14ac:dyDescent="0.25">
      <c r="A471" t="s">
        <v>3138</v>
      </c>
      <c r="B471" t="s">
        <v>180</v>
      </c>
      <c r="C471" t="str">
        <f>_xlfn.XLOOKUP(Table7[[#This Row],[app_id]],Table5[app_id],Table5[app_name],"",0)</f>
        <v>PlatePlus</v>
      </c>
      <c r="D471" t="s">
        <v>1915</v>
      </c>
      <c r="E471" s="1">
        <v>45475</v>
      </c>
      <c r="F471">
        <v>4</v>
      </c>
      <c r="G471" t="s">
        <v>2806</v>
      </c>
      <c r="H471" t="s">
        <v>2564</v>
      </c>
      <c r="I471" t="s">
        <v>2575</v>
      </c>
      <c r="J471" t="s">
        <v>2596</v>
      </c>
      <c r="K471">
        <v>38</v>
      </c>
      <c r="L471" s="13" t="s">
        <v>257</v>
      </c>
    </row>
    <row r="472" spans="1:12" x14ac:dyDescent="0.25">
      <c r="A472" t="s">
        <v>3139</v>
      </c>
      <c r="B472" t="s">
        <v>182</v>
      </c>
      <c r="C472" t="str">
        <f>_xlfn.XLOOKUP(Table7[[#This Row],[app_id]],Table5[app_id],Table5[app_name],"",0)</f>
        <v>VoyageGo</v>
      </c>
      <c r="D472" t="s">
        <v>1596</v>
      </c>
      <c r="E472" s="1">
        <v>45663</v>
      </c>
      <c r="F472">
        <v>5</v>
      </c>
      <c r="G472" t="s">
        <v>2687</v>
      </c>
      <c r="H472" t="s">
        <v>2564</v>
      </c>
      <c r="I472" t="s">
        <v>2555</v>
      </c>
      <c r="J472" t="s">
        <v>2596</v>
      </c>
      <c r="K472">
        <v>10</v>
      </c>
      <c r="L472" s="13" t="s">
        <v>257</v>
      </c>
    </row>
    <row r="473" spans="1:12" x14ac:dyDescent="0.25">
      <c r="A473" t="s">
        <v>3140</v>
      </c>
      <c r="B473" t="s">
        <v>185</v>
      </c>
      <c r="C473" t="str">
        <f>_xlfn.XLOOKUP(Table7[[#This Row],[app_id]],Table5[app_id],Table5[app_name],"",0)</f>
        <v>TripOne</v>
      </c>
      <c r="D473" t="s">
        <v>1630</v>
      </c>
      <c r="E473" s="1">
        <v>45489</v>
      </c>
      <c r="F473">
        <v>3</v>
      </c>
      <c r="G473" t="s">
        <v>2690</v>
      </c>
      <c r="H473" t="s">
        <v>2554</v>
      </c>
      <c r="I473" t="s">
        <v>2555</v>
      </c>
      <c r="J473" t="s">
        <v>2596</v>
      </c>
      <c r="K473">
        <v>16</v>
      </c>
      <c r="L473" s="13" t="s">
        <v>257</v>
      </c>
    </row>
    <row r="474" spans="1:12" x14ac:dyDescent="0.25">
      <c r="A474" t="s">
        <v>3141</v>
      </c>
      <c r="B474" t="s">
        <v>187</v>
      </c>
      <c r="C474" t="str">
        <f>_xlfn.XLOOKUP(Table7[[#This Row],[app_id]],Table5[app_id],Table5[app_name],"",0)</f>
        <v>FlyGo</v>
      </c>
      <c r="D474" t="s">
        <v>1554</v>
      </c>
      <c r="E474" s="1">
        <v>46025</v>
      </c>
      <c r="F474">
        <v>4</v>
      </c>
      <c r="G474" t="s">
        <v>2687</v>
      </c>
      <c r="H474" t="s">
        <v>2564</v>
      </c>
      <c r="I474" t="s">
        <v>2565</v>
      </c>
      <c r="J474" t="s">
        <v>2559</v>
      </c>
      <c r="K474">
        <v>38</v>
      </c>
      <c r="L474" s="13" t="s">
        <v>257</v>
      </c>
    </row>
    <row r="475" spans="1:12" x14ac:dyDescent="0.25">
      <c r="A475" t="s">
        <v>3142</v>
      </c>
      <c r="B475" t="s">
        <v>189</v>
      </c>
      <c r="C475" t="str">
        <f>_xlfn.XLOOKUP(Table7[[#This Row],[app_id]],Table5[app_id],Table5[app_name],"",0)</f>
        <v>MapX</v>
      </c>
      <c r="D475" t="s">
        <v>1308</v>
      </c>
      <c r="E475" s="1">
        <v>45320</v>
      </c>
      <c r="F475">
        <v>5</v>
      </c>
      <c r="G475" t="s">
        <v>2931</v>
      </c>
      <c r="H475" t="s">
        <v>2564</v>
      </c>
      <c r="I475" t="s">
        <v>2565</v>
      </c>
      <c r="J475" t="s">
        <v>2596</v>
      </c>
      <c r="K475">
        <v>33</v>
      </c>
      <c r="L475" s="13" t="s">
        <v>257</v>
      </c>
    </row>
    <row r="476" spans="1:12" x14ac:dyDescent="0.25">
      <c r="A476" t="s">
        <v>3143</v>
      </c>
      <c r="B476" t="s">
        <v>191</v>
      </c>
      <c r="C476" t="str">
        <f>_xlfn.XLOOKUP(Table7[[#This Row],[app_id]],Table5[app_id],Table5[app_name],"",0)</f>
        <v>StayX</v>
      </c>
      <c r="D476" t="s">
        <v>2196</v>
      </c>
      <c r="E476" s="1">
        <v>45461</v>
      </c>
      <c r="F476">
        <v>3</v>
      </c>
      <c r="G476" t="s">
        <v>2690</v>
      </c>
      <c r="H476" t="s">
        <v>2554</v>
      </c>
      <c r="I476" t="s">
        <v>2555</v>
      </c>
      <c r="J476" t="s">
        <v>2633</v>
      </c>
      <c r="K476">
        <v>6</v>
      </c>
      <c r="L476" s="13" t="s">
        <v>257</v>
      </c>
    </row>
    <row r="477" spans="1:12" x14ac:dyDescent="0.25">
      <c r="A477" t="s">
        <v>3144</v>
      </c>
      <c r="B477" t="s">
        <v>193</v>
      </c>
      <c r="C477" t="str">
        <f>_xlfn.XLOOKUP(Table7[[#This Row],[app_id]],Table5[app_id],Table5[app_name],"",0)</f>
        <v>GoNow</v>
      </c>
      <c r="D477" t="s">
        <v>2464</v>
      </c>
      <c r="E477" s="1">
        <v>45647</v>
      </c>
      <c r="F477">
        <v>3</v>
      </c>
      <c r="G477" t="s">
        <v>2690</v>
      </c>
      <c r="H477" t="s">
        <v>2554</v>
      </c>
      <c r="I477" t="s">
        <v>2565</v>
      </c>
      <c r="J477" t="s">
        <v>2581</v>
      </c>
      <c r="K477">
        <v>29</v>
      </c>
      <c r="L477" s="13" t="s">
        <v>257</v>
      </c>
    </row>
    <row r="478" spans="1:12" x14ac:dyDescent="0.25">
      <c r="A478" t="s">
        <v>3145</v>
      </c>
      <c r="B478" t="s">
        <v>195</v>
      </c>
      <c r="C478" t="str">
        <f>_xlfn.XLOOKUP(Table7[[#This Row],[app_id]],Table5[app_id],Table5[app_name],"",0)</f>
        <v>RouteGo</v>
      </c>
      <c r="D478" t="s">
        <v>1510</v>
      </c>
      <c r="E478" s="1">
        <v>45955</v>
      </c>
      <c r="F478">
        <v>3</v>
      </c>
      <c r="G478" t="s">
        <v>2690</v>
      </c>
      <c r="H478" t="s">
        <v>2554</v>
      </c>
      <c r="I478" t="s">
        <v>2584</v>
      </c>
      <c r="J478" t="s">
        <v>2603</v>
      </c>
      <c r="K478">
        <v>2</v>
      </c>
      <c r="L478" s="13" t="s">
        <v>257</v>
      </c>
    </row>
    <row r="479" spans="1:12" x14ac:dyDescent="0.25">
      <c r="A479" t="s">
        <v>3146</v>
      </c>
      <c r="B479" t="s">
        <v>197</v>
      </c>
      <c r="C479" t="str">
        <f>_xlfn.XLOOKUP(Table7[[#This Row],[app_id]],Table5[app_id],Table5[app_name],"",0)</f>
        <v>TripGo</v>
      </c>
      <c r="D479" t="s">
        <v>715</v>
      </c>
      <c r="E479" s="1">
        <v>45627</v>
      </c>
      <c r="F479">
        <v>4</v>
      </c>
      <c r="G479" t="s">
        <v>2687</v>
      </c>
      <c r="H479" t="s">
        <v>2564</v>
      </c>
      <c r="I479" t="s">
        <v>2575</v>
      </c>
      <c r="J479" t="s">
        <v>2569</v>
      </c>
      <c r="K479">
        <v>42</v>
      </c>
      <c r="L479" s="13" t="s">
        <v>257</v>
      </c>
    </row>
    <row r="480" spans="1:12" x14ac:dyDescent="0.25">
      <c r="A480" t="s">
        <v>3147</v>
      </c>
      <c r="B480" t="s">
        <v>199</v>
      </c>
      <c r="C480" t="str">
        <f>_xlfn.XLOOKUP(Table7[[#This Row],[app_id]],Table5[app_id],Table5[app_name],"",0)</f>
        <v>Flyly</v>
      </c>
      <c r="D480" t="s">
        <v>901</v>
      </c>
      <c r="E480" s="1">
        <v>46085</v>
      </c>
      <c r="F480">
        <v>2</v>
      </c>
      <c r="G480" t="s">
        <v>3148</v>
      </c>
      <c r="H480" t="s">
        <v>2587</v>
      </c>
      <c r="I480" t="s">
        <v>2558</v>
      </c>
      <c r="J480" t="s">
        <v>2603</v>
      </c>
      <c r="K480">
        <v>77</v>
      </c>
      <c r="L480" s="13" t="s">
        <v>258</v>
      </c>
    </row>
    <row r="481" spans="1:12" x14ac:dyDescent="0.25">
      <c r="A481" t="s">
        <v>3149</v>
      </c>
      <c r="B481" t="s">
        <v>201</v>
      </c>
      <c r="C481" t="str">
        <f>_xlfn.XLOOKUP(Table7[[#This Row],[app_id]],Table5[app_id],Table5[app_name],"",0)</f>
        <v>TripPro</v>
      </c>
      <c r="D481" t="s">
        <v>2410</v>
      </c>
      <c r="E481" s="1">
        <v>45928</v>
      </c>
      <c r="F481">
        <v>3</v>
      </c>
      <c r="G481" t="s">
        <v>2815</v>
      </c>
      <c r="H481" t="s">
        <v>2554</v>
      </c>
      <c r="I481" t="s">
        <v>2584</v>
      </c>
      <c r="J481" t="s">
        <v>2566</v>
      </c>
      <c r="K481">
        <v>12</v>
      </c>
      <c r="L481" s="13" t="s">
        <v>257</v>
      </c>
    </row>
    <row r="482" spans="1:12" x14ac:dyDescent="0.25">
      <c r="A482" t="s">
        <v>3150</v>
      </c>
      <c r="B482" t="s">
        <v>203</v>
      </c>
      <c r="C482" t="str">
        <f>_xlfn.XLOOKUP(Table7[[#This Row],[app_id]],Table5[app_id],Table5[app_name],"",0)</f>
        <v>Focusly</v>
      </c>
      <c r="D482" t="s">
        <v>1815</v>
      </c>
      <c r="E482" s="1">
        <v>45751</v>
      </c>
      <c r="F482">
        <v>2</v>
      </c>
      <c r="G482" t="s">
        <v>3051</v>
      </c>
      <c r="H482" t="s">
        <v>2587</v>
      </c>
      <c r="I482" t="s">
        <v>2578</v>
      </c>
      <c r="J482" t="s">
        <v>2633</v>
      </c>
      <c r="K482">
        <v>94</v>
      </c>
      <c r="L482" s="13" t="s">
        <v>258</v>
      </c>
    </row>
    <row r="483" spans="1:12" x14ac:dyDescent="0.25">
      <c r="A483" t="s">
        <v>3151</v>
      </c>
      <c r="B483" t="s">
        <v>206</v>
      </c>
      <c r="C483" t="str">
        <f>_xlfn.XLOOKUP(Table7[[#This Row],[app_id]],Table5[app_id],Table5[app_name],"",0)</f>
        <v>DeskX</v>
      </c>
      <c r="D483" t="s">
        <v>1248</v>
      </c>
      <c r="E483" s="1">
        <v>45802</v>
      </c>
      <c r="F483">
        <v>4</v>
      </c>
      <c r="G483" t="s">
        <v>2836</v>
      </c>
      <c r="H483" t="s">
        <v>2564</v>
      </c>
      <c r="I483" t="s">
        <v>2555</v>
      </c>
      <c r="J483" t="s">
        <v>2561</v>
      </c>
      <c r="K483">
        <v>7</v>
      </c>
      <c r="L483" s="13" t="s">
        <v>257</v>
      </c>
    </row>
    <row r="484" spans="1:12" x14ac:dyDescent="0.25">
      <c r="A484" t="s">
        <v>3152</v>
      </c>
      <c r="B484" t="s">
        <v>208</v>
      </c>
      <c r="C484" t="str">
        <f>_xlfn.XLOOKUP(Table7[[#This Row],[app_id]],Table5[app_id],Table5[app_name],"",0)</f>
        <v>DonePro</v>
      </c>
      <c r="D484" t="s">
        <v>2362</v>
      </c>
      <c r="E484" s="1">
        <v>45804</v>
      </c>
      <c r="F484">
        <v>4</v>
      </c>
      <c r="G484" t="s">
        <v>2708</v>
      </c>
      <c r="H484" t="s">
        <v>2564</v>
      </c>
      <c r="I484" t="s">
        <v>2555</v>
      </c>
      <c r="J484" t="s">
        <v>2633</v>
      </c>
      <c r="K484">
        <v>16</v>
      </c>
      <c r="L484" s="13" t="s">
        <v>258</v>
      </c>
    </row>
    <row r="485" spans="1:12" x14ac:dyDescent="0.25">
      <c r="A485" t="s">
        <v>3153</v>
      </c>
      <c r="B485" t="s">
        <v>210</v>
      </c>
      <c r="C485" t="str">
        <f>_xlfn.XLOOKUP(Table7[[#This Row],[app_id]],Table5[app_id],Table5[app_name],"",0)</f>
        <v>NotePlus</v>
      </c>
      <c r="D485" t="s">
        <v>908</v>
      </c>
      <c r="E485" s="1">
        <v>46117</v>
      </c>
      <c r="F485">
        <v>4</v>
      </c>
      <c r="G485" t="s">
        <v>2708</v>
      </c>
      <c r="H485" t="s">
        <v>2564</v>
      </c>
      <c r="I485" t="s">
        <v>2555</v>
      </c>
      <c r="J485" t="s">
        <v>2633</v>
      </c>
      <c r="K485">
        <v>22</v>
      </c>
      <c r="L485" s="13" t="s">
        <v>257</v>
      </c>
    </row>
    <row r="486" spans="1:12" x14ac:dyDescent="0.25">
      <c r="A486" t="s">
        <v>3154</v>
      </c>
      <c r="B486" t="s">
        <v>212</v>
      </c>
      <c r="C486" t="str">
        <f>_xlfn.XLOOKUP(Table7[[#This Row],[app_id]],Table5[app_id],Table5[app_name],"",0)</f>
        <v>SyncPlus</v>
      </c>
      <c r="D486" t="s">
        <v>1945</v>
      </c>
      <c r="E486" s="1">
        <v>45972</v>
      </c>
      <c r="F486">
        <v>3</v>
      </c>
      <c r="G486" t="s">
        <v>2706</v>
      </c>
      <c r="H486" t="s">
        <v>2554</v>
      </c>
      <c r="I486" t="s">
        <v>2565</v>
      </c>
      <c r="J486" t="s">
        <v>2559</v>
      </c>
      <c r="K486">
        <v>20</v>
      </c>
      <c r="L486" s="13" t="s">
        <v>257</v>
      </c>
    </row>
    <row r="487" spans="1:12" x14ac:dyDescent="0.25">
      <c r="A487" t="s">
        <v>3155</v>
      </c>
      <c r="B487" t="s">
        <v>214</v>
      </c>
      <c r="C487" t="str">
        <f>_xlfn.XLOOKUP(Table7[[#This Row],[app_id]],Table5[app_id],Table5[app_name],"",0)</f>
        <v>NoteOne</v>
      </c>
      <c r="D487" t="s">
        <v>1672</v>
      </c>
      <c r="E487" s="1">
        <v>45583</v>
      </c>
      <c r="F487">
        <v>3</v>
      </c>
      <c r="G487" t="s">
        <v>2706</v>
      </c>
      <c r="H487" t="s">
        <v>2554</v>
      </c>
      <c r="I487" t="s">
        <v>2584</v>
      </c>
      <c r="J487" t="s">
        <v>2569</v>
      </c>
      <c r="K487">
        <v>23</v>
      </c>
      <c r="L487" s="13" t="s">
        <v>257</v>
      </c>
    </row>
    <row r="488" spans="1:12" x14ac:dyDescent="0.25">
      <c r="A488" t="s">
        <v>3156</v>
      </c>
      <c r="B488" t="s">
        <v>216</v>
      </c>
      <c r="C488" t="str">
        <f>_xlfn.XLOOKUP(Table7[[#This Row],[app_id]],Table5[app_id],Table5[app_name],"",0)</f>
        <v>NoteMate</v>
      </c>
      <c r="D488" t="s">
        <v>1884</v>
      </c>
      <c r="E488" s="1">
        <v>45341</v>
      </c>
      <c r="F488">
        <v>4</v>
      </c>
      <c r="G488" t="s">
        <v>2703</v>
      </c>
      <c r="H488" t="s">
        <v>2564</v>
      </c>
      <c r="I488" t="s">
        <v>2555</v>
      </c>
      <c r="J488" t="s">
        <v>2633</v>
      </c>
      <c r="K488">
        <v>29</v>
      </c>
      <c r="L488" s="13" t="s">
        <v>257</v>
      </c>
    </row>
    <row r="489" spans="1:12" x14ac:dyDescent="0.25">
      <c r="A489" t="s">
        <v>3157</v>
      </c>
      <c r="B489" t="s">
        <v>218</v>
      </c>
      <c r="C489" t="str">
        <f>_xlfn.XLOOKUP(Table7[[#This Row],[app_id]],Table5[app_id],Table5[app_name],"",0)</f>
        <v>PlanPlus</v>
      </c>
      <c r="D489" t="s">
        <v>1052</v>
      </c>
      <c r="E489" s="1">
        <v>45482</v>
      </c>
      <c r="F489">
        <v>4</v>
      </c>
      <c r="G489" t="s">
        <v>2703</v>
      </c>
      <c r="H489" t="s">
        <v>2564</v>
      </c>
      <c r="I489" t="s">
        <v>2558</v>
      </c>
      <c r="J489" t="s">
        <v>2581</v>
      </c>
      <c r="K489">
        <v>27</v>
      </c>
      <c r="L489" s="13" t="s">
        <v>257</v>
      </c>
    </row>
    <row r="490" spans="1:12" x14ac:dyDescent="0.25">
      <c r="A490" t="s">
        <v>3158</v>
      </c>
      <c r="B490" t="s">
        <v>220</v>
      </c>
      <c r="C490" t="str">
        <f>_xlfn.XLOOKUP(Table7[[#This Row],[app_id]],Table5[app_id],Table5[app_name],"",0)</f>
        <v>PlanMate</v>
      </c>
      <c r="D490" t="s">
        <v>2037</v>
      </c>
      <c r="E490" s="1">
        <v>45383</v>
      </c>
      <c r="F490">
        <v>4</v>
      </c>
      <c r="G490" t="s">
        <v>2836</v>
      </c>
      <c r="H490" t="s">
        <v>2564</v>
      </c>
      <c r="I490" t="s">
        <v>2571</v>
      </c>
      <c r="J490" t="s">
        <v>2633</v>
      </c>
      <c r="K490">
        <v>38</v>
      </c>
      <c r="L490" s="13" t="s">
        <v>257</v>
      </c>
    </row>
    <row r="491" spans="1:12" x14ac:dyDescent="0.25">
      <c r="A491" t="s">
        <v>3159</v>
      </c>
      <c r="B491" t="s">
        <v>222</v>
      </c>
      <c r="C491" t="str">
        <f>_xlfn.XLOOKUP(Table7[[#This Row],[app_id]],Table5[app_id],Table5[app_name],"",0)</f>
        <v>SyncPlus</v>
      </c>
      <c r="D491" t="s">
        <v>2412</v>
      </c>
      <c r="E491" s="1">
        <v>45892</v>
      </c>
      <c r="F491">
        <v>3</v>
      </c>
      <c r="G491" t="s">
        <v>2706</v>
      </c>
      <c r="H491" t="s">
        <v>2554</v>
      </c>
      <c r="I491" t="s">
        <v>2584</v>
      </c>
      <c r="J491" t="s">
        <v>2596</v>
      </c>
      <c r="K491">
        <v>4</v>
      </c>
      <c r="L491" s="13" t="s">
        <v>258</v>
      </c>
    </row>
    <row r="492" spans="1:12" x14ac:dyDescent="0.25">
      <c r="A492" t="s">
        <v>3160</v>
      </c>
      <c r="B492" t="s">
        <v>223</v>
      </c>
      <c r="C492" t="str">
        <f>_xlfn.XLOOKUP(Table7[[#This Row],[app_id]],Table5[app_id],Table5[app_name],"",0)</f>
        <v>ClinicPro</v>
      </c>
      <c r="D492" t="s">
        <v>1429</v>
      </c>
      <c r="E492" s="1">
        <v>45329</v>
      </c>
      <c r="F492">
        <v>5</v>
      </c>
      <c r="G492" t="s">
        <v>2722</v>
      </c>
      <c r="H492" t="s">
        <v>2564</v>
      </c>
      <c r="I492" t="s">
        <v>2565</v>
      </c>
      <c r="J492" t="s">
        <v>2569</v>
      </c>
      <c r="K492">
        <v>10</v>
      </c>
      <c r="L492" s="13" t="s">
        <v>258</v>
      </c>
    </row>
    <row r="493" spans="1:12" x14ac:dyDescent="0.25">
      <c r="A493" t="s">
        <v>3161</v>
      </c>
      <c r="B493" t="s">
        <v>226</v>
      </c>
      <c r="C493" t="str">
        <f>_xlfn.XLOOKUP(Table7[[#This Row],[app_id]],Table5[app_id],Table5[app_name],"",0)</f>
        <v>MindMate</v>
      </c>
      <c r="D493" t="s">
        <v>1595</v>
      </c>
      <c r="E493" s="1">
        <v>45321</v>
      </c>
      <c r="F493">
        <v>4</v>
      </c>
      <c r="G493" t="s">
        <v>2722</v>
      </c>
      <c r="H493" t="s">
        <v>2564</v>
      </c>
      <c r="I493" t="s">
        <v>2575</v>
      </c>
      <c r="J493" t="s">
        <v>2566</v>
      </c>
      <c r="K493">
        <v>6</v>
      </c>
      <c r="L493" s="13" t="s">
        <v>257</v>
      </c>
    </row>
    <row r="494" spans="1:12" x14ac:dyDescent="0.25">
      <c r="A494" t="s">
        <v>3162</v>
      </c>
      <c r="B494" t="s">
        <v>228</v>
      </c>
      <c r="C494" t="str">
        <f>_xlfn.XLOOKUP(Table7[[#This Row],[app_id]],Table5[app_id],Table5[app_name],"",0)</f>
        <v>ClinicOne</v>
      </c>
      <c r="D494" t="s">
        <v>878</v>
      </c>
      <c r="E494" s="1">
        <v>46056</v>
      </c>
      <c r="F494">
        <v>5</v>
      </c>
      <c r="G494" t="s">
        <v>2728</v>
      </c>
      <c r="H494" t="s">
        <v>2564</v>
      </c>
      <c r="I494" t="s">
        <v>2565</v>
      </c>
      <c r="J494" t="s">
        <v>2556</v>
      </c>
      <c r="K494">
        <v>12</v>
      </c>
      <c r="L494" s="13" t="s">
        <v>258</v>
      </c>
    </row>
    <row r="495" spans="1:12" x14ac:dyDescent="0.25">
      <c r="A495" t="s">
        <v>3163</v>
      </c>
      <c r="B495" t="s">
        <v>230</v>
      </c>
      <c r="C495" t="str">
        <f>_xlfn.XLOOKUP(Table7[[#This Row],[app_id]],Table5[app_id],Table5[app_name],"",0)</f>
        <v>WellMate</v>
      </c>
      <c r="D495" t="s">
        <v>1546</v>
      </c>
      <c r="E495" s="1">
        <v>45430</v>
      </c>
      <c r="F495">
        <v>4</v>
      </c>
      <c r="G495" t="s">
        <v>2722</v>
      </c>
      <c r="H495" t="s">
        <v>2564</v>
      </c>
      <c r="I495" t="s">
        <v>2571</v>
      </c>
      <c r="J495" t="s">
        <v>2600</v>
      </c>
      <c r="K495">
        <v>18</v>
      </c>
      <c r="L495" s="13" t="s">
        <v>257</v>
      </c>
    </row>
    <row r="496" spans="1:12" x14ac:dyDescent="0.25">
      <c r="A496" t="s">
        <v>3164</v>
      </c>
      <c r="B496" t="s">
        <v>232</v>
      </c>
      <c r="C496" t="str">
        <f>_xlfn.XLOOKUP(Table7[[#This Row],[app_id]],Table5[app_id],Table5[app_name],"",0)</f>
        <v>MediMate</v>
      </c>
      <c r="D496" t="s">
        <v>1616</v>
      </c>
      <c r="E496" s="1">
        <v>45457</v>
      </c>
      <c r="F496">
        <v>4</v>
      </c>
      <c r="G496" t="s">
        <v>2728</v>
      </c>
      <c r="H496" t="s">
        <v>2564</v>
      </c>
      <c r="I496" t="s">
        <v>2565</v>
      </c>
      <c r="J496" t="s">
        <v>2603</v>
      </c>
      <c r="K496">
        <v>17</v>
      </c>
      <c r="L496" s="13" t="s">
        <v>257</v>
      </c>
    </row>
    <row r="497" spans="1:12" x14ac:dyDescent="0.25">
      <c r="A497" t="s">
        <v>3165</v>
      </c>
      <c r="B497" t="s">
        <v>234</v>
      </c>
      <c r="C497" t="str">
        <f>_xlfn.XLOOKUP(Table7[[#This Row],[app_id]],Table5[app_id],Table5[app_name],"",0)</f>
        <v>WellNow</v>
      </c>
      <c r="D497" t="s">
        <v>942</v>
      </c>
      <c r="E497" s="1">
        <v>45566</v>
      </c>
      <c r="F497">
        <v>5</v>
      </c>
      <c r="G497" t="s">
        <v>2954</v>
      </c>
      <c r="H497" t="s">
        <v>2564</v>
      </c>
      <c r="I497" t="s">
        <v>2571</v>
      </c>
      <c r="J497" t="s">
        <v>2596</v>
      </c>
      <c r="K497">
        <v>42</v>
      </c>
      <c r="L497" s="13" t="s">
        <v>257</v>
      </c>
    </row>
    <row r="498" spans="1:12" x14ac:dyDescent="0.25">
      <c r="A498" t="s">
        <v>3166</v>
      </c>
      <c r="B498" t="s">
        <v>236</v>
      </c>
      <c r="C498" t="str">
        <f>_xlfn.XLOOKUP(Table7[[#This Row],[app_id]],Table5[app_id],Table5[app_name],"",0)</f>
        <v>CareCloud</v>
      </c>
      <c r="D498" t="s">
        <v>1917</v>
      </c>
      <c r="E498" s="1">
        <v>45723</v>
      </c>
      <c r="F498">
        <v>3</v>
      </c>
      <c r="G498" t="s">
        <v>2718</v>
      </c>
      <c r="H498" t="s">
        <v>2554</v>
      </c>
      <c r="I498" t="s">
        <v>2584</v>
      </c>
      <c r="J498" t="s">
        <v>2596</v>
      </c>
      <c r="K498">
        <v>34</v>
      </c>
      <c r="L498" s="13" t="s">
        <v>257</v>
      </c>
    </row>
    <row r="499" spans="1:12" x14ac:dyDescent="0.25">
      <c r="A499" t="s">
        <v>3167</v>
      </c>
      <c r="B499" t="s">
        <v>238</v>
      </c>
      <c r="C499" t="str">
        <f>_xlfn.XLOOKUP(Table7[[#This Row],[app_id]],Table5[app_id],Table5[app_name],"",0)</f>
        <v>MediNow</v>
      </c>
      <c r="D499" t="s">
        <v>810</v>
      </c>
      <c r="E499" s="1">
        <v>45783</v>
      </c>
      <c r="F499">
        <v>5</v>
      </c>
      <c r="G499" t="s">
        <v>2722</v>
      </c>
      <c r="H499" t="s">
        <v>2564</v>
      </c>
      <c r="I499" t="s">
        <v>2558</v>
      </c>
      <c r="J499" t="s">
        <v>2581</v>
      </c>
      <c r="K499">
        <v>45</v>
      </c>
      <c r="L499" s="13" t="s">
        <v>257</v>
      </c>
    </row>
    <row r="500" spans="1:12" x14ac:dyDescent="0.25">
      <c r="A500" t="s">
        <v>3168</v>
      </c>
      <c r="B500" t="s">
        <v>240</v>
      </c>
      <c r="C500" t="str">
        <f>_xlfn.XLOOKUP(Table7[[#This Row],[app_id]],Table5[app_id],Table5[app_name],"",0)</f>
        <v>MindPlus</v>
      </c>
      <c r="D500" t="s">
        <v>1720</v>
      </c>
      <c r="E500" s="1">
        <v>45320</v>
      </c>
      <c r="F500">
        <v>2</v>
      </c>
      <c r="G500" t="s">
        <v>2844</v>
      </c>
      <c r="H500" t="s">
        <v>2587</v>
      </c>
      <c r="I500" t="s">
        <v>2555</v>
      </c>
      <c r="J500" t="s">
        <v>2561</v>
      </c>
      <c r="K500">
        <v>13</v>
      </c>
      <c r="L500" s="13" t="s">
        <v>257</v>
      </c>
    </row>
    <row r="501" spans="1:12" x14ac:dyDescent="0.25">
      <c r="A501" t="s">
        <v>3169</v>
      </c>
      <c r="B501" t="s">
        <v>242</v>
      </c>
      <c r="C501" t="str">
        <f>_xlfn.XLOOKUP(Table7[[#This Row],[app_id]],Table5[app_id],Table5[app_name],"",0)</f>
        <v>MediCloud</v>
      </c>
      <c r="D501" t="s">
        <v>1158</v>
      </c>
      <c r="E501" s="1">
        <v>45629</v>
      </c>
      <c r="F501">
        <v>4</v>
      </c>
      <c r="G501" t="s">
        <v>2716</v>
      </c>
      <c r="H501" t="s">
        <v>2564</v>
      </c>
      <c r="I501" t="s">
        <v>2565</v>
      </c>
      <c r="J501" t="s">
        <v>2603</v>
      </c>
      <c r="K501">
        <v>38</v>
      </c>
      <c r="L501" s="13" t="s">
        <v>258</v>
      </c>
    </row>
    <row r="502" spans="1:12" x14ac:dyDescent="0.25">
      <c r="A502" t="s">
        <v>3170</v>
      </c>
      <c r="B502" t="s">
        <v>12</v>
      </c>
      <c r="C502" t="str">
        <f>_xlfn.XLOOKUP(Table7[[#This Row],[app_id]],Table5[app_id],Table5[app_name],"",0)</f>
        <v>InvestPro</v>
      </c>
      <c r="D502" t="s">
        <v>1256</v>
      </c>
      <c r="E502" s="1">
        <v>45419</v>
      </c>
      <c r="F502">
        <v>3</v>
      </c>
      <c r="G502" t="s">
        <v>2735</v>
      </c>
      <c r="H502" t="s">
        <v>2554</v>
      </c>
      <c r="I502" t="s">
        <v>2555</v>
      </c>
      <c r="J502" t="s">
        <v>2569</v>
      </c>
      <c r="K502">
        <v>33</v>
      </c>
      <c r="L502" s="13" t="s">
        <v>257</v>
      </c>
    </row>
    <row r="503" spans="1:12" x14ac:dyDescent="0.25">
      <c r="A503" t="s">
        <v>3171</v>
      </c>
      <c r="B503" t="s">
        <v>19</v>
      </c>
      <c r="C503" t="str">
        <f>_xlfn.XLOOKUP(Table7[[#This Row],[app_id]],Table5[app_id],Table5[app_name],"",0)</f>
        <v>BankPro</v>
      </c>
      <c r="D503" t="s">
        <v>1596</v>
      </c>
      <c r="E503" s="1">
        <v>45468</v>
      </c>
      <c r="F503">
        <v>3</v>
      </c>
      <c r="G503" t="s">
        <v>2735</v>
      </c>
      <c r="H503" t="s">
        <v>2554</v>
      </c>
      <c r="I503" t="s">
        <v>2555</v>
      </c>
      <c r="J503" t="s">
        <v>2600</v>
      </c>
      <c r="K503">
        <v>28</v>
      </c>
      <c r="L503" s="13" t="s">
        <v>258</v>
      </c>
    </row>
    <row r="504" spans="1:12" x14ac:dyDescent="0.25">
      <c r="A504" t="s">
        <v>3172</v>
      </c>
      <c r="B504" t="s">
        <v>24</v>
      </c>
      <c r="C504" t="str">
        <f>_xlfn.XLOOKUP(Table7[[#This Row],[app_id]],Table5[app_id],Table5[app_name],"",0)</f>
        <v>BankX</v>
      </c>
      <c r="D504" t="s">
        <v>1671</v>
      </c>
      <c r="E504" s="1">
        <v>46121</v>
      </c>
      <c r="F504">
        <v>3</v>
      </c>
      <c r="G504" t="s">
        <v>2553</v>
      </c>
      <c r="H504" t="s">
        <v>2554</v>
      </c>
      <c r="I504" t="s">
        <v>2578</v>
      </c>
      <c r="J504" t="s">
        <v>2559</v>
      </c>
      <c r="K504">
        <v>47</v>
      </c>
      <c r="L504" s="13" t="s">
        <v>257</v>
      </c>
    </row>
    <row r="505" spans="1:12" x14ac:dyDescent="0.25">
      <c r="A505" t="s">
        <v>3173</v>
      </c>
      <c r="B505" t="s">
        <v>27</v>
      </c>
      <c r="C505" t="str">
        <f>_xlfn.XLOOKUP(Table7[[#This Row],[app_id]],Table5[app_id],Table5[app_name],"",0)</f>
        <v>BankNow</v>
      </c>
      <c r="D505" t="s">
        <v>1964</v>
      </c>
      <c r="E505" s="1">
        <v>46108</v>
      </c>
      <c r="F505">
        <v>3</v>
      </c>
      <c r="G505" t="s">
        <v>2968</v>
      </c>
      <c r="H505" t="s">
        <v>2554</v>
      </c>
      <c r="I505" t="s">
        <v>2555</v>
      </c>
      <c r="J505" t="s">
        <v>2600</v>
      </c>
      <c r="K505">
        <v>2</v>
      </c>
      <c r="L505" s="13" t="s">
        <v>257</v>
      </c>
    </row>
    <row r="506" spans="1:12" x14ac:dyDescent="0.25">
      <c r="A506" t="s">
        <v>3174</v>
      </c>
      <c r="B506" t="s">
        <v>31</v>
      </c>
      <c r="C506" t="str">
        <f>_xlfn.XLOOKUP(Table7[[#This Row],[app_id]],Table5[app_id],Table5[app_name],"",0)</f>
        <v>CreditHub</v>
      </c>
      <c r="D506" t="s">
        <v>1654</v>
      </c>
      <c r="E506" s="1">
        <v>46088</v>
      </c>
      <c r="F506">
        <v>5</v>
      </c>
      <c r="G506" t="s">
        <v>2563</v>
      </c>
      <c r="H506" t="s">
        <v>2564</v>
      </c>
      <c r="I506" t="s">
        <v>2558</v>
      </c>
      <c r="J506" t="s">
        <v>2596</v>
      </c>
      <c r="K506">
        <v>23</v>
      </c>
      <c r="L506" s="13" t="s">
        <v>257</v>
      </c>
    </row>
    <row r="507" spans="1:12" x14ac:dyDescent="0.25">
      <c r="A507" t="s">
        <v>3175</v>
      </c>
      <c r="B507" t="s">
        <v>36</v>
      </c>
      <c r="C507" t="str">
        <f>_xlfn.XLOOKUP(Table7[[#This Row],[app_id]],Table5[app_id],Table5[app_name],"",0)</f>
        <v>PayPlus</v>
      </c>
      <c r="D507" t="s">
        <v>952</v>
      </c>
      <c r="E507" s="1">
        <v>45882</v>
      </c>
      <c r="F507">
        <v>3</v>
      </c>
      <c r="G507" t="s">
        <v>2553</v>
      </c>
      <c r="H507" t="s">
        <v>2554</v>
      </c>
      <c r="I507" t="s">
        <v>2578</v>
      </c>
      <c r="J507" t="s">
        <v>2559</v>
      </c>
      <c r="K507">
        <v>16</v>
      </c>
      <c r="L507" s="13" t="s">
        <v>257</v>
      </c>
    </row>
    <row r="508" spans="1:12" x14ac:dyDescent="0.25">
      <c r="A508" t="s">
        <v>3176</v>
      </c>
      <c r="B508" t="s">
        <v>39</v>
      </c>
      <c r="C508" t="str">
        <f>_xlfn.XLOOKUP(Table7[[#This Row],[app_id]],Table5[app_id],Table5[app_name],"",0)</f>
        <v>BankPlus</v>
      </c>
      <c r="D508" t="s">
        <v>2057</v>
      </c>
      <c r="E508" s="1">
        <v>45570</v>
      </c>
      <c r="F508">
        <v>3</v>
      </c>
      <c r="G508" t="s">
        <v>2553</v>
      </c>
      <c r="H508" t="s">
        <v>2554</v>
      </c>
      <c r="I508" t="s">
        <v>2578</v>
      </c>
      <c r="J508" t="s">
        <v>2596</v>
      </c>
      <c r="K508">
        <v>23</v>
      </c>
      <c r="L508" s="13" t="s">
        <v>257</v>
      </c>
    </row>
    <row r="509" spans="1:12" x14ac:dyDescent="0.25">
      <c r="A509" t="s">
        <v>3177</v>
      </c>
      <c r="B509" t="s">
        <v>42</v>
      </c>
      <c r="C509" t="str">
        <f>_xlfn.XLOOKUP(Table7[[#This Row],[app_id]],Table5[app_id],Table5[app_name],"",0)</f>
        <v>CoinPlus</v>
      </c>
      <c r="D509" t="s">
        <v>734</v>
      </c>
      <c r="E509" s="1">
        <v>45377</v>
      </c>
      <c r="F509">
        <v>4</v>
      </c>
      <c r="G509" t="s">
        <v>2573</v>
      </c>
      <c r="H509" t="s">
        <v>2564</v>
      </c>
      <c r="I509" t="s">
        <v>2575</v>
      </c>
      <c r="J509" t="s">
        <v>2559</v>
      </c>
      <c r="K509">
        <v>45</v>
      </c>
      <c r="L509" s="13" t="s">
        <v>257</v>
      </c>
    </row>
    <row r="510" spans="1:12" x14ac:dyDescent="0.25">
      <c r="A510" t="s">
        <v>3178</v>
      </c>
      <c r="B510" t="s">
        <v>47</v>
      </c>
      <c r="C510" t="str">
        <f>_xlfn.XLOOKUP(Table7[[#This Row],[app_id]],Table5[app_id],Table5[app_name],"",0)</f>
        <v>CreditOne</v>
      </c>
      <c r="D510" t="s">
        <v>2526</v>
      </c>
      <c r="E510" s="1">
        <v>46032</v>
      </c>
      <c r="F510">
        <v>3</v>
      </c>
      <c r="G510" t="s">
        <v>2553</v>
      </c>
      <c r="H510" t="s">
        <v>2554</v>
      </c>
      <c r="I510" t="s">
        <v>2584</v>
      </c>
      <c r="J510" t="s">
        <v>2581</v>
      </c>
      <c r="K510">
        <v>2</v>
      </c>
      <c r="L510" s="13" t="s">
        <v>257</v>
      </c>
    </row>
    <row r="511" spans="1:12" x14ac:dyDescent="0.25">
      <c r="A511" t="s">
        <v>3179</v>
      </c>
      <c r="B511" t="s">
        <v>49</v>
      </c>
      <c r="C511" t="str">
        <f>_xlfn.XLOOKUP(Table7[[#This Row],[app_id]],Table5[app_id],Table5[app_name],"",0)</f>
        <v>PayPro</v>
      </c>
      <c r="D511" t="s">
        <v>1583</v>
      </c>
      <c r="E511" s="1">
        <v>45358</v>
      </c>
      <c r="F511">
        <v>4</v>
      </c>
      <c r="G511" t="s">
        <v>2563</v>
      </c>
      <c r="H511" t="s">
        <v>2564</v>
      </c>
      <c r="I511" t="s">
        <v>2571</v>
      </c>
      <c r="J511" t="s">
        <v>2581</v>
      </c>
      <c r="K511">
        <v>19</v>
      </c>
      <c r="L511" s="13" t="s">
        <v>257</v>
      </c>
    </row>
    <row r="512" spans="1:12" x14ac:dyDescent="0.25">
      <c r="A512" t="s">
        <v>3180</v>
      </c>
      <c r="B512" t="s">
        <v>51</v>
      </c>
      <c r="C512" t="str">
        <f>_xlfn.XLOOKUP(Table7[[#This Row],[app_id]],Table5[app_id],Table5[app_name],"",0)</f>
        <v>Creditly</v>
      </c>
      <c r="D512" t="s">
        <v>2121</v>
      </c>
      <c r="E512" s="1">
        <v>45534</v>
      </c>
      <c r="F512">
        <v>3</v>
      </c>
      <c r="G512" t="s">
        <v>2583</v>
      </c>
      <c r="H512" t="s">
        <v>2554</v>
      </c>
      <c r="I512" t="s">
        <v>2588</v>
      </c>
      <c r="J512" t="s">
        <v>2581</v>
      </c>
      <c r="K512">
        <v>31</v>
      </c>
      <c r="L512" s="13" t="s">
        <v>257</v>
      </c>
    </row>
    <row r="513" spans="1:12" x14ac:dyDescent="0.25">
      <c r="A513" t="s">
        <v>3181</v>
      </c>
      <c r="B513" t="s">
        <v>53</v>
      </c>
      <c r="C513" t="str">
        <f>_xlfn.XLOOKUP(Table7[[#This Row],[app_id]],Table5[app_id],Table5[app_name],"",0)</f>
        <v>PayX</v>
      </c>
      <c r="D513" t="s">
        <v>2502</v>
      </c>
      <c r="E513" s="1">
        <v>45548</v>
      </c>
      <c r="F513">
        <v>4</v>
      </c>
      <c r="G513" t="s">
        <v>2580</v>
      </c>
      <c r="H513" t="s">
        <v>2564</v>
      </c>
      <c r="I513" t="s">
        <v>2565</v>
      </c>
      <c r="J513" t="s">
        <v>2603</v>
      </c>
      <c r="K513">
        <v>5</v>
      </c>
      <c r="L513" s="13" t="s">
        <v>257</v>
      </c>
    </row>
    <row r="514" spans="1:12" x14ac:dyDescent="0.25">
      <c r="A514" t="s">
        <v>3182</v>
      </c>
      <c r="B514" t="s">
        <v>56</v>
      </c>
      <c r="C514" t="str">
        <f>_xlfn.XLOOKUP(Table7[[#This Row],[app_id]],Table5[app_id],Table5[app_name],"",0)</f>
        <v>DealGo</v>
      </c>
      <c r="D514" t="s">
        <v>1943</v>
      </c>
      <c r="E514" s="1">
        <v>46009</v>
      </c>
      <c r="F514">
        <v>3</v>
      </c>
      <c r="G514" t="s">
        <v>2594</v>
      </c>
      <c r="H514" t="s">
        <v>2554</v>
      </c>
      <c r="I514" t="s">
        <v>2578</v>
      </c>
      <c r="J514" t="s">
        <v>2581</v>
      </c>
      <c r="K514">
        <v>5</v>
      </c>
      <c r="L514" s="13" t="s">
        <v>257</v>
      </c>
    </row>
    <row r="515" spans="1:12" x14ac:dyDescent="0.25">
      <c r="A515" t="s">
        <v>3183</v>
      </c>
      <c r="B515" t="s">
        <v>62</v>
      </c>
      <c r="C515" t="str">
        <f>_xlfn.XLOOKUP(Table7[[#This Row],[app_id]],Table5[app_id],Table5[app_name],"",0)</f>
        <v>MallNow</v>
      </c>
      <c r="D515" t="s">
        <v>1848</v>
      </c>
      <c r="E515" s="1">
        <v>45957</v>
      </c>
      <c r="F515">
        <v>4</v>
      </c>
      <c r="G515" t="s">
        <v>2867</v>
      </c>
      <c r="H515" t="s">
        <v>2564</v>
      </c>
      <c r="I515" t="s">
        <v>2558</v>
      </c>
      <c r="J515" t="s">
        <v>2566</v>
      </c>
      <c r="K515">
        <v>9</v>
      </c>
      <c r="L515" s="13" t="s">
        <v>258</v>
      </c>
    </row>
    <row r="516" spans="1:12" x14ac:dyDescent="0.25">
      <c r="A516" t="s">
        <v>3184</v>
      </c>
      <c r="B516" t="s">
        <v>65</v>
      </c>
      <c r="C516" t="str">
        <f>_xlfn.XLOOKUP(Table7[[#This Row],[app_id]],Table5[app_id],Table5[app_name],"",0)</f>
        <v>DealPro</v>
      </c>
      <c r="D516" t="s">
        <v>1762</v>
      </c>
      <c r="E516" s="1">
        <v>46088</v>
      </c>
      <c r="F516">
        <v>4</v>
      </c>
      <c r="G516" t="s">
        <v>2598</v>
      </c>
      <c r="H516" t="s">
        <v>2564</v>
      </c>
      <c r="I516" t="s">
        <v>2575</v>
      </c>
      <c r="J516" t="s">
        <v>2603</v>
      </c>
      <c r="K516">
        <v>13</v>
      </c>
      <c r="L516" s="13" t="s">
        <v>257</v>
      </c>
    </row>
    <row r="517" spans="1:12" x14ac:dyDescent="0.25">
      <c r="A517" t="s">
        <v>3185</v>
      </c>
      <c r="B517" t="s">
        <v>67</v>
      </c>
      <c r="C517" t="str">
        <f>_xlfn.XLOOKUP(Table7[[#This Row],[app_id]],Table5[app_id],Table5[app_name],"",0)</f>
        <v>StyleNow</v>
      </c>
      <c r="D517" t="s">
        <v>1956</v>
      </c>
      <c r="E517" s="1">
        <v>45660</v>
      </c>
      <c r="F517">
        <v>3</v>
      </c>
      <c r="G517" t="s">
        <v>2748</v>
      </c>
      <c r="H517" t="s">
        <v>2554</v>
      </c>
      <c r="I517" t="s">
        <v>2584</v>
      </c>
      <c r="J517" t="s">
        <v>2600</v>
      </c>
      <c r="K517">
        <v>14</v>
      </c>
      <c r="L517" s="13" t="s">
        <v>258</v>
      </c>
    </row>
    <row r="518" spans="1:12" x14ac:dyDescent="0.25">
      <c r="A518" t="s">
        <v>3186</v>
      </c>
      <c r="B518" t="s">
        <v>70</v>
      </c>
      <c r="C518" t="str">
        <f>_xlfn.XLOOKUP(Table7[[#This Row],[app_id]],Table5[app_id],Table5[app_name],"",0)</f>
        <v>DealCloud</v>
      </c>
      <c r="D518" t="s">
        <v>635</v>
      </c>
      <c r="E518" s="1">
        <v>45833</v>
      </c>
      <c r="F518">
        <v>4</v>
      </c>
      <c r="G518" t="s">
        <v>2598</v>
      </c>
      <c r="H518" t="s">
        <v>2564</v>
      </c>
      <c r="I518" t="s">
        <v>2555</v>
      </c>
      <c r="J518" t="s">
        <v>2581</v>
      </c>
      <c r="K518">
        <v>48</v>
      </c>
      <c r="L518" s="13" t="s">
        <v>257</v>
      </c>
    </row>
    <row r="519" spans="1:12" x14ac:dyDescent="0.25">
      <c r="A519" t="s">
        <v>3187</v>
      </c>
      <c r="B519" t="s">
        <v>72</v>
      </c>
      <c r="C519" t="str">
        <f>_xlfn.XLOOKUP(Table7[[#This Row],[app_id]],Table5[app_id],Table5[app_name],"",0)</f>
        <v>CartCloud</v>
      </c>
      <c r="D519" t="s">
        <v>1765</v>
      </c>
      <c r="E519" s="1">
        <v>45825</v>
      </c>
      <c r="F519">
        <v>5</v>
      </c>
      <c r="G519" t="s">
        <v>2592</v>
      </c>
      <c r="H519" t="s">
        <v>2564</v>
      </c>
      <c r="I519" t="s">
        <v>2555</v>
      </c>
      <c r="J519" t="s">
        <v>2569</v>
      </c>
      <c r="K519">
        <v>16</v>
      </c>
      <c r="L519" s="13" t="s">
        <v>257</v>
      </c>
    </row>
    <row r="520" spans="1:12" x14ac:dyDescent="0.25">
      <c r="A520" t="s">
        <v>3188</v>
      </c>
      <c r="B520" t="s">
        <v>74</v>
      </c>
      <c r="C520" t="str">
        <f>_xlfn.XLOOKUP(Table7[[#This Row],[app_id]],Table5[app_id],Table5[app_name],"",0)</f>
        <v>CartMate</v>
      </c>
      <c r="D520" t="s">
        <v>1536</v>
      </c>
      <c r="E520" s="1">
        <v>45511</v>
      </c>
      <c r="F520">
        <v>4</v>
      </c>
      <c r="G520" t="s">
        <v>2598</v>
      </c>
      <c r="H520" t="s">
        <v>2564</v>
      </c>
      <c r="I520" t="s">
        <v>2575</v>
      </c>
      <c r="J520" t="s">
        <v>2581</v>
      </c>
      <c r="K520">
        <v>39</v>
      </c>
      <c r="L520" s="13" t="s">
        <v>258</v>
      </c>
    </row>
    <row r="521" spans="1:12" x14ac:dyDescent="0.25">
      <c r="A521" t="s">
        <v>3189</v>
      </c>
      <c r="B521" t="s">
        <v>76</v>
      </c>
      <c r="C521" t="str">
        <f>_xlfn.XLOOKUP(Table7[[#This Row],[app_id]],Table5[app_id],Table5[app_name],"",0)</f>
        <v>BazaarOne</v>
      </c>
      <c r="D521" t="s">
        <v>1442</v>
      </c>
      <c r="E521" s="1">
        <v>45939</v>
      </c>
      <c r="F521">
        <v>3</v>
      </c>
      <c r="G521" t="s">
        <v>2609</v>
      </c>
      <c r="H521" t="s">
        <v>2554</v>
      </c>
      <c r="I521" t="s">
        <v>2571</v>
      </c>
      <c r="J521" t="s">
        <v>2561</v>
      </c>
      <c r="K521">
        <v>22</v>
      </c>
      <c r="L521" s="13" t="s">
        <v>257</v>
      </c>
    </row>
    <row r="522" spans="1:12" x14ac:dyDescent="0.25">
      <c r="A522" t="s">
        <v>3190</v>
      </c>
      <c r="B522" t="s">
        <v>78</v>
      </c>
      <c r="C522" t="str">
        <f>_xlfn.XLOOKUP(Table7[[#This Row],[app_id]],Table5[app_id],Table5[app_name],"",0)</f>
        <v>StyleOne</v>
      </c>
      <c r="D522" t="s">
        <v>1983</v>
      </c>
      <c r="E522" s="1">
        <v>46076</v>
      </c>
      <c r="F522">
        <v>3</v>
      </c>
      <c r="G522" t="s">
        <v>2748</v>
      </c>
      <c r="H522" t="s">
        <v>2554</v>
      </c>
      <c r="I522" t="s">
        <v>2565</v>
      </c>
      <c r="J522" t="s">
        <v>2603</v>
      </c>
      <c r="K522">
        <v>39</v>
      </c>
      <c r="L522" s="13" t="s">
        <v>257</v>
      </c>
    </row>
    <row r="523" spans="1:12" x14ac:dyDescent="0.25">
      <c r="A523" t="s">
        <v>3191</v>
      </c>
      <c r="B523" t="s">
        <v>80</v>
      </c>
      <c r="C523" t="str">
        <f>_xlfn.XLOOKUP(Table7[[#This Row],[app_id]],Table5[app_id],Table5[app_name],"",0)</f>
        <v>Cartly</v>
      </c>
      <c r="D523" t="s">
        <v>1007</v>
      </c>
      <c r="E523" s="1">
        <v>45989</v>
      </c>
      <c r="F523">
        <v>5</v>
      </c>
      <c r="G523" t="s">
        <v>2867</v>
      </c>
      <c r="H523" t="s">
        <v>2564</v>
      </c>
      <c r="I523" t="s">
        <v>2571</v>
      </c>
      <c r="J523" t="s">
        <v>2556</v>
      </c>
      <c r="K523">
        <v>32</v>
      </c>
      <c r="L523" s="13" t="s">
        <v>258</v>
      </c>
    </row>
    <row r="524" spans="1:12" x14ac:dyDescent="0.25">
      <c r="A524" t="s">
        <v>3192</v>
      </c>
      <c r="B524" t="s">
        <v>83</v>
      </c>
      <c r="C524" t="str">
        <f>_xlfn.XLOOKUP(Table7[[#This Row],[app_id]],Table5[app_id],Table5[app_name],"",0)</f>
        <v>BazaarCloud</v>
      </c>
      <c r="D524" t="s">
        <v>657</v>
      </c>
      <c r="E524" s="1">
        <v>45393</v>
      </c>
      <c r="F524">
        <v>4</v>
      </c>
      <c r="G524" t="s">
        <v>2867</v>
      </c>
      <c r="H524" t="s">
        <v>2564</v>
      </c>
      <c r="I524" t="s">
        <v>2565</v>
      </c>
      <c r="J524" t="s">
        <v>2561</v>
      </c>
      <c r="K524">
        <v>23</v>
      </c>
      <c r="L524" s="13" t="s">
        <v>258</v>
      </c>
    </row>
    <row r="525" spans="1:12" x14ac:dyDescent="0.25">
      <c r="A525" t="s">
        <v>3193</v>
      </c>
      <c r="B525" t="s">
        <v>85</v>
      </c>
      <c r="C525" t="str">
        <f>_xlfn.XLOOKUP(Table7[[#This Row],[app_id]],Table5[app_id],Table5[app_name],"",0)</f>
        <v>CartPro</v>
      </c>
      <c r="D525" t="s">
        <v>960</v>
      </c>
      <c r="E525" s="1">
        <v>46088</v>
      </c>
      <c r="F525">
        <v>5</v>
      </c>
      <c r="G525" t="s">
        <v>2590</v>
      </c>
      <c r="H525" t="s">
        <v>2564</v>
      </c>
      <c r="I525" t="s">
        <v>2571</v>
      </c>
      <c r="J525" t="s">
        <v>2569</v>
      </c>
      <c r="K525">
        <v>38</v>
      </c>
      <c r="L525" s="13" t="s">
        <v>257</v>
      </c>
    </row>
    <row r="526" spans="1:12" x14ac:dyDescent="0.25">
      <c r="A526" t="s">
        <v>3194</v>
      </c>
      <c r="B526" t="s">
        <v>87</v>
      </c>
      <c r="C526" t="str">
        <f>_xlfn.XLOOKUP(Table7[[#This Row],[app_id]],Table5[app_id],Table5[app_name],"",0)</f>
        <v>RunPlus</v>
      </c>
      <c r="D526" t="s">
        <v>2030</v>
      </c>
      <c r="E526" s="1">
        <v>45518</v>
      </c>
      <c r="F526">
        <v>2</v>
      </c>
      <c r="G526" t="s">
        <v>3195</v>
      </c>
      <c r="H526" t="s">
        <v>2587</v>
      </c>
      <c r="I526" t="s">
        <v>2588</v>
      </c>
      <c r="J526" t="s">
        <v>2569</v>
      </c>
      <c r="K526">
        <v>40</v>
      </c>
      <c r="L526" s="13" t="s">
        <v>258</v>
      </c>
    </row>
    <row r="527" spans="1:12" x14ac:dyDescent="0.25">
      <c r="A527" t="s">
        <v>3196</v>
      </c>
      <c r="B527" t="s">
        <v>90</v>
      </c>
      <c r="C527" t="str">
        <f>_xlfn.XLOOKUP(Table7[[#This Row],[app_id]],Table5[app_id],Table5[app_name],"",0)</f>
        <v>TrainCloud</v>
      </c>
      <c r="D527" t="s">
        <v>903</v>
      </c>
      <c r="E527" s="1">
        <v>46107</v>
      </c>
      <c r="F527">
        <v>4</v>
      </c>
      <c r="G527" t="s">
        <v>2622</v>
      </c>
      <c r="H527" t="s">
        <v>2564</v>
      </c>
      <c r="I527" t="s">
        <v>2565</v>
      </c>
      <c r="J527" t="s">
        <v>2633</v>
      </c>
      <c r="K527">
        <v>9</v>
      </c>
      <c r="L527" s="13" t="s">
        <v>257</v>
      </c>
    </row>
    <row r="528" spans="1:12" x14ac:dyDescent="0.25">
      <c r="A528" t="s">
        <v>3197</v>
      </c>
      <c r="B528" t="s">
        <v>92</v>
      </c>
      <c r="C528" t="str">
        <f>_xlfn.XLOOKUP(Table7[[#This Row],[app_id]],Table5[app_id],Table5[app_name],"",0)</f>
        <v>Trainly</v>
      </c>
      <c r="D528" t="s">
        <v>991</v>
      </c>
      <c r="E528" s="1">
        <v>45528</v>
      </c>
      <c r="F528">
        <v>5</v>
      </c>
      <c r="G528" t="s">
        <v>2625</v>
      </c>
      <c r="H528" t="s">
        <v>2564</v>
      </c>
      <c r="I528" t="s">
        <v>2565</v>
      </c>
      <c r="J528" t="s">
        <v>2561</v>
      </c>
      <c r="K528">
        <v>7</v>
      </c>
      <c r="L528" s="13" t="s">
        <v>257</v>
      </c>
    </row>
    <row r="529" spans="1:12" x14ac:dyDescent="0.25">
      <c r="A529" t="s">
        <v>3198</v>
      </c>
      <c r="B529" t="s">
        <v>94</v>
      </c>
      <c r="C529" t="str">
        <f>_xlfn.XLOOKUP(Table7[[#This Row],[app_id]],Table5[app_id],Table5[app_name],"",0)</f>
        <v>LiftCloud</v>
      </c>
      <c r="D529" t="s">
        <v>2168</v>
      </c>
      <c r="E529" s="1">
        <v>45296</v>
      </c>
      <c r="F529">
        <v>4</v>
      </c>
      <c r="G529" t="s">
        <v>2625</v>
      </c>
      <c r="H529" t="s">
        <v>2564</v>
      </c>
      <c r="I529" t="s">
        <v>2571</v>
      </c>
      <c r="J529" t="s">
        <v>2561</v>
      </c>
      <c r="K529">
        <v>32</v>
      </c>
      <c r="L529" s="13" t="s">
        <v>257</v>
      </c>
    </row>
    <row r="530" spans="1:12" x14ac:dyDescent="0.25">
      <c r="A530" t="s">
        <v>3199</v>
      </c>
      <c r="B530" t="s">
        <v>96</v>
      </c>
      <c r="C530" t="str">
        <f>_xlfn.XLOOKUP(Table7[[#This Row],[app_id]],Table5[app_id],Table5[app_name],"",0)</f>
        <v>MoveNow</v>
      </c>
      <c r="D530" t="s">
        <v>1471</v>
      </c>
      <c r="E530" s="1">
        <v>45395</v>
      </c>
      <c r="F530">
        <v>4</v>
      </c>
      <c r="G530" t="s">
        <v>2625</v>
      </c>
      <c r="H530" t="s">
        <v>2564</v>
      </c>
      <c r="I530" t="s">
        <v>2575</v>
      </c>
      <c r="J530" t="s">
        <v>2566</v>
      </c>
      <c r="K530">
        <v>7</v>
      </c>
      <c r="L530" s="13" t="s">
        <v>257</v>
      </c>
    </row>
    <row r="531" spans="1:12" x14ac:dyDescent="0.25">
      <c r="A531" t="s">
        <v>3200</v>
      </c>
      <c r="B531" t="s">
        <v>98</v>
      </c>
      <c r="C531" t="str">
        <f>_xlfn.XLOOKUP(Table7[[#This Row],[app_id]],Table5[app_id],Table5[app_name],"",0)</f>
        <v>ActiveMate</v>
      </c>
      <c r="D531" t="s">
        <v>2439</v>
      </c>
      <c r="E531" s="1">
        <v>45321</v>
      </c>
      <c r="F531">
        <v>3</v>
      </c>
      <c r="G531" t="s">
        <v>2611</v>
      </c>
      <c r="H531" t="s">
        <v>2554</v>
      </c>
      <c r="I531" t="s">
        <v>2571</v>
      </c>
      <c r="J531" t="s">
        <v>2603</v>
      </c>
      <c r="K531">
        <v>7</v>
      </c>
      <c r="L531" s="13" t="s">
        <v>258</v>
      </c>
    </row>
    <row r="532" spans="1:12" x14ac:dyDescent="0.25">
      <c r="A532" t="s">
        <v>3201</v>
      </c>
      <c r="B532" t="s">
        <v>100</v>
      </c>
      <c r="C532" t="str">
        <f>_xlfn.XLOOKUP(Table7[[#This Row],[app_id]],Table5[app_id],Table5[app_name],"",0)</f>
        <v>RunGo</v>
      </c>
      <c r="D532" t="s">
        <v>1065</v>
      </c>
      <c r="E532" s="1">
        <v>45618</v>
      </c>
      <c r="F532">
        <v>3</v>
      </c>
      <c r="G532" t="s">
        <v>2620</v>
      </c>
      <c r="H532" t="s">
        <v>2554</v>
      </c>
      <c r="I532" t="s">
        <v>2575</v>
      </c>
      <c r="J532" t="s">
        <v>2561</v>
      </c>
      <c r="K532">
        <v>19</v>
      </c>
      <c r="L532" s="13" t="s">
        <v>257</v>
      </c>
    </row>
    <row r="533" spans="1:12" x14ac:dyDescent="0.25">
      <c r="A533" t="s">
        <v>3202</v>
      </c>
      <c r="B533" t="s">
        <v>102</v>
      </c>
      <c r="C533" t="str">
        <f>_xlfn.XLOOKUP(Table7[[#This Row],[app_id]],Table5[app_id],Table5[app_name],"",0)</f>
        <v>LiftPro</v>
      </c>
      <c r="D533" t="s">
        <v>2380</v>
      </c>
      <c r="E533" s="1">
        <v>45632</v>
      </c>
      <c r="F533">
        <v>3</v>
      </c>
      <c r="G533" t="s">
        <v>2611</v>
      </c>
      <c r="H533" t="s">
        <v>2554</v>
      </c>
      <c r="I533" t="s">
        <v>2558</v>
      </c>
      <c r="J533" t="s">
        <v>2569</v>
      </c>
      <c r="K533">
        <v>31</v>
      </c>
      <c r="L533" s="13" t="s">
        <v>257</v>
      </c>
    </row>
    <row r="534" spans="1:12" x14ac:dyDescent="0.25">
      <c r="A534" t="s">
        <v>3203</v>
      </c>
      <c r="B534" t="s">
        <v>104</v>
      </c>
      <c r="C534" t="str">
        <f>_xlfn.XLOOKUP(Table7[[#This Row],[app_id]],Table5[app_id],Table5[app_name],"",0)</f>
        <v>LiftPro</v>
      </c>
      <c r="D534" t="s">
        <v>1659</v>
      </c>
      <c r="E534" s="1">
        <v>45999</v>
      </c>
      <c r="F534">
        <v>3</v>
      </c>
      <c r="G534" t="s">
        <v>2615</v>
      </c>
      <c r="H534" t="s">
        <v>2554</v>
      </c>
      <c r="I534" t="s">
        <v>2565</v>
      </c>
      <c r="J534" t="s">
        <v>2600</v>
      </c>
      <c r="K534">
        <v>16</v>
      </c>
      <c r="L534" s="13" t="s">
        <v>257</v>
      </c>
    </row>
    <row r="535" spans="1:12" x14ac:dyDescent="0.25">
      <c r="A535" t="s">
        <v>3204</v>
      </c>
      <c r="B535" t="s">
        <v>105</v>
      </c>
      <c r="C535" t="str">
        <f>_xlfn.XLOOKUP(Table7[[#This Row],[app_id]],Table5[app_id],Table5[app_name],"",0)</f>
        <v>Liftly</v>
      </c>
      <c r="D535" t="s">
        <v>2256</v>
      </c>
      <c r="E535" s="1">
        <v>45653</v>
      </c>
      <c r="F535">
        <v>4</v>
      </c>
      <c r="G535" t="s">
        <v>2622</v>
      </c>
      <c r="H535" t="s">
        <v>2564</v>
      </c>
      <c r="I535" t="s">
        <v>2565</v>
      </c>
      <c r="J535" t="s">
        <v>2569</v>
      </c>
      <c r="K535">
        <v>47</v>
      </c>
      <c r="L535" s="13" t="s">
        <v>257</v>
      </c>
    </row>
    <row r="536" spans="1:12" x14ac:dyDescent="0.25">
      <c r="A536" t="s">
        <v>3205</v>
      </c>
      <c r="B536" t="s">
        <v>107</v>
      </c>
      <c r="C536" t="str">
        <f>_xlfn.XLOOKUP(Table7[[#This Row],[app_id]],Table5[app_id],Table5[app_name],"",0)</f>
        <v>YogaHub</v>
      </c>
      <c r="D536" t="s">
        <v>2058</v>
      </c>
      <c r="E536" s="1">
        <v>46122</v>
      </c>
      <c r="F536">
        <v>5</v>
      </c>
      <c r="G536" t="s">
        <v>2617</v>
      </c>
      <c r="H536" t="s">
        <v>2564</v>
      </c>
      <c r="I536" t="s">
        <v>2575</v>
      </c>
      <c r="J536" t="s">
        <v>2596</v>
      </c>
      <c r="K536">
        <v>27</v>
      </c>
      <c r="L536" s="13" t="s">
        <v>258</v>
      </c>
    </row>
    <row r="537" spans="1:12" x14ac:dyDescent="0.25">
      <c r="A537" t="s">
        <v>3206</v>
      </c>
      <c r="B537" t="s">
        <v>109</v>
      </c>
      <c r="C537" t="str">
        <f>_xlfn.XLOOKUP(Table7[[#This Row],[app_id]],Table5[app_id],Table5[app_name],"",0)</f>
        <v>MoveGo</v>
      </c>
      <c r="D537" t="s">
        <v>564</v>
      </c>
      <c r="E537" s="1">
        <v>46098</v>
      </c>
      <c r="F537">
        <v>4</v>
      </c>
      <c r="G537" t="s">
        <v>2625</v>
      </c>
      <c r="H537" t="s">
        <v>2564</v>
      </c>
      <c r="I537" t="s">
        <v>2565</v>
      </c>
      <c r="J537" t="s">
        <v>2556</v>
      </c>
      <c r="K537">
        <v>27</v>
      </c>
      <c r="L537" s="13" t="s">
        <v>258</v>
      </c>
    </row>
    <row r="538" spans="1:12" x14ac:dyDescent="0.25">
      <c r="A538" t="s">
        <v>3207</v>
      </c>
      <c r="B538" t="s">
        <v>111</v>
      </c>
      <c r="C538" t="str">
        <f>_xlfn.XLOOKUP(Table7[[#This Row],[app_id]],Table5[app_id],Table5[app_name],"",0)</f>
        <v>BrightNow</v>
      </c>
      <c r="D538" t="s">
        <v>603</v>
      </c>
      <c r="E538" s="1">
        <v>45831</v>
      </c>
      <c r="F538">
        <v>2</v>
      </c>
      <c r="G538" t="s">
        <v>2632</v>
      </c>
      <c r="H538" t="s">
        <v>2587</v>
      </c>
      <c r="I538" t="s">
        <v>2575</v>
      </c>
      <c r="J538" t="s">
        <v>2569</v>
      </c>
      <c r="K538">
        <v>79</v>
      </c>
      <c r="L538" s="13" t="s">
        <v>258</v>
      </c>
    </row>
    <row r="539" spans="1:12" x14ac:dyDescent="0.25">
      <c r="A539" t="s">
        <v>3208</v>
      </c>
      <c r="B539" t="s">
        <v>114</v>
      </c>
      <c r="C539" t="str">
        <f>_xlfn.XLOOKUP(Table7[[#This Row],[app_id]],Table5[app_id],Table5[app_name],"",0)</f>
        <v>StudyCloud</v>
      </c>
      <c r="D539" t="s">
        <v>654</v>
      </c>
      <c r="E539" s="1">
        <v>46059</v>
      </c>
      <c r="F539">
        <v>3</v>
      </c>
      <c r="G539" t="s">
        <v>2889</v>
      </c>
      <c r="H539" t="s">
        <v>2554</v>
      </c>
      <c r="I539" t="s">
        <v>2555</v>
      </c>
      <c r="J539" t="s">
        <v>2581</v>
      </c>
      <c r="K539">
        <v>15</v>
      </c>
      <c r="L539" s="13" t="s">
        <v>257</v>
      </c>
    </row>
    <row r="540" spans="1:12" x14ac:dyDescent="0.25">
      <c r="A540" t="s">
        <v>3209</v>
      </c>
      <c r="B540" t="s">
        <v>116</v>
      </c>
      <c r="C540" t="str">
        <f>_xlfn.XLOOKUP(Table7[[#This Row],[app_id]],Table5[app_id],Table5[app_name],"",0)</f>
        <v>SkillNow</v>
      </c>
      <c r="D540" t="s">
        <v>1807</v>
      </c>
      <c r="E540" s="1">
        <v>45707</v>
      </c>
      <c r="F540">
        <v>4</v>
      </c>
      <c r="G540" t="s">
        <v>2780</v>
      </c>
      <c r="H540" t="s">
        <v>2564</v>
      </c>
      <c r="I540" t="s">
        <v>2565</v>
      </c>
      <c r="J540" t="s">
        <v>2581</v>
      </c>
      <c r="K540">
        <v>30</v>
      </c>
      <c r="L540" s="13" t="s">
        <v>258</v>
      </c>
    </row>
    <row r="541" spans="1:12" x14ac:dyDescent="0.25">
      <c r="A541" t="s">
        <v>3210</v>
      </c>
      <c r="B541" t="s">
        <v>118</v>
      </c>
      <c r="C541" t="str">
        <f>_xlfn.XLOOKUP(Table7[[#This Row],[app_id]],Table5[app_id],Table5[app_name],"",0)</f>
        <v>LearnMate</v>
      </c>
      <c r="D541" t="s">
        <v>1350</v>
      </c>
      <c r="E541" s="1">
        <v>46027</v>
      </c>
      <c r="F541">
        <v>4</v>
      </c>
      <c r="G541" t="s">
        <v>2780</v>
      </c>
      <c r="H541" t="s">
        <v>2564</v>
      </c>
      <c r="I541" t="s">
        <v>2555</v>
      </c>
      <c r="J541" t="s">
        <v>2556</v>
      </c>
      <c r="K541">
        <v>17</v>
      </c>
      <c r="L541" s="13" t="s">
        <v>257</v>
      </c>
    </row>
    <row r="542" spans="1:12" x14ac:dyDescent="0.25">
      <c r="A542" t="s">
        <v>3211</v>
      </c>
      <c r="B542" t="s">
        <v>120</v>
      </c>
      <c r="C542" t="str">
        <f>_xlfn.XLOOKUP(Table7[[#This Row],[app_id]],Table5[app_id],Table5[app_name],"",0)</f>
        <v>QuestNow</v>
      </c>
      <c r="D542" t="s">
        <v>970</v>
      </c>
      <c r="E542" s="1">
        <v>45848</v>
      </c>
      <c r="F542">
        <v>3</v>
      </c>
      <c r="G542" t="s">
        <v>2646</v>
      </c>
      <c r="H542" t="s">
        <v>2554</v>
      </c>
      <c r="I542" t="s">
        <v>2578</v>
      </c>
      <c r="J542" t="s">
        <v>2556</v>
      </c>
      <c r="K542">
        <v>10</v>
      </c>
      <c r="L542" s="13" t="s">
        <v>257</v>
      </c>
    </row>
    <row r="543" spans="1:12" x14ac:dyDescent="0.25">
      <c r="A543" t="s">
        <v>3212</v>
      </c>
      <c r="B543" t="s">
        <v>122</v>
      </c>
      <c r="C543" t="str">
        <f>_xlfn.XLOOKUP(Table7[[#This Row],[app_id]],Table5[app_id],Table5[app_name],"",0)</f>
        <v>SkillHub</v>
      </c>
      <c r="D543" t="s">
        <v>1585</v>
      </c>
      <c r="E543" s="1">
        <v>45825</v>
      </c>
      <c r="F543">
        <v>4</v>
      </c>
      <c r="G543" t="s">
        <v>2635</v>
      </c>
      <c r="H543" t="s">
        <v>2564</v>
      </c>
      <c r="I543" t="s">
        <v>2558</v>
      </c>
      <c r="J543" t="s">
        <v>2556</v>
      </c>
      <c r="K543">
        <v>47</v>
      </c>
      <c r="L543" s="13" t="s">
        <v>257</v>
      </c>
    </row>
    <row r="544" spans="1:12" x14ac:dyDescent="0.25">
      <c r="A544" t="s">
        <v>3213</v>
      </c>
      <c r="B544" t="s">
        <v>124</v>
      </c>
      <c r="C544" t="str">
        <f>_xlfn.XLOOKUP(Table7[[#This Row],[app_id]],Table5[app_id],Table5[app_name],"",0)</f>
        <v>TutorCloud</v>
      </c>
      <c r="D544" t="s">
        <v>807</v>
      </c>
      <c r="E544" s="1">
        <v>45496</v>
      </c>
      <c r="F544">
        <v>3</v>
      </c>
      <c r="G544" t="s">
        <v>2778</v>
      </c>
      <c r="H544" t="s">
        <v>2554</v>
      </c>
      <c r="I544" t="s">
        <v>2588</v>
      </c>
      <c r="J544" t="s">
        <v>2569</v>
      </c>
      <c r="K544">
        <v>14</v>
      </c>
      <c r="L544" s="13" t="s">
        <v>258</v>
      </c>
    </row>
    <row r="545" spans="1:12" x14ac:dyDescent="0.25">
      <c r="A545" t="s">
        <v>3214</v>
      </c>
      <c r="B545" t="s">
        <v>126</v>
      </c>
      <c r="C545" t="str">
        <f>_xlfn.XLOOKUP(Table7[[#This Row],[app_id]],Table5[app_id],Table5[app_name],"",0)</f>
        <v>SkillOne</v>
      </c>
      <c r="D545" t="s">
        <v>1018</v>
      </c>
      <c r="E545" s="1">
        <v>45934</v>
      </c>
      <c r="F545">
        <v>3</v>
      </c>
      <c r="G545" t="s">
        <v>2646</v>
      </c>
      <c r="H545" t="s">
        <v>2554</v>
      </c>
      <c r="I545" t="s">
        <v>2555</v>
      </c>
      <c r="J545" t="s">
        <v>2603</v>
      </c>
      <c r="K545">
        <v>12</v>
      </c>
      <c r="L545" s="13" t="s">
        <v>257</v>
      </c>
    </row>
    <row r="546" spans="1:12" x14ac:dyDescent="0.25">
      <c r="A546" t="s">
        <v>3215</v>
      </c>
      <c r="B546" t="s">
        <v>128</v>
      </c>
      <c r="C546" t="str">
        <f>_xlfn.XLOOKUP(Table7[[#This Row],[app_id]],Table5[app_id],Table5[app_name],"",0)</f>
        <v>LearnOne</v>
      </c>
      <c r="D546" t="s">
        <v>2079</v>
      </c>
      <c r="E546" s="1">
        <v>46065</v>
      </c>
      <c r="F546">
        <v>4</v>
      </c>
      <c r="G546" t="s">
        <v>2640</v>
      </c>
      <c r="H546" t="s">
        <v>2564</v>
      </c>
      <c r="I546" t="s">
        <v>2575</v>
      </c>
      <c r="J546" t="s">
        <v>2561</v>
      </c>
      <c r="K546">
        <v>40</v>
      </c>
      <c r="L546" s="13" t="s">
        <v>257</v>
      </c>
    </row>
    <row r="547" spans="1:12" x14ac:dyDescent="0.25">
      <c r="A547" t="s">
        <v>3216</v>
      </c>
      <c r="B547" t="s">
        <v>130</v>
      </c>
      <c r="C547" t="str">
        <f>_xlfn.XLOOKUP(Table7[[#This Row],[app_id]],Table5[app_id],Table5[app_name],"",0)</f>
        <v>LearnPlus</v>
      </c>
      <c r="D547" t="s">
        <v>661</v>
      </c>
      <c r="E547" s="1">
        <v>45421</v>
      </c>
      <c r="F547">
        <v>3</v>
      </c>
      <c r="G547" t="s">
        <v>2778</v>
      </c>
      <c r="H547" t="s">
        <v>2554</v>
      </c>
      <c r="I547" t="s">
        <v>2588</v>
      </c>
      <c r="J547" t="s">
        <v>2569</v>
      </c>
      <c r="K547">
        <v>1</v>
      </c>
      <c r="L547" s="13" t="s">
        <v>257</v>
      </c>
    </row>
    <row r="548" spans="1:12" x14ac:dyDescent="0.25">
      <c r="A548" t="s">
        <v>3217</v>
      </c>
      <c r="B548" t="s">
        <v>132</v>
      </c>
      <c r="C548" t="str">
        <f>_xlfn.XLOOKUP(Table7[[#This Row],[app_id]],Table5[app_id],Table5[app_name],"",0)</f>
        <v>StudyPlus</v>
      </c>
      <c r="D548" t="s">
        <v>2207</v>
      </c>
      <c r="E548" s="1">
        <v>45669</v>
      </c>
      <c r="F548">
        <v>4</v>
      </c>
      <c r="G548" t="s">
        <v>2640</v>
      </c>
      <c r="H548" t="s">
        <v>2564</v>
      </c>
      <c r="I548" t="s">
        <v>2575</v>
      </c>
      <c r="J548" t="s">
        <v>2569</v>
      </c>
      <c r="K548">
        <v>46</v>
      </c>
      <c r="L548" s="13" t="s">
        <v>257</v>
      </c>
    </row>
    <row r="549" spans="1:12" x14ac:dyDescent="0.25">
      <c r="A549" t="s">
        <v>3218</v>
      </c>
      <c r="B549" t="s">
        <v>134</v>
      </c>
      <c r="C549" t="str">
        <f>_xlfn.XLOOKUP(Table7[[#This Row],[app_id]],Table5[app_id],Table5[app_name],"",0)</f>
        <v>StudyX</v>
      </c>
      <c r="D549" t="s">
        <v>1507</v>
      </c>
      <c r="E549" s="1">
        <v>45818</v>
      </c>
      <c r="F549">
        <v>5</v>
      </c>
      <c r="G549" t="s">
        <v>2635</v>
      </c>
      <c r="H549" t="s">
        <v>2564</v>
      </c>
      <c r="I549" t="s">
        <v>2555</v>
      </c>
      <c r="J549" t="s">
        <v>2603</v>
      </c>
      <c r="K549">
        <v>30</v>
      </c>
      <c r="L549" s="13" t="s">
        <v>258</v>
      </c>
    </row>
    <row r="550" spans="1:12" x14ac:dyDescent="0.25">
      <c r="A550" t="s">
        <v>3219</v>
      </c>
      <c r="B550" t="s">
        <v>136</v>
      </c>
      <c r="C550" t="str">
        <f>_xlfn.XLOOKUP(Table7[[#This Row],[app_id]],Table5[app_id],Table5[app_name],"",0)</f>
        <v>PlayPlus</v>
      </c>
      <c r="D550" t="s">
        <v>1908</v>
      </c>
      <c r="E550" s="1">
        <v>45552</v>
      </c>
      <c r="F550">
        <v>5</v>
      </c>
      <c r="G550" t="s">
        <v>2650</v>
      </c>
      <c r="H550" t="s">
        <v>2564</v>
      </c>
      <c r="I550" t="s">
        <v>2555</v>
      </c>
      <c r="J550" t="s">
        <v>2566</v>
      </c>
      <c r="K550">
        <v>32</v>
      </c>
      <c r="L550" s="13" t="s">
        <v>257</v>
      </c>
    </row>
    <row r="551" spans="1:12" x14ac:dyDescent="0.25">
      <c r="A551" t="s">
        <v>3220</v>
      </c>
      <c r="B551" t="s">
        <v>139</v>
      </c>
      <c r="C551" t="str">
        <f>_xlfn.XLOOKUP(Table7[[#This Row],[app_id]],Table5[app_id],Table5[app_name],"",0)</f>
        <v>ShowMate</v>
      </c>
      <c r="D551" t="s">
        <v>1149</v>
      </c>
      <c r="E551" s="1">
        <v>45648</v>
      </c>
      <c r="F551">
        <v>4</v>
      </c>
      <c r="G551" t="s">
        <v>2905</v>
      </c>
      <c r="H551" t="s">
        <v>2564</v>
      </c>
      <c r="I551" t="s">
        <v>2555</v>
      </c>
      <c r="J551" t="s">
        <v>2596</v>
      </c>
      <c r="K551">
        <v>34</v>
      </c>
      <c r="L551" s="13" t="s">
        <v>257</v>
      </c>
    </row>
    <row r="552" spans="1:12" x14ac:dyDescent="0.25">
      <c r="A552" t="s">
        <v>3221</v>
      </c>
      <c r="B552" t="s">
        <v>141</v>
      </c>
      <c r="C552" t="str">
        <f>_xlfn.XLOOKUP(Table7[[#This Row],[app_id]],Table5[app_id],Table5[app_name],"",0)</f>
        <v>VibeX</v>
      </c>
      <c r="D552" t="s">
        <v>1813</v>
      </c>
      <c r="E552" s="1">
        <v>45463</v>
      </c>
      <c r="F552">
        <v>4</v>
      </c>
      <c r="G552" t="s">
        <v>2652</v>
      </c>
      <c r="H552" t="s">
        <v>2564</v>
      </c>
      <c r="I552" t="s">
        <v>2558</v>
      </c>
      <c r="J552" t="s">
        <v>2556</v>
      </c>
      <c r="K552">
        <v>35</v>
      </c>
      <c r="L552" s="13" t="s">
        <v>257</v>
      </c>
    </row>
    <row r="553" spans="1:12" x14ac:dyDescent="0.25">
      <c r="A553" t="s">
        <v>3222</v>
      </c>
      <c r="B553" t="s">
        <v>143</v>
      </c>
      <c r="C553" t="str">
        <f>_xlfn.XLOOKUP(Table7[[#This Row],[app_id]],Table5[app_id],Table5[app_name],"",0)</f>
        <v>BuzzNow</v>
      </c>
      <c r="D553" t="s">
        <v>2412</v>
      </c>
      <c r="E553" s="1">
        <v>46007</v>
      </c>
      <c r="F553">
        <v>4</v>
      </c>
      <c r="G553" t="s">
        <v>2905</v>
      </c>
      <c r="H553" t="s">
        <v>2564</v>
      </c>
      <c r="I553" t="s">
        <v>2575</v>
      </c>
      <c r="J553" t="s">
        <v>2559</v>
      </c>
      <c r="K553">
        <v>4</v>
      </c>
      <c r="L553" s="13" t="s">
        <v>258</v>
      </c>
    </row>
    <row r="554" spans="1:12" x14ac:dyDescent="0.25">
      <c r="A554" t="s">
        <v>3223</v>
      </c>
      <c r="B554" t="s">
        <v>145</v>
      </c>
      <c r="C554" t="str">
        <f>_xlfn.XLOOKUP(Table7[[#This Row],[app_id]],Table5[app_id],Table5[app_name],"",0)</f>
        <v>StreamPlus</v>
      </c>
      <c r="D554" t="s">
        <v>1093</v>
      </c>
      <c r="E554" s="1">
        <v>45838</v>
      </c>
      <c r="F554">
        <v>3</v>
      </c>
      <c r="G554" t="s">
        <v>2663</v>
      </c>
      <c r="H554" t="s">
        <v>2554</v>
      </c>
      <c r="I554" t="s">
        <v>2588</v>
      </c>
      <c r="J554" t="s">
        <v>2559</v>
      </c>
      <c r="K554">
        <v>21</v>
      </c>
      <c r="L554" s="13" t="s">
        <v>257</v>
      </c>
    </row>
    <row r="555" spans="1:12" x14ac:dyDescent="0.25">
      <c r="A555" t="s">
        <v>3224</v>
      </c>
      <c r="B555" t="s">
        <v>147</v>
      </c>
      <c r="C555" t="str">
        <f>_xlfn.XLOOKUP(Table7[[#This Row],[app_id]],Table5[app_id],Table5[app_name],"",0)</f>
        <v>Showly</v>
      </c>
      <c r="D555" t="s">
        <v>1971</v>
      </c>
      <c r="E555" s="1">
        <v>45939</v>
      </c>
      <c r="F555">
        <v>4</v>
      </c>
      <c r="G555" t="s">
        <v>2652</v>
      </c>
      <c r="H555" t="s">
        <v>2564</v>
      </c>
      <c r="I555" t="s">
        <v>2575</v>
      </c>
      <c r="J555" t="s">
        <v>2600</v>
      </c>
      <c r="K555">
        <v>23</v>
      </c>
      <c r="L555" s="13" t="s">
        <v>257</v>
      </c>
    </row>
    <row r="556" spans="1:12" x14ac:dyDescent="0.25">
      <c r="A556" t="s">
        <v>3225</v>
      </c>
      <c r="B556" t="s">
        <v>149</v>
      </c>
      <c r="C556" t="str">
        <f>_xlfn.XLOOKUP(Table7[[#This Row],[app_id]],Table5[app_id],Table5[app_name],"",0)</f>
        <v>BuzzOne</v>
      </c>
      <c r="D556" t="s">
        <v>2086</v>
      </c>
      <c r="E556" s="1">
        <v>45723</v>
      </c>
      <c r="F556">
        <v>3</v>
      </c>
      <c r="G556" t="s">
        <v>2663</v>
      </c>
      <c r="H556" t="s">
        <v>2554</v>
      </c>
      <c r="I556" t="s">
        <v>2571</v>
      </c>
      <c r="J556" t="s">
        <v>2581</v>
      </c>
      <c r="K556">
        <v>21</v>
      </c>
      <c r="L556" s="13" t="s">
        <v>257</v>
      </c>
    </row>
    <row r="557" spans="1:12" x14ac:dyDescent="0.25">
      <c r="A557" t="s">
        <v>3226</v>
      </c>
      <c r="B557" t="s">
        <v>151</v>
      </c>
      <c r="C557" t="str">
        <f>_xlfn.XLOOKUP(Table7[[#This Row],[app_id]],Table5[app_id],Table5[app_name],"",0)</f>
        <v>PlayHub</v>
      </c>
      <c r="D557" t="s">
        <v>984</v>
      </c>
      <c r="E557" s="1">
        <v>45464</v>
      </c>
      <c r="F557">
        <v>5</v>
      </c>
      <c r="G557" t="s">
        <v>2905</v>
      </c>
      <c r="H557" t="s">
        <v>2564</v>
      </c>
      <c r="I557" t="s">
        <v>2575</v>
      </c>
      <c r="J557" t="s">
        <v>2600</v>
      </c>
      <c r="K557">
        <v>20</v>
      </c>
      <c r="L557" s="13" t="s">
        <v>257</v>
      </c>
    </row>
    <row r="558" spans="1:12" x14ac:dyDescent="0.25">
      <c r="A558" t="s">
        <v>3227</v>
      </c>
      <c r="B558" t="s">
        <v>153</v>
      </c>
      <c r="C558" t="str">
        <f>_xlfn.XLOOKUP(Table7[[#This Row],[app_id]],Table5[app_id],Table5[app_name],"",0)</f>
        <v>CinemaGo</v>
      </c>
      <c r="D558" t="s">
        <v>923</v>
      </c>
      <c r="E558" s="1">
        <v>45808</v>
      </c>
      <c r="F558">
        <v>4</v>
      </c>
      <c r="G558" t="s">
        <v>2789</v>
      </c>
      <c r="H558" t="s">
        <v>2564</v>
      </c>
      <c r="I558" t="s">
        <v>2575</v>
      </c>
      <c r="J558" t="s">
        <v>2603</v>
      </c>
      <c r="K558">
        <v>26</v>
      </c>
      <c r="L558" s="13" t="s">
        <v>257</v>
      </c>
    </row>
    <row r="559" spans="1:12" x14ac:dyDescent="0.25">
      <c r="A559" t="s">
        <v>3228</v>
      </c>
      <c r="B559" t="s">
        <v>155</v>
      </c>
      <c r="C559" t="str">
        <f>_xlfn.XLOOKUP(Table7[[#This Row],[app_id]],Table5[app_id],Table5[app_name],"",0)</f>
        <v>LaughX</v>
      </c>
      <c r="D559" t="s">
        <v>1708</v>
      </c>
      <c r="E559" s="1">
        <v>46059</v>
      </c>
      <c r="F559">
        <v>4</v>
      </c>
      <c r="G559" t="s">
        <v>2650</v>
      </c>
      <c r="H559" t="s">
        <v>2564</v>
      </c>
      <c r="I559" t="s">
        <v>2558</v>
      </c>
      <c r="J559" t="s">
        <v>2556</v>
      </c>
      <c r="K559">
        <v>47</v>
      </c>
      <c r="L559" s="13" t="s">
        <v>258</v>
      </c>
    </row>
    <row r="560" spans="1:12" x14ac:dyDescent="0.25">
      <c r="A560" t="s">
        <v>3229</v>
      </c>
      <c r="B560" t="s">
        <v>157</v>
      </c>
      <c r="C560" t="str">
        <f>_xlfn.XLOOKUP(Table7[[#This Row],[app_id]],Table5[app_id],Table5[app_name],"",0)</f>
        <v>CinemaHub</v>
      </c>
      <c r="D560" t="s">
        <v>2146</v>
      </c>
      <c r="E560" s="1">
        <v>45500</v>
      </c>
      <c r="F560">
        <v>3</v>
      </c>
      <c r="G560" t="s">
        <v>2791</v>
      </c>
      <c r="H560" t="s">
        <v>2554</v>
      </c>
      <c r="I560" t="s">
        <v>2578</v>
      </c>
      <c r="J560" t="s">
        <v>2559</v>
      </c>
      <c r="K560">
        <v>28</v>
      </c>
      <c r="L560" s="13" t="s">
        <v>257</v>
      </c>
    </row>
    <row r="561" spans="1:12" x14ac:dyDescent="0.25">
      <c r="A561" t="s">
        <v>3230</v>
      </c>
      <c r="B561" t="s">
        <v>159</v>
      </c>
      <c r="C561" t="str">
        <f>_xlfn.XLOOKUP(Table7[[#This Row],[app_id]],Table5[app_id],Table5[app_name],"",0)</f>
        <v>ShowPro</v>
      </c>
      <c r="D561" t="s">
        <v>2131</v>
      </c>
      <c r="E561" s="1">
        <v>46033</v>
      </c>
      <c r="F561">
        <v>5</v>
      </c>
      <c r="G561" t="s">
        <v>2650</v>
      </c>
      <c r="H561" t="s">
        <v>2564</v>
      </c>
      <c r="I561" t="s">
        <v>2575</v>
      </c>
      <c r="J561" t="s">
        <v>2566</v>
      </c>
      <c r="K561">
        <v>30</v>
      </c>
      <c r="L561" s="13" t="s">
        <v>258</v>
      </c>
    </row>
    <row r="562" spans="1:12" x14ac:dyDescent="0.25">
      <c r="A562" t="s">
        <v>3231</v>
      </c>
      <c r="B562" t="s">
        <v>161</v>
      </c>
      <c r="C562" t="str">
        <f>_xlfn.XLOOKUP(Table7[[#This Row],[app_id]],Table5[app_id],Table5[app_name],"",0)</f>
        <v>FoodPlus</v>
      </c>
      <c r="D562" t="s">
        <v>1344</v>
      </c>
      <c r="E562" s="1">
        <v>45954</v>
      </c>
      <c r="F562">
        <v>4</v>
      </c>
      <c r="G562" t="s">
        <v>2806</v>
      </c>
      <c r="H562" t="s">
        <v>2564</v>
      </c>
      <c r="I562" t="s">
        <v>2565</v>
      </c>
      <c r="J562" t="s">
        <v>2559</v>
      </c>
      <c r="K562">
        <v>6</v>
      </c>
      <c r="L562" s="13" t="s">
        <v>257</v>
      </c>
    </row>
    <row r="563" spans="1:12" x14ac:dyDescent="0.25">
      <c r="A563" t="s">
        <v>3232</v>
      </c>
      <c r="B563" t="s">
        <v>164</v>
      </c>
      <c r="C563" t="str">
        <f>_xlfn.XLOOKUP(Table7[[#This Row],[app_id]],Table5[app_id],Table5[app_name],"",0)</f>
        <v>BiteGo</v>
      </c>
      <c r="D563" t="s">
        <v>592</v>
      </c>
      <c r="E563" s="1">
        <v>46106</v>
      </c>
      <c r="F563">
        <v>3</v>
      </c>
      <c r="G563" t="s">
        <v>2672</v>
      </c>
      <c r="H563" t="s">
        <v>2554</v>
      </c>
      <c r="I563" t="s">
        <v>2558</v>
      </c>
      <c r="J563" t="s">
        <v>2633</v>
      </c>
      <c r="K563">
        <v>3</v>
      </c>
      <c r="L563" s="13" t="s">
        <v>257</v>
      </c>
    </row>
    <row r="564" spans="1:12" x14ac:dyDescent="0.25">
      <c r="A564" t="s">
        <v>3233</v>
      </c>
      <c r="B564" t="s">
        <v>166</v>
      </c>
      <c r="C564" t="str">
        <f>_xlfn.XLOOKUP(Table7[[#This Row],[app_id]],Table5[app_id],Table5[app_name],"",0)</f>
        <v>OrderCloud</v>
      </c>
      <c r="D564" t="s">
        <v>1767</v>
      </c>
      <c r="E564" s="1">
        <v>45452</v>
      </c>
      <c r="F564">
        <v>4</v>
      </c>
      <c r="G564" t="s">
        <v>2679</v>
      </c>
      <c r="H564" t="s">
        <v>2564</v>
      </c>
      <c r="I564" t="s">
        <v>2565</v>
      </c>
      <c r="J564" t="s">
        <v>2633</v>
      </c>
      <c r="K564">
        <v>19</v>
      </c>
      <c r="L564" s="13" t="s">
        <v>257</v>
      </c>
    </row>
    <row r="565" spans="1:12" x14ac:dyDescent="0.25">
      <c r="A565" t="s">
        <v>3234</v>
      </c>
      <c r="B565" t="s">
        <v>168</v>
      </c>
      <c r="C565" t="str">
        <f>_xlfn.XLOOKUP(Table7[[#This Row],[app_id]],Table5[app_id],Table5[app_name],"",0)</f>
        <v>DinePlus</v>
      </c>
      <c r="D565" t="s">
        <v>2416</v>
      </c>
      <c r="E565" s="1">
        <v>45638</v>
      </c>
      <c r="F565">
        <v>4</v>
      </c>
      <c r="G565" t="s">
        <v>2674</v>
      </c>
      <c r="H565" t="s">
        <v>2564</v>
      </c>
      <c r="I565" t="s">
        <v>2555</v>
      </c>
      <c r="J565" t="s">
        <v>2569</v>
      </c>
      <c r="K565">
        <v>45</v>
      </c>
      <c r="L565" s="13" t="s">
        <v>257</v>
      </c>
    </row>
    <row r="566" spans="1:12" x14ac:dyDescent="0.25">
      <c r="A566" t="s">
        <v>3235</v>
      </c>
      <c r="B566" t="s">
        <v>170</v>
      </c>
      <c r="C566" t="str">
        <f>_xlfn.XLOOKUP(Table7[[#This Row],[app_id]],Table5[app_id],Table5[app_name],"",0)</f>
        <v>SnackX</v>
      </c>
      <c r="D566" t="s">
        <v>960</v>
      </c>
      <c r="E566" s="1">
        <v>45827</v>
      </c>
      <c r="F566">
        <v>5</v>
      </c>
      <c r="G566" t="s">
        <v>2676</v>
      </c>
      <c r="H566" t="s">
        <v>2564</v>
      </c>
      <c r="I566" t="s">
        <v>2571</v>
      </c>
      <c r="J566" t="s">
        <v>2569</v>
      </c>
      <c r="K566">
        <v>47</v>
      </c>
      <c r="L566" s="13" t="s">
        <v>257</v>
      </c>
    </row>
    <row r="567" spans="1:12" x14ac:dyDescent="0.25">
      <c r="A567" t="s">
        <v>3236</v>
      </c>
      <c r="B567" t="s">
        <v>172</v>
      </c>
      <c r="C567" t="str">
        <f>_xlfn.XLOOKUP(Table7[[#This Row],[app_id]],Table5[app_id],Table5[app_name],"",0)</f>
        <v>FoodOne</v>
      </c>
      <c r="D567" t="s">
        <v>2521</v>
      </c>
      <c r="E567" s="1">
        <v>45658</v>
      </c>
      <c r="F567">
        <v>4</v>
      </c>
      <c r="G567" t="s">
        <v>2679</v>
      </c>
      <c r="H567" t="s">
        <v>2564</v>
      </c>
      <c r="I567" t="s">
        <v>2558</v>
      </c>
      <c r="J567" t="s">
        <v>2566</v>
      </c>
      <c r="K567">
        <v>37</v>
      </c>
      <c r="L567" s="13" t="s">
        <v>258</v>
      </c>
    </row>
    <row r="568" spans="1:12" x14ac:dyDescent="0.25">
      <c r="A568" t="s">
        <v>3237</v>
      </c>
      <c r="B568" t="s">
        <v>174</v>
      </c>
      <c r="C568" t="str">
        <f>_xlfn.XLOOKUP(Table7[[#This Row],[app_id]],Table5[app_id],Table5[app_name],"",0)</f>
        <v>MealMate</v>
      </c>
      <c r="D568" t="s">
        <v>1380</v>
      </c>
      <c r="E568" s="1">
        <v>45295</v>
      </c>
      <c r="F568">
        <v>4</v>
      </c>
      <c r="G568" t="s">
        <v>2679</v>
      </c>
      <c r="H568" t="s">
        <v>2564</v>
      </c>
      <c r="I568" t="s">
        <v>2565</v>
      </c>
      <c r="J568" t="s">
        <v>2566</v>
      </c>
      <c r="K568">
        <v>37</v>
      </c>
      <c r="L568" s="13" t="s">
        <v>257</v>
      </c>
    </row>
    <row r="569" spans="1:12" x14ac:dyDescent="0.25">
      <c r="A569" t="s">
        <v>3238</v>
      </c>
      <c r="B569" t="s">
        <v>176</v>
      </c>
      <c r="C569" t="str">
        <f>_xlfn.XLOOKUP(Table7[[#This Row],[app_id]],Table5[app_id],Table5[app_name],"",0)</f>
        <v>SnackHub</v>
      </c>
      <c r="D569" t="s">
        <v>2060</v>
      </c>
      <c r="E569" s="1">
        <v>45939</v>
      </c>
      <c r="F569">
        <v>4</v>
      </c>
      <c r="G569" t="s">
        <v>2674</v>
      </c>
      <c r="H569" t="s">
        <v>2564</v>
      </c>
      <c r="I569" t="s">
        <v>2558</v>
      </c>
      <c r="J569" t="s">
        <v>2569</v>
      </c>
      <c r="K569">
        <v>36</v>
      </c>
      <c r="L569" s="13" t="s">
        <v>257</v>
      </c>
    </row>
    <row r="570" spans="1:12" x14ac:dyDescent="0.25">
      <c r="A570" t="s">
        <v>3239</v>
      </c>
      <c r="B570" t="s">
        <v>178</v>
      </c>
      <c r="C570" t="str">
        <f>_xlfn.XLOOKUP(Table7[[#This Row],[app_id]],Table5[app_id],Table5[app_name],"",0)</f>
        <v>BiteCloud</v>
      </c>
      <c r="D570" t="s">
        <v>1029</v>
      </c>
      <c r="E570" s="1">
        <v>45731</v>
      </c>
      <c r="F570">
        <v>5</v>
      </c>
      <c r="G570" t="s">
        <v>2679</v>
      </c>
      <c r="H570" t="s">
        <v>2564</v>
      </c>
      <c r="I570" t="s">
        <v>2558</v>
      </c>
      <c r="J570" t="s">
        <v>2603</v>
      </c>
      <c r="K570">
        <v>31</v>
      </c>
      <c r="L570" s="13" t="s">
        <v>257</v>
      </c>
    </row>
    <row r="571" spans="1:12" x14ac:dyDescent="0.25">
      <c r="A571" t="s">
        <v>3240</v>
      </c>
      <c r="B571" t="s">
        <v>180</v>
      </c>
      <c r="C571" t="str">
        <f>_xlfn.XLOOKUP(Table7[[#This Row],[app_id]],Table5[app_id],Table5[app_name],"",0)</f>
        <v>PlatePlus</v>
      </c>
      <c r="D571" t="s">
        <v>1038</v>
      </c>
      <c r="E571" s="1">
        <v>45477</v>
      </c>
      <c r="F571">
        <v>3</v>
      </c>
      <c r="G571" t="s">
        <v>2670</v>
      </c>
      <c r="H571" t="s">
        <v>2554</v>
      </c>
      <c r="I571" t="s">
        <v>2588</v>
      </c>
      <c r="J571" t="s">
        <v>2600</v>
      </c>
      <c r="K571">
        <v>20</v>
      </c>
      <c r="L571" s="13" t="s">
        <v>257</v>
      </c>
    </row>
    <row r="572" spans="1:12" x14ac:dyDescent="0.25">
      <c r="A572" t="s">
        <v>3241</v>
      </c>
      <c r="B572" t="s">
        <v>182</v>
      </c>
      <c r="C572" t="str">
        <f>_xlfn.XLOOKUP(Table7[[#This Row],[app_id]],Table5[app_id],Table5[app_name],"",0)</f>
        <v>VoyageGo</v>
      </c>
      <c r="D572" t="s">
        <v>2072</v>
      </c>
      <c r="E572" s="1">
        <v>45500</v>
      </c>
      <c r="F572">
        <v>5</v>
      </c>
      <c r="G572" t="s">
        <v>2929</v>
      </c>
      <c r="H572" t="s">
        <v>2564</v>
      </c>
      <c r="I572" t="s">
        <v>2565</v>
      </c>
      <c r="J572" t="s">
        <v>2561</v>
      </c>
      <c r="K572">
        <v>18</v>
      </c>
      <c r="L572" s="13" t="s">
        <v>257</v>
      </c>
    </row>
    <row r="573" spans="1:12" x14ac:dyDescent="0.25">
      <c r="A573" t="s">
        <v>3242</v>
      </c>
      <c r="B573" t="s">
        <v>185</v>
      </c>
      <c r="C573" t="str">
        <f>_xlfn.XLOOKUP(Table7[[#This Row],[app_id]],Table5[app_id],Table5[app_name],"",0)</f>
        <v>TripOne</v>
      </c>
      <c r="D573" t="s">
        <v>938</v>
      </c>
      <c r="E573" s="1">
        <v>45524</v>
      </c>
      <c r="F573">
        <v>3</v>
      </c>
      <c r="G573" t="s">
        <v>2690</v>
      </c>
      <c r="H573" t="s">
        <v>2554</v>
      </c>
      <c r="I573" t="s">
        <v>2571</v>
      </c>
      <c r="J573" t="s">
        <v>2603</v>
      </c>
      <c r="K573">
        <v>32</v>
      </c>
      <c r="L573" s="13" t="s">
        <v>258</v>
      </c>
    </row>
    <row r="574" spans="1:12" x14ac:dyDescent="0.25">
      <c r="A574" t="s">
        <v>3243</v>
      </c>
      <c r="B574" t="s">
        <v>187</v>
      </c>
      <c r="C574" t="str">
        <f>_xlfn.XLOOKUP(Table7[[#This Row],[app_id]],Table5[app_id],Table5[app_name],"",0)</f>
        <v>FlyGo</v>
      </c>
      <c r="D574" t="s">
        <v>1467</v>
      </c>
      <c r="E574" s="1">
        <v>45882</v>
      </c>
      <c r="F574">
        <v>5</v>
      </c>
      <c r="G574" t="s">
        <v>2931</v>
      </c>
      <c r="H574" t="s">
        <v>2564</v>
      </c>
      <c r="I574" t="s">
        <v>2575</v>
      </c>
      <c r="J574" t="s">
        <v>2559</v>
      </c>
      <c r="K574">
        <v>17</v>
      </c>
      <c r="L574" s="13" t="s">
        <v>257</v>
      </c>
    </row>
    <row r="575" spans="1:12" x14ac:dyDescent="0.25">
      <c r="A575" t="s">
        <v>3244</v>
      </c>
      <c r="B575" t="s">
        <v>189</v>
      </c>
      <c r="C575" t="str">
        <f>_xlfn.XLOOKUP(Table7[[#This Row],[app_id]],Table5[app_id],Table5[app_name],"",0)</f>
        <v>MapX</v>
      </c>
      <c r="D575" t="s">
        <v>1348</v>
      </c>
      <c r="E575" s="1">
        <v>45807</v>
      </c>
      <c r="F575">
        <v>3</v>
      </c>
      <c r="G575" t="s">
        <v>2695</v>
      </c>
      <c r="H575" t="s">
        <v>2554</v>
      </c>
      <c r="I575" t="s">
        <v>2555</v>
      </c>
      <c r="J575" t="s">
        <v>2566</v>
      </c>
      <c r="K575">
        <v>20</v>
      </c>
      <c r="L575" s="13" t="s">
        <v>257</v>
      </c>
    </row>
    <row r="576" spans="1:12" x14ac:dyDescent="0.25">
      <c r="A576" t="s">
        <v>3245</v>
      </c>
      <c r="B576" t="s">
        <v>191</v>
      </c>
      <c r="C576" t="str">
        <f>_xlfn.XLOOKUP(Table7[[#This Row],[app_id]],Table5[app_id],Table5[app_name],"",0)</f>
        <v>StayX</v>
      </c>
      <c r="D576" t="s">
        <v>1587</v>
      </c>
      <c r="E576" s="1">
        <v>45599</v>
      </c>
      <c r="F576">
        <v>4</v>
      </c>
      <c r="G576" t="s">
        <v>2929</v>
      </c>
      <c r="H576" t="s">
        <v>2564</v>
      </c>
      <c r="I576" t="s">
        <v>2558</v>
      </c>
      <c r="J576" t="s">
        <v>2556</v>
      </c>
      <c r="K576">
        <v>24</v>
      </c>
      <c r="L576" s="13" t="s">
        <v>257</v>
      </c>
    </row>
    <row r="577" spans="1:12" x14ac:dyDescent="0.25">
      <c r="A577" t="s">
        <v>3246</v>
      </c>
      <c r="B577" t="s">
        <v>193</v>
      </c>
      <c r="C577" t="str">
        <f>_xlfn.XLOOKUP(Table7[[#This Row],[app_id]],Table5[app_id],Table5[app_name],"",0)</f>
        <v>GoNow</v>
      </c>
      <c r="D577" t="s">
        <v>583</v>
      </c>
      <c r="E577" s="1">
        <v>45865</v>
      </c>
      <c r="F577">
        <v>4</v>
      </c>
      <c r="G577" t="s">
        <v>2929</v>
      </c>
      <c r="H577" t="s">
        <v>2564</v>
      </c>
      <c r="I577" t="s">
        <v>2575</v>
      </c>
      <c r="J577" t="s">
        <v>2581</v>
      </c>
      <c r="K577">
        <v>24</v>
      </c>
      <c r="L577" s="13" t="s">
        <v>257</v>
      </c>
    </row>
    <row r="578" spans="1:12" x14ac:dyDescent="0.25">
      <c r="A578" t="s">
        <v>3247</v>
      </c>
      <c r="B578" t="s">
        <v>195</v>
      </c>
      <c r="C578" t="str">
        <f>_xlfn.XLOOKUP(Table7[[#This Row],[app_id]],Table5[app_id],Table5[app_name],"",0)</f>
        <v>RouteGo</v>
      </c>
      <c r="D578" t="s">
        <v>845</v>
      </c>
      <c r="E578" s="1">
        <v>45548</v>
      </c>
      <c r="F578">
        <v>3</v>
      </c>
      <c r="G578" t="s">
        <v>2815</v>
      </c>
      <c r="H578" t="s">
        <v>2554</v>
      </c>
      <c r="I578" t="s">
        <v>2578</v>
      </c>
      <c r="J578" t="s">
        <v>2566</v>
      </c>
      <c r="K578">
        <v>48</v>
      </c>
      <c r="L578" s="13" t="s">
        <v>257</v>
      </c>
    </row>
    <row r="579" spans="1:12" x14ac:dyDescent="0.25">
      <c r="A579" t="s">
        <v>3248</v>
      </c>
      <c r="B579" t="s">
        <v>197</v>
      </c>
      <c r="C579" t="str">
        <f>_xlfn.XLOOKUP(Table7[[#This Row],[app_id]],Table5[app_id],Table5[app_name],"",0)</f>
        <v>TripGo</v>
      </c>
      <c r="D579" t="s">
        <v>2313</v>
      </c>
      <c r="E579" s="1">
        <v>45522</v>
      </c>
      <c r="F579">
        <v>4</v>
      </c>
      <c r="G579" t="s">
        <v>2931</v>
      </c>
      <c r="H579" t="s">
        <v>2564</v>
      </c>
      <c r="I579" t="s">
        <v>2555</v>
      </c>
      <c r="J579" t="s">
        <v>2596</v>
      </c>
      <c r="K579">
        <v>22</v>
      </c>
      <c r="L579" s="13" t="s">
        <v>257</v>
      </c>
    </row>
    <row r="580" spans="1:12" x14ac:dyDescent="0.25">
      <c r="A580" t="s">
        <v>3249</v>
      </c>
      <c r="B580" t="s">
        <v>199</v>
      </c>
      <c r="C580" t="str">
        <f>_xlfn.XLOOKUP(Table7[[#This Row],[app_id]],Table5[app_id],Table5[app_name],"",0)</f>
        <v>Flyly</v>
      </c>
      <c r="D580" t="s">
        <v>2323</v>
      </c>
      <c r="E580" s="1">
        <v>45876</v>
      </c>
      <c r="F580">
        <v>3</v>
      </c>
      <c r="G580" t="s">
        <v>2695</v>
      </c>
      <c r="H580" t="s">
        <v>2554</v>
      </c>
      <c r="I580" t="s">
        <v>2558</v>
      </c>
      <c r="J580" t="s">
        <v>2566</v>
      </c>
      <c r="K580">
        <v>9</v>
      </c>
      <c r="L580" s="13" t="s">
        <v>257</v>
      </c>
    </row>
    <row r="581" spans="1:12" x14ac:dyDescent="0.25">
      <c r="A581" t="s">
        <v>3250</v>
      </c>
      <c r="B581" t="s">
        <v>201</v>
      </c>
      <c r="C581" t="str">
        <f>_xlfn.XLOOKUP(Table7[[#This Row],[app_id]],Table5[app_id],Table5[app_name],"",0)</f>
        <v>TripPro</v>
      </c>
      <c r="D581" t="s">
        <v>2185</v>
      </c>
      <c r="E581" s="1">
        <v>45367</v>
      </c>
      <c r="F581">
        <v>3</v>
      </c>
      <c r="G581" t="s">
        <v>2695</v>
      </c>
      <c r="H581" t="s">
        <v>2554</v>
      </c>
      <c r="I581" t="s">
        <v>2575</v>
      </c>
      <c r="J581" t="s">
        <v>2596</v>
      </c>
      <c r="K581">
        <v>14</v>
      </c>
      <c r="L581" s="13" t="s">
        <v>258</v>
      </c>
    </row>
    <row r="582" spans="1:12" x14ac:dyDescent="0.25">
      <c r="A582" t="s">
        <v>3251</v>
      </c>
      <c r="B582" t="s">
        <v>203</v>
      </c>
      <c r="C582" t="str">
        <f>_xlfn.XLOOKUP(Table7[[#This Row],[app_id]],Table5[app_id],Table5[app_name],"",0)</f>
        <v>Focusly</v>
      </c>
      <c r="D582" t="s">
        <v>2392</v>
      </c>
      <c r="E582" s="1">
        <v>45608</v>
      </c>
      <c r="F582">
        <v>3</v>
      </c>
      <c r="G582" t="s">
        <v>2710</v>
      </c>
      <c r="H582" t="s">
        <v>2554</v>
      </c>
      <c r="I582" t="s">
        <v>2575</v>
      </c>
      <c r="J582" t="s">
        <v>2566</v>
      </c>
      <c r="K582">
        <v>13</v>
      </c>
      <c r="L582" s="13" t="s">
        <v>258</v>
      </c>
    </row>
    <row r="583" spans="1:12" x14ac:dyDescent="0.25">
      <c r="A583" t="s">
        <v>3252</v>
      </c>
      <c r="B583" t="s">
        <v>206</v>
      </c>
      <c r="C583" t="str">
        <f>_xlfn.XLOOKUP(Table7[[#This Row],[app_id]],Table5[app_id],Table5[app_name],"",0)</f>
        <v>DeskX</v>
      </c>
      <c r="D583" t="s">
        <v>2450</v>
      </c>
      <c r="E583" s="1">
        <v>45530</v>
      </c>
      <c r="F583">
        <v>3</v>
      </c>
      <c r="G583" t="s">
        <v>2706</v>
      </c>
      <c r="H583" t="s">
        <v>2554</v>
      </c>
      <c r="I583" t="s">
        <v>2558</v>
      </c>
      <c r="J583" t="s">
        <v>2556</v>
      </c>
      <c r="K583">
        <v>19</v>
      </c>
      <c r="L583" s="13" t="s">
        <v>257</v>
      </c>
    </row>
    <row r="584" spans="1:12" x14ac:dyDescent="0.25">
      <c r="A584" t="s">
        <v>3253</v>
      </c>
      <c r="B584" t="s">
        <v>208</v>
      </c>
      <c r="C584" t="str">
        <f>_xlfn.XLOOKUP(Table7[[#This Row],[app_id]],Table5[app_id],Table5[app_name],"",0)</f>
        <v>DonePro</v>
      </c>
      <c r="D584" t="s">
        <v>1338</v>
      </c>
      <c r="E584" s="1">
        <v>45676</v>
      </c>
      <c r="F584">
        <v>3</v>
      </c>
      <c r="G584" t="s">
        <v>3254</v>
      </c>
      <c r="H584" t="s">
        <v>2554</v>
      </c>
      <c r="I584" t="s">
        <v>2588</v>
      </c>
      <c r="J584" t="s">
        <v>2569</v>
      </c>
      <c r="K584">
        <v>9</v>
      </c>
      <c r="L584" s="13" t="s">
        <v>257</v>
      </c>
    </row>
    <row r="585" spans="1:12" x14ac:dyDescent="0.25">
      <c r="A585" t="s">
        <v>3255</v>
      </c>
      <c r="B585" t="s">
        <v>210</v>
      </c>
      <c r="C585" t="str">
        <f>_xlfn.XLOOKUP(Table7[[#This Row],[app_id]],Table5[app_id],Table5[app_name],"",0)</f>
        <v>NotePlus</v>
      </c>
      <c r="D585" t="s">
        <v>586</v>
      </c>
      <c r="E585" s="1">
        <v>45315</v>
      </c>
      <c r="F585">
        <v>2</v>
      </c>
      <c r="G585" t="s">
        <v>2827</v>
      </c>
      <c r="H585" t="s">
        <v>2587</v>
      </c>
      <c r="I585" t="s">
        <v>2565</v>
      </c>
      <c r="J585" t="s">
        <v>2603</v>
      </c>
      <c r="K585">
        <v>30</v>
      </c>
      <c r="L585" s="13" t="s">
        <v>258</v>
      </c>
    </row>
    <row r="586" spans="1:12" x14ac:dyDescent="0.25">
      <c r="A586" t="s">
        <v>3256</v>
      </c>
      <c r="B586" t="s">
        <v>212</v>
      </c>
      <c r="C586" t="str">
        <f>_xlfn.XLOOKUP(Table7[[#This Row],[app_id]],Table5[app_id],Table5[app_name],"",0)</f>
        <v>SyncPlus</v>
      </c>
      <c r="D586" t="s">
        <v>1990</v>
      </c>
      <c r="E586" s="1">
        <v>45996</v>
      </c>
      <c r="F586">
        <v>4</v>
      </c>
      <c r="G586" t="s">
        <v>2708</v>
      </c>
      <c r="H586" t="s">
        <v>2564</v>
      </c>
      <c r="I586" t="s">
        <v>2565</v>
      </c>
      <c r="J586" t="s">
        <v>2561</v>
      </c>
      <c r="K586">
        <v>21</v>
      </c>
      <c r="L586" s="13" t="s">
        <v>257</v>
      </c>
    </row>
    <row r="587" spans="1:12" x14ac:dyDescent="0.25">
      <c r="A587" t="s">
        <v>3257</v>
      </c>
      <c r="B587" t="s">
        <v>214</v>
      </c>
      <c r="C587" t="str">
        <f>_xlfn.XLOOKUP(Table7[[#This Row],[app_id]],Table5[app_id],Table5[app_name],"",0)</f>
        <v>NoteOne</v>
      </c>
      <c r="D587" t="s">
        <v>1931</v>
      </c>
      <c r="E587" s="1">
        <v>45371</v>
      </c>
      <c r="F587">
        <v>5</v>
      </c>
      <c r="G587" t="s">
        <v>2703</v>
      </c>
      <c r="H587" t="s">
        <v>2564</v>
      </c>
      <c r="I587" t="s">
        <v>2555</v>
      </c>
      <c r="J587" t="s">
        <v>2561</v>
      </c>
      <c r="K587">
        <v>16</v>
      </c>
      <c r="L587" s="13" t="s">
        <v>257</v>
      </c>
    </row>
    <row r="588" spans="1:12" x14ac:dyDescent="0.25">
      <c r="A588" t="s">
        <v>3258</v>
      </c>
      <c r="B588" t="s">
        <v>216</v>
      </c>
      <c r="C588" t="str">
        <f>_xlfn.XLOOKUP(Table7[[#This Row],[app_id]],Table5[app_id],Table5[app_name],"",0)</f>
        <v>NoteMate</v>
      </c>
      <c r="D588" t="s">
        <v>2343</v>
      </c>
      <c r="E588" s="1">
        <v>45949</v>
      </c>
      <c r="F588">
        <v>4</v>
      </c>
      <c r="G588" t="s">
        <v>2836</v>
      </c>
      <c r="H588" t="s">
        <v>2564</v>
      </c>
      <c r="I588" t="s">
        <v>2555</v>
      </c>
      <c r="J588" t="s">
        <v>2561</v>
      </c>
      <c r="K588">
        <v>44</v>
      </c>
      <c r="L588" s="13" t="s">
        <v>257</v>
      </c>
    </row>
    <row r="589" spans="1:12" x14ac:dyDescent="0.25">
      <c r="A589" t="s">
        <v>3259</v>
      </c>
      <c r="B589" t="s">
        <v>218</v>
      </c>
      <c r="C589" t="str">
        <f>_xlfn.XLOOKUP(Table7[[#This Row],[app_id]],Table5[app_id],Table5[app_name],"",0)</f>
        <v>PlanPlus</v>
      </c>
      <c r="D589" t="s">
        <v>2291</v>
      </c>
      <c r="E589" s="1">
        <v>45627</v>
      </c>
      <c r="F589">
        <v>4</v>
      </c>
      <c r="G589" t="s">
        <v>2836</v>
      </c>
      <c r="H589" t="s">
        <v>2564</v>
      </c>
      <c r="I589" t="s">
        <v>2575</v>
      </c>
      <c r="J589" t="s">
        <v>2566</v>
      </c>
      <c r="K589">
        <v>40</v>
      </c>
      <c r="L589" s="13" t="s">
        <v>257</v>
      </c>
    </row>
    <row r="590" spans="1:12" x14ac:dyDescent="0.25">
      <c r="A590" t="s">
        <v>3260</v>
      </c>
      <c r="B590" t="s">
        <v>220</v>
      </c>
      <c r="C590" t="str">
        <f>_xlfn.XLOOKUP(Table7[[#This Row],[app_id]],Table5[app_id],Table5[app_name],"",0)</f>
        <v>PlanMate</v>
      </c>
      <c r="D590" t="s">
        <v>2181</v>
      </c>
      <c r="E590" s="1">
        <v>45704</v>
      </c>
      <c r="F590">
        <v>4</v>
      </c>
      <c r="G590" t="s">
        <v>2708</v>
      </c>
      <c r="H590" t="s">
        <v>2564</v>
      </c>
      <c r="I590" t="s">
        <v>2575</v>
      </c>
      <c r="J590" t="s">
        <v>2596</v>
      </c>
      <c r="K590">
        <v>29</v>
      </c>
      <c r="L590" s="13" t="s">
        <v>258</v>
      </c>
    </row>
    <row r="591" spans="1:12" x14ac:dyDescent="0.25">
      <c r="A591" t="s">
        <v>3261</v>
      </c>
      <c r="B591" t="s">
        <v>222</v>
      </c>
      <c r="C591" t="str">
        <f>_xlfn.XLOOKUP(Table7[[#This Row],[app_id]],Table5[app_id],Table5[app_name],"",0)</f>
        <v>SyncPlus</v>
      </c>
      <c r="D591" t="s">
        <v>584</v>
      </c>
      <c r="E591" s="1">
        <v>45766</v>
      </c>
      <c r="F591">
        <v>3</v>
      </c>
      <c r="G591" t="s">
        <v>3254</v>
      </c>
      <c r="H591" t="s">
        <v>2554</v>
      </c>
      <c r="I591" t="s">
        <v>2565</v>
      </c>
      <c r="J591" t="s">
        <v>2569</v>
      </c>
      <c r="K591">
        <v>25</v>
      </c>
      <c r="L591" s="13" t="s">
        <v>257</v>
      </c>
    </row>
    <row r="592" spans="1:12" x14ac:dyDescent="0.25">
      <c r="A592" t="s">
        <v>3262</v>
      </c>
      <c r="B592" t="s">
        <v>223</v>
      </c>
      <c r="C592" t="str">
        <f>_xlfn.XLOOKUP(Table7[[#This Row],[app_id]],Table5[app_id],Table5[app_name],"",0)</f>
        <v>ClinicPro</v>
      </c>
      <c r="D592" t="s">
        <v>1706</v>
      </c>
      <c r="E592" s="1">
        <v>45852</v>
      </c>
      <c r="F592">
        <v>5</v>
      </c>
      <c r="G592" t="s">
        <v>2954</v>
      </c>
      <c r="H592" t="s">
        <v>2564</v>
      </c>
      <c r="I592" t="s">
        <v>2555</v>
      </c>
      <c r="J592" t="s">
        <v>2600</v>
      </c>
      <c r="K592">
        <v>25</v>
      </c>
      <c r="L592" s="13" t="s">
        <v>258</v>
      </c>
    </row>
    <row r="593" spans="1:12" x14ac:dyDescent="0.25">
      <c r="A593" t="s">
        <v>3263</v>
      </c>
      <c r="B593" t="s">
        <v>226</v>
      </c>
      <c r="C593" t="str">
        <f>_xlfn.XLOOKUP(Table7[[#This Row],[app_id]],Table5[app_id],Table5[app_name],"",0)</f>
        <v>MindMate</v>
      </c>
      <c r="D593" t="s">
        <v>1455</v>
      </c>
      <c r="E593" s="1">
        <v>45703</v>
      </c>
      <c r="F593">
        <v>5</v>
      </c>
      <c r="G593" t="s">
        <v>2716</v>
      </c>
      <c r="H593" t="s">
        <v>2564</v>
      </c>
      <c r="I593" t="s">
        <v>2565</v>
      </c>
      <c r="J593" t="s">
        <v>2561</v>
      </c>
      <c r="K593">
        <v>29</v>
      </c>
      <c r="L593" s="13" t="s">
        <v>257</v>
      </c>
    </row>
    <row r="594" spans="1:12" x14ac:dyDescent="0.25">
      <c r="A594" t="s">
        <v>3264</v>
      </c>
      <c r="B594" t="s">
        <v>228</v>
      </c>
      <c r="C594" t="str">
        <f>_xlfn.XLOOKUP(Table7[[#This Row],[app_id]],Table5[app_id],Table5[app_name],"",0)</f>
        <v>ClinicOne</v>
      </c>
      <c r="D594" t="s">
        <v>2161</v>
      </c>
      <c r="E594" s="1">
        <v>45330</v>
      </c>
      <c r="F594">
        <v>5</v>
      </c>
      <c r="G594" t="s">
        <v>2722</v>
      </c>
      <c r="H594" t="s">
        <v>2564</v>
      </c>
      <c r="I594" t="s">
        <v>2555</v>
      </c>
      <c r="J594" t="s">
        <v>2581</v>
      </c>
      <c r="K594">
        <v>22</v>
      </c>
      <c r="L594" s="13" t="s">
        <v>257</v>
      </c>
    </row>
    <row r="595" spans="1:12" x14ac:dyDescent="0.25">
      <c r="A595" t="s">
        <v>3265</v>
      </c>
      <c r="B595" t="s">
        <v>230</v>
      </c>
      <c r="C595" t="str">
        <f>_xlfn.XLOOKUP(Table7[[#This Row],[app_id]],Table5[app_id],Table5[app_name],"",0)</f>
        <v>WellMate</v>
      </c>
      <c r="D595" t="s">
        <v>1899</v>
      </c>
      <c r="E595" s="1">
        <v>46067</v>
      </c>
      <c r="F595">
        <v>2</v>
      </c>
      <c r="G595" t="s">
        <v>2844</v>
      </c>
      <c r="H595" t="s">
        <v>2587</v>
      </c>
      <c r="I595" t="s">
        <v>2578</v>
      </c>
      <c r="J595" t="s">
        <v>2556</v>
      </c>
      <c r="K595">
        <v>47</v>
      </c>
      <c r="L595" s="13" t="s">
        <v>258</v>
      </c>
    </row>
    <row r="596" spans="1:12" x14ac:dyDescent="0.25">
      <c r="A596" t="s">
        <v>3266</v>
      </c>
      <c r="B596" t="s">
        <v>232</v>
      </c>
      <c r="C596" t="str">
        <f>_xlfn.XLOOKUP(Table7[[#This Row],[app_id]],Table5[app_id],Table5[app_name],"",0)</f>
        <v>MediMate</v>
      </c>
      <c r="D596" t="s">
        <v>2453</v>
      </c>
      <c r="E596" s="1">
        <v>45301</v>
      </c>
      <c r="F596">
        <v>5</v>
      </c>
      <c r="G596" t="s">
        <v>2728</v>
      </c>
      <c r="H596" t="s">
        <v>2564</v>
      </c>
      <c r="I596" t="s">
        <v>2555</v>
      </c>
      <c r="J596" t="s">
        <v>2566</v>
      </c>
      <c r="K596">
        <v>40</v>
      </c>
      <c r="L596" s="13" t="s">
        <v>257</v>
      </c>
    </row>
    <row r="597" spans="1:12" x14ac:dyDescent="0.25">
      <c r="A597" t="s">
        <v>3267</v>
      </c>
      <c r="B597" t="s">
        <v>234</v>
      </c>
      <c r="C597" t="str">
        <f>_xlfn.XLOOKUP(Table7[[#This Row],[app_id]],Table5[app_id],Table5[app_name],"",0)</f>
        <v>WellNow</v>
      </c>
      <c r="D597" t="s">
        <v>1892</v>
      </c>
      <c r="E597" s="1">
        <v>46125</v>
      </c>
      <c r="F597">
        <v>4</v>
      </c>
      <c r="G597" t="s">
        <v>2954</v>
      </c>
      <c r="H597" t="s">
        <v>2564</v>
      </c>
      <c r="I597" t="s">
        <v>2555</v>
      </c>
      <c r="J597" t="s">
        <v>2559</v>
      </c>
      <c r="K597">
        <v>22</v>
      </c>
      <c r="L597" s="13" t="s">
        <v>257</v>
      </c>
    </row>
    <row r="598" spans="1:12" x14ac:dyDescent="0.25">
      <c r="A598" t="s">
        <v>3268</v>
      </c>
      <c r="B598" t="s">
        <v>236</v>
      </c>
      <c r="C598" t="str">
        <f>_xlfn.XLOOKUP(Table7[[#This Row],[app_id]],Table5[app_id],Table5[app_name],"",0)</f>
        <v>CareCloud</v>
      </c>
      <c r="D598" t="s">
        <v>1782</v>
      </c>
      <c r="E598" s="1">
        <v>45380</v>
      </c>
      <c r="F598">
        <v>4</v>
      </c>
      <c r="G598" t="s">
        <v>2722</v>
      </c>
      <c r="H598" t="s">
        <v>2564</v>
      </c>
      <c r="I598" t="s">
        <v>2565</v>
      </c>
      <c r="J598" t="s">
        <v>2569</v>
      </c>
      <c r="K598">
        <v>23</v>
      </c>
      <c r="L598" s="13" t="s">
        <v>257</v>
      </c>
    </row>
    <row r="599" spans="1:12" x14ac:dyDescent="0.25">
      <c r="A599" t="s">
        <v>3269</v>
      </c>
      <c r="B599" t="s">
        <v>238</v>
      </c>
      <c r="C599" t="str">
        <f>_xlfn.XLOOKUP(Table7[[#This Row],[app_id]],Table5[app_id],Table5[app_name],"",0)</f>
        <v>MediNow</v>
      </c>
      <c r="D599" t="s">
        <v>1014</v>
      </c>
      <c r="E599" s="1">
        <v>45962</v>
      </c>
      <c r="F599">
        <v>5</v>
      </c>
      <c r="G599" t="s">
        <v>2728</v>
      </c>
      <c r="H599" t="s">
        <v>2564</v>
      </c>
      <c r="I599" t="s">
        <v>2558</v>
      </c>
      <c r="J599" t="s">
        <v>2556</v>
      </c>
      <c r="K599">
        <v>39</v>
      </c>
      <c r="L599" s="13" t="s">
        <v>258</v>
      </c>
    </row>
    <row r="600" spans="1:12" x14ac:dyDescent="0.25">
      <c r="A600" t="s">
        <v>3270</v>
      </c>
      <c r="B600" t="s">
        <v>240</v>
      </c>
      <c r="C600" t="str">
        <f>_xlfn.XLOOKUP(Table7[[#This Row],[app_id]],Table5[app_id],Table5[app_name],"",0)</f>
        <v>MindPlus</v>
      </c>
      <c r="D600" t="s">
        <v>2264</v>
      </c>
      <c r="E600" s="1">
        <v>45816</v>
      </c>
      <c r="F600">
        <v>3</v>
      </c>
      <c r="G600" t="s">
        <v>2846</v>
      </c>
      <c r="H600" t="s">
        <v>2554</v>
      </c>
      <c r="I600" t="s">
        <v>2584</v>
      </c>
      <c r="J600" t="s">
        <v>2600</v>
      </c>
      <c r="K600">
        <v>20</v>
      </c>
      <c r="L600" s="13" t="s">
        <v>257</v>
      </c>
    </row>
    <row r="601" spans="1:12" x14ac:dyDescent="0.25">
      <c r="A601" t="s">
        <v>3271</v>
      </c>
      <c r="B601" t="s">
        <v>242</v>
      </c>
      <c r="C601" t="str">
        <f>_xlfn.XLOOKUP(Table7[[#This Row],[app_id]],Table5[app_id],Table5[app_name],"",0)</f>
        <v>MediCloud</v>
      </c>
      <c r="D601" t="s">
        <v>1072</v>
      </c>
      <c r="E601" s="1">
        <v>46108</v>
      </c>
      <c r="F601">
        <v>4</v>
      </c>
      <c r="G601" t="s">
        <v>2722</v>
      </c>
      <c r="H601" t="s">
        <v>2564</v>
      </c>
      <c r="I601" t="s">
        <v>2575</v>
      </c>
      <c r="J601" t="s">
        <v>2633</v>
      </c>
      <c r="K601">
        <v>18</v>
      </c>
      <c r="L601" s="13" t="s">
        <v>257</v>
      </c>
    </row>
    <row r="602" spans="1:12" x14ac:dyDescent="0.25">
      <c r="A602" t="s">
        <v>3272</v>
      </c>
      <c r="B602" t="s">
        <v>12</v>
      </c>
      <c r="C602" t="str">
        <f>_xlfn.XLOOKUP(Table7[[#This Row],[app_id]],Table5[app_id],Table5[app_name],"",0)</f>
        <v>InvestPro</v>
      </c>
      <c r="D602" t="s">
        <v>1554</v>
      </c>
      <c r="E602" s="1">
        <v>45417</v>
      </c>
      <c r="F602">
        <v>2</v>
      </c>
      <c r="G602" t="s">
        <v>2740</v>
      </c>
      <c r="H602" t="s">
        <v>2587</v>
      </c>
      <c r="I602" t="s">
        <v>2565</v>
      </c>
      <c r="J602" t="s">
        <v>2561</v>
      </c>
      <c r="K602">
        <v>77</v>
      </c>
      <c r="L602" s="13" t="s">
        <v>258</v>
      </c>
    </row>
    <row r="603" spans="1:12" x14ac:dyDescent="0.25">
      <c r="A603" t="s">
        <v>3273</v>
      </c>
      <c r="B603" t="s">
        <v>19</v>
      </c>
      <c r="C603" t="str">
        <f>_xlfn.XLOOKUP(Table7[[#This Row],[app_id]],Table5[app_id],Table5[app_name],"",0)</f>
        <v>BankPro</v>
      </c>
      <c r="D603" t="s">
        <v>729</v>
      </c>
      <c r="E603" s="1">
        <v>45467</v>
      </c>
      <c r="F603">
        <v>3</v>
      </c>
      <c r="G603" t="s">
        <v>2553</v>
      </c>
      <c r="H603" t="s">
        <v>2554</v>
      </c>
      <c r="I603" t="s">
        <v>2588</v>
      </c>
      <c r="J603" t="s">
        <v>2600</v>
      </c>
      <c r="K603">
        <v>23</v>
      </c>
      <c r="L603" s="13" t="s">
        <v>258</v>
      </c>
    </row>
    <row r="604" spans="1:12" x14ac:dyDescent="0.25">
      <c r="A604" t="s">
        <v>3274</v>
      </c>
      <c r="B604" t="s">
        <v>24</v>
      </c>
      <c r="C604" t="str">
        <f>_xlfn.XLOOKUP(Table7[[#This Row],[app_id]],Table5[app_id],Table5[app_name],"",0)</f>
        <v>BankX</v>
      </c>
      <c r="D604" t="s">
        <v>1476</v>
      </c>
      <c r="E604" s="1">
        <v>45428</v>
      </c>
      <c r="F604">
        <v>3</v>
      </c>
      <c r="G604" t="s">
        <v>2735</v>
      </c>
      <c r="H604" t="s">
        <v>2554</v>
      </c>
      <c r="I604" t="s">
        <v>2571</v>
      </c>
      <c r="J604" t="s">
        <v>2559</v>
      </c>
      <c r="K604">
        <v>25</v>
      </c>
      <c r="L604" s="13" t="s">
        <v>257</v>
      </c>
    </row>
    <row r="605" spans="1:12" x14ac:dyDescent="0.25">
      <c r="A605" t="s">
        <v>3275</v>
      </c>
      <c r="B605" t="s">
        <v>27</v>
      </c>
      <c r="C605" t="str">
        <f>_xlfn.XLOOKUP(Table7[[#This Row],[app_id]],Table5[app_id],Table5[app_name],"",0)</f>
        <v>BankNow</v>
      </c>
      <c r="D605" t="s">
        <v>2122</v>
      </c>
      <c r="E605" s="1">
        <v>46046</v>
      </c>
      <c r="F605">
        <v>2</v>
      </c>
      <c r="G605" t="s">
        <v>3276</v>
      </c>
      <c r="H605" t="s">
        <v>2587</v>
      </c>
      <c r="I605" t="s">
        <v>2575</v>
      </c>
      <c r="J605" t="s">
        <v>2559</v>
      </c>
      <c r="K605">
        <v>64</v>
      </c>
      <c r="L605" s="13" t="s">
        <v>258</v>
      </c>
    </row>
    <row r="606" spans="1:12" x14ac:dyDescent="0.25">
      <c r="A606" t="s">
        <v>3277</v>
      </c>
      <c r="B606" t="s">
        <v>31</v>
      </c>
      <c r="C606" t="str">
        <f>_xlfn.XLOOKUP(Table7[[#This Row],[app_id]],Table5[app_id],Table5[app_name],"",0)</f>
        <v>CreditHub</v>
      </c>
      <c r="D606" t="s">
        <v>643</v>
      </c>
      <c r="E606" s="1">
        <v>45760</v>
      </c>
      <c r="F606">
        <v>4</v>
      </c>
      <c r="G606" t="s">
        <v>2573</v>
      </c>
      <c r="H606" t="s">
        <v>2564</v>
      </c>
      <c r="I606" t="s">
        <v>2575</v>
      </c>
      <c r="J606" t="s">
        <v>2633</v>
      </c>
      <c r="K606">
        <v>13</v>
      </c>
      <c r="L606" s="13" t="s">
        <v>258</v>
      </c>
    </row>
    <row r="607" spans="1:12" x14ac:dyDescent="0.25">
      <c r="A607" t="s">
        <v>3278</v>
      </c>
      <c r="B607" t="s">
        <v>36</v>
      </c>
      <c r="C607" t="str">
        <f>_xlfn.XLOOKUP(Table7[[#This Row],[app_id]],Table5[app_id],Table5[app_name],"",0)</f>
        <v>PayPlus</v>
      </c>
      <c r="D607" t="s">
        <v>1497</v>
      </c>
      <c r="E607" s="1">
        <v>45782</v>
      </c>
      <c r="F607">
        <v>5</v>
      </c>
      <c r="G607" t="s">
        <v>2568</v>
      </c>
      <c r="H607" t="s">
        <v>2564</v>
      </c>
      <c r="I607" t="s">
        <v>2555</v>
      </c>
      <c r="J607" t="s">
        <v>2633</v>
      </c>
      <c r="K607">
        <v>26</v>
      </c>
      <c r="L607" s="13" t="s">
        <v>257</v>
      </c>
    </row>
    <row r="608" spans="1:12" x14ac:dyDescent="0.25">
      <c r="A608" t="s">
        <v>3279</v>
      </c>
      <c r="B608" t="s">
        <v>39</v>
      </c>
      <c r="C608" t="str">
        <f>_xlfn.XLOOKUP(Table7[[#This Row],[app_id]],Table5[app_id],Table5[app_name],"",0)</f>
        <v>BankPlus</v>
      </c>
      <c r="D608" t="s">
        <v>1083</v>
      </c>
      <c r="E608" s="1">
        <v>45470</v>
      </c>
      <c r="F608">
        <v>5</v>
      </c>
      <c r="G608" t="s">
        <v>2563</v>
      </c>
      <c r="H608" t="s">
        <v>2564</v>
      </c>
      <c r="I608" t="s">
        <v>2575</v>
      </c>
      <c r="J608" t="s">
        <v>2633</v>
      </c>
      <c r="K608">
        <v>5</v>
      </c>
      <c r="L608" s="13" t="s">
        <v>258</v>
      </c>
    </row>
    <row r="609" spans="1:12" x14ac:dyDescent="0.25">
      <c r="A609" t="s">
        <v>3280</v>
      </c>
      <c r="B609" t="s">
        <v>42</v>
      </c>
      <c r="C609" t="str">
        <f>_xlfn.XLOOKUP(Table7[[#This Row],[app_id]],Table5[app_id],Table5[app_name],"",0)</f>
        <v>CoinPlus</v>
      </c>
      <c r="D609" t="s">
        <v>1824</v>
      </c>
      <c r="E609" s="1">
        <v>45819</v>
      </c>
      <c r="F609">
        <v>3</v>
      </c>
      <c r="G609" t="s">
        <v>2735</v>
      </c>
      <c r="H609" t="s">
        <v>2554</v>
      </c>
      <c r="I609" t="s">
        <v>2584</v>
      </c>
      <c r="J609" t="s">
        <v>2596</v>
      </c>
      <c r="K609">
        <v>32</v>
      </c>
      <c r="L609" s="13" t="s">
        <v>257</v>
      </c>
    </row>
    <row r="610" spans="1:12" x14ac:dyDescent="0.25">
      <c r="A610" t="s">
        <v>3281</v>
      </c>
      <c r="B610" t="s">
        <v>47</v>
      </c>
      <c r="C610" t="str">
        <f>_xlfn.XLOOKUP(Table7[[#This Row],[app_id]],Table5[app_id],Table5[app_name],"",0)</f>
        <v>CreditOne</v>
      </c>
      <c r="D610" t="s">
        <v>868</v>
      </c>
      <c r="E610" s="1">
        <v>45786</v>
      </c>
      <c r="F610">
        <v>5</v>
      </c>
      <c r="G610" t="s">
        <v>2568</v>
      </c>
      <c r="H610" t="s">
        <v>2564</v>
      </c>
      <c r="I610" t="s">
        <v>2575</v>
      </c>
      <c r="J610" t="s">
        <v>2603</v>
      </c>
      <c r="K610">
        <v>21</v>
      </c>
      <c r="L610" s="13" t="s">
        <v>258</v>
      </c>
    </row>
    <row r="611" spans="1:12" x14ac:dyDescent="0.25">
      <c r="A611" t="s">
        <v>3282</v>
      </c>
      <c r="B611" t="s">
        <v>49</v>
      </c>
      <c r="C611" t="str">
        <f>_xlfn.XLOOKUP(Table7[[#This Row],[app_id]],Table5[app_id],Table5[app_name],"",0)</f>
        <v>PayPro</v>
      </c>
      <c r="D611" t="s">
        <v>1429</v>
      </c>
      <c r="E611" s="1">
        <v>45889</v>
      </c>
      <c r="F611">
        <v>5</v>
      </c>
      <c r="G611" t="s">
        <v>2568</v>
      </c>
      <c r="H611" t="s">
        <v>2564</v>
      </c>
      <c r="I611" t="s">
        <v>2558</v>
      </c>
      <c r="J611" t="s">
        <v>2569</v>
      </c>
      <c r="K611">
        <v>14</v>
      </c>
      <c r="L611" s="13" t="s">
        <v>257</v>
      </c>
    </row>
    <row r="612" spans="1:12" x14ac:dyDescent="0.25">
      <c r="A612" t="s">
        <v>3283</v>
      </c>
      <c r="B612" t="s">
        <v>51</v>
      </c>
      <c r="C612" t="str">
        <f>_xlfn.XLOOKUP(Table7[[#This Row],[app_id]],Table5[app_id],Table5[app_name],"",0)</f>
        <v>Creditly</v>
      </c>
      <c r="D612" t="s">
        <v>735</v>
      </c>
      <c r="E612" s="1">
        <v>45486</v>
      </c>
      <c r="F612">
        <v>5</v>
      </c>
      <c r="G612" t="s">
        <v>2573</v>
      </c>
      <c r="H612" t="s">
        <v>2564</v>
      </c>
      <c r="I612" t="s">
        <v>2575</v>
      </c>
      <c r="J612" t="s">
        <v>2556</v>
      </c>
      <c r="K612">
        <v>38</v>
      </c>
      <c r="L612" s="13" t="s">
        <v>257</v>
      </c>
    </row>
    <row r="613" spans="1:12" x14ac:dyDescent="0.25">
      <c r="A613" t="s">
        <v>3284</v>
      </c>
      <c r="B613" t="s">
        <v>53</v>
      </c>
      <c r="C613" t="str">
        <f>_xlfn.XLOOKUP(Table7[[#This Row],[app_id]],Table5[app_id],Table5[app_name],"",0)</f>
        <v>PayX</v>
      </c>
      <c r="D613" t="s">
        <v>615</v>
      </c>
      <c r="E613" s="1">
        <v>45636</v>
      </c>
      <c r="F613">
        <v>3</v>
      </c>
      <c r="G613" t="s">
        <v>2553</v>
      </c>
      <c r="H613" t="s">
        <v>2554</v>
      </c>
      <c r="I613" t="s">
        <v>2588</v>
      </c>
      <c r="J613" t="s">
        <v>2569</v>
      </c>
      <c r="K613">
        <v>6</v>
      </c>
      <c r="L613" s="13" t="s">
        <v>257</v>
      </c>
    </row>
    <row r="614" spans="1:12" x14ac:dyDescent="0.25">
      <c r="A614" t="s">
        <v>3285</v>
      </c>
      <c r="B614" t="s">
        <v>56</v>
      </c>
      <c r="C614" t="str">
        <f>_xlfn.XLOOKUP(Table7[[#This Row],[app_id]],Table5[app_id],Table5[app_name],"",0)</f>
        <v>DealGo</v>
      </c>
      <c r="D614" t="s">
        <v>709</v>
      </c>
      <c r="E614" s="1">
        <v>45629</v>
      </c>
      <c r="F614">
        <v>3</v>
      </c>
      <c r="G614" t="s">
        <v>2602</v>
      </c>
      <c r="H614" t="s">
        <v>2554</v>
      </c>
      <c r="I614" t="s">
        <v>2578</v>
      </c>
      <c r="J614" t="s">
        <v>2581</v>
      </c>
      <c r="K614">
        <v>28</v>
      </c>
      <c r="L614" s="13" t="s">
        <v>258</v>
      </c>
    </row>
    <row r="615" spans="1:12" x14ac:dyDescent="0.25">
      <c r="A615" t="s">
        <v>3286</v>
      </c>
      <c r="B615" t="s">
        <v>62</v>
      </c>
      <c r="C615" t="str">
        <f>_xlfn.XLOOKUP(Table7[[#This Row],[app_id]],Table5[app_id],Table5[app_name],"",0)</f>
        <v>MallNow</v>
      </c>
      <c r="D615" t="s">
        <v>2292</v>
      </c>
      <c r="E615" s="1">
        <v>45950</v>
      </c>
      <c r="F615">
        <v>5</v>
      </c>
      <c r="G615" t="s">
        <v>2867</v>
      </c>
      <c r="H615" t="s">
        <v>2564</v>
      </c>
      <c r="I615" t="s">
        <v>2565</v>
      </c>
      <c r="J615" t="s">
        <v>2561</v>
      </c>
      <c r="K615">
        <v>11</v>
      </c>
      <c r="L615" s="13" t="s">
        <v>258</v>
      </c>
    </row>
    <row r="616" spans="1:12" x14ac:dyDescent="0.25">
      <c r="A616" t="s">
        <v>3287</v>
      </c>
      <c r="B616" t="s">
        <v>65</v>
      </c>
      <c r="C616" t="str">
        <f>_xlfn.XLOOKUP(Table7[[#This Row],[app_id]],Table5[app_id],Table5[app_name],"",0)</f>
        <v>DealPro</v>
      </c>
      <c r="D616" t="s">
        <v>736</v>
      </c>
      <c r="E616" s="1">
        <v>45776</v>
      </c>
      <c r="F616">
        <v>3</v>
      </c>
      <c r="G616" t="s">
        <v>2602</v>
      </c>
      <c r="H616" t="s">
        <v>2554</v>
      </c>
      <c r="I616" t="s">
        <v>2575</v>
      </c>
      <c r="J616" t="s">
        <v>2596</v>
      </c>
      <c r="K616">
        <v>47</v>
      </c>
      <c r="L616" s="13" t="s">
        <v>257</v>
      </c>
    </row>
    <row r="617" spans="1:12" x14ac:dyDescent="0.25">
      <c r="A617" t="s">
        <v>3288</v>
      </c>
      <c r="B617" t="s">
        <v>67</v>
      </c>
      <c r="C617" t="str">
        <f>_xlfn.XLOOKUP(Table7[[#This Row],[app_id]],Table5[app_id],Table5[app_name],"",0)</f>
        <v>StyleNow</v>
      </c>
      <c r="D617" t="s">
        <v>593</v>
      </c>
      <c r="E617" s="1">
        <v>46040</v>
      </c>
      <c r="F617">
        <v>4</v>
      </c>
      <c r="G617" t="s">
        <v>2592</v>
      </c>
      <c r="H617" t="s">
        <v>2564</v>
      </c>
      <c r="I617" t="s">
        <v>2575</v>
      </c>
      <c r="J617" t="s">
        <v>2556</v>
      </c>
      <c r="K617">
        <v>39</v>
      </c>
      <c r="L617" s="13" t="s">
        <v>257</v>
      </c>
    </row>
    <row r="618" spans="1:12" x14ac:dyDescent="0.25">
      <c r="A618" t="s">
        <v>3289</v>
      </c>
      <c r="B618" t="s">
        <v>70</v>
      </c>
      <c r="C618" t="str">
        <f>_xlfn.XLOOKUP(Table7[[#This Row],[app_id]],Table5[app_id],Table5[app_name],"",0)</f>
        <v>DealCloud</v>
      </c>
      <c r="D618" t="s">
        <v>1300</v>
      </c>
      <c r="E618" s="1">
        <v>45329</v>
      </c>
      <c r="F618">
        <v>5</v>
      </c>
      <c r="G618" t="s">
        <v>2598</v>
      </c>
      <c r="H618" t="s">
        <v>2564</v>
      </c>
      <c r="I618" t="s">
        <v>2575</v>
      </c>
      <c r="J618" t="s">
        <v>2566</v>
      </c>
      <c r="K618">
        <v>32</v>
      </c>
      <c r="L618" s="13" t="s">
        <v>257</v>
      </c>
    </row>
    <row r="619" spans="1:12" x14ac:dyDescent="0.25">
      <c r="A619" t="s">
        <v>3290</v>
      </c>
      <c r="B619" t="s">
        <v>72</v>
      </c>
      <c r="C619" t="str">
        <f>_xlfn.XLOOKUP(Table7[[#This Row],[app_id]],Table5[app_id],Table5[app_name],"",0)</f>
        <v>CartCloud</v>
      </c>
      <c r="D619" t="s">
        <v>1510</v>
      </c>
      <c r="E619" s="1">
        <v>45613</v>
      </c>
      <c r="F619">
        <v>5</v>
      </c>
      <c r="G619" t="s">
        <v>2590</v>
      </c>
      <c r="H619" t="s">
        <v>2564</v>
      </c>
      <c r="I619" t="s">
        <v>2575</v>
      </c>
      <c r="J619" t="s">
        <v>2603</v>
      </c>
      <c r="K619">
        <v>3</v>
      </c>
      <c r="L619" s="13" t="s">
        <v>257</v>
      </c>
    </row>
    <row r="620" spans="1:12" x14ac:dyDescent="0.25">
      <c r="A620" t="s">
        <v>3291</v>
      </c>
      <c r="B620" t="s">
        <v>74</v>
      </c>
      <c r="C620" t="str">
        <f>_xlfn.XLOOKUP(Table7[[#This Row],[app_id]],Table5[app_id],Table5[app_name],"",0)</f>
        <v>CartMate</v>
      </c>
      <c r="D620" t="s">
        <v>2051</v>
      </c>
      <c r="E620" s="1">
        <v>45697</v>
      </c>
      <c r="F620">
        <v>3</v>
      </c>
      <c r="G620" t="s">
        <v>2748</v>
      </c>
      <c r="H620" t="s">
        <v>2554</v>
      </c>
      <c r="I620" t="s">
        <v>2558</v>
      </c>
      <c r="J620" t="s">
        <v>2569</v>
      </c>
      <c r="K620">
        <v>34</v>
      </c>
      <c r="L620" s="13" t="s">
        <v>257</v>
      </c>
    </row>
    <row r="621" spans="1:12" x14ac:dyDescent="0.25">
      <c r="A621" t="s">
        <v>3292</v>
      </c>
      <c r="B621" t="s">
        <v>76</v>
      </c>
      <c r="C621" t="str">
        <f>_xlfn.XLOOKUP(Table7[[#This Row],[app_id]],Table5[app_id],Table5[app_name],"",0)</f>
        <v>BazaarOne</v>
      </c>
      <c r="D621" t="s">
        <v>1508</v>
      </c>
      <c r="E621" s="1">
        <v>45354</v>
      </c>
      <c r="F621">
        <v>3</v>
      </c>
      <c r="G621" t="s">
        <v>2609</v>
      </c>
      <c r="H621" t="s">
        <v>2554</v>
      </c>
      <c r="I621" t="s">
        <v>2578</v>
      </c>
      <c r="J621" t="s">
        <v>2566</v>
      </c>
      <c r="K621">
        <v>40</v>
      </c>
      <c r="L621" s="13" t="s">
        <v>257</v>
      </c>
    </row>
    <row r="622" spans="1:12" x14ac:dyDescent="0.25">
      <c r="A622" t="s">
        <v>3293</v>
      </c>
      <c r="B622" t="s">
        <v>78</v>
      </c>
      <c r="C622" t="str">
        <f>_xlfn.XLOOKUP(Table7[[#This Row],[app_id]],Table5[app_id],Table5[app_name],"",0)</f>
        <v>StyleOne</v>
      </c>
      <c r="D622" t="s">
        <v>2430</v>
      </c>
      <c r="E622" s="1">
        <v>45684</v>
      </c>
      <c r="F622">
        <v>4</v>
      </c>
      <c r="G622" t="s">
        <v>2590</v>
      </c>
      <c r="H622" t="s">
        <v>2564</v>
      </c>
      <c r="I622" t="s">
        <v>2565</v>
      </c>
      <c r="J622" t="s">
        <v>2603</v>
      </c>
      <c r="K622">
        <v>16</v>
      </c>
      <c r="L622" s="13" t="s">
        <v>258</v>
      </c>
    </row>
    <row r="623" spans="1:12" x14ac:dyDescent="0.25">
      <c r="A623" t="s">
        <v>3294</v>
      </c>
      <c r="B623" t="s">
        <v>80</v>
      </c>
      <c r="C623" t="str">
        <f>_xlfn.XLOOKUP(Table7[[#This Row],[app_id]],Table5[app_id],Table5[app_name],"",0)</f>
        <v>Cartly</v>
      </c>
      <c r="D623" t="s">
        <v>2161</v>
      </c>
      <c r="E623" s="1">
        <v>45704</v>
      </c>
      <c r="F623">
        <v>5</v>
      </c>
      <c r="G623" t="s">
        <v>2867</v>
      </c>
      <c r="H623" t="s">
        <v>2564</v>
      </c>
      <c r="I623" t="s">
        <v>2558</v>
      </c>
      <c r="J623" t="s">
        <v>2569</v>
      </c>
      <c r="K623">
        <v>32</v>
      </c>
      <c r="L623" s="13" t="s">
        <v>257</v>
      </c>
    </row>
    <row r="624" spans="1:12" x14ac:dyDescent="0.25">
      <c r="A624" t="s">
        <v>3295</v>
      </c>
      <c r="B624" t="s">
        <v>83</v>
      </c>
      <c r="C624" t="str">
        <f>_xlfn.XLOOKUP(Table7[[#This Row],[app_id]],Table5[app_id],Table5[app_name],"",0)</f>
        <v>BazaarCloud</v>
      </c>
      <c r="D624" t="s">
        <v>2296</v>
      </c>
      <c r="E624" s="1">
        <v>45362</v>
      </c>
      <c r="F624">
        <v>4</v>
      </c>
      <c r="G624" t="s">
        <v>2867</v>
      </c>
      <c r="H624" t="s">
        <v>2564</v>
      </c>
      <c r="I624" t="s">
        <v>2565</v>
      </c>
      <c r="J624" t="s">
        <v>2559</v>
      </c>
      <c r="K624">
        <v>36</v>
      </c>
      <c r="L624" s="13" t="s">
        <v>257</v>
      </c>
    </row>
    <row r="625" spans="1:12" x14ac:dyDescent="0.25">
      <c r="A625" t="s">
        <v>3296</v>
      </c>
      <c r="B625" t="s">
        <v>85</v>
      </c>
      <c r="C625" t="str">
        <f>_xlfn.XLOOKUP(Table7[[#This Row],[app_id]],Table5[app_id],Table5[app_name],"",0)</f>
        <v>CartPro</v>
      </c>
      <c r="D625" t="s">
        <v>767</v>
      </c>
      <c r="E625" s="1">
        <v>45635</v>
      </c>
      <c r="F625">
        <v>4</v>
      </c>
      <c r="G625" t="s">
        <v>2590</v>
      </c>
      <c r="H625" t="s">
        <v>2564</v>
      </c>
      <c r="I625" t="s">
        <v>2565</v>
      </c>
      <c r="J625" t="s">
        <v>2566</v>
      </c>
      <c r="K625">
        <v>20</v>
      </c>
      <c r="L625" s="13" t="s">
        <v>257</v>
      </c>
    </row>
    <row r="626" spans="1:12" x14ac:dyDescent="0.25">
      <c r="A626" t="s">
        <v>3297</v>
      </c>
      <c r="B626" t="s">
        <v>87</v>
      </c>
      <c r="C626" t="str">
        <f>_xlfn.XLOOKUP(Table7[[#This Row],[app_id]],Table5[app_id],Table5[app_name],"",0)</f>
        <v>RunPlus</v>
      </c>
      <c r="D626" t="s">
        <v>541</v>
      </c>
      <c r="E626" s="1">
        <v>45700</v>
      </c>
      <c r="F626">
        <v>4</v>
      </c>
      <c r="G626" t="s">
        <v>2625</v>
      </c>
      <c r="H626" t="s">
        <v>2564</v>
      </c>
      <c r="I626" t="s">
        <v>2565</v>
      </c>
      <c r="J626" t="s">
        <v>2559</v>
      </c>
      <c r="K626">
        <v>45</v>
      </c>
      <c r="L626" s="13" t="s">
        <v>258</v>
      </c>
    </row>
    <row r="627" spans="1:12" x14ac:dyDescent="0.25">
      <c r="A627" t="s">
        <v>3298</v>
      </c>
      <c r="B627" t="s">
        <v>90</v>
      </c>
      <c r="C627" t="str">
        <f>_xlfn.XLOOKUP(Table7[[#This Row],[app_id]],Table5[app_id],Table5[app_name],"",0)</f>
        <v>TrainCloud</v>
      </c>
      <c r="D627" t="s">
        <v>981</v>
      </c>
      <c r="E627" s="1">
        <v>45683</v>
      </c>
      <c r="F627">
        <v>4</v>
      </c>
      <c r="G627" t="s">
        <v>2625</v>
      </c>
      <c r="H627" t="s">
        <v>2564</v>
      </c>
      <c r="I627" t="s">
        <v>2571</v>
      </c>
      <c r="J627" t="s">
        <v>2633</v>
      </c>
      <c r="K627">
        <v>8</v>
      </c>
      <c r="L627" s="13" t="s">
        <v>257</v>
      </c>
    </row>
    <row r="628" spans="1:12" x14ac:dyDescent="0.25">
      <c r="A628" t="s">
        <v>3299</v>
      </c>
      <c r="B628" t="s">
        <v>92</v>
      </c>
      <c r="C628" t="str">
        <f>_xlfn.XLOOKUP(Table7[[#This Row],[app_id]],Table5[app_id],Table5[app_name],"",0)</f>
        <v>Trainly</v>
      </c>
      <c r="D628" t="s">
        <v>1746</v>
      </c>
      <c r="E628" s="1">
        <v>45642</v>
      </c>
      <c r="F628">
        <v>3</v>
      </c>
      <c r="G628" t="s">
        <v>2611</v>
      </c>
      <c r="H628" t="s">
        <v>2554</v>
      </c>
      <c r="I628" t="s">
        <v>2584</v>
      </c>
      <c r="J628" t="s">
        <v>2561</v>
      </c>
      <c r="K628">
        <v>27</v>
      </c>
      <c r="L628" s="13" t="s">
        <v>257</v>
      </c>
    </row>
    <row r="629" spans="1:12" x14ac:dyDescent="0.25">
      <c r="A629" t="s">
        <v>3300</v>
      </c>
      <c r="B629" t="s">
        <v>94</v>
      </c>
      <c r="C629" t="str">
        <f>_xlfn.XLOOKUP(Table7[[#This Row],[app_id]],Table5[app_id],Table5[app_name],"",0)</f>
        <v>LiftCloud</v>
      </c>
      <c r="D629" t="s">
        <v>1434</v>
      </c>
      <c r="E629" s="1">
        <v>45872</v>
      </c>
      <c r="F629">
        <v>5</v>
      </c>
      <c r="G629" t="s">
        <v>2617</v>
      </c>
      <c r="H629" t="s">
        <v>2564</v>
      </c>
      <c r="I629" t="s">
        <v>2565</v>
      </c>
      <c r="J629" t="s">
        <v>2566</v>
      </c>
      <c r="K629">
        <v>1</v>
      </c>
      <c r="L629" s="13" t="s">
        <v>257</v>
      </c>
    </row>
    <row r="630" spans="1:12" x14ac:dyDescent="0.25">
      <c r="A630" t="s">
        <v>3301</v>
      </c>
      <c r="B630" t="s">
        <v>96</v>
      </c>
      <c r="C630" t="str">
        <f>_xlfn.XLOOKUP(Table7[[#This Row],[app_id]],Table5[app_id],Table5[app_name],"",0)</f>
        <v>MoveNow</v>
      </c>
      <c r="D630" t="s">
        <v>752</v>
      </c>
      <c r="E630" s="1">
        <v>45988</v>
      </c>
      <c r="F630">
        <v>4</v>
      </c>
      <c r="G630" t="s">
        <v>2625</v>
      </c>
      <c r="H630" t="s">
        <v>2564</v>
      </c>
      <c r="I630" t="s">
        <v>2555</v>
      </c>
      <c r="J630" t="s">
        <v>2603</v>
      </c>
      <c r="K630">
        <v>29</v>
      </c>
      <c r="L630" s="13" t="s">
        <v>258</v>
      </c>
    </row>
    <row r="631" spans="1:12" x14ac:dyDescent="0.25">
      <c r="A631" t="s">
        <v>3302</v>
      </c>
      <c r="B631" t="s">
        <v>98</v>
      </c>
      <c r="C631" t="str">
        <f>_xlfn.XLOOKUP(Table7[[#This Row],[app_id]],Table5[app_id],Table5[app_name],"",0)</f>
        <v>ActiveMate</v>
      </c>
      <c r="D631" t="s">
        <v>2362</v>
      </c>
      <c r="E631" s="1">
        <v>45342</v>
      </c>
      <c r="F631">
        <v>4</v>
      </c>
      <c r="G631" t="s">
        <v>2622</v>
      </c>
      <c r="H631" t="s">
        <v>2564</v>
      </c>
      <c r="I631" t="s">
        <v>2571</v>
      </c>
      <c r="J631" t="s">
        <v>2559</v>
      </c>
      <c r="K631">
        <v>42</v>
      </c>
      <c r="L631" s="13" t="s">
        <v>257</v>
      </c>
    </row>
    <row r="632" spans="1:12" x14ac:dyDescent="0.25">
      <c r="A632" t="s">
        <v>3303</v>
      </c>
      <c r="B632" t="s">
        <v>100</v>
      </c>
      <c r="C632" t="str">
        <f>_xlfn.XLOOKUP(Table7[[#This Row],[app_id]],Table5[app_id],Table5[app_name],"",0)</f>
        <v>RunGo</v>
      </c>
      <c r="D632" t="s">
        <v>1334</v>
      </c>
      <c r="E632" s="1">
        <v>45616</v>
      </c>
      <c r="F632">
        <v>5</v>
      </c>
      <c r="G632" t="s">
        <v>2622</v>
      </c>
      <c r="H632" t="s">
        <v>2564</v>
      </c>
      <c r="I632" t="s">
        <v>2571</v>
      </c>
      <c r="J632" t="s">
        <v>2569</v>
      </c>
      <c r="K632">
        <v>15</v>
      </c>
      <c r="L632" s="13" t="s">
        <v>258</v>
      </c>
    </row>
    <row r="633" spans="1:12" x14ac:dyDescent="0.25">
      <c r="A633" t="s">
        <v>3304</v>
      </c>
      <c r="B633" t="s">
        <v>102</v>
      </c>
      <c r="C633" t="str">
        <f>_xlfn.XLOOKUP(Table7[[#This Row],[app_id]],Table5[app_id],Table5[app_name],"",0)</f>
        <v>LiftPro</v>
      </c>
      <c r="D633" t="s">
        <v>2229</v>
      </c>
      <c r="E633" s="1">
        <v>45383</v>
      </c>
      <c r="F633">
        <v>4</v>
      </c>
      <c r="G633" t="s">
        <v>2617</v>
      </c>
      <c r="H633" t="s">
        <v>2564</v>
      </c>
      <c r="I633" t="s">
        <v>2555</v>
      </c>
      <c r="J633" t="s">
        <v>2559</v>
      </c>
      <c r="K633">
        <v>15</v>
      </c>
      <c r="L633" s="13" t="s">
        <v>257</v>
      </c>
    </row>
    <row r="634" spans="1:12" x14ac:dyDescent="0.25">
      <c r="A634" t="s">
        <v>3305</v>
      </c>
      <c r="B634" t="s">
        <v>104</v>
      </c>
      <c r="C634" t="str">
        <f>_xlfn.XLOOKUP(Table7[[#This Row],[app_id]],Table5[app_id],Table5[app_name],"",0)</f>
        <v>LiftPro</v>
      </c>
      <c r="D634" t="s">
        <v>805</v>
      </c>
      <c r="E634" s="1">
        <v>45366</v>
      </c>
      <c r="F634">
        <v>4</v>
      </c>
      <c r="G634" t="s">
        <v>2622</v>
      </c>
      <c r="H634" t="s">
        <v>2564</v>
      </c>
      <c r="I634" t="s">
        <v>2565</v>
      </c>
      <c r="J634" t="s">
        <v>2603</v>
      </c>
      <c r="K634">
        <v>2</v>
      </c>
      <c r="L634" s="13" t="s">
        <v>257</v>
      </c>
    </row>
    <row r="635" spans="1:12" x14ac:dyDescent="0.25">
      <c r="A635" t="s">
        <v>3306</v>
      </c>
      <c r="B635" t="s">
        <v>105</v>
      </c>
      <c r="C635" t="str">
        <f>_xlfn.XLOOKUP(Table7[[#This Row],[app_id]],Table5[app_id],Table5[app_name],"",0)</f>
        <v>Liftly</v>
      </c>
      <c r="D635" t="s">
        <v>2352</v>
      </c>
      <c r="E635" s="1">
        <v>45656</v>
      </c>
      <c r="F635">
        <v>4</v>
      </c>
      <c r="G635" t="s">
        <v>2613</v>
      </c>
      <c r="H635" t="s">
        <v>2564</v>
      </c>
      <c r="I635" t="s">
        <v>2565</v>
      </c>
      <c r="J635" t="s">
        <v>2596</v>
      </c>
      <c r="K635">
        <v>14</v>
      </c>
      <c r="L635" s="13" t="s">
        <v>257</v>
      </c>
    </row>
    <row r="636" spans="1:12" x14ac:dyDescent="0.25">
      <c r="A636" t="s">
        <v>3307</v>
      </c>
      <c r="B636" t="s">
        <v>107</v>
      </c>
      <c r="C636" t="str">
        <f>_xlfn.XLOOKUP(Table7[[#This Row],[app_id]],Table5[app_id],Table5[app_name],"",0)</f>
        <v>YogaHub</v>
      </c>
      <c r="D636" t="s">
        <v>644</v>
      </c>
      <c r="E636" s="1">
        <v>45967</v>
      </c>
      <c r="F636">
        <v>4</v>
      </c>
      <c r="G636" t="s">
        <v>2622</v>
      </c>
      <c r="H636" t="s">
        <v>2564</v>
      </c>
      <c r="I636" t="s">
        <v>2565</v>
      </c>
      <c r="J636" t="s">
        <v>2603</v>
      </c>
      <c r="K636">
        <v>44</v>
      </c>
      <c r="L636" s="13" t="s">
        <v>257</v>
      </c>
    </row>
    <row r="637" spans="1:12" x14ac:dyDescent="0.25">
      <c r="A637" t="s">
        <v>3308</v>
      </c>
      <c r="B637" t="s">
        <v>109</v>
      </c>
      <c r="C637" t="str">
        <f>_xlfn.XLOOKUP(Table7[[#This Row],[app_id]],Table5[app_id],Table5[app_name],"",0)</f>
        <v>MoveGo</v>
      </c>
      <c r="D637" t="s">
        <v>1527</v>
      </c>
      <c r="E637" s="1">
        <v>45523</v>
      </c>
      <c r="F637">
        <v>5</v>
      </c>
      <c r="G637" t="s">
        <v>2625</v>
      </c>
      <c r="H637" t="s">
        <v>2564</v>
      </c>
      <c r="I637" t="s">
        <v>2558</v>
      </c>
      <c r="J637" t="s">
        <v>2596</v>
      </c>
      <c r="K637">
        <v>6</v>
      </c>
      <c r="L637" s="13" t="s">
        <v>257</v>
      </c>
    </row>
    <row r="638" spans="1:12" x14ac:dyDescent="0.25">
      <c r="A638" t="s">
        <v>3309</v>
      </c>
      <c r="B638" t="s">
        <v>111</v>
      </c>
      <c r="C638" t="str">
        <f>_xlfn.XLOOKUP(Table7[[#This Row],[app_id]],Table5[app_id],Table5[app_name],"",0)</f>
        <v>BrightNow</v>
      </c>
      <c r="D638" t="s">
        <v>1122</v>
      </c>
      <c r="E638" s="1">
        <v>45962</v>
      </c>
      <c r="F638">
        <v>4</v>
      </c>
      <c r="G638" t="s">
        <v>2780</v>
      </c>
      <c r="H638" t="s">
        <v>2564</v>
      </c>
      <c r="I638" t="s">
        <v>2558</v>
      </c>
      <c r="J638" t="s">
        <v>2556</v>
      </c>
      <c r="K638">
        <v>37</v>
      </c>
      <c r="L638" s="13" t="s">
        <v>257</v>
      </c>
    </row>
    <row r="639" spans="1:12" x14ac:dyDescent="0.25">
      <c r="A639" t="s">
        <v>3310</v>
      </c>
      <c r="B639" t="s">
        <v>114</v>
      </c>
      <c r="C639" t="str">
        <f>_xlfn.XLOOKUP(Table7[[#This Row],[app_id]],Table5[app_id],Table5[app_name],"",0)</f>
        <v>StudyCloud</v>
      </c>
      <c r="D639" t="s">
        <v>655</v>
      </c>
      <c r="E639" s="1">
        <v>45378</v>
      </c>
      <c r="F639">
        <v>4</v>
      </c>
      <c r="G639" t="s">
        <v>2638</v>
      </c>
      <c r="H639" t="s">
        <v>2564</v>
      </c>
      <c r="I639" t="s">
        <v>2555</v>
      </c>
      <c r="J639" t="s">
        <v>2556</v>
      </c>
      <c r="K639">
        <v>7</v>
      </c>
      <c r="L639" s="13" t="s">
        <v>257</v>
      </c>
    </row>
    <row r="640" spans="1:12" x14ac:dyDescent="0.25">
      <c r="A640" t="s">
        <v>3311</v>
      </c>
      <c r="B640" t="s">
        <v>116</v>
      </c>
      <c r="C640" t="str">
        <f>_xlfn.XLOOKUP(Table7[[#This Row],[app_id]],Table5[app_id],Table5[app_name],"",0)</f>
        <v>SkillNow</v>
      </c>
      <c r="D640" t="s">
        <v>1922</v>
      </c>
      <c r="E640" s="1">
        <v>45588</v>
      </c>
      <c r="F640">
        <v>4</v>
      </c>
      <c r="G640" t="s">
        <v>2780</v>
      </c>
      <c r="H640" t="s">
        <v>2564</v>
      </c>
      <c r="I640" t="s">
        <v>2555</v>
      </c>
      <c r="J640" t="s">
        <v>2600</v>
      </c>
      <c r="K640">
        <v>44</v>
      </c>
      <c r="L640" s="13" t="s">
        <v>257</v>
      </c>
    </row>
    <row r="641" spans="1:12" x14ac:dyDescent="0.25">
      <c r="A641" t="s">
        <v>3312</v>
      </c>
      <c r="B641" t="s">
        <v>118</v>
      </c>
      <c r="C641" t="str">
        <f>_xlfn.XLOOKUP(Table7[[#This Row],[app_id]],Table5[app_id],Table5[app_name],"",0)</f>
        <v>LearnMate</v>
      </c>
      <c r="D641" t="s">
        <v>1363</v>
      </c>
      <c r="E641" s="1">
        <v>45424</v>
      </c>
      <c r="F641">
        <v>2</v>
      </c>
      <c r="G641" t="s">
        <v>2632</v>
      </c>
      <c r="H641" t="s">
        <v>2587</v>
      </c>
      <c r="I641" t="s">
        <v>2575</v>
      </c>
      <c r="J641" t="s">
        <v>2556</v>
      </c>
      <c r="K641">
        <v>57</v>
      </c>
      <c r="L641" s="13" t="s">
        <v>257</v>
      </c>
    </row>
    <row r="642" spans="1:12" x14ac:dyDescent="0.25">
      <c r="A642" t="s">
        <v>3313</v>
      </c>
      <c r="B642" t="s">
        <v>120</v>
      </c>
      <c r="C642" t="str">
        <f>_xlfn.XLOOKUP(Table7[[#This Row],[app_id]],Table5[app_id],Table5[app_name],"",0)</f>
        <v>QuestNow</v>
      </c>
      <c r="D642" t="s">
        <v>773</v>
      </c>
      <c r="E642" s="1">
        <v>45557</v>
      </c>
      <c r="F642">
        <v>2</v>
      </c>
      <c r="G642" t="s">
        <v>2630</v>
      </c>
      <c r="H642" t="s">
        <v>2587</v>
      </c>
      <c r="I642" t="s">
        <v>2555</v>
      </c>
      <c r="J642" t="s">
        <v>2633</v>
      </c>
      <c r="K642">
        <v>91</v>
      </c>
      <c r="L642" s="13" t="s">
        <v>257</v>
      </c>
    </row>
    <row r="643" spans="1:12" x14ac:dyDescent="0.25">
      <c r="A643" t="s">
        <v>3314</v>
      </c>
      <c r="B643" t="s">
        <v>122</v>
      </c>
      <c r="C643" t="str">
        <f>_xlfn.XLOOKUP(Table7[[#This Row],[app_id]],Table5[app_id],Table5[app_name],"",0)</f>
        <v>SkillHub</v>
      </c>
      <c r="D643" t="s">
        <v>633</v>
      </c>
      <c r="E643" s="1">
        <v>45298</v>
      </c>
      <c r="F643">
        <v>4</v>
      </c>
      <c r="G643" t="s">
        <v>2640</v>
      </c>
      <c r="H643" t="s">
        <v>2564</v>
      </c>
      <c r="I643" t="s">
        <v>2565</v>
      </c>
      <c r="J643" t="s">
        <v>2556</v>
      </c>
      <c r="K643">
        <v>16</v>
      </c>
      <c r="L643" s="13" t="s">
        <v>258</v>
      </c>
    </row>
    <row r="644" spans="1:12" x14ac:dyDescent="0.25">
      <c r="A644" t="s">
        <v>3315</v>
      </c>
      <c r="B644" t="s">
        <v>124</v>
      </c>
      <c r="C644" t="str">
        <f>_xlfn.XLOOKUP(Table7[[#This Row],[app_id]],Table5[app_id],Table5[app_name],"",0)</f>
        <v>TutorCloud</v>
      </c>
      <c r="D644" t="s">
        <v>2067</v>
      </c>
      <c r="E644" s="1">
        <v>45829</v>
      </c>
      <c r="F644">
        <v>4</v>
      </c>
      <c r="G644" t="s">
        <v>2635</v>
      </c>
      <c r="H644" t="s">
        <v>2564</v>
      </c>
      <c r="I644" t="s">
        <v>2565</v>
      </c>
      <c r="J644" t="s">
        <v>2596</v>
      </c>
      <c r="K644">
        <v>28</v>
      </c>
      <c r="L644" s="13" t="s">
        <v>258</v>
      </c>
    </row>
    <row r="645" spans="1:12" x14ac:dyDescent="0.25">
      <c r="A645" t="s">
        <v>3316</v>
      </c>
      <c r="B645" t="s">
        <v>126</v>
      </c>
      <c r="C645" t="str">
        <f>_xlfn.XLOOKUP(Table7[[#This Row],[app_id]],Table5[app_id],Table5[app_name],"",0)</f>
        <v>SkillOne</v>
      </c>
      <c r="D645" t="s">
        <v>1424</v>
      </c>
      <c r="E645" s="1">
        <v>45404</v>
      </c>
      <c r="F645">
        <v>3</v>
      </c>
      <c r="G645" t="s">
        <v>2773</v>
      </c>
      <c r="H645" t="s">
        <v>2554</v>
      </c>
      <c r="I645" t="s">
        <v>2571</v>
      </c>
      <c r="J645" t="s">
        <v>2603</v>
      </c>
      <c r="K645">
        <v>43</v>
      </c>
      <c r="L645" s="13" t="s">
        <v>257</v>
      </c>
    </row>
    <row r="646" spans="1:12" x14ac:dyDescent="0.25">
      <c r="A646" t="s">
        <v>3317</v>
      </c>
      <c r="B646" t="s">
        <v>128</v>
      </c>
      <c r="C646" t="str">
        <f>_xlfn.XLOOKUP(Table7[[#This Row],[app_id]],Table5[app_id],Table5[app_name],"",0)</f>
        <v>LearnOne</v>
      </c>
      <c r="D646" t="s">
        <v>1487</v>
      </c>
      <c r="E646" s="1">
        <v>46092</v>
      </c>
      <c r="F646">
        <v>2</v>
      </c>
      <c r="G646" t="s">
        <v>2644</v>
      </c>
      <c r="H646" t="s">
        <v>2587</v>
      </c>
      <c r="I646" t="s">
        <v>2571</v>
      </c>
      <c r="J646" t="s">
        <v>2596</v>
      </c>
      <c r="K646">
        <v>48</v>
      </c>
      <c r="L646" s="13" t="s">
        <v>258</v>
      </c>
    </row>
    <row r="647" spans="1:12" x14ac:dyDescent="0.25">
      <c r="A647" t="s">
        <v>3318</v>
      </c>
      <c r="B647" t="s">
        <v>130</v>
      </c>
      <c r="C647" t="str">
        <f>_xlfn.XLOOKUP(Table7[[#This Row],[app_id]],Table5[app_id],Table5[app_name],"",0)</f>
        <v>LearnPlus</v>
      </c>
      <c r="D647" t="s">
        <v>1301</v>
      </c>
      <c r="E647" s="1">
        <v>45686</v>
      </c>
      <c r="F647">
        <v>3</v>
      </c>
      <c r="G647" t="s">
        <v>2773</v>
      </c>
      <c r="H647" t="s">
        <v>2554</v>
      </c>
      <c r="I647" t="s">
        <v>2558</v>
      </c>
      <c r="J647" t="s">
        <v>2603</v>
      </c>
      <c r="K647">
        <v>48</v>
      </c>
      <c r="L647" s="13" t="s">
        <v>257</v>
      </c>
    </row>
    <row r="648" spans="1:12" x14ac:dyDescent="0.25">
      <c r="A648" t="s">
        <v>3319</v>
      </c>
      <c r="B648" t="s">
        <v>132</v>
      </c>
      <c r="C648" t="str">
        <f>_xlfn.XLOOKUP(Table7[[#This Row],[app_id]],Table5[app_id],Table5[app_name],"",0)</f>
        <v>StudyPlus</v>
      </c>
      <c r="D648" t="s">
        <v>634</v>
      </c>
      <c r="E648" s="1">
        <v>45394</v>
      </c>
      <c r="F648">
        <v>4</v>
      </c>
      <c r="G648" t="s">
        <v>2780</v>
      </c>
      <c r="H648" t="s">
        <v>2564</v>
      </c>
      <c r="I648" t="s">
        <v>2565</v>
      </c>
      <c r="J648" t="s">
        <v>2633</v>
      </c>
      <c r="K648">
        <v>45</v>
      </c>
      <c r="L648" s="13" t="s">
        <v>257</v>
      </c>
    </row>
    <row r="649" spans="1:12" x14ac:dyDescent="0.25">
      <c r="A649" t="s">
        <v>3320</v>
      </c>
      <c r="B649" t="s">
        <v>134</v>
      </c>
      <c r="C649" t="str">
        <f>_xlfn.XLOOKUP(Table7[[#This Row],[app_id]],Table5[app_id],Table5[app_name],"",0)</f>
        <v>StudyX</v>
      </c>
      <c r="D649" t="s">
        <v>1056</v>
      </c>
      <c r="E649" s="1">
        <v>46110</v>
      </c>
      <c r="F649">
        <v>3</v>
      </c>
      <c r="G649" t="s">
        <v>2773</v>
      </c>
      <c r="H649" t="s">
        <v>2554</v>
      </c>
      <c r="I649" t="s">
        <v>2575</v>
      </c>
      <c r="J649" t="s">
        <v>2559</v>
      </c>
      <c r="K649">
        <v>27</v>
      </c>
      <c r="L649" s="13" t="s">
        <v>257</v>
      </c>
    </row>
    <row r="650" spans="1:12" x14ac:dyDescent="0.25">
      <c r="A650" t="s">
        <v>3321</v>
      </c>
      <c r="B650" t="s">
        <v>136</v>
      </c>
      <c r="C650" t="str">
        <f>_xlfn.XLOOKUP(Table7[[#This Row],[app_id]],Table5[app_id],Table5[app_name],"",0)</f>
        <v>PlayPlus</v>
      </c>
      <c r="D650" t="s">
        <v>1648</v>
      </c>
      <c r="E650" s="1">
        <v>46014</v>
      </c>
      <c r="F650">
        <v>5</v>
      </c>
      <c r="G650" t="s">
        <v>2650</v>
      </c>
      <c r="H650" t="s">
        <v>2564</v>
      </c>
      <c r="I650" t="s">
        <v>2555</v>
      </c>
      <c r="J650" t="s">
        <v>2561</v>
      </c>
      <c r="K650">
        <v>43</v>
      </c>
      <c r="L650" s="13" t="s">
        <v>257</v>
      </c>
    </row>
    <row r="651" spans="1:12" x14ac:dyDescent="0.25">
      <c r="A651" t="s">
        <v>3322</v>
      </c>
      <c r="B651" t="s">
        <v>139</v>
      </c>
      <c r="C651" t="str">
        <f>_xlfn.XLOOKUP(Table7[[#This Row],[app_id]],Table5[app_id],Table5[app_name],"",0)</f>
        <v>ShowMate</v>
      </c>
      <c r="D651" t="s">
        <v>1333</v>
      </c>
      <c r="E651" s="1">
        <v>45443</v>
      </c>
      <c r="F651">
        <v>2</v>
      </c>
      <c r="G651" t="s">
        <v>3117</v>
      </c>
      <c r="H651" t="s">
        <v>2587</v>
      </c>
      <c r="I651" t="s">
        <v>2584</v>
      </c>
      <c r="J651" t="s">
        <v>2559</v>
      </c>
      <c r="K651">
        <v>46</v>
      </c>
      <c r="L651" s="13" t="s">
        <v>258</v>
      </c>
    </row>
    <row r="652" spans="1:12" x14ac:dyDescent="0.25">
      <c r="A652" t="s">
        <v>3323</v>
      </c>
      <c r="B652" t="s">
        <v>141</v>
      </c>
      <c r="C652" t="str">
        <f>_xlfn.XLOOKUP(Table7[[#This Row],[app_id]],Table5[app_id],Table5[app_name],"",0)</f>
        <v>VibeX</v>
      </c>
      <c r="D652" t="s">
        <v>1835</v>
      </c>
      <c r="E652" s="1">
        <v>45447</v>
      </c>
      <c r="F652">
        <v>4</v>
      </c>
      <c r="G652" t="s">
        <v>2905</v>
      </c>
      <c r="H652" t="s">
        <v>2564</v>
      </c>
      <c r="I652" t="s">
        <v>2555</v>
      </c>
      <c r="J652" t="s">
        <v>2581</v>
      </c>
      <c r="K652">
        <v>30</v>
      </c>
      <c r="L652" s="13" t="s">
        <v>258</v>
      </c>
    </row>
    <row r="653" spans="1:12" x14ac:dyDescent="0.25">
      <c r="A653" t="s">
        <v>3324</v>
      </c>
      <c r="B653" t="s">
        <v>143</v>
      </c>
      <c r="C653" t="str">
        <f>_xlfn.XLOOKUP(Table7[[#This Row],[app_id]],Table5[app_id],Table5[app_name],"",0)</f>
        <v>BuzzNow</v>
      </c>
      <c r="D653" t="s">
        <v>1258</v>
      </c>
      <c r="E653" s="1">
        <v>45974</v>
      </c>
      <c r="F653">
        <v>5</v>
      </c>
      <c r="G653" t="s">
        <v>2789</v>
      </c>
      <c r="H653" t="s">
        <v>2564</v>
      </c>
      <c r="I653" t="s">
        <v>2558</v>
      </c>
      <c r="J653" t="s">
        <v>2600</v>
      </c>
      <c r="K653">
        <v>12</v>
      </c>
      <c r="L653" s="13" t="s">
        <v>257</v>
      </c>
    </row>
    <row r="654" spans="1:12" x14ac:dyDescent="0.25">
      <c r="A654" t="s">
        <v>3325</v>
      </c>
      <c r="B654" t="s">
        <v>145</v>
      </c>
      <c r="C654" t="str">
        <f>_xlfn.XLOOKUP(Table7[[#This Row],[app_id]],Table5[app_id],Table5[app_name],"",0)</f>
        <v>StreamPlus</v>
      </c>
      <c r="D654" t="s">
        <v>2295</v>
      </c>
      <c r="E654" s="1">
        <v>45377</v>
      </c>
      <c r="F654">
        <v>4</v>
      </c>
      <c r="G654" t="s">
        <v>2652</v>
      </c>
      <c r="H654" t="s">
        <v>2564</v>
      </c>
      <c r="I654" t="s">
        <v>2555</v>
      </c>
      <c r="J654" t="s">
        <v>2556</v>
      </c>
      <c r="K654">
        <v>27</v>
      </c>
      <c r="L654" s="13" t="s">
        <v>258</v>
      </c>
    </row>
    <row r="655" spans="1:12" x14ac:dyDescent="0.25">
      <c r="A655" t="s">
        <v>3326</v>
      </c>
      <c r="B655" t="s">
        <v>147</v>
      </c>
      <c r="C655" t="str">
        <f>_xlfn.XLOOKUP(Table7[[#This Row],[app_id]],Table5[app_id],Table5[app_name],"",0)</f>
        <v>Showly</v>
      </c>
      <c r="D655" t="s">
        <v>1059</v>
      </c>
      <c r="E655" s="1">
        <v>45502</v>
      </c>
      <c r="F655">
        <v>4</v>
      </c>
      <c r="G655" t="s">
        <v>2650</v>
      </c>
      <c r="H655" t="s">
        <v>2564</v>
      </c>
      <c r="I655" t="s">
        <v>2555</v>
      </c>
      <c r="J655" t="s">
        <v>2556</v>
      </c>
      <c r="K655">
        <v>10</v>
      </c>
      <c r="L655" s="13" t="s">
        <v>258</v>
      </c>
    </row>
    <row r="656" spans="1:12" x14ac:dyDescent="0.25">
      <c r="A656" t="s">
        <v>3327</v>
      </c>
      <c r="B656" t="s">
        <v>149</v>
      </c>
      <c r="C656" t="str">
        <f>_xlfn.XLOOKUP(Table7[[#This Row],[app_id]],Table5[app_id],Table5[app_name],"",0)</f>
        <v>BuzzOne</v>
      </c>
      <c r="D656" t="s">
        <v>2540</v>
      </c>
      <c r="E656" s="1">
        <v>45358</v>
      </c>
      <c r="F656">
        <v>3</v>
      </c>
      <c r="G656" t="s">
        <v>2791</v>
      </c>
      <c r="H656" t="s">
        <v>2554</v>
      </c>
      <c r="I656" t="s">
        <v>2555</v>
      </c>
      <c r="J656" t="s">
        <v>2561</v>
      </c>
      <c r="K656">
        <v>4</v>
      </c>
      <c r="L656" s="13" t="s">
        <v>258</v>
      </c>
    </row>
    <row r="657" spans="1:12" x14ac:dyDescent="0.25">
      <c r="A657" t="s">
        <v>3328</v>
      </c>
      <c r="B657" t="s">
        <v>151</v>
      </c>
      <c r="C657" t="str">
        <f>_xlfn.XLOOKUP(Table7[[#This Row],[app_id]],Table5[app_id],Table5[app_name],"",0)</f>
        <v>PlayHub</v>
      </c>
      <c r="D657" t="s">
        <v>690</v>
      </c>
      <c r="E657" s="1">
        <v>45458</v>
      </c>
      <c r="F657">
        <v>5</v>
      </c>
      <c r="G657" t="s">
        <v>2905</v>
      </c>
      <c r="H657" t="s">
        <v>2564</v>
      </c>
      <c r="I657" t="s">
        <v>2555</v>
      </c>
      <c r="J657" t="s">
        <v>2603</v>
      </c>
      <c r="K657">
        <v>41</v>
      </c>
      <c r="L657" s="13" t="s">
        <v>257</v>
      </c>
    </row>
    <row r="658" spans="1:12" x14ac:dyDescent="0.25">
      <c r="A658" t="s">
        <v>3329</v>
      </c>
      <c r="B658" t="s">
        <v>153</v>
      </c>
      <c r="C658" t="str">
        <f>_xlfn.XLOOKUP(Table7[[#This Row],[app_id]],Table5[app_id],Table5[app_name],"",0)</f>
        <v>CinemaGo</v>
      </c>
      <c r="D658" t="s">
        <v>1126</v>
      </c>
      <c r="E658" s="1">
        <v>45842</v>
      </c>
      <c r="F658">
        <v>4</v>
      </c>
      <c r="G658" t="s">
        <v>2652</v>
      </c>
      <c r="H658" t="s">
        <v>2564</v>
      </c>
      <c r="I658" t="s">
        <v>2565</v>
      </c>
      <c r="J658" t="s">
        <v>2569</v>
      </c>
      <c r="K658">
        <v>20</v>
      </c>
      <c r="L658" s="13" t="s">
        <v>257</v>
      </c>
    </row>
    <row r="659" spans="1:12" x14ac:dyDescent="0.25">
      <c r="A659" t="s">
        <v>3330</v>
      </c>
      <c r="B659" t="s">
        <v>155</v>
      </c>
      <c r="C659" t="str">
        <f>_xlfn.XLOOKUP(Table7[[#This Row],[app_id]],Table5[app_id],Table5[app_name],"",0)</f>
        <v>LaughX</v>
      </c>
      <c r="D659" t="s">
        <v>2463</v>
      </c>
      <c r="E659" s="1">
        <v>45431</v>
      </c>
      <c r="F659">
        <v>4</v>
      </c>
      <c r="G659" t="s">
        <v>2905</v>
      </c>
      <c r="H659" t="s">
        <v>2564</v>
      </c>
      <c r="I659" t="s">
        <v>2565</v>
      </c>
      <c r="J659" t="s">
        <v>2603</v>
      </c>
      <c r="K659">
        <v>1</v>
      </c>
      <c r="L659" s="13" t="s">
        <v>257</v>
      </c>
    </row>
    <row r="660" spans="1:12" x14ac:dyDescent="0.25">
      <c r="A660" t="s">
        <v>3331</v>
      </c>
      <c r="B660" t="s">
        <v>157</v>
      </c>
      <c r="C660" t="str">
        <f>_xlfn.XLOOKUP(Table7[[#This Row],[app_id]],Table5[app_id],Table5[app_name],"",0)</f>
        <v>CinemaHub</v>
      </c>
      <c r="D660" t="s">
        <v>2273</v>
      </c>
      <c r="E660" s="1">
        <v>46105</v>
      </c>
      <c r="F660">
        <v>5</v>
      </c>
      <c r="G660" t="s">
        <v>2789</v>
      </c>
      <c r="H660" t="s">
        <v>2564</v>
      </c>
      <c r="I660" t="s">
        <v>2558</v>
      </c>
      <c r="J660" t="s">
        <v>2566</v>
      </c>
      <c r="K660">
        <v>17</v>
      </c>
      <c r="L660" s="13" t="s">
        <v>257</v>
      </c>
    </row>
    <row r="661" spans="1:12" x14ac:dyDescent="0.25">
      <c r="A661" t="s">
        <v>3332</v>
      </c>
      <c r="B661" t="s">
        <v>159</v>
      </c>
      <c r="C661" t="str">
        <f>_xlfn.XLOOKUP(Table7[[#This Row],[app_id]],Table5[app_id],Table5[app_name],"",0)</f>
        <v>ShowPro</v>
      </c>
      <c r="D661" t="s">
        <v>1665</v>
      </c>
      <c r="E661" s="1">
        <v>45355</v>
      </c>
      <c r="F661">
        <v>5</v>
      </c>
      <c r="G661" t="s">
        <v>2905</v>
      </c>
      <c r="H661" t="s">
        <v>2564</v>
      </c>
      <c r="I661" t="s">
        <v>2565</v>
      </c>
      <c r="J661" t="s">
        <v>2566</v>
      </c>
      <c r="K661">
        <v>22</v>
      </c>
      <c r="L661" s="13" t="s">
        <v>257</v>
      </c>
    </row>
    <row r="662" spans="1:12" x14ac:dyDescent="0.25">
      <c r="A662" t="s">
        <v>3333</v>
      </c>
      <c r="B662" t="s">
        <v>161</v>
      </c>
      <c r="C662" t="str">
        <f>_xlfn.XLOOKUP(Table7[[#This Row],[app_id]],Table5[app_id],Table5[app_name],"",0)</f>
        <v>FoodPlus</v>
      </c>
      <c r="D662" t="s">
        <v>2493</v>
      </c>
      <c r="E662" s="1">
        <v>45577</v>
      </c>
      <c r="F662">
        <v>4</v>
      </c>
      <c r="G662" t="s">
        <v>2806</v>
      </c>
      <c r="H662" t="s">
        <v>2564</v>
      </c>
      <c r="I662" t="s">
        <v>2571</v>
      </c>
      <c r="J662" t="s">
        <v>2559</v>
      </c>
      <c r="K662">
        <v>8</v>
      </c>
      <c r="L662" s="13" t="s">
        <v>258</v>
      </c>
    </row>
    <row r="663" spans="1:12" x14ac:dyDescent="0.25">
      <c r="A663" t="s">
        <v>3334</v>
      </c>
      <c r="B663" t="s">
        <v>164</v>
      </c>
      <c r="C663" t="str">
        <f>_xlfn.XLOOKUP(Table7[[#This Row],[app_id]],Table5[app_id],Table5[app_name],"",0)</f>
        <v>BiteGo</v>
      </c>
      <c r="D663" t="s">
        <v>1188</v>
      </c>
      <c r="E663" s="1">
        <v>45978</v>
      </c>
      <c r="F663">
        <v>2</v>
      </c>
      <c r="G663" t="s">
        <v>3131</v>
      </c>
      <c r="H663" t="s">
        <v>2587</v>
      </c>
      <c r="I663" t="s">
        <v>2565</v>
      </c>
      <c r="J663" t="s">
        <v>2603</v>
      </c>
      <c r="K663">
        <v>78</v>
      </c>
      <c r="L663" s="13" t="s">
        <v>257</v>
      </c>
    </row>
    <row r="664" spans="1:12" x14ac:dyDescent="0.25">
      <c r="A664" t="s">
        <v>3335</v>
      </c>
      <c r="B664" t="s">
        <v>166</v>
      </c>
      <c r="C664" t="str">
        <f>_xlfn.XLOOKUP(Table7[[#This Row],[app_id]],Table5[app_id],Table5[app_name],"",0)</f>
        <v>OrderCloud</v>
      </c>
      <c r="D664" t="s">
        <v>1215</v>
      </c>
      <c r="E664" s="1">
        <v>46021</v>
      </c>
      <c r="F664">
        <v>2</v>
      </c>
      <c r="G664" t="s">
        <v>3131</v>
      </c>
      <c r="H664" t="s">
        <v>2587</v>
      </c>
      <c r="I664" t="s">
        <v>2571</v>
      </c>
      <c r="J664" t="s">
        <v>2556</v>
      </c>
      <c r="K664">
        <v>32</v>
      </c>
      <c r="L664" s="13" t="s">
        <v>257</v>
      </c>
    </row>
    <row r="665" spans="1:12" x14ac:dyDescent="0.25">
      <c r="A665" t="s">
        <v>3336</v>
      </c>
      <c r="B665" t="s">
        <v>168</v>
      </c>
      <c r="C665" t="str">
        <f>_xlfn.XLOOKUP(Table7[[#This Row],[app_id]],Table5[app_id],Table5[app_name],"",0)</f>
        <v>DinePlus</v>
      </c>
      <c r="D665" t="s">
        <v>2153</v>
      </c>
      <c r="E665" s="1">
        <v>45943</v>
      </c>
      <c r="F665">
        <v>5</v>
      </c>
      <c r="G665" t="s">
        <v>2674</v>
      </c>
      <c r="H665" t="s">
        <v>2564</v>
      </c>
      <c r="I665" t="s">
        <v>2565</v>
      </c>
      <c r="J665" t="s">
        <v>2600</v>
      </c>
      <c r="K665">
        <v>15</v>
      </c>
      <c r="L665" s="13" t="s">
        <v>257</v>
      </c>
    </row>
    <row r="666" spans="1:12" x14ac:dyDescent="0.25">
      <c r="A666" t="s">
        <v>3337</v>
      </c>
      <c r="B666" t="s">
        <v>170</v>
      </c>
      <c r="C666" t="str">
        <f>_xlfn.XLOOKUP(Table7[[#This Row],[app_id]],Table5[app_id],Table5[app_name],"",0)</f>
        <v>SnackX</v>
      </c>
      <c r="D666" t="s">
        <v>1406</v>
      </c>
      <c r="E666" s="1">
        <v>46057</v>
      </c>
      <c r="F666">
        <v>5</v>
      </c>
      <c r="G666" t="s">
        <v>2674</v>
      </c>
      <c r="H666" t="s">
        <v>2564</v>
      </c>
      <c r="I666" t="s">
        <v>2571</v>
      </c>
      <c r="J666" t="s">
        <v>2556</v>
      </c>
      <c r="K666">
        <v>11</v>
      </c>
      <c r="L666" s="13" t="s">
        <v>257</v>
      </c>
    </row>
    <row r="667" spans="1:12" x14ac:dyDescent="0.25">
      <c r="A667" t="s">
        <v>3338</v>
      </c>
      <c r="B667" t="s">
        <v>172</v>
      </c>
      <c r="C667" t="str">
        <f>_xlfn.XLOOKUP(Table7[[#This Row],[app_id]],Table5[app_id],Table5[app_name],"",0)</f>
        <v>FoodOne</v>
      </c>
      <c r="D667" t="s">
        <v>2532</v>
      </c>
      <c r="E667" s="1">
        <v>45671</v>
      </c>
      <c r="F667">
        <v>5</v>
      </c>
      <c r="G667" t="s">
        <v>2806</v>
      </c>
      <c r="H667" t="s">
        <v>2564</v>
      </c>
      <c r="I667" t="s">
        <v>2555</v>
      </c>
      <c r="J667" t="s">
        <v>2596</v>
      </c>
      <c r="K667">
        <v>34</v>
      </c>
      <c r="L667" s="13" t="s">
        <v>257</v>
      </c>
    </row>
    <row r="668" spans="1:12" x14ac:dyDescent="0.25">
      <c r="A668" t="s">
        <v>3339</v>
      </c>
      <c r="B668" t="s">
        <v>174</v>
      </c>
      <c r="C668" t="str">
        <f>_xlfn.XLOOKUP(Table7[[#This Row],[app_id]],Table5[app_id],Table5[app_name],"",0)</f>
        <v>MealMate</v>
      </c>
      <c r="D668" t="s">
        <v>2202</v>
      </c>
      <c r="E668" s="1">
        <v>45897</v>
      </c>
      <c r="F668">
        <v>3</v>
      </c>
      <c r="G668" t="s">
        <v>2670</v>
      </c>
      <c r="H668" t="s">
        <v>2554</v>
      </c>
      <c r="I668" t="s">
        <v>2558</v>
      </c>
      <c r="J668" t="s">
        <v>2556</v>
      </c>
      <c r="K668">
        <v>16</v>
      </c>
      <c r="L668" s="13" t="s">
        <v>257</v>
      </c>
    </row>
    <row r="669" spans="1:12" x14ac:dyDescent="0.25">
      <c r="A669" t="s">
        <v>3340</v>
      </c>
      <c r="B669" t="s">
        <v>176</v>
      </c>
      <c r="C669" t="str">
        <f>_xlfn.XLOOKUP(Table7[[#This Row],[app_id]],Table5[app_id],Table5[app_name],"",0)</f>
        <v>SnackHub</v>
      </c>
      <c r="D669" t="s">
        <v>1779</v>
      </c>
      <c r="E669" s="1">
        <v>46131</v>
      </c>
      <c r="F669">
        <v>3</v>
      </c>
      <c r="G669" t="s">
        <v>2670</v>
      </c>
      <c r="H669" t="s">
        <v>2554</v>
      </c>
      <c r="I669" t="s">
        <v>2558</v>
      </c>
      <c r="J669" t="s">
        <v>2581</v>
      </c>
      <c r="K669">
        <v>45</v>
      </c>
      <c r="L669" s="13" t="s">
        <v>257</v>
      </c>
    </row>
    <row r="670" spans="1:12" x14ac:dyDescent="0.25">
      <c r="A670" t="s">
        <v>3341</v>
      </c>
      <c r="B670" t="s">
        <v>178</v>
      </c>
      <c r="C670" t="str">
        <f>_xlfn.XLOOKUP(Table7[[#This Row],[app_id]],Table5[app_id],Table5[app_name],"",0)</f>
        <v>BiteCloud</v>
      </c>
      <c r="D670" t="s">
        <v>1529</v>
      </c>
      <c r="E670" s="1">
        <v>46115</v>
      </c>
      <c r="F670">
        <v>4</v>
      </c>
      <c r="G670" t="s">
        <v>2806</v>
      </c>
      <c r="H670" t="s">
        <v>2564</v>
      </c>
      <c r="I670" t="s">
        <v>2565</v>
      </c>
      <c r="J670" t="s">
        <v>2633</v>
      </c>
      <c r="K670">
        <v>32</v>
      </c>
      <c r="L670" s="13" t="s">
        <v>257</v>
      </c>
    </row>
    <row r="671" spans="1:12" x14ac:dyDescent="0.25">
      <c r="A671" t="s">
        <v>3342</v>
      </c>
      <c r="B671" t="s">
        <v>180</v>
      </c>
      <c r="C671" t="str">
        <f>_xlfn.XLOOKUP(Table7[[#This Row],[app_id]],Table5[app_id],Table5[app_name],"",0)</f>
        <v>PlatePlus</v>
      </c>
      <c r="D671" t="s">
        <v>1449</v>
      </c>
      <c r="E671" s="1">
        <v>45924</v>
      </c>
      <c r="F671">
        <v>4</v>
      </c>
      <c r="G671" t="s">
        <v>2676</v>
      </c>
      <c r="H671" t="s">
        <v>2564</v>
      </c>
      <c r="I671" t="s">
        <v>2565</v>
      </c>
      <c r="J671" t="s">
        <v>2596</v>
      </c>
      <c r="K671">
        <v>3</v>
      </c>
      <c r="L671" s="13" t="s">
        <v>257</v>
      </c>
    </row>
    <row r="672" spans="1:12" x14ac:dyDescent="0.25">
      <c r="A672" t="s">
        <v>3343</v>
      </c>
      <c r="B672" t="s">
        <v>182</v>
      </c>
      <c r="C672" t="str">
        <f>_xlfn.XLOOKUP(Table7[[#This Row],[app_id]],Table5[app_id],Table5[app_name],"",0)</f>
        <v>VoyageGo</v>
      </c>
      <c r="D672" t="s">
        <v>729</v>
      </c>
      <c r="E672" s="1">
        <v>45582</v>
      </c>
      <c r="F672">
        <v>3</v>
      </c>
      <c r="G672" t="s">
        <v>2695</v>
      </c>
      <c r="H672" t="s">
        <v>2554</v>
      </c>
      <c r="I672" t="s">
        <v>2565</v>
      </c>
      <c r="J672" t="s">
        <v>2559</v>
      </c>
      <c r="K672">
        <v>35</v>
      </c>
      <c r="L672" s="13" t="s">
        <v>257</v>
      </c>
    </row>
    <row r="673" spans="1:12" x14ac:dyDescent="0.25">
      <c r="A673" t="s">
        <v>3344</v>
      </c>
      <c r="B673" t="s">
        <v>185</v>
      </c>
      <c r="C673" t="str">
        <f>_xlfn.XLOOKUP(Table7[[#This Row],[app_id]],Table5[app_id],Table5[app_name],"",0)</f>
        <v>TripOne</v>
      </c>
      <c r="D673" t="s">
        <v>1827</v>
      </c>
      <c r="E673" s="1">
        <v>46008</v>
      </c>
      <c r="F673">
        <v>3</v>
      </c>
      <c r="G673" t="s">
        <v>2690</v>
      </c>
      <c r="H673" t="s">
        <v>2554</v>
      </c>
      <c r="I673" t="s">
        <v>2588</v>
      </c>
      <c r="J673" t="s">
        <v>2556</v>
      </c>
      <c r="K673">
        <v>48</v>
      </c>
      <c r="L673" s="13" t="s">
        <v>257</v>
      </c>
    </row>
    <row r="674" spans="1:12" x14ac:dyDescent="0.25">
      <c r="A674" t="s">
        <v>3345</v>
      </c>
      <c r="B674" t="s">
        <v>187</v>
      </c>
      <c r="C674" t="str">
        <f>_xlfn.XLOOKUP(Table7[[#This Row],[app_id]],Table5[app_id],Table5[app_name],"",0)</f>
        <v>FlyGo</v>
      </c>
      <c r="D674" t="s">
        <v>1184</v>
      </c>
      <c r="E674" s="1">
        <v>45339</v>
      </c>
      <c r="F674">
        <v>5</v>
      </c>
      <c r="G674" t="s">
        <v>2683</v>
      </c>
      <c r="H674" t="s">
        <v>2564</v>
      </c>
      <c r="I674" t="s">
        <v>2565</v>
      </c>
      <c r="J674" t="s">
        <v>2556</v>
      </c>
      <c r="K674">
        <v>16</v>
      </c>
      <c r="L674" s="13" t="s">
        <v>257</v>
      </c>
    </row>
    <row r="675" spans="1:12" x14ac:dyDescent="0.25">
      <c r="A675" t="s">
        <v>3346</v>
      </c>
      <c r="B675" t="s">
        <v>189</v>
      </c>
      <c r="C675" t="str">
        <f>_xlfn.XLOOKUP(Table7[[#This Row],[app_id]],Table5[app_id],Table5[app_name],"",0)</f>
        <v>MapX</v>
      </c>
      <c r="D675" t="s">
        <v>545</v>
      </c>
      <c r="E675" s="1">
        <v>45930</v>
      </c>
      <c r="F675">
        <v>4</v>
      </c>
      <c r="G675" t="s">
        <v>2683</v>
      </c>
      <c r="H675" t="s">
        <v>2564</v>
      </c>
      <c r="I675" t="s">
        <v>2575</v>
      </c>
      <c r="J675" t="s">
        <v>2569</v>
      </c>
      <c r="K675">
        <v>20</v>
      </c>
      <c r="L675" s="13" t="s">
        <v>257</v>
      </c>
    </row>
    <row r="676" spans="1:12" x14ac:dyDescent="0.25">
      <c r="A676" t="s">
        <v>3347</v>
      </c>
      <c r="B676" t="s">
        <v>191</v>
      </c>
      <c r="C676" t="str">
        <f>_xlfn.XLOOKUP(Table7[[#This Row],[app_id]],Table5[app_id],Table5[app_name],"",0)</f>
        <v>StayX</v>
      </c>
      <c r="D676" t="s">
        <v>944</v>
      </c>
      <c r="E676" s="1">
        <v>45681</v>
      </c>
      <c r="F676">
        <v>5</v>
      </c>
      <c r="G676" t="s">
        <v>2929</v>
      </c>
      <c r="H676" t="s">
        <v>2564</v>
      </c>
      <c r="I676" t="s">
        <v>2575</v>
      </c>
      <c r="J676" t="s">
        <v>2581</v>
      </c>
      <c r="K676">
        <v>18</v>
      </c>
      <c r="L676" s="13" t="s">
        <v>258</v>
      </c>
    </row>
    <row r="677" spans="1:12" x14ac:dyDescent="0.25">
      <c r="A677" t="s">
        <v>3348</v>
      </c>
      <c r="B677" t="s">
        <v>193</v>
      </c>
      <c r="C677" t="str">
        <f>_xlfn.XLOOKUP(Table7[[#This Row],[app_id]],Table5[app_id],Table5[app_name],"",0)</f>
        <v>GoNow</v>
      </c>
      <c r="D677" t="s">
        <v>1235</v>
      </c>
      <c r="E677" s="1">
        <v>45998</v>
      </c>
      <c r="F677">
        <v>3</v>
      </c>
      <c r="G677" t="s">
        <v>2697</v>
      </c>
      <c r="H677" t="s">
        <v>2554</v>
      </c>
      <c r="I677" t="s">
        <v>2558</v>
      </c>
      <c r="J677" t="s">
        <v>2633</v>
      </c>
      <c r="K677">
        <v>21</v>
      </c>
      <c r="L677" s="13" t="s">
        <v>257</v>
      </c>
    </row>
    <row r="678" spans="1:12" x14ac:dyDescent="0.25">
      <c r="A678" t="s">
        <v>3349</v>
      </c>
      <c r="B678" t="s">
        <v>195</v>
      </c>
      <c r="C678" t="str">
        <f>_xlfn.XLOOKUP(Table7[[#This Row],[app_id]],Table5[app_id],Table5[app_name],"",0)</f>
        <v>RouteGo</v>
      </c>
      <c r="D678" t="s">
        <v>1349</v>
      </c>
      <c r="E678" s="1">
        <v>45777</v>
      </c>
      <c r="F678">
        <v>2</v>
      </c>
      <c r="G678" t="s">
        <v>2685</v>
      </c>
      <c r="H678" t="s">
        <v>2587</v>
      </c>
      <c r="I678" t="s">
        <v>2578</v>
      </c>
      <c r="J678" t="s">
        <v>2559</v>
      </c>
      <c r="K678">
        <v>68</v>
      </c>
      <c r="L678" s="13" t="s">
        <v>258</v>
      </c>
    </row>
    <row r="679" spans="1:12" x14ac:dyDescent="0.25">
      <c r="A679" t="s">
        <v>3350</v>
      </c>
      <c r="B679" t="s">
        <v>197</v>
      </c>
      <c r="C679" t="str">
        <f>_xlfn.XLOOKUP(Table7[[#This Row],[app_id]],Table5[app_id],Table5[app_name],"",0)</f>
        <v>TripGo</v>
      </c>
      <c r="D679" t="s">
        <v>2102</v>
      </c>
      <c r="E679" s="1">
        <v>46065</v>
      </c>
      <c r="F679">
        <v>3</v>
      </c>
      <c r="G679" t="s">
        <v>2815</v>
      </c>
      <c r="H679" t="s">
        <v>2554</v>
      </c>
      <c r="I679" t="s">
        <v>2571</v>
      </c>
      <c r="J679" t="s">
        <v>2603</v>
      </c>
      <c r="K679">
        <v>25</v>
      </c>
      <c r="L679" s="13" t="s">
        <v>258</v>
      </c>
    </row>
    <row r="680" spans="1:12" x14ac:dyDescent="0.25">
      <c r="A680" t="s">
        <v>3351</v>
      </c>
      <c r="B680" t="s">
        <v>199</v>
      </c>
      <c r="C680" t="str">
        <f>_xlfn.XLOOKUP(Table7[[#This Row],[app_id]],Table5[app_id],Table5[app_name],"",0)</f>
        <v>Flyly</v>
      </c>
      <c r="D680" t="s">
        <v>1655</v>
      </c>
      <c r="E680" s="1">
        <v>45856</v>
      </c>
      <c r="F680">
        <v>3</v>
      </c>
      <c r="G680" t="s">
        <v>2695</v>
      </c>
      <c r="H680" t="s">
        <v>2554</v>
      </c>
      <c r="I680" t="s">
        <v>2584</v>
      </c>
      <c r="J680" t="s">
        <v>2603</v>
      </c>
      <c r="K680">
        <v>41</v>
      </c>
      <c r="L680" s="13" t="s">
        <v>257</v>
      </c>
    </row>
    <row r="681" spans="1:12" x14ac:dyDescent="0.25">
      <c r="A681" t="s">
        <v>3352</v>
      </c>
      <c r="B681" t="s">
        <v>201</v>
      </c>
      <c r="C681" t="str">
        <f>_xlfn.XLOOKUP(Table7[[#This Row],[app_id]],Table5[app_id],Table5[app_name],"",0)</f>
        <v>TripPro</v>
      </c>
      <c r="D681" t="s">
        <v>597</v>
      </c>
      <c r="E681" s="1">
        <v>46005</v>
      </c>
      <c r="F681">
        <v>5</v>
      </c>
      <c r="G681" t="s">
        <v>2929</v>
      </c>
      <c r="H681" t="s">
        <v>2564</v>
      </c>
      <c r="I681" t="s">
        <v>2575</v>
      </c>
      <c r="J681" t="s">
        <v>2566</v>
      </c>
      <c r="K681">
        <v>14</v>
      </c>
      <c r="L681" s="13" t="s">
        <v>257</v>
      </c>
    </row>
    <row r="682" spans="1:12" x14ac:dyDescent="0.25">
      <c r="A682" t="s">
        <v>3353</v>
      </c>
      <c r="B682" t="s">
        <v>203</v>
      </c>
      <c r="C682" t="str">
        <f>_xlfn.XLOOKUP(Table7[[#This Row],[app_id]],Table5[app_id],Table5[app_name],"",0)</f>
        <v>Focusly</v>
      </c>
      <c r="D682" t="s">
        <v>1658</v>
      </c>
      <c r="E682" s="1">
        <v>45980</v>
      </c>
      <c r="F682">
        <v>2</v>
      </c>
      <c r="G682" t="s">
        <v>2943</v>
      </c>
      <c r="H682" t="s">
        <v>2587</v>
      </c>
      <c r="I682" t="s">
        <v>2578</v>
      </c>
      <c r="J682" t="s">
        <v>2581</v>
      </c>
      <c r="K682">
        <v>93</v>
      </c>
      <c r="L682" s="13" t="s">
        <v>258</v>
      </c>
    </row>
    <row r="683" spans="1:12" x14ac:dyDescent="0.25">
      <c r="A683" t="s">
        <v>3354</v>
      </c>
      <c r="B683" t="s">
        <v>206</v>
      </c>
      <c r="C683" t="str">
        <f>_xlfn.XLOOKUP(Table7[[#This Row],[app_id]],Table5[app_id],Table5[app_name],"",0)</f>
        <v>DeskX</v>
      </c>
      <c r="D683" t="s">
        <v>2027</v>
      </c>
      <c r="E683" s="1">
        <v>45338</v>
      </c>
      <c r="F683">
        <v>3</v>
      </c>
      <c r="G683" t="s">
        <v>2706</v>
      </c>
      <c r="H683" t="s">
        <v>2554</v>
      </c>
      <c r="I683" t="s">
        <v>2575</v>
      </c>
      <c r="J683" t="s">
        <v>2596</v>
      </c>
      <c r="K683">
        <v>15</v>
      </c>
      <c r="L683" s="13" t="s">
        <v>257</v>
      </c>
    </row>
    <row r="684" spans="1:12" x14ac:dyDescent="0.25">
      <c r="A684" t="s">
        <v>3355</v>
      </c>
      <c r="B684" t="s">
        <v>208</v>
      </c>
      <c r="C684" t="str">
        <f>_xlfn.XLOOKUP(Table7[[#This Row],[app_id]],Table5[app_id],Table5[app_name],"",0)</f>
        <v>DonePro</v>
      </c>
      <c r="D684" t="s">
        <v>2322</v>
      </c>
      <c r="E684" s="1">
        <v>45676</v>
      </c>
      <c r="F684">
        <v>3</v>
      </c>
      <c r="G684" t="s">
        <v>2713</v>
      </c>
      <c r="H684" t="s">
        <v>2554</v>
      </c>
      <c r="I684" t="s">
        <v>2575</v>
      </c>
      <c r="J684" t="s">
        <v>2569</v>
      </c>
      <c r="K684">
        <v>24</v>
      </c>
      <c r="L684" s="13" t="s">
        <v>257</v>
      </c>
    </row>
    <row r="685" spans="1:12" x14ac:dyDescent="0.25">
      <c r="A685" t="s">
        <v>3356</v>
      </c>
      <c r="B685" t="s">
        <v>210</v>
      </c>
      <c r="C685" t="str">
        <f>_xlfn.XLOOKUP(Table7[[#This Row],[app_id]],Table5[app_id],Table5[app_name],"",0)</f>
        <v>NotePlus</v>
      </c>
      <c r="D685" t="s">
        <v>2168</v>
      </c>
      <c r="E685" s="1">
        <v>45415</v>
      </c>
      <c r="F685">
        <v>3</v>
      </c>
      <c r="G685" t="s">
        <v>2706</v>
      </c>
      <c r="H685" t="s">
        <v>2554</v>
      </c>
      <c r="I685" t="s">
        <v>2565</v>
      </c>
      <c r="J685" t="s">
        <v>2600</v>
      </c>
      <c r="K685">
        <v>43</v>
      </c>
      <c r="L685" s="13" t="s">
        <v>257</v>
      </c>
    </row>
    <row r="686" spans="1:12" x14ac:dyDescent="0.25">
      <c r="A686" t="s">
        <v>3357</v>
      </c>
      <c r="B686" t="s">
        <v>212</v>
      </c>
      <c r="C686" t="str">
        <f>_xlfn.XLOOKUP(Table7[[#This Row],[app_id]],Table5[app_id],Table5[app_name],"",0)</f>
        <v>SyncPlus</v>
      </c>
      <c r="D686" t="s">
        <v>2401</v>
      </c>
      <c r="E686" s="1">
        <v>46110</v>
      </c>
      <c r="F686">
        <v>2</v>
      </c>
      <c r="G686" t="s">
        <v>2943</v>
      </c>
      <c r="H686" t="s">
        <v>2587</v>
      </c>
      <c r="I686" t="s">
        <v>2558</v>
      </c>
      <c r="J686" t="s">
        <v>2559</v>
      </c>
      <c r="K686">
        <v>15</v>
      </c>
      <c r="L686" s="13" t="s">
        <v>258</v>
      </c>
    </row>
    <row r="687" spans="1:12" x14ac:dyDescent="0.25">
      <c r="A687" t="s">
        <v>3358</v>
      </c>
      <c r="B687" t="s">
        <v>214</v>
      </c>
      <c r="C687" t="str">
        <f>_xlfn.XLOOKUP(Table7[[#This Row],[app_id]],Table5[app_id],Table5[app_name],"",0)</f>
        <v>NoteOne</v>
      </c>
      <c r="D687" t="s">
        <v>1905</v>
      </c>
      <c r="E687" s="1">
        <v>45639</v>
      </c>
      <c r="F687">
        <v>5</v>
      </c>
      <c r="G687" t="s">
        <v>2708</v>
      </c>
      <c r="H687" t="s">
        <v>2564</v>
      </c>
      <c r="I687" t="s">
        <v>2558</v>
      </c>
      <c r="J687" t="s">
        <v>2561</v>
      </c>
      <c r="K687">
        <v>46</v>
      </c>
      <c r="L687" s="13" t="s">
        <v>257</v>
      </c>
    </row>
    <row r="688" spans="1:12" x14ac:dyDescent="0.25">
      <c r="A688" t="s">
        <v>3359</v>
      </c>
      <c r="B688" t="s">
        <v>216</v>
      </c>
      <c r="C688" t="str">
        <f>_xlfn.XLOOKUP(Table7[[#This Row],[app_id]],Table5[app_id],Table5[app_name],"",0)</f>
        <v>NoteMate</v>
      </c>
      <c r="D688" t="s">
        <v>1065</v>
      </c>
      <c r="E688" s="1">
        <v>45469</v>
      </c>
      <c r="F688">
        <v>4</v>
      </c>
      <c r="G688" t="s">
        <v>2703</v>
      </c>
      <c r="H688" t="s">
        <v>2564</v>
      </c>
      <c r="I688" t="s">
        <v>2575</v>
      </c>
      <c r="J688" t="s">
        <v>2581</v>
      </c>
      <c r="K688">
        <v>16</v>
      </c>
      <c r="L688" s="13" t="s">
        <v>257</v>
      </c>
    </row>
    <row r="689" spans="1:12" x14ac:dyDescent="0.25">
      <c r="A689" t="s">
        <v>3360</v>
      </c>
      <c r="B689" t="s">
        <v>218</v>
      </c>
      <c r="C689" t="str">
        <f>_xlfn.XLOOKUP(Table7[[#This Row],[app_id]],Table5[app_id],Table5[app_name],"",0)</f>
        <v>PlanPlus</v>
      </c>
      <c r="D689" t="s">
        <v>1851</v>
      </c>
      <c r="E689" s="1">
        <v>45648</v>
      </c>
      <c r="F689">
        <v>3</v>
      </c>
      <c r="G689" t="s">
        <v>2706</v>
      </c>
      <c r="H689" t="s">
        <v>2554</v>
      </c>
      <c r="I689" t="s">
        <v>2575</v>
      </c>
      <c r="J689" t="s">
        <v>2633</v>
      </c>
      <c r="K689">
        <v>36</v>
      </c>
      <c r="L689" s="13" t="s">
        <v>257</v>
      </c>
    </row>
    <row r="690" spans="1:12" x14ac:dyDescent="0.25">
      <c r="A690" t="s">
        <v>3361</v>
      </c>
      <c r="B690" t="s">
        <v>220</v>
      </c>
      <c r="C690" t="str">
        <f>_xlfn.XLOOKUP(Table7[[#This Row],[app_id]],Table5[app_id],Table5[app_name],"",0)</f>
        <v>PlanMate</v>
      </c>
      <c r="D690" t="s">
        <v>2525</v>
      </c>
      <c r="E690" s="1">
        <v>45384</v>
      </c>
      <c r="F690">
        <v>4</v>
      </c>
      <c r="G690" t="s">
        <v>2700</v>
      </c>
      <c r="H690" t="s">
        <v>2564</v>
      </c>
      <c r="I690" t="s">
        <v>2575</v>
      </c>
      <c r="J690" t="s">
        <v>2556</v>
      </c>
      <c r="K690">
        <v>32</v>
      </c>
      <c r="L690" s="13" t="s">
        <v>257</v>
      </c>
    </row>
    <row r="691" spans="1:12" x14ac:dyDescent="0.25">
      <c r="A691" t="s">
        <v>3362</v>
      </c>
      <c r="B691" t="s">
        <v>222</v>
      </c>
      <c r="C691" t="str">
        <f>_xlfn.XLOOKUP(Table7[[#This Row],[app_id]],Table5[app_id],Table5[app_name],"",0)</f>
        <v>SyncPlus</v>
      </c>
      <c r="D691" t="s">
        <v>972</v>
      </c>
      <c r="E691" s="1">
        <v>45790</v>
      </c>
      <c r="F691">
        <v>4</v>
      </c>
      <c r="G691" t="s">
        <v>2836</v>
      </c>
      <c r="H691" t="s">
        <v>2564</v>
      </c>
      <c r="I691" t="s">
        <v>2575</v>
      </c>
      <c r="J691" t="s">
        <v>2633</v>
      </c>
      <c r="K691">
        <v>38</v>
      </c>
      <c r="L691" s="13" t="s">
        <v>257</v>
      </c>
    </row>
    <row r="692" spans="1:12" x14ac:dyDescent="0.25">
      <c r="A692" t="s">
        <v>3363</v>
      </c>
      <c r="B692" t="s">
        <v>223</v>
      </c>
      <c r="C692" t="str">
        <f>_xlfn.XLOOKUP(Table7[[#This Row],[app_id]],Table5[app_id],Table5[app_name],"",0)</f>
        <v>ClinicPro</v>
      </c>
      <c r="D692" t="s">
        <v>658</v>
      </c>
      <c r="E692" s="1">
        <v>45466</v>
      </c>
      <c r="F692">
        <v>3</v>
      </c>
      <c r="G692" t="s">
        <v>2720</v>
      </c>
      <c r="H692" t="s">
        <v>2554</v>
      </c>
      <c r="I692" t="s">
        <v>2571</v>
      </c>
      <c r="J692" t="s">
        <v>2561</v>
      </c>
      <c r="K692">
        <v>3</v>
      </c>
      <c r="L692" s="13" t="s">
        <v>257</v>
      </c>
    </row>
    <row r="693" spans="1:12" x14ac:dyDescent="0.25">
      <c r="A693" t="s">
        <v>3364</v>
      </c>
      <c r="B693" t="s">
        <v>226</v>
      </c>
      <c r="C693" t="str">
        <f>_xlfn.XLOOKUP(Table7[[#This Row],[app_id]],Table5[app_id],Table5[app_name],"",0)</f>
        <v>MindMate</v>
      </c>
      <c r="D693" t="s">
        <v>1212</v>
      </c>
      <c r="E693" s="1">
        <v>45904</v>
      </c>
      <c r="F693">
        <v>5</v>
      </c>
      <c r="G693" t="s">
        <v>2722</v>
      </c>
      <c r="H693" t="s">
        <v>2564</v>
      </c>
      <c r="I693" t="s">
        <v>2558</v>
      </c>
      <c r="J693" t="s">
        <v>2559</v>
      </c>
      <c r="K693">
        <v>27</v>
      </c>
      <c r="L693" s="13" t="s">
        <v>257</v>
      </c>
    </row>
    <row r="694" spans="1:12" x14ac:dyDescent="0.25">
      <c r="A694" t="s">
        <v>3365</v>
      </c>
      <c r="B694" t="s">
        <v>228</v>
      </c>
      <c r="C694" t="str">
        <f>_xlfn.XLOOKUP(Table7[[#This Row],[app_id]],Table5[app_id],Table5[app_name],"",0)</f>
        <v>ClinicOne</v>
      </c>
      <c r="D694" t="s">
        <v>1632</v>
      </c>
      <c r="E694" s="1">
        <v>45476</v>
      </c>
      <c r="F694">
        <v>3</v>
      </c>
      <c r="G694" t="s">
        <v>2718</v>
      </c>
      <c r="H694" t="s">
        <v>2554</v>
      </c>
      <c r="I694" t="s">
        <v>2555</v>
      </c>
      <c r="J694" t="s">
        <v>2633</v>
      </c>
      <c r="K694">
        <v>48</v>
      </c>
      <c r="L694" s="13" t="s">
        <v>257</v>
      </c>
    </row>
    <row r="695" spans="1:12" x14ac:dyDescent="0.25">
      <c r="A695" t="s">
        <v>3366</v>
      </c>
      <c r="B695" t="s">
        <v>230</v>
      </c>
      <c r="C695" t="str">
        <f>_xlfn.XLOOKUP(Table7[[#This Row],[app_id]],Table5[app_id],Table5[app_name],"",0)</f>
        <v>WellMate</v>
      </c>
      <c r="D695" t="s">
        <v>2119</v>
      </c>
      <c r="E695" s="1">
        <v>45796</v>
      </c>
      <c r="F695">
        <v>4</v>
      </c>
      <c r="G695" t="s">
        <v>2728</v>
      </c>
      <c r="H695" t="s">
        <v>2564</v>
      </c>
      <c r="I695" t="s">
        <v>2565</v>
      </c>
      <c r="J695" t="s">
        <v>2569</v>
      </c>
      <c r="K695">
        <v>18</v>
      </c>
      <c r="L695" s="13" t="s">
        <v>258</v>
      </c>
    </row>
    <row r="696" spans="1:12" x14ac:dyDescent="0.25">
      <c r="A696" t="s">
        <v>3367</v>
      </c>
      <c r="B696" t="s">
        <v>232</v>
      </c>
      <c r="C696" t="str">
        <f>_xlfn.XLOOKUP(Table7[[#This Row],[app_id]],Table5[app_id],Table5[app_name],"",0)</f>
        <v>MediMate</v>
      </c>
      <c r="D696" t="s">
        <v>2532</v>
      </c>
      <c r="E696" s="1">
        <v>45809</v>
      </c>
      <c r="F696">
        <v>3</v>
      </c>
      <c r="G696" t="s">
        <v>2718</v>
      </c>
      <c r="H696" t="s">
        <v>2554</v>
      </c>
      <c r="I696" t="s">
        <v>2565</v>
      </c>
      <c r="J696" t="s">
        <v>2603</v>
      </c>
      <c r="K696">
        <v>6</v>
      </c>
      <c r="L696" s="13" t="s">
        <v>257</v>
      </c>
    </row>
    <row r="697" spans="1:12" x14ac:dyDescent="0.25">
      <c r="A697" t="s">
        <v>3368</v>
      </c>
      <c r="B697" t="s">
        <v>234</v>
      </c>
      <c r="C697" t="str">
        <f>_xlfn.XLOOKUP(Table7[[#This Row],[app_id]],Table5[app_id],Table5[app_name],"",0)</f>
        <v>WellNow</v>
      </c>
      <c r="D697" t="s">
        <v>1470</v>
      </c>
      <c r="E697" s="1">
        <v>45716</v>
      </c>
      <c r="F697">
        <v>5</v>
      </c>
      <c r="G697" t="s">
        <v>2716</v>
      </c>
      <c r="H697" t="s">
        <v>2564</v>
      </c>
      <c r="I697" t="s">
        <v>2565</v>
      </c>
      <c r="J697" t="s">
        <v>2603</v>
      </c>
      <c r="K697">
        <v>11</v>
      </c>
      <c r="L697" s="13" t="s">
        <v>257</v>
      </c>
    </row>
    <row r="698" spans="1:12" x14ac:dyDescent="0.25">
      <c r="A698" t="s">
        <v>3369</v>
      </c>
      <c r="B698" t="s">
        <v>236</v>
      </c>
      <c r="C698" t="str">
        <f>_xlfn.XLOOKUP(Table7[[#This Row],[app_id]],Table5[app_id],Table5[app_name],"",0)</f>
        <v>CareCloud</v>
      </c>
      <c r="D698" t="s">
        <v>1982</v>
      </c>
      <c r="E698" s="1">
        <v>45418</v>
      </c>
      <c r="F698">
        <v>4</v>
      </c>
      <c r="G698" t="s">
        <v>2728</v>
      </c>
      <c r="H698" t="s">
        <v>2564</v>
      </c>
      <c r="I698" t="s">
        <v>2555</v>
      </c>
      <c r="J698" t="s">
        <v>2556</v>
      </c>
      <c r="K698">
        <v>7</v>
      </c>
      <c r="L698" s="13" t="s">
        <v>257</v>
      </c>
    </row>
    <row r="699" spans="1:12" x14ac:dyDescent="0.25">
      <c r="A699" t="s">
        <v>3370</v>
      </c>
      <c r="B699" t="s">
        <v>238</v>
      </c>
      <c r="C699" t="str">
        <f>_xlfn.XLOOKUP(Table7[[#This Row],[app_id]],Table5[app_id],Table5[app_name],"",0)</f>
        <v>MediNow</v>
      </c>
      <c r="D699" t="s">
        <v>1895</v>
      </c>
      <c r="E699" s="1">
        <v>45992</v>
      </c>
      <c r="F699">
        <v>3</v>
      </c>
      <c r="G699" t="s">
        <v>2726</v>
      </c>
      <c r="H699" t="s">
        <v>2554</v>
      </c>
      <c r="I699" t="s">
        <v>2588</v>
      </c>
      <c r="J699" t="s">
        <v>2600</v>
      </c>
      <c r="K699">
        <v>24</v>
      </c>
      <c r="L699" s="13" t="s">
        <v>257</v>
      </c>
    </row>
    <row r="700" spans="1:12" x14ac:dyDescent="0.25">
      <c r="A700" t="s">
        <v>3371</v>
      </c>
      <c r="B700" t="s">
        <v>240</v>
      </c>
      <c r="C700" t="str">
        <f>_xlfn.XLOOKUP(Table7[[#This Row],[app_id]],Table5[app_id],Table5[app_name],"",0)</f>
        <v>MindPlus</v>
      </c>
      <c r="D700" t="s">
        <v>774</v>
      </c>
      <c r="E700" s="1">
        <v>45695</v>
      </c>
      <c r="F700">
        <v>3</v>
      </c>
      <c r="G700" t="s">
        <v>2846</v>
      </c>
      <c r="H700" t="s">
        <v>2554</v>
      </c>
      <c r="I700" t="s">
        <v>2565</v>
      </c>
      <c r="J700" t="s">
        <v>2561</v>
      </c>
      <c r="K700">
        <v>30</v>
      </c>
      <c r="L700" s="13" t="s">
        <v>257</v>
      </c>
    </row>
    <row r="701" spans="1:12" x14ac:dyDescent="0.25">
      <c r="A701" t="s">
        <v>3372</v>
      </c>
      <c r="B701" t="s">
        <v>242</v>
      </c>
      <c r="C701" t="str">
        <f>_xlfn.XLOOKUP(Table7[[#This Row],[app_id]],Table5[app_id],Table5[app_name],"",0)</f>
        <v>MediCloud</v>
      </c>
      <c r="D701" t="s">
        <v>1502</v>
      </c>
      <c r="E701" s="1">
        <v>45799</v>
      </c>
      <c r="F701">
        <v>5</v>
      </c>
      <c r="G701" t="s">
        <v>2954</v>
      </c>
      <c r="H701" t="s">
        <v>2564</v>
      </c>
      <c r="I701" t="s">
        <v>2555</v>
      </c>
      <c r="J701" t="s">
        <v>2566</v>
      </c>
      <c r="K701">
        <v>42</v>
      </c>
      <c r="L701" s="13" t="s">
        <v>258</v>
      </c>
    </row>
    <row r="702" spans="1:12" x14ac:dyDescent="0.25">
      <c r="A702" t="s">
        <v>3373</v>
      </c>
      <c r="B702" t="s">
        <v>12</v>
      </c>
      <c r="C702" t="str">
        <f>_xlfn.XLOOKUP(Table7[[#This Row],[app_id]],Table5[app_id],Table5[app_name],"",0)</f>
        <v>InvestPro</v>
      </c>
      <c r="D702" t="s">
        <v>2490</v>
      </c>
      <c r="E702" s="1">
        <v>45848</v>
      </c>
      <c r="F702">
        <v>4</v>
      </c>
      <c r="G702" t="s">
        <v>2568</v>
      </c>
      <c r="H702" t="s">
        <v>2564</v>
      </c>
      <c r="I702" t="s">
        <v>2575</v>
      </c>
      <c r="J702" t="s">
        <v>2596</v>
      </c>
      <c r="K702">
        <v>38</v>
      </c>
      <c r="L702" s="13" t="s">
        <v>257</v>
      </c>
    </row>
    <row r="703" spans="1:12" x14ac:dyDescent="0.25">
      <c r="A703" t="s">
        <v>3374</v>
      </c>
      <c r="B703" t="s">
        <v>19</v>
      </c>
      <c r="C703" t="str">
        <f>_xlfn.XLOOKUP(Table7[[#This Row],[app_id]],Table5[app_id],Table5[app_name],"",0)</f>
        <v>BankPro</v>
      </c>
      <c r="D703" t="s">
        <v>2504</v>
      </c>
      <c r="E703" s="1">
        <v>45347</v>
      </c>
      <c r="F703">
        <v>4</v>
      </c>
      <c r="G703" t="s">
        <v>2563</v>
      </c>
      <c r="H703" t="s">
        <v>2564</v>
      </c>
      <c r="I703" t="s">
        <v>2558</v>
      </c>
      <c r="J703" t="s">
        <v>2569</v>
      </c>
      <c r="K703">
        <v>4</v>
      </c>
      <c r="L703" s="13" t="s">
        <v>257</v>
      </c>
    </row>
    <row r="704" spans="1:12" x14ac:dyDescent="0.25">
      <c r="A704" t="s">
        <v>3375</v>
      </c>
      <c r="B704" t="s">
        <v>24</v>
      </c>
      <c r="C704" t="str">
        <f>_xlfn.XLOOKUP(Table7[[#This Row],[app_id]],Table5[app_id],Table5[app_name],"",0)</f>
        <v>BankX</v>
      </c>
      <c r="D704" t="s">
        <v>2127</v>
      </c>
      <c r="E704" s="1">
        <v>45928</v>
      </c>
      <c r="F704">
        <v>4</v>
      </c>
      <c r="G704" t="s">
        <v>2573</v>
      </c>
      <c r="H704" t="s">
        <v>2564</v>
      </c>
      <c r="I704" t="s">
        <v>2558</v>
      </c>
      <c r="J704" t="s">
        <v>2569</v>
      </c>
      <c r="K704">
        <v>18</v>
      </c>
      <c r="L704" s="13" t="s">
        <v>257</v>
      </c>
    </row>
    <row r="705" spans="1:12" x14ac:dyDescent="0.25">
      <c r="A705" t="s">
        <v>3376</v>
      </c>
      <c r="B705" t="s">
        <v>27</v>
      </c>
      <c r="C705" t="str">
        <f>_xlfn.XLOOKUP(Table7[[#This Row],[app_id]],Table5[app_id],Table5[app_name],"",0)</f>
        <v>BankNow</v>
      </c>
      <c r="D705" t="s">
        <v>1840</v>
      </c>
      <c r="E705" s="1">
        <v>45500</v>
      </c>
      <c r="F705">
        <v>3</v>
      </c>
      <c r="G705" t="s">
        <v>2735</v>
      </c>
      <c r="H705" t="s">
        <v>2554</v>
      </c>
      <c r="I705" t="s">
        <v>2555</v>
      </c>
      <c r="J705" t="s">
        <v>2581</v>
      </c>
      <c r="K705">
        <v>39</v>
      </c>
      <c r="L705" s="13" t="s">
        <v>257</v>
      </c>
    </row>
    <row r="706" spans="1:12" x14ac:dyDescent="0.25">
      <c r="A706" t="s">
        <v>3377</v>
      </c>
      <c r="B706" t="s">
        <v>31</v>
      </c>
      <c r="C706" t="str">
        <f>_xlfn.XLOOKUP(Table7[[#This Row],[app_id]],Table5[app_id],Table5[app_name],"",0)</f>
        <v>CreditHub</v>
      </c>
      <c r="D706" t="s">
        <v>727</v>
      </c>
      <c r="E706" s="1">
        <v>45611</v>
      </c>
      <c r="F706">
        <v>4</v>
      </c>
      <c r="G706" t="s">
        <v>2580</v>
      </c>
      <c r="H706" t="s">
        <v>2564</v>
      </c>
      <c r="I706" t="s">
        <v>2558</v>
      </c>
      <c r="J706" t="s">
        <v>2600</v>
      </c>
      <c r="K706">
        <v>19</v>
      </c>
      <c r="L706" s="13" t="s">
        <v>257</v>
      </c>
    </row>
    <row r="707" spans="1:12" x14ac:dyDescent="0.25">
      <c r="A707" t="s">
        <v>3378</v>
      </c>
      <c r="B707" t="s">
        <v>36</v>
      </c>
      <c r="C707" t="str">
        <f>_xlfn.XLOOKUP(Table7[[#This Row],[app_id]],Table5[app_id],Table5[app_name],"",0)</f>
        <v>PayPlus</v>
      </c>
      <c r="D707" t="s">
        <v>1806</v>
      </c>
      <c r="E707" s="1">
        <v>45711</v>
      </c>
      <c r="F707">
        <v>3</v>
      </c>
      <c r="G707" t="s">
        <v>2583</v>
      </c>
      <c r="H707" t="s">
        <v>2554</v>
      </c>
      <c r="I707" t="s">
        <v>2588</v>
      </c>
      <c r="J707" t="s">
        <v>2581</v>
      </c>
      <c r="K707">
        <v>16</v>
      </c>
      <c r="L707" s="13" t="s">
        <v>257</v>
      </c>
    </row>
    <row r="708" spans="1:12" x14ac:dyDescent="0.25">
      <c r="A708" t="s">
        <v>3379</v>
      </c>
      <c r="B708" t="s">
        <v>39</v>
      </c>
      <c r="C708" t="str">
        <f>_xlfn.XLOOKUP(Table7[[#This Row],[app_id]],Table5[app_id],Table5[app_name],"",0)</f>
        <v>BankPlus</v>
      </c>
      <c r="D708" t="s">
        <v>1992</v>
      </c>
      <c r="E708" s="1">
        <v>45521</v>
      </c>
      <c r="F708">
        <v>5</v>
      </c>
      <c r="G708" t="s">
        <v>2563</v>
      </c>
      <c r="H708" t="s">
        <v>2564</v>
      </c>
      <c r="I708" t="s">
        <v>2575</v>
      </c>
      <c r="J708" t="s">
        <v>2603</v>
      </c>
      <c r="K708">
        <v>46</v>
      </c>
      <c r="L708" s="13" t="s">
        <v>257</v>
      </c>
    </row>
    <row r="709" spans="1:12" x14ac:dyDescent="0.25">
      <c r="A709" t="s">
        <v>3380</v>
      </c>
      <c r="B709" t="s">
        <v>42</v>
      </c>
      <c r="C709" t="str">
        <f>_xlfn.XLOOKUP(Table7[[#This Row],[app_id]],Table5[app_id],Table5[app_name],"",0)</f>
        <v>CoinPlus</v>
      </c>
      <c r="D709" t="s">
        <v>674</v>
      </c>
      <c r="E709" s="1">
        <v>45346</v>
      </c>
      <c r="F709">
        <v>3</v>
      </c>
      <c r="G709" t="s">
        <v>2968</v>
      </c>
      <c r="H709" t="s">
        <v>2554</v>
      </c>
      <c r="I709" t="s">
        <v>2575</v>
      </c>
      <c r="J709" t="s">
        <v>2633</v>
      </c>
      <c r="K709">
        <v>26</v>
      </c>
      <c r="L709" s="13" t="s">
        <v>257</v>
      </c>
    </row>
    <row r="710" spans="1:12" x14ac:dyDescent="0.25">
      <c r="A710" t="s">
        <v>3381</v>
      </c>
      <c r="B710" t="s">
        <v>47</v>
      </c>
      <c r="C710" t="str">
        <f>_xlfn.XLOOKUP(Table7[[#This Row],[app_id]],Table5[app_id],Table5[app_name],"",0)</f>
        <v>CreditOne</v>
      </c>
      <c r="D710" t="s">
        <v>921</v>
      </c>
      <c r="E710" s="1">
        <v>46010</v>
      </c>
      <c r="F710">
        <v>4</v>
      </c>
      <c r="G710" t="s">
        <v>2563</v>
      </c>
      <c r="H710" t="s">
        <v>2564</v>
      </c>
      <c r="I710" t="s">
        <v>2555</v>
      </c>
      <c r="J710" t="s">
        <v>2596</v>
      </c>
      <c r="K710">
        <v>4</v>
      </c>
      <c r="L710" s="13" t="s">
        <v>257</v>
      </c>
    </row>
    <row r="711" spans="1:12" x14ac:dyDescent="0.25">
      <c r="A711" t="s">
        <v>3382</v>
      </c>
      <c r="B711" t="s">
        <v>49</v>
      </c>
      <c r="C711" t="str">
        <f>_xlfn.XLOOKUP(Table7[[#This Row],[app_id]],Table5[app_id],Table5[app_name],"",0)</f>
        <v>PayPro</v>
      </c>
      <c r="D711" t="s">
        <v>1319</v>
      </c>
      <c r="E711" s="1">
        <v>45866</v>
      </c>
      <c r="F711">
        <v>3</v>
      </c>
      <c r="G711" t="s">
        <v>2968</v>
      </c>
      <c r="H711" t="s">
        <v>2554</v>
      </c>
      <c r="I711" t="s">
        <v>2555</v>
      </c>
      <c r="J711" t="s">
        <v>2603</v>
      </c>
      <c r="K711">
        <v>29</v>
      </c>
      <c r="L711" s="13" t="s">
        <v>258</v>
      </c>
    </row>
    <row r="712" spans="1:12" x14ac:dyDescent="0.25">
      <c r="A712" t="s">
        <v>3383</v>
      </c>
      <c r="B712" t="s">
        <v>51</v>
      </c>
      <c r="C712" t="str">
        <f>_xlfn.XLOOKUP(Table7[[#This Row],[app_id]],Table5[app_id],Table5[app_name],"",0)</f>
        <v>Creditly</v>
      </c>
      <c r="D712" t="s">
        <v>2424</v>
      </c>
      <c r="E712" s="1">
        <v>45940</v>
      </c>
      <c r="F712">
        <v>5</v>
      </c>
      <c r="G712" t="s">
        <v>2573</v>
      </c>
      <c r="H712" t="s">
        <v>2564</v>
      </c>
      <c r="I712" t="s">
        <v>2571</v>
      </c>
      <c r="J712" t="s">
        <v>2581</v>
      </c>
      <c r="K712">
        <v>27</v>
      </c>
      <c r="L712" s="13" t="s">
        <v>257</v>
      </c>
    </row>
    <row r="713" spans="1:12" x14ac:dyDescent="0.25">
      <c r="A713" t="s">
        <v>3384</v>
      </c>
      <c r="B713" t="s">
        <v>53</v>
      </c>
      <c r="C713" t="str">
        <f>_xlfn.XLOOKUP(Table7[[#This Row],[app_id]],Table5[app_id],Table5[app_name],"",0)</f>
        <v>PayX</v>
      </c>
      <c r="D713" t="s">
        <v>1847</v>
      </c>
      <c r="E713" s="1">
        <v>45351</v>
      </c>
      <c r="F713">
        <v>2</v>
      </c>
      <c r="G713" t="s">
        <v>3385</v>
      </c>
      <c r="H713" t="s">
        <v>2587</v>
      </c>
      <c r="I713" t="s">
        <v>2558</v>
      </c>
      <c r="J713" t="s">
        <v>2633</v>
      </c>
      <c r="K713">
        <v>81</v>
      </c>
      <c r="L713" s="13" t="s">
        <v>258</v>
      </c>
    </row>
    <row r="714" spans="1:12" x14ac:dyDescent="0.25">
      <c r="A714" t="s">
        <v>3386</v>
      </c>
      <c r="B714" t="s">
        <v>56</v>
      </c>
      <c r="C714" t="str">
        <f>_xlfn.XLOOKUP(Table7[[#This Row],[app_id]],Table5[app_id],Table5[app_name],"",0)</f>
        <v>DealGo</v>
      </c>
      <c r="D714" t="s">
        <v>1956</v>
      </c>
      <c r="E714" s="1">
        <v>45705</v>
      </c>
      <c r="F714">
        <v>3</v>
      </c>
      <c r="G714" t="s">
        <v>2594</v>
      </c>
      <c r="H714" t="s">
        <v>2554</v>
      </c>
      <c r="I714" t="s">
        <v>2555</v>
      </c>
      <c r="J714" t="s">
        <v>2600</v>
      </c>
      <c r="K714">
        <v>33</v>
      </c>
      <c r="L714" s="13" t="s">
        <v>257</v>
      </c>
    </row>
    <row r="715" spans="1:12" x14ac:dyDescent="0.25">
      <c r="A715" t="s">
        <v>3387</v>
      </c>
      <c r="B715" t="s">
        <v>62</v>
      </c>
      <c r="C715" t="str">
        <f>_xlfn.XLOOKUP(Table7[[#This Row],[app_id]],Table5[app_id],Table5[app_name],"",0)</f>
        <v>MallNow</v>
      </c>
      <c r="D715" t="s">
        <v>2215</v>
      </c>
      <c r="E715" s="1">
        <v>45778</v>
      </c>
      <c r="F715">
        <v>5</v>
      </c>
      <c r="G715" t="s">
        <v>2598</v>
      </c>
      <c r="H715" t="s">
        <v>2564</v>
      </c>
      <c r="I715" t="s">
        <v>2555</v>
      </c>
      <c r="J715" t="s">
        <v>2569</v>
      </c>
      <c r="K715">
        <v>23</v>
      </c>
      <c r="L715" s="13" t="s">
        <v>258</v>
      </c>
    </row>
    <row r="716" spans="1:12" x14ac:dyDescent="0.25">
      <c r="A716" t="s">
        <v>3388</v>
      </c>
      <c r="B716" t="s">
        <v>65</v>
      </c>
      <c r="C716" t="str">
        <f>_xlfn.XLOOKUP(Table7[[#This Row],[app_id]],Table5[app_id],Table5[app_name],"",0)</f>
        <v>DealPro</v>
      </c>
      <c r="D716" t="s">
        <v>2135</v>
      </c>
      <c r="E716" s="1">
        <v>46013</v>
      </c>
      <c r="F716">
        <v>3</v>
      </c>
      <c r="G716" t="s">
        <v>2602</v>
      </c>
      <c r="H716" t="s">
        <v>2554</v>
      </c>
      <c r="I716" t="s">
        <v>2558</v>
      </c>
      <c r="J716" t="s">
        <v>2561</v>
      </c>
      <c r="K716">
        <v>7</v>
      </c>
      <c r="L716" s="13" t="s">
        <v>257</v>
      </c>
    </row>
    <row r="717" spans="1:12" x14ac:dyDescent="0.25">
      <c r="A717" t="s">
        <v>3389</v>
      </c>
      <c r="B717" t="s">
        <v>67</v>
      </c>
      <c r="C717" t="str">
        <f>_xlfn.XLOOKUP(Table7[[#This Row],[app_id]],Table5[app_id],Table5[app_name],"",0)</f>
        <v>StyleNow</v>
      </c>
      <c r="D717" t="s">
        <v>861</v>
      </c>
      <c r="E717" s="1">
        <v>45855</v>
      </c>
      <c r="F717">
        <v>2</v>
      </c>
      <c r="G717" t="s">
        <v>2586</v>
      </c>
      <c r="H717" t="s">
        <v>2587</v>
      </c>
      <c r="I717" t="s">
        <v>2571</v>
      </c>
      <c r="J717" t="s">
        <v>2581</v>
      </c>
      <c r="K717">
        <v>57</v>
      </c>
      <c r="L717" s="13" t="s">
        <v>257</v>
      </c>
    </row>
    <row r="718" spans="1:12" x14ac:dyDescent="0.25">
      <c r="A718" t="s">
        <v>3390</v>
      </c>
      <c r="B718" t="s">
        <v>70</v>
      </c>
      <c r="C718" t="str">
        <f>_xlfn.XLOOKUP(Table7[[#This Row],[app_id]],Table5[app_id],Table5[app_name],"",0)</f>
        <v>DealCloud</v>
      </c>
      <c r="D718" t="s">
        <v>1373</v>
      </c>
      <c r="E718" s="1">
        <v>45812</v>
      </c>
      <c r="F718">
        <v>3</v>
      </c>
      <c r="G718" t="s">
        <v>2594</v>
      </c>
      <c r="H718" t="s">
        <v>2554</v>
      </c>
      <c r="I718" t="s">
        <v>2555</v>
      </c>
      <c r="J718" t="s">
        <v>2566</v>
      </c>
      <c r="K718">
        <v>36</v>
      </c>
      <c r="L718" s="13" t="s">
        <v>257</v>
      </c>
    </row>
    <row r="719" spans="1:12" x14ac:dyDescent="0.25">
      <c r="A719" t="s">
        <v>3391</v>
      </c>
      <c r="B719" t="s">
        <v>72</v>
      </c>
      <c r="C719" t="str">
        <f>_xlfn.XLOOKUP(Table7[[#This Row],[app_id]],Table5[app_id],Table5[app_name],"",0)</f>
        <v>CartCloud</v>
      </c>
      <c r="D719" t="s">
        <v>1324</v>
      </c>
      <c r="E719" s="1">
        <v>45743</v>
      </c>
      <c r="F719">
        <v>5</v>
      </c>
      <c r="G719" t="s">
        <v>2598</v>
      </c>
      <c r="H719" t="s">
        <v>2564</v>
      </c>
      <c r="I719" t="s">
        <v>2565</v>
      </c>
      <c r="J719" t="s">
        <v>2569</v>
      </c>
      <c r="K719">
        <v>34</v>
      </c>
      <c r="L719" s="13" t="s">
        <v>257</v>
      </c>
    </row>
    <row r="720" spans="1:12" x14ac:dyDescent="0.25">
      <c r="A720" t="s">
        <v>3392</v>
      </c>
      <c r="B720" t="s">
        <v>74</v>
      </c>
      <c r="C720" t="str">
        <f>_xlfn.XLOOKUP(Table7[[#This Row],[app_id]],Table5[app_id],Table5[app_name],"",0)</f>
        <v>CartMate</v>
      </c>
      <c r="D720" t="s">
        <v>2494</v>
      </c>
      <c r="E720" s="1">
        <v>45321</v>
      </c>
      <c r="F720">
        <v>3</v>
      </c>
      <c r="G720" t="s">
        <v>2748</v>
      </c>
      <c r="H720" t="s">
        <v>2554</v>
      </c>
      <c r="I720" t="s">
        <v>2575</v>
      </c>
      <c r="J720" t="s">
        <v>2569</v>
      </c>
      <c r="K720">
        <v>16</v>
      </c>
      <c r="L720" s="13" t="s">
        <v>257</v>
      </c>
    </row>
    <row r="721" spans="1:12" x14ac:dyDescent="0.25">
      <c r="A721" t="s">
        <v>3393</v>
      </c>
      <c r="B721" t="s">
        <v>76</v>
      </c>
      <c r="C721" t="str">
        <f>_xlfn.XLOOKUP(Table7[[#This Row],[app_id]],Table5[app_id],Table5[app_name],"",0)</f>
        <v>BazaarOne</v>
      </c>
      <c r="D721" t="s">
        <v>873</v>
      </c>
      <c r="E721" s="1">
        <v>45835</v>
      </c>
      <c r="F721">
        <v>4</v>
      </c>
      <c r="G721" t="s">
        <v>2590</v>
      </c>
      <c r="H721" t="s">
        <v>2564</v>
      </c>
      <c r="I721" t="s">
        <v>2565</v>
      </c>
      <c r="J721" t="s">
        <v>2556</v>
      </c>
      <c r="K721">
        <v>43</v>
      </c>
      <c r="L721" s="13" t="s">
        <v>257</v>
      </c>
    </row>
    <row r="722" spans="1:12" x14ac:dyDescent="0.25">
      <c r="A722" t="s">
        <v>3394</v>
      </c>
      <c r="B722" t="s">
        <v>78</v>
      </c>
      <c r="C722" t="str">
        <f>_xlfn.XLOOKUP(Table7[[#This Row],[app_id]],Table5[app_id],Table5[app_name],"",0)</f>
        <v>StyleOne</v>
      </c>
      <c r="D722" t="s">
        <v>1368</v>
      </c>
      <c r="E722" s="1">
        <v>45655</v>
      </c>
      <c r="F722">
        <v>2</v>
      </c>
      <c r="G722" t="s">
        <v>2871</v>
      </c>
      <c r="H722" t="s">
        <v>2587</v>
      </c>
      <c r="I722" t="s">
        <v>2584</v>
      </c>
      <c r="J722" t="s">
        <v>2569</v>
      </c>
      <c r="K722">
        <v>52</v>
      </c>
      <c r="L722" s="13" t="s">
        <v>258</v>
      </c>
    </row>
    <row r="723" spans="1:12" x14ac:dyDescent="0.25">
      <c r="A723" t="s">
        <v>3395</v>
      </c>
      <c r="B723" t="s">
        <v>80</v>
      </c>
      <c r="C723" t="str">
        <f>_xlfn.XLOOKUP(Table7[[#This Row],[app_id]],Table5[app_id],Table5[app_name],"",0)</f>
        <v>Cartly</v>
      </c>
      <c r="D723" t="s">
        <v>1131</v>
      </c>
      <c r="E723" s="1">
        <v>45538</v>
      </c>
      <c r="F723">
        <v>5</v>
      </c>
      <c r="G723" t="s">
        <v>2598</v>
      </c>
      <c r="H723" t="s">
        <v>2564</v>
      </c>
      <c r="I723" t="s">
        <v>2565</v>
      </c>
      <c r="J723" t="s">
        <v>2600</v>
      </c>
      <c r="K723">
        <v>15</v>
      </c>
      <c r="L723" s="13" t="s">
        <v>257</v>
      </c>
    </row>
    <row r="724" spans="1:12" x14ac:dyDescent="0.25">
      <c r="A724" t="s">
        <v>3396</v>
      </c>
      <c r="B724" t="s">
        <v>83</v>
      </c>
      <c r="C724" t="str">
        <f>_xlfn.XLOOKUP(Table7[[#This Row],[app_id]],Table5[app_id],Table5[app_name],"",0)</f>
        <v>BazaarCloud</v>
      </c>
      <c r="D724" t="s">
        <v>1526</v>
      </c>
      <c r="E724" s="1">
        <v>45904</v>
      </c>
      <c r="F724">
        <v>3</v>
      </c>
      <c r="G724" t="s">
        <v>2594</v>
      </c>
      <c r="H724" t="s">
        <v>2554</v>
      </c>
      <c r="I724" t="s">
        <v>2575</v>
      </c>
      <c r="J724" t="s">
        <v>2569</v>
      </c>
      <c r="K724">
        <v>24</v>
      </c>
      <c r="L724" s="13" t="s">
        <v>257</v>
      </c>
    </row>
    <row r="725" spans="1:12" x14ac:dyDescent="0.25">
      <c r="A725" t="s">
        <v>3397</v>
      </c>
      <c r="B725" t="s">
        <v>85</v>
      </c>
      <c r="C725" t="str">
        <f>_xlfn.XLOOKUP(Table7[[#This Row],[app_id]],Table5[app_id],Table5[app_name],"",0)</f>
        <v>CartPro</v>
      </c>
      <c r="D725" t="s">
        <v>698</v>
      </c>
      <c r="E725" s="1">
        <v>45447</v>
      </c>
      <c r="F725">
        <v>3</v>
      </c>
      <c r="G725" t="s">
        <v>2594</v>
      </c>
      <c r="H725" t="s">
        <v>2554</v>
      </c>
      <c r="I725" t="s">
        <v>2584</v>
      </c>
      <c r="J725" t="s">
        <v>2633</v>
      </c>
      <c r="K725">
        <v>7</v>
      </c>
      <c r="L725" s="13" t="s">
        <v>258</v>
      </c>
    </row>
    <row r="726" spans="1:12" x14ac:dyDescent="0.25">
      <c r="A726" t="s">
        <v>3398</v>
      </c>
      <c r="B726" t="s">
        <v>87</v>
      </c>
      <c r="C726" t="str">
        <f>_xlfn.XLOOKUP(Table7[[#This Row],[app_id]],Table5[app_id],Table5[app_name],"",0)</f>
        <v>RunPlus</v>
      </c>
      <c r="D726" t="s">
        <v>793</v>
      </c>
      <c r="E726" s="1">
        <v>45314</v>
      </c>
      <c r="F726">
        <v>3</v>
      </c>
      <c r="G726" t="s">
        <v>2620</v>
      </c>
      <c r="H726" t="s">
        <v>2554</v>
      </c>
      <c r="I726" t="s">
        <v>2578</v>
      </c>
      <c r="J726" t="s">
        <v>2603</v>
      </c>
      <c r="K726">
        <v>44</v>
      </c>
      <c r="L726" s="13" t="s">
        <v>257</v>
      </c>
    </row>
    <row r="727" spans="1:12" x14ac:dyDescent="0.25">
      <c r="A727" t="s">
        <v>3399</v>
      </c>
      <c r="B727" t="s">
        <v>90</v>
      </c>
      <c r="C727" t="str">
        <f>_xlfn.XLOOKUP(Table7[[#This Row],[app_id]],Table5[app_id],Table5[app_name],"",0)</f>
        <v>TrainCloud</v>
      </c>
      <c r="D727" t="s">
        <v>1779</v>
      </c>
      <c r="E727" s="1">
        <v>46125</v>
      </c>
      <c r="F727">
        <v>3</v>
      </c>
      <c r="G727" t="s">
        <v>2615</v>
      </c>
      <c r="H727" t="s">
        <v>2554</v>
      </c>
      <c r="I727" t="s">
        <v>2571</v>
      </c>
      <c r="J727" t="s">
        <v>2566</v>
      </c>
      <c r="K727">
        <v>21</v>
      </c>
      <c r="L727" s="13" t="s">
        <v>257</v>
      </c>
    </row>
    <row r="728" spans="1:12" x14ac:dyDescent="0.25">
      <c r="A728" t="s">
        <v>3400</v>
      </c>
      <c r="B728" t="s">
        <v>92</v>
      </c>
      <c r="C728" t="str">
        <f>_xlfn.XLOOKUP(Table7[[#This Row],[app_id]],Table5[app_id],Table5[app_name],"",0)</f>
        <v>Trainly</v>
      </c>
      <c r="D728" t="s">
        <v>1910</v>
      </c>
      <c r="E728" s="1">
        <v>45459</v>
      </c>
      <c r="F728">
        <v>4</v>
      </c>
      <c r="G728" t="s">
        <v>2622</v>
      </c>
      <c r="H728" t="s">
        <v>2564</v>
      </c>
      <c r="I728" t="s">
        <v>2565</v>
      </c>
      <c r="J728" t="s">
        <v>2561</v>
      </c>
      <c r="K728">
        <v>31</v>
      </c>
      <c r="L728" s="13" t="s">
        <v>258</v>
      </c>
    </row>
    <row r="729" spans="1:12" x14ac:dyDescent="0.25">
      <c r="A729" t="s">
        <v>3401</v>
      </c>
      <c r="B729" t="s">
        <v>94</v>
      </c>
      <c r="C729" t="str">
        <f>_xlfn.XLOOKUP(Table7[[#This Row],[app_id]],Table5[app_id],Table5[app_name],"",0)</f>
        <v>LiftCloud</v>
      </c>
      <c r="D729" t="s">
        <v>806</v>
      </c>
      <c r="E729" s="1">
        <v>46030</v>
      </c>
      <c r="F729">
        <v>4</v>
      </c>
      <c r="G729" t="s">
        <v>2617</v>
      </c>
      <c r="H729" t="s">
        <v>2564</v>
      </c>
      <c r="I729" t="s">
        <v>2565</v>
      </c>
      <c r="J729" t="s">
        <v>2633</v>
      </c>
      <c r="K729">
        <v>41</v>
      </c>
      <c r="L729" s="13" t="s">
        <v>257</v>
      </c>
    </row>
    <row r="730" spans="1:12" x14ac:dyDescent="0.25">
      <c r="A730" t="s">
        <v>3402</v>
      </c>
      <c r="B730" t="s">
        <v>96</v>
      </c>
      <c r="C730" t="str">
        <f>_xlfn.XLOOKUP(Table7[[#This Row],[app_id]],Table5[app_id],Table5[app_name],"",0)</f>
        <v>MoveNow</v>
      </c>
      <c r="D730" t="s">
        <v>1158</v>
      </c>
      <c r="E730" s="1">
        <v>45627</v>
      </c>
      <c r="F730">
        <v>4</v>
      </c>
      <c r="G730" t="s">
        <v>2617</v>
      </c>
      <c r="H730" t="s">
        <v>2564</v>
      </c>
      <c r="I730" t="s">
        <v>2558</v>
      </c>
      <c r="J730" t="s">
        <v>2596</v>
      </c>
      <c r="K730">
        <v>29</v>
      </c>
      <c r="L730" s="13" t="s">
        <v>258</v>
      </c>
    </row>
    <row r="731" spans="1:12" x14ac:dyDescent="0.25">
      <c r="A731" t="s">
        <v>3403</v>
      </c>
      <c r="B731" t="s">
        <v>98</v>
      </c>
      <c r="C731" t="str">
        <f>_xlfn.XLOOKUP(Table7[[#This Row],[app_id]],Table5[app_id],Table5[app_name],"",0)</f>
        <v>ActiveMate</v>
      </c>
      <c r="D731" t="s">
        <v>1065</v>
      </c>
      <c r="E731" s="1">
        <v>45395</v>
      </c>
      <c r="F731">
        <v>3</v>
      </c>
      <c r="G731" t="s">
        <v>2615</v>
      </c>
      <c r="H731" t="s">
        <v>2554</v>
      </c>
      <c r="I731" t="s">
        <v>2571</v>
      </c>
      <c r="J731" t="s">
        <v>2603</v>
      </c>
      <c r="K731">
        <v>23</v>
      </c>
      <c r="L731" s="13" t="s">
        <v>257</v>
      </c>
    </row>
    <row r="732" spans="1:12" x14ac:dyDescent="0.25">
      <c r="A732" t="s">
        <v>3404</v>
      </c>
      <c r="B732" t="s">
        <v>100</v>
      </c>
      <c r="C732" t="str">
        <f>_xlfn.XLOOKUP(Table7[[#This Row],[app_id]],Table5[app_id],Table5[app_name],"",0)</f>
        <v>RunGo</v>
      </c>
      <c r="D732" t="s">
        <v>985</v>
      </c>
      <c r="E732" s="1">
        <v>45840</v>
      </c>
      <c r="F732">
        <v>4</v>
      </c>
      <c r="G732" t="s">
        <v>2625</v>
      </c>
      <c r="H732" t="s">
        <v>2564</v>
      </c>
      <c r="I732" t="s">
        <v>2571</v>
      </c>
      <c r="J732" t="s">
        <v>2596</v>
      </c>
      <c r="K732">
        <v>27</v>
      </c>
      <c r="L732" s="13" t="s">
        <v>258</v>
      </c>
    </row>
    <row r="733" spans="1:12" x14ac:dyDescent="0.25">
      <c r="A733" t="s">
        <v>3405</v>
      </c>
      <c r="B733" t="s">
        <v>102</v>
      </c>
      <c r="C733" t="str">
        <f>_xlfn.XLOOKUP(Table7[[#This Row],[app_id]],Table5[app_id],Table5[app_name],"",0)</f>
        <v>LiftPro</v>
      </c>
      <c r="D733" t="s">
        <v>1321</v>
      </c>
      <c r="E733" s="1">
        <v>45856</v>
      </c>
      <c r="F733">
        <v>4</v>
      </c>
      <c r="G733" t="s">
        <v>2622</v>
      </c>
      <c r="H733" t="s">
        <v>2564</v>
      </c>
      <c r="I733" t="s">
        <v>2555</v>
      </c>
      <c r="J733" t="s">
        <v>2556</v>
      </c>
      <c r="K733">
        <v>35</v>
      </c>
      <c r="L733" s="13" t="s">
        <v>257</v>
      </c>
    </row>
    <row r="734" spans="1:12" x14ac:dyDescent="0.25">
      <c r="A734" t="s">
        <v>3406</v>
      </c>
      <c r="B734" t="s">
        <v>104</v>
      </c>
      <c r="C734" t="str">
        <f>_xlfn.XLOOKUP(Table7[[#This Row],[app_id]],Table5[app_id],Table5[app_name],"",0)</f>
        <v>LiftPro</v>
      </c>
      <c r="D734" t="s">
        <v>629</v>
      </c>
      <c r="E734" s="1">
        <v>45638</v>
      </c>
      <c r="F734">
        <v>4</v>
      </c>
      <c r="G734" t="s">
        <v>2622</v>
      </c>
      <c r="H734" t="s">
        <v>2564</v>
      </c>
      <c r="I734" t="s">
        <v>2558</v>
      </c>
      <c r="J734" t="s">
        <v>2559</v>
      </c>
      <c r="K734">
        <v>45</v>
      </c>
      <c r="L734" s="13" t="s">
        <v>258</v>
      </c>
    </row>
    <row r="735" spans="1:12" x14ac:dyDescent="0.25">
      <c r="A735" t="s">
        <v>3407</v>
      </c>
      <c r="B735" t="s">
        <v>105</v>
      </c>
      <c r="C735" t="str">
        <f>_xlfn.XLOOKUP(Table7[[#This Row],[app_id]],Table5[app_id],Table5[app_name],"",0)</f>
        <v>Liftly</v>
      </c>
      <c r="D735" t="s">
        <v>2444</v>
      </c>
      <c r="E735" s="1">
        <v>45825</v>
      </c>
      <c r="F735">
        <v>5</v>
      </c>
      <c r="G735" t="s">
        <v>2622</v>
      </c>
      <c r="H735" t="s">
        <v>2564</v>
      </c>
      <c r="I735" t="s">
        <v>2565</v>
      </c>
      <c r="J735" t="s">
        <v>2556</v>
      </c>
      <c r="K735">
        <v>2</v>
      </c>
      <c r="L735" s="13" t="s">
        <v>258</v>
      </c>
    </row>
    <row r="736" spans="1:12" x14ac:dyDescent="0.25">
      <c r="A736" t="s">
        <v>3408</v>
      </c>
      <c r="B736" t="s">
        <v>107</v>
      </c>
      <c r="C736" t="str">
        <f>_xlfn.XLOOKUP(Table7[[#This Row],[app_id]],Table5[app_id],Table5[app_name],"",0)</f>
        <v>YogaHub</v>
      </c>
      <c r="D736" t="s">
        <v>744</v>
      </c>
      <c r="E736" s="1">
        <v>45407</v>
      </c>
      <c r="F736">
        <v>5</v>
      </c>
      <c r="G736" t="s">
        <v>2625</v>
      </c>
      <c r="H736" t="s">
        <v>2564</v>
      </c>
      <c r="I736" t="s">
        <v>2555</v>
      </c>
      <c r="J736" t="s">
        <v>2559</v>
      </c>
      <c r="K736">
        <v>33</v>
      </c>
      <c r="L736" s="13" t="s">
        <v>258</v>
      </c>
    </row>
    <row r="737" spans="1:12" x14ac:dyDescent="0.25">
      <c r="A737" t="s">
        <v>3409</v>
      </c>
      <c r="B737" t="s">
        <v>109</v>
      </c>
      <c r="C737" t="str">
        <f>_xlfn.XLOOKUP(Table7[[#This Row],[app_id]],Table5[app_id],Table5[app_name],"",0)</f>
        <v>MoveGo</v>
      </c>
      <c r="D737" t="s">
        <v>2028</v>
      </c>
      <c r="E737" s="1">
        <v>46076</v>
      </c>
      <c r="F737">
        <v>5</v>
      </c>
      <c r="G737" t="s">
        <v>2613</v>
      </c>
      <c r="H737" t="s">
        <v>2564</v>
      </c>
      <c r="I737" t="s">
        <v>2555</v>
      </c>
      <c r="J737" t="s">
        <v>2600</v>
      </c>
      <c r="K737">
        <v>37</v>
      </c>
      <c r="L737" s="13" t="s">
        <v>257</v>
      </c>
    </row>
    <row r="738" spans="1:12" x14ac:dyDescent="0.25">
      <c r="A738" t="s">
        <v>3410</v>
      </c>
      <c r="B738" t="s">
        <v>111</v>
      </c>
      <c r="C738" t="str">
        <f>_xlfn.XLOOKUP(Table7[[#This Row],[app_id]],Table5[app_id],Table5[app_name],"",0)</f>
        <v>BrightNow</v>
      </c>
      <c r="D738" t="s">
        <v>2026</v>
      </c>
      <c r="E738" s="1">
        <v>46000</v>
      </c>
      <c r="F738">
        <v>2</v>
      </c>
      <c r="G738" t="s">
        <v>2632</v>
      </c>
      <c r="H738" t="s">
        <v>2587</v>
      </c>
      <c r="I738" t="s">
        <v>2578</v>
      </c>
      <c r="J738" t="s">
        <v>2596</v>
      </c>
      <c r="K738">
        <v>93</v>
      </c>
      <c r="L738" s="13" t="s">
        <v>257</v>
      </c>
    </row>
    <row r="739" spans="1:12" x14ac:dyDescent="0.25">
      <c r="A739" t="s">
        <v>3411</v>
      </c>
      <c r="B739" t="s">
        <v>114</v>
      </c>
      <c r="C739" t="str">
        <f>_xlfn.XLOOKUP(Table7[[#This Row],[app_id]],Table5[app_id],Table5[app_name],"",0)</f>
        <v>StudyCloud</v>
      </c>
      <c r="D739" t="s">
        <v>1026</v>
      </c>
      <c r="E739" s="1">
        <v>45969</v>
      </c>
      <c r="F739">
        <v>4</v>
      </c>
      <c r="G739" t="s">
        <v>2635</v>
      </c>
      <c r="H739" t="s">
        <v>2564</v>
      </c>
      <c r="I739" t="s">
        <v>2565</v>
      </c>
      <c r="J739" t="s">
        <v>2603</v>
      </c>
      <c r="K739">
        <v>44</v>
      </c>
      <c r="L739" s="13" t="s">
        <v>257</v>
      </c>
    </row>
    <row r="740" spans="1:12" x14ac:dyDescent="0.25">
      <c r="A740" t="s">
        <v>3412</v>
      </c>
      <c r="B740" t="s">
        <v>116</v>
      </c>
      <c r="C740" t="str">
        <f>_xlfn.XLOOKUP(Table7[[#This Row],[app_id]],Table5[app_id],Table5[app_name],"",0)</f>
        <v>SkillNow</v>
      </c>
      <c r="D740" t="s">
        <v>1836</v>
      </c>
      <c r="E740" s="1">
        <v>45827</v>
      </c>
      <c r="F740">
        <v>3</v>
      </c>
      <c r="G740" t="s">
        <v>2778</v>
      </c>
      <c r="H740" t="s">
        <v>2554</v>
      </c>
      <c r="I740" t="s">
        <v>2578</v>
      </c>
      <c r="J740" t="s">
        <v>2581</v>
      </c>
      <c r="K740">
        <v>8</v>
      </c>
      <c r="L740" s="13" t="s">
        <v>258</v>
      </c>
    </row>
    <row r="741" spans="1:12" x14ac:dyDescent="0.25">
      <c r="A741" t="s">
        <v>3413</v>
      </c>
      <c r="B741" t="s">
        <v>118</v>
      </c>
      <c r="C741" t="str">
        <f>_xlfn.XLOOKUP(Table7[[#This Row],[app_id]],Table5[app_id],Table5[app_name],"",0)</f>
        <v>LearnMate</v>
      </c>
      <c r="D741" t="s">
        <v>2365</v>
      </c>
      <c r="E741" s="1">
        <v>45628</v>
      </c>
      <c r="F741">
        <v>4</v>
      </c>
      <c r="G741" t="s">
        <v>2640</v>
      </c>
      <c r="H741" t="s">
        <v>2564</v>
      </c>
      <c r="I741" t="s">
        <v>2565</v>
      </c>
      <c r="J741" t="s">
        <v>2559</v>
      </c>
      <c r="K741">
        <v>3</v>
      </c>
      <c r="L741" s="13" t="s">
        <v>257</v>
      </c>
    </row>
    <row r="742" spans="1:12" x14ac:dyDescent="0.25">
      <c r="A742" t="s">
        <v>3414</v>
      </c>
      <c r="B742" t="s">
        <v>120</v>
      </c>
      <c r="C742" t="str">
        <f>_xlfn.XLOOKUP(Table7[[#This Row],[app_id]],Table5[app_id],Table5[app_name],"",0)</f>
        <v>QuestNow</v>
      </c>
      <c r="D742" t="s">
        <v>827</v>
      </c>
      <c r="E742" s="1">
        <v>45572</v>
      </c>
      <c r="F742">
        <v>2</v>
      </c>
      <c r="G742" t="s">
        <v>2644</v>
      </c>
      <c r="H742" t="s">
        <v>2587</v>
      </c>
      <c r="I742" t="s">
        <v>2571</v>
      </c>
      <c r="J742" t="s">
        <v>2566</v>
      </c>
      <c r="K742">
        <v>48</v>
      </c>
      <c r="L742" s="13" t="s">
        <v>257</v>
      </c>
    </row>
    <row r="743" spans="1:12" x14ac:dyDescent="0.25">
      <c r="A743" t="s">
        <v>3415</v>
      </c>
      <c r="B743" t="s">
        <v>122</v>
      </c>
      <c r="C743" t="str">
        <f>_xlfn.XLOOKUP(Table7[[#This Row],[app_id]],Table5[app_id],Table5[app_name],"",0)</f>
        <v>SkillHub</v>
      </c>
      <c r="D743" t="s">
        <v>1578</v>
      </c>
      <c r="E743" s="1">
        <v>45568</v>
      </c>
      <c r="F743">
        <v>4</v>
      </c>
      <c r="G743" t="s">
        <v>2638</v>
      </c>
      <c r="H743" t="s">
        <v>2564</v>
      </c>
      <c r="I743" t="s">
        <v>2575</v>
      </c>
      <c r="J743" t="s">
        <v>2559</v>
      </c>
      <c r="K743">
        <v>4</v>
      </c>
      <c r="L743" s="13" t="s">
        <v>257</v>
      </c>
    </row>
    <row r="744" spans="1:12" x14ac:dyDescent="0.25">
      <c r="A744" t="s">
        <v>3416</v>
      </c>
      <c r="B744" t="s">
        <v>124</v>
      </c>
      <c r="C744" t="str">
        <f>_xlfn.XLOOKUP(Table7[[#This Row],[app_id]],Table5[app_id],Table5[app_name],"",0)</f>
        <v>TutorCloud</v>
      </c>
      <c r="D744" t="s">
        <v>1567</v>
      </c>
      <c r="E744" s="1">
        <v>46126</v>
      </c>
      <c r="F744">
        <v>3</v>
      </c>
      <c r="G744" t="s">
        <v>2778</v>
      </c>
      <c r="H744" t="s">
        <v>2554</v>
      </c>
      <c r="I744" t="s">
        <v>2588</v>
      </c>
      <c r="J744" t="s">
        <v>2633</v>
      </c>
      <c r="K744">
        <v>41</v>
      </c>
      <c r="L744" s="13" t="s">
        <v>258</v>
      </c>
    </row>
    <row r="745" spans="1:12" x14ac:dyDescent="0.25">
      <c r="A745" t="s">
        <v>3417</v>
      </c>
      <c r="B745" t="s">
        <v>126</v>
      </c>
      <c r="C745" t="str">
        <f>_xlfn.XLOOKUP(Table7[[#This Row],[app_id]],Table5[app_id],Table5[app_name],"",0)</f>
        <v>SkillOne</v>
      </c>
      <c r="D745" t="s">
        <v>1426</v>
      </c>
      <c r="E745" s="1">
        <v>45477</v>
      </c>
      <c r="F745">
        <v>2</v>
      </c>
      <c r="G745" t="s">
        <v>2632</v>
      </c>
      <c r="H745" t="s">
        <v>2587</v>
      </c>
      <c r="I745" t="s">
        <v>2565</v>
      </c>
      <c r="J745" t="s">
        <v>2603</v>
      </c>
      <c r="K745">
        <v>95</v>
      </c>
      <c r="L745" s="13" t="s">
        <v>257</v>
      </c>
    </row>
    <row r="746" spans="1:12" x14ac:dyDescent="0.25">
      <c r="A746" t="s">
        <v>3418</v>
      </c>
      <c r="B746" t="s">
        <v>128</v>
      </c>
      <c r="C746" t="str">
        <f>_xlfn.XLOOKUP(Table7[[#This Row],[app_id]],Table5[app_id],Table5[app_name],"",0)</f>
        <v>LearnOne</v>
      </c>
      <c r="D746" t="s">
        <v>1167</v>
      </c>
      <c r="E746" s="1">
        <v>45667</v>
      </c>
      <c r="F746">
        <v>4</v>
      </c>
      <c r="G746" t="s">
        <v>2640</v>
      </c>
      <c r="H746" t="s">
        <v>2564</v>
      </c>
      <c r="I746" t="s">
        <v>2565</v>
      </c>
      <c r="J746" t="s">
        <v>2581</v>
      </c>
      <c r="K746">
        <v>41</v>
      </c>
      <c r="L746" s="13" t="s">
        <v>258</v>
      </c>
    </row>
    <row r="747" spans="1:12" x14ac:dyDescent="0.25">
      <c r="A747" t="s">
        <v>3419</v>
      </c>
      <c r="B747" t="s">
        <v>130</v>
      </c>
      <c r="C747" t="str">
        <f>_xlfn.XLOOKUP(Table7[[#This Row],[app_id]],Table5[app_id],Table5[app_name],"",0)</f>
        <v>LearnPlus</v>
      </c>
      <c r="D747" t="s">
        <v>2523</v>
      </c>
      <c r="E747" s="1">
        <v>45540</v>
      </c>
      <c r="F747">
        <v>3</v>
      </c>
      <c r="G747" t="s">
        <v>2778</v>
      </c>
      <c r="H747" t="s">
        <v>2554</v>
      </c>
      <c r="I747" t="s">
        <v>2578</v>
      </c>
      <c r="J747" t="s">
        <v>2603</v>
      </c>
      <c r="K747">
        <v>36</v>
      </c>
      <c r="L747" s="13" t="s">
        <v>258</v>
      </c>
    </row>
    <row r="748" spans="1:12" x14ac:dyDescent="0.25">
      <c r="A748" t="s">
        <v>3420</v>
      </c>
      <c r="B748" t="s">
        <v>132</v>
      </c>
      <c r="C748" t="str">
        <f>_xlfn.XLOOKUP(Table7[[#This Row],[app_id]],Table5[app_id],Table5[app_name],"",0)</f>
        <v>StudyPlus</v>
      </c>
      <c r="D748" t="s">
        <v>1901</v>
      </c>
      <c r="E748" s="1">
        <v>46086</v>
      </c>
      <c r="F748">
        <v>3</v>
      </c>
      <c r="G748" t="s">
        <v>2778</v>
      </c>
      <c r="H748" t="s">
        <v>2554</v>
      </c>
      <c r="I748" t="s">
        <v>2588</v>
      </c>
      <c r="J748" t="s">
        <v>2633</v>
      </c>
      <c r="K748">
        <v>17</v>
      </c>
      <c r="L748" s="13" t="s">
        <v>257</v>
      </c>
    </row>
    <row r="749" spans="1:12" x14ac:dyDescent="0.25">
      <c r="A749" t="s">
        <v>3421</v>
      </c>
      <c r="B749" t="s">
        <v>134</v>
      </c>
      <c r="C749" t="str">
        <f>_xlfn.XLOOKUP(Table7[[#This Row],[app_id]],Table5[app_id],Table5[app_name],"",0)</f>
        <v>StudyX</v>
      </c>
      <c r="D749" t="s">
        <v>1963</v>
      </c>
      <c r="E749" s="1">
        <v>46072</v>
      </c>
      <c r="F749">
        <v>5</v>
      </c>
      <c r="G749" t="s">
        <v>2640</v>
      </c>
      <c r="H749" t="s">
        <v>2564</v>
      </c>
      <c r="I749" t="s">
        <v>2565</v>
      </c>
      <c r="J749" t="s">
        <v>2569</v>
      </c>
      <c r="K749">
        <v>4</v>
      </c>
      <c r="L749" s="13" t="s">
        <v>257</v>
      </c>
    </row>
    <row r="750" spans="1:12" x14ac:dyDescent="0.25">
      <c r="A750" t="s">
        <v>3422</v>
      </c>
      <c r="B750" t="s">
        <v>136</v>
      </c>
      <c r="C750" t="str">
        <f>_xlfn.XLOOKUP(Table7[[#This Row],[app_id]],Table5[app_id],Table5[app_name],"",0)</f>
        <v>PlayPlus</v>
      </c>
      <c r="D750" t="s">
        <v>1835</v>
      </c>
      <c r="E750" s="1">
        <v>45811</v>
      </c>
      <c r="F750">
        <v>3</v>
      </c>
      <c r="G750" t="s">
        <v>2655</v>
      </c>
      <c r="H750" t="s">
        <v>2554</v>
      </c>
      <c r="I750" t="s">
        <v>2558</v>
      </c>
      <c r="J750" t="s">
        <v>2633</v>
      </c>
      <c r="K750">
        <v>17</v>
      </c>
      <c r="L750" s="13" t="s">
        <v>257</v>
      </c>
    </row>
    <row r="751" spans="1:12" x14ac:dyDescent="0.25">
      <c r="A751" t="s">
        <v>3423</v>
      </c>
      <c r="B751" t="s">
        <v>139</v>
      </c>
      <c r="C751" t="str">
        <f>_xlfn.XLOOKUP(Table7[[#This Row],[app_id]],Table5[app_id],Table5[app_name],"",0)</f>
        <v>ShowMate</v>
      </c>
      <c r="D751" t="s">
        <v>1941</v>
      </c>
      <c r="E751" s="1">
        <v>45440</v>
      </c>
      <c r="F751">
        <v>3</v>
      </c>
      <c r="G751" t="s">
        <v>2793</v>
      </c>
      <c r="H751" t="s">
        <v>2554</v>
      </c>
      <c r="I751" t="s">
        <v>2558</v>
      </c>
      <c r="J751" t="s">
        <v>2566</v>
      </c>
      <c r="K751">
        <v>15</v>
      </c>
      <c r="L751" s="13" t="s">
        <v>257</v>
      </c>
    </row>
    <row r="752" spans="1:12" x14ac:dyDescent="0.25">
      <c r="A752" t="s">
        <v>3424</v>
      </c>
      <c r="B752" t="s">
        <v>141</v>
      </c>
      <c r="C752" t="str">
        <f>_xlfn.XLOOKUP(Table7[[#This Row],[app_id]],Table5[app_id],Table5[app_name],"",0)</f>
        <v>VibeX</v>
      </c>
      <c r="D752" t="s">
        <v>1454</v>
      </c>
      <c r="E752" s="1">
        <v>45394</v>
      </c>
      <c r="F752">
        <v>3</v>
      </c>
      <c r="G752" t="s">
        <v>2663</v>
      </c>
      <c r="H752" t="s">
        <v>2554</v>
      </c>
      <c r="I752" t="s">
        <v>2555</v>
      </c>
      <c r="J752" t="s">
        <v>2566</v>
      </c>
      <c r="K752">
        <v>42</v>
      </c>
      <c r="L752" s="13" t="s">
        <v>257</v>
      </c>
    </row>
    <row r="753" spans="1:12" x14ac:dyDescent="0.25">
      <c r="A753" t="s">
        <v>3425</v>
      </c>
      <c r="B753" t="s">
        <v>143</v>
      </c>
      <c r="C753" t="str">
        <f>_xlfn.XLOOKUP(Table7[[#This Row],[app_id]],Table5[app_id],Table5[app_name],"",0)</f>
        <v>BuzzNow</v>
      </c>
      <c r="D753" t="s">
        <v>2383</v>
      </c>
      <c r="E753" s="1">
        <v>45646</v>
      </c>
      <c r="F753">
        <v>4</v>
      </c>
      <c r="G753" t="s">
        <v>2652</v>
      </c>
      <c r="H753" t="s">
        <v>2564</v>
      </c>
      <c r="I753" t="s">
        <v>2575</v>
      </c>
      <c r="J753" t="s">
        <v>2600</v>
      </c>
      <c r="K753">
        <v>6</v>
      </c>
      <c r="L753" s="13" t="s">
        <v>257</v>
      </c>
    </row>
    <row r="754" spans="1:12" x14ac:dyDescent="0.25">
      <c r="A754" t="s">
        <v>3426</v>
      </c>
      <c r="B754" t="s">
        <v>145</v>
      </c>
      <c r="C754" t="str">
        <f>_xlfn.XLOOKUP(Table7[[#This Row],[app_id]],Table5[app_id],Table5[app_name],"",0)</f>
        <v>StreamPlus</v>
      </c>
      <c r="D754" t="s">
        <v>2279</v>
      </c>
      <c r="E754" s="1">
        <v>45432</v>
      </c>
      <c r="F754">
        <v>4</v>
      </c>
      <c r="G754" t="s">
        <v>2650</v>
      </c>
      <c r="H754" t="s">
        <v>2564</v>
      </c>
      <c r="I754" t="s">
        <v>2558</v>
      </c>
      <c r="J754" t="s">
        <v>2596</v>
      </c>
      <c r="K754">
        <v>37</v>
      </c>
      <c r="L754" s="13" t="s">
        <v>257</v>
      </c>
    </row>
    <row r="755" spans="1:12" x14ac:dyDescent="0.25">
      <c r="A755" t="s">
        <v>3427</v>
      </c>
      <c r="B755" t="s">
        <v>147</v>
      </c>
      <c r="C755" t="str">
        <f>_xlfn.XLOOKUP(Table7[[#This Row],[app_id]],Table5[app_id],Table5[app_name],"",0)</f>
        <v>Showly</v>
      </c>
      <c r="D755" t="s">
        <v>1567</v>
      </c>
      <c r="E755" s="1">
        <v>46002</v>
      </c>
      <c r="F755">
        <v>2</v>
      </c>
      <c r="G755" t="s">
        <v>3117</v>
      </c>
      <c r="H755" t="s">
        <v>2587</v>
      </c>
      <c r="I755" t="s">
        <v>2571</v>
      </c>
      <c r="J755" t="s">
        <v>2566</v>
      </c>
      <c r="K755">
        <v>42</v>
      </c>
      <c r="L755" s="13" t="s">
        <v>257</v>
      </c>
    </row>
    <row r="756" spans="1:12" x14ac:dyDescent="0.25">
      <c r="A756" t="s">
        <v>3428</v>
      </c>
      <c r="B756" t="s">
        <v>149</v>
      </c>
      <c r="C756" t="str">
        <f>_xlfn.XLOOKUP(Table7[[#This Row],[app_id]],Table5[app_id],Table5[app_name],"",0)</f>
        <v>BuzzOne</v>
      </c>
      <c r="D756" t="s">
        <v>1501</v>
      </c>
      <c r="E756" s="1">
        <v>45348</v>
      </c>
      <c r="F756">
        <v>4</v>
      </c>
      <c r="G756" t="s">
        <v>2650</v>
      </c>
      <c r="H756" t="s">
        <v>2564</v>
      </c>
      <c r="I756" t="s">
        <v>2555</v>
      </c>
      <c r="J756" t="s">
        <v>2581</v>
      </c>
      <c r="K756">
        <v>21</v>
      </c>
      <c r="L756" s="13" t="s">
        <v>258</v>
      </c>
    </row>
    <row r="757" spans="1:12" x14ac:dyDescent="0.25">
      <c r="A757" t="s">
        <v>3429</v>
      </c>
      <c r="B757" t="s">
        <v>151</v>
      </c>
      <c r="C757" t="str">
        <f>_xlfn.XLOOKUP(Table7[[#This Row],[app_id]],Table5[app_id],Table5[app_name],"",0)</f>
        <v>PlayHub</v>
      </c>
      <c r="D757" t="s">
        <v>750</v>
      </c>
      <c r="E757" s="1">
        <v>45311</v>
      </c>
      <c r="F757">
        <v>4</v>
      </c>
      <c r="G757" t="s">
        <v>2789</v>
      </c>
      <c r="H757" t="s">
        <v>2564</v>
      </c>
      <c r="I757" t="s">
        <v>2575</v>
      </c>
      <c r="J757" t="s">
        <v>2596</v>
      </c>
      <c r="K757">
        <v>2</v>
      </c>
      <c r="L757" s="13" t="s">
        <v>257</v>
      </c>
    </row>
    <row r="758" spans="1:12" x14ac:dyDescent="0.25">
      <c r="A758" t="s">
        <v>3430</v>
      </c>
      <c r="B758" t="s">
        <v>153</v>
      </c>
      <c r="C758" t="str">
        <f>_xlfn.XLOOKUP(Table7[[#This Row],[app_id]],Table5[app_id],Table5[app_name],"",0)</f>
        <v>CinemaGo</v>
      </c>
      <c r="D758" t="s">
        <v>600</v>
      </c>
      <c r="E758" s="1">
        <v>45568</v>
      </c>
      <c r="F758">
        <v>4</v>
      </c>
      <c r="G758" t="s">
        <v>2789</v>
      </c>
      <c r="H758" t="s">
        <v>2564</v>
      </c>
      <c r="I758" t="s">
        <v>2565</v>
      </c>
      <c r="J758" t="s">
        <v>2603</v>
      </c>
      <c r="K758">
        <v>34</v>
      </c>
      <c r="L758" s="13" t="s">
        <v>257</v>
      </c>
    </row>
    <row r="759" spans="1:12" x14ac:dyDescent="0.25">
      <c r="A759" t="s">
        <v>3431</v>
      </c>
      <c r="B759" t="s">
        <v>155</v>
      </c>
      <c r="C759" t="str">
        <f>_xlfn.XLOOKUP(Table7[[#This Row],[app_id]],Table5[app_id],Table5[app_name],"",0)</f>
        <v>LaughX</v>
      </c>
      <c r="D759" t="s">
        <v>793</v>
      </c>
      <c r="E759" s="1">
        <v>45743</v>
      </c>
      <c r="F759">
        <v>5</v>
      </c>
      <c r="G759" t="s">
        <v>2905</v>
      </c>
      <c r="H759" t="s">
        <v>2564</v>
      </c>
      <c r="I759" t="s">
        <v>2575</v>
      </c>
      <c r="J759" t="s">
        <v>2561</v>
      </c>
      <c r="K759">
        <v>38</v>
      </c>
      <c r="L759" s="13" t="s">
        <v>257</v>
      </c>
    </row>
    <row r="760" spans="1:12" x14ac:dyDescent="0.25">
      <c r="A760" t="s">
        <v>3432</v>
      </c>
      <c r="B760" t="s">
        <v>157</v>
      </c>
      <c r="C760" t="str">
        <f>_xlfn.XLOOKUP(Table7[[#This Row],[app_id]],Table5[app_id],Table5[app_name],"",0)</f>
        <v>CinemaHub</v>
      </c>
      <c r="D760" t="s">
        <v>1975</v>
      </c>
      <c r="E760" s="1">
        <v>45450</v>
      </c>
      <c r="F760">
        <v>4</v>
      </c>
      <c r="G760" t="s">
        <v>2905</v>
      </c>
      <c r="H760" t="s">
        <v>2564</v>
      </c>
      <c r="I760" t="s">
        <v>2558</v>
      </c>
      <c r="J760" t="s">
        <v>2566</v>
      </c>
      <c r="K760">
        <v>32</v>
      </c>
      <c r="L760" s="13" t="s">
        <v>257</v>
      </c>
    </row>
    <row r="761" spans="1:12" x14ac:dyDescent="0.25">
      <c r="A761" t="s">
        <v>3433</v>
      </c>
      <c r="B761" t="s">
        <v>159</v>
      </c>
      <c r="C761" t="str">
        <f>_xlfn.XLOOKUP(Table7[[#This Row],[app_id]],Table5[app_id],Table5[app_name],"",0)</f>
        <v>ShowPro</v>
      </c>
      <c r="D761" t="s">
        <v>785</v>
      </c>
      <c r="E761" s="1">
        <v>45663</v>
      </c>
      <c r="F761">
        <v>5</v>
      </c>
      <c r="G761" t="s">
        <v>2652</v>
      </c>
      <c r="H761" t="s">
        <v>2564</v>
      </c>
      <c r="I761" t="s">
        <v>2555</v>
      </c>
      <c r="J761" t="s">
        <v>2561</v>
      </c>
      <c r="K761">
        <v>48</v>
      </c>
      <c r="L761" s="13" t="s">
        <v>257</v>
      </c>
    </row>
    <row r="762" spans="1:12" x14ac:dyDescent="0.25">
      <c r="A762" t="s">
        <v>3434</v>
      </c>
      <c r="B762" t="s">
        <v>161</v>
      </c>
      <c r="C762" t="str">
        <f>_xlfn.XLOOKUP(Table7[[#This Row],[app_id]],Table5[app_id],Table5[app_name],"",0)</f>
        <v>FoodPlus</v>
      </c>
      <c r="D762" t="s">
        <v>1560</v>
      </c>
      <c r="E762" s="1">
        <v>45462</v>
      </c>
      <c r="F762">
        <v>4</v>
      </c>
      <c r="G762" t="s">
        <v>2679</v>
      </c>
      <c r="H762" t="s">
        <v>2564</v>
      </c>
      <c r="I762" t="s">
        <v>2565</v>
      </c>
      <c r="J762" t="s">
        <v>2566</v>
      </c>
      <c r="K762">
        <v>21</v>
      </c>
      <c r="L762" s="13" t="s">
        <v>258</v>
      </c>
    </row>
    <row r="763" spans="1:12" x14ac:dyDescent="0.25">
      <c r="A763" t="s">
        <v>3435</v>
      </c>
      <c r="B763" t="s">
        <v>164</v>
      </c>
      <c r="C763" t="str">
        <f>_xlfn.XLOOKUP(Table7[[#This Row],[app_id]],Table5[app_id],Table5[app_name],"",0)</f>
        <v>BiteGo</v>
      </c>
      <c r="D763" t="s">
        <v>667</v>
      </c>
      <c r="E763" s="1">
        <v>46061</v>
      </c>
      <c r="F763">
        <v>3</v>
      </c>
      <c r="G763" t="s">
        <v>2670</v>
      </c>
      <c r="H763" t="s">
        <v>2554</v>
      </c>
      <c r="I763" t="s">
        <v>2578</v>
      </c>
      <c r="J763" t="s">
        <v>2603</v>
      </c>
      <c r="K763">
        <v>24</v>
      </c>
      <c r="L763" s="13" t="s">
        <v>257</v>
      </c>
    </row>
    <row r="764" spans="1:12" x14ac:dyDescent="0.25">
      <c r="A764" t="s">
        <v>3436</v>
      </c>
      <c r="B764" t="s">
        <v>166</v>
      </c>
      <c r="C764" t="str">
        <f>_xlfn.XLOOKUP(Table7[[#This Row],[app_id]],Table5[app_id],Table5[app_name],"",0)</f>
        <v>OrderCloud</v>
      </c>
      <c r="D764" t="s">
        <v>1460</v>
      </c>
      <c r="E764" s="1">
        <v>45960</v>
      </c>
      <c r="F764">
        <v>3</v>
      </c>
      <c r="G764" t="s">
        <v>2670</v>
      </c>
      <c r="H764" t="s">
        <v>2554</v>
      </c>
      <c r="I764" t="s">
        <v>2578</v>
      </c>
      <c r="J764" t="s">
        <v>2581</v>
      </c>
      <c r="K764">
        <v>47</v>
      </c>
      <c r="L764" s="13" t="s">
        <v>257</v>
      </c>
    </row>
    <row r="765" spans="1:12" x14ac:dyDescent="0.25">
      <c r="A765" t="s">
        <v>3437</v>
      </c>
      <c r="B765" t="s">
        <v>168</v>
      </c>
      <c r="C765" t="str">
        <f>_xlfn.XLOOKUP(Table7[[#This Row],[app_id]],Table5[app_id],Table5[app_name],"",0)</f>
        <v>DinePlus</v>
      </c>
      <c r="D765" t="s">
        <v>1862</v>
      </c>
      <c r="E765" s="1">
        <v>45928</v>
      </c>
      <c r="F765">
        <v>4</v>
      </c>
      <c r="G765" t="s">
        <v>2676</v>
      </c>
      <c r="H765" t="s">
        <v>2564</v>
      </c>
      <c r="I765" t="s">
        <v>2565</v>
      </c>
      <c r="J765" t="s">
        <v>2603</v>
      </c>
      <c r="K765">
        <v>17</v>
      </c>
      <c r="L765" s="13" t="s">
        <v>258</v>
      </c>
    </row>
    <row r="766" spans="1:12" x14ac:dyDescent="0.25">
      <c r="A766" t="s">
        <v>3438</v>
      </c>
      <c r="B766" t="s">
        <v>170</v>
      </c>
      <c r="C766" t="str">
        <f>_xlfn.XLOOKUP(Table7[[#This Row],[app_id]],Table5[app_id],Table5[app_name],"",0)</f>
        <v>SnackX</v>
      </c>
      <c r="D766" t="s">
        <v>570</v>
      </c>
      <c r="E766" s="1">
        <v>45965</v>
      </c>
      <c r="F766">
        <v>5</v>
      </c>
      <c r="G766" t="s">
        <v>2806</v>
      </c>
      <c r="H766" t="s">
        <v>2564</v>
      </c>
      <c r="I766" t="s">
        <v>2575</v>
      </c>
      <c r="J766" t="s">
        <v>2569</v>
      </c>
      <c r="K766">
        <v>45</v>
      </c>
      <c r="L766" s="13" t="s">
        <v>257</v>
      </c>
    </row>
    <row r="767" spans="1:12" x14ac:dyDescent="0.25">
      <c r="A767" t="s">
        <v>3439</v>
      </c>
      <c r="B767" t="s">
        <v>172</v>
      </c>
      <c r="C767" t="str">
        <f>_xlfn.XLOOKUP(Table7[[#This Row],[app_id]],Table5[app_id],Table5[app_name],"",0)</f>
        <v>FoodOne</v>
      </c>
      <c r="D767" t="s">
        <v>1894</v>
      </c>
      <c r="E767" s="1">
        <v>46137</v>
      </c>
      <c r="F767">
        <v>4</v>
      </c>
      <c r="G767" t="s">
        <v>2674</v>
      </c>
      <c r="H767" t="s">
        <v>2564</v>
      </c>
      <c r="I767" t="s">
        <v>2558</v>
      </c>
      <c r="J767" t="s">
        <v>2556</v>
      </c>
      <c r="K767">
        <v>36</v>
      </c>
      <c r="L767" s="13" t="s">
        <v>257</v>
      </c>
    </row>
    <row r="768" spans="1:12" x14ac:dyDescent="0.25">
      <c r="A768" t="s">
        <v>3440</v>
      </c>
      <c r="B768" t="s">
        <v>174</v>
      </c>
      <c r="C768" t="str">
        <f>_xlfn.XLOOKUP(Table7[[#This Row],[app_id]],Table5[app_id],Table5[app_name],"",0)</f>
        <v>MealMate</v>
      </c>
      <c r="D768" t="s">
        <v>1202</v>
      </c>
      <c r="E768" s="1">
        <v>45344</v>
      </c>
      <c r="F768">
        <v>5</v>
      </c>
      <c r="G768" t="s">
        <v>2679</v>
      </c>
      <c r="H768" t="s">
        <v>2564</v>
      </c>
      <c r="I768" t="s">
        <v>2555</v>
      </c>
      <c r="J768" t="s">
        <v>2559</v>
      </c>
      <c r="K768">
        <v>20</v>
      </c>
      <c r="L768" s="13" t="s">
        <v>257</v>
      </c>
    </row>
    <row r="769" spans="1:12" x14ac:dyDescent="0.25">
      <c r="A769" t="s">
        <v>3441</v>
      </c>
      <c r="B769" t="s">
        <v>176</v>
      </c>
      <c r="C769" t="str">
        <f>_xlfn.XLOOKUP(Table7[[#This Row],[app_id]],Table5[app_id],Table5[app_name],"",0)</f>
        <v>SnackHub</v>
      </c>
      <c r="D769" t="s">
        <v>1015</v>
      </c>
      <c r="E769" s="1">
        <v>45667</v>
      </c>
      <c r="F769">
        <v>3</v>
      </c>
      <c r="G769" t="s">
        <v>2668</v>
      </c>
      <c r="H769" t="s">
        <v>2554</v>
      </c>
      <c r="I769" t="s">
        <v>2584</v>
      </c>
      <c r="J769" t="s">
        <v>2603</v>
      </c>
      <c r="K769">
        <v>34</v>
      </c>
      <c r="L769" s="13" t="s">
        <v>257</v>
      </c>
    </row>
    <row r="770" spans="1:12" x14ac:dyDescent="0.25">
      <c r="A770" t="s">
        <v>3442</v>
      </c>
      <c r="B770" t="s">
        <v>178</v>
      </c>
      <c r="C770" t="str">
        <f>_xlfn.XLOOKUP(Table7[[#This Row],[app_id]],Table5[app_id],Table5[app_name],"",0)</f>
        <v>BiteCloud</v>
      </c>
      <c r="D770" t="s">
        <v>1706</v>
      </c>
      <c r="E770" s="1">
        <v>46135</v>
      </c>
      <c r="F770">
        <v>4</v>
      </c>
      <c r="G770" t="s">
        <v>2674</v>
      </c>
      <c r="H770" t="s">
        <v>2564</v>
      </c>
      <c r="I770" t="s">
        <v>2575</v>
      </c>
      <c r="J770" t="s">
        <v>2603</v>
      </c>
      <c r="K770">
        <v>42</v>
      </c>
      <c r="L770" s="13" t="s">
        <v>257</v>
      </c>
    </row>
    <row r="771" spans="1:12" x14ac:dyDescent="0.25">
      <c r="A771" t="s">
        <v>3443</v>
      </c>
      <c r="B771" t="s">
        <v>180</v>
      </c>
      <c r="C771" t="str">
        <f>_xlfn.XLOOKUP(Table7[[#This Row],[app_id]],Table5[app_id],Table5[app_name],"",0)</f>
        <v>PlatePlus</v>
      </c>
      <c r="D771" t="s">
        <v>834</v>
      </c>
      <c r="E771" s="1">
        <v>45484</v>
      </c>
      <c r="F771">
        <v>5</v>
      </c>
      <c r="G771" t="s">
        <v>2674</v>
      </c>
      <c r="H771" t="s">
        <v>2564</v>
      </c>
      <c r="I771" t="s">
        <v>2575</v>
      </c>
      <c r="J771" t="s">
        <v>2633</v>
      </c>
      <c r="K771">
        <v>46</v>
      </c>
      <c r="L771" s="13" t="s">
        <v>257</v>
      </c>
    </row>
    <row r="772" spans="1:12" x14ac:dyDescent="0.25">
      <c r="A772" t="s">
        <v>3444</v>
      </c>
      <c r="B772" t="s">
        <v>182</v>
      </c>
      <c r="C772" t="str">
        <f>_xlfn.XLOOKUP(Table7[[#This Row],[app_id]],Table5[app_id],Table5[app_name],"",0)</f>
        <v>VoyageGo</v>
      </c>
      <c r="D772" t="s">
        <v>1100</v>
      </c>
      <c r="E772" s="1">
        <v>45377</v>
      </c>
      <c r="F772">
        <v>4</v>
      </c>
      <c r="G772" t="s">
        <v>2931</v>
      </c>
      <c r="H772" t="s">
        <v>2564</v>
      </c>
      <c r="I772" t="s">
        <v>2575</v>
      </c>
      <c r="J772" t="s">
        <v>2581</v>
      </c>
      <c r="K772">
        <v>38</v>
      </c>
      <c r="L772" s="13" t="s">
        <v>257</v>
      </c>
    </row>
    <row r="773" spans="1:12" x14ac:dyDescent="0.25">
      <c r="A773" t="s">
        <v>3445</v>
      </c>
      <c r="B773" t="s">
        <v>185</v>
      </c>
      <c r="C773" t="str">
        <f>_xlfn.XLOOKUP(Table7[[#This Row],[app_id]],Table5[app_id],Table5[app_name],"",0)</f>
        <v>TripOne</v>
      </c>
      <c r="D773" t="s">
        <v>933</v>
      </c>
      <c r="E773" s="1">
        <v>45620</v>
      </c>
      <c r="F773">
        <v>2</v>
      </c>
      <c r="G773" t="s">
        <v>2685</v>
      </c>
      <c r="H773" t="s">
        <v>2587</v>
      </c>
      <c r="I773" t="s">
        <v>2575</v>
      </c>
      <c r="J773" t="s">
        <v>2603</v>
      </c>
      <c r="K773">
        <v>77</v>
      </c>
      <c r="L773" s="13" t="s">
        <v>258</v>
      </c>
    </row>
    <row r="774" spans="1:12" x14ac:dyDescent="0.25">
      <c r="A774" t="s">
        <v>3446</v>
      </c>
      <c r="B774" t="s">
        <v>187</v>
      </c>
      <c r="C774" t="str">
        <f>_xlfn.XLOOKUP(Table7[[#This Row],[app_id]],Table5[app_id],Table5[app_name],"",0)</f>
        <v>FlyGo</v>
      </c>
      <c r="D774" t="s">
        <v>1693</v>
      </c>
      <c r="E774" s="1">
        <v>45788</v>
      </c>
      <c r="F774">
        <v>3</v>
      </c>
      <c r="G774" t="s">
        <v>2697</v>
      </c>
      <c r="H774" t="s">
        <v>2554</v>
      </c>
      <c r="I774" t="s">
        <v>2575</v>
      </c>
      <c r="J774" t="s">
        <v>2561</v>
      </c>
      <c r="K774">
        <v>30</v>
      </c>
      <c r="L774" s="13" t="s">
        <v>257</v>
      </c>
    </row>
    <row r="775" spans="1:12" x14ac:dyDescent="0.25">
      <c r="A775" t="s">
        <v>3447</v>
      </c>
      <c r="B775" t="s">
        <v>189</v>
      </c>
      <c r="C775" t="str">
        <f>_xlfn.XLOOKUP(Table7[[#This Row],[app_id]],Table5[app_id],Table5[app_name],"",0)</f>
        <v>MapX</v>
      </c>
      <c r="D775" t="s">
        <v>1503</v>
      </c>
      <c r="E775" s="1">
        <v>45647</v>
      </c>
      <c r="F775">
        <v>5</v>
      </c>
      <c r="G775" t="s">
        <v>2929</v>
      </c>
      <c r="H775" t="s">
        <v>2564</v>
      </c>
      <c r="I775" t="s">
        <v>2575</v>
      </c>
      <c r="J775" t="s">
        <v>2566</v>
      </c>
      <c r="K775">
        <v>36</v>
      </c>
      <c r="L775" s="13" t="s">
        <v>257</v>
      </c>
    </row>
    <row r="776" spans="1:12" x14ac:dyDescent="0.25">
      <c r="A776" t="s">
        <v>3448</v>
      </c>
      <c r="B776" t="s">
        <v>191</v>
      </c>
      <c r="C776" t="str">
        <f>_xlfn.XLOOKUP(Table7[[#This Row],[app_id]],Table5[app_id],Table5[app_name],"",0)</f>
        <v>StayX</v>
      </c>
      <c r="D776" t="s">
        <v>1709</v>
      </c>
      <c r="E776" s="1">
        <v>46041</v>
      </c>
      <c r="F776">
        <v>3</v>
      </c>
      <c r="G776" t="s">
        <v>2815</v>
      </c>
      <c r="H776" t="s">
        <v>2554</v>
      </c>
      <c r="I776" t="s">
        <v>2558</v>
      </c>
      <c r="J776" t="s">
        <v>2603</v>
      </c>
      <c r="K776">
        <v>27</v>
      </c>
      <c r="L776" s="13" t="s">
        <v>257</v>
      </c>
    </row>
    <row r="777" spans="1:12" x14ac:dyDescent="0.25">
      <c r="A777" t="s">
        <v>3449</v>
      </c>
      <c r="B777" t="s">
        <v>193</v>
      </c>
      <c r="C777" t="str">
        <f>_xlfn.XLOOKUP(Table7[[#This Row],[app_id]],Table5[app_id],Table5[app_name],"",0)</f>
        <v>GoNow</v>
      </c>
      <c r="D777" t="s">
        <v>1960</v>
      </c>
      <c r="E777" s="1">
        <v>46011</v>
      </c>
      <c r="F777">
        <v>4</v>
      </c>
      <c r="G777" t="s">
        <v>2929</v>
      </c>
      <c r="H777" t="s">
        <v>2564</v>
      </c>
      <c r="I777" t="s">
        <v>2565</v>
      </c>
      <c r="J777" t="s">
        <v>2581</v>
      </c>
      <c r="K777">
        <v>28</v>
      </c>
      <c r="L777" s="13" t="s">
        <v>257</v>
      </c>
    </row>
    <row r="778" spans="1:12" x14ac:dyDescent="0.25">
      <c r="A778" t="s">
        <v>3450</v>
      </c>
      <c r="B778" t="s">
        <v>195</v>
      </c>
      <c r="C778" t="str">
        <f>_xlfn.XLOOKUP(Table7[[#This Row],[app_id]],Table5[app_id],Table5[app_name],"",0)</f>
        <v>RouteGo</v>
      </c>
      <c r="D778" t="s">
        <v>1915</v>
      </c>
      <c r="E778" s="1">
        <v>45495</v>
      </c>
      <c r="F778">
        <v>3</v>
      </c>
      <c r="G778" t="s">
        <v>2697</v>
      </c>
      <c r="H778" t="s">
        <v>2554</v>
      </c>
      <c r="I778" t="s">
        <v>2558</v>
      </c>
      <c r="J778" t="s">
        <v>2561</v>
      </c>
      <c r="K778">
        <v>15</v>
      </c>
      <c r="L778" s="13" t="s">
        <v>257</v>
      </c>
    </row>
    <row r="779" spans="1:12" x14ac:dyDescent="0.25">
      <c r="A779" t="s">
        <v>3451</v>
      </c>
      <c r="B779" t="s">
        <v>197</v>
      </c>
      <c r="C779" t="str">
        <f>_xlfn.XLOOKUP(Table7[[#This Row],[app_id]],Table5[app_id],Table5[app_name],"",0)</f>
        <v>TripGo</v>
      </c>
      <c r="D779" t="s">
        <v>1576</v>
      </c>
      <c r="E779" s="1">
        <v>45953</v>
      </c>
      <c r="F779">
        <v>3</v>
      </c>
      <c r="G779" t="s">
        <v>2815</v>
      </c>
      <c r="H779" t="s">
        <v>2554</v>
      </c>
      <c r="I779" t="s">
        <v>2558</v>
      </c>
      <c r="J779" t="s">
        <v>2633</v>
      </c>
      <c r="K779">
        <v>45</v>
      </c>
      <c r="L779" s="13" t="s">
        <v>257</v>
      </c>
    </row>
    <row r="780" spans="1:12" x14ac:dyDescent="0.25">
      <c r="A780" t="s">
        <v>3452</v>
      </c>
      <c r="B780" t="s">
        <v>199</v>
      </c>
      <c r="C780" t="str">
        <f>_xlfn.XLOOKUP(Table7[[#This Row],[app_id]],Table5[app_id],Table5[app_name],"",0)</f>
        <v>Flyly</v>
      </c>
      <c r="D780" t="s">
        <v>2243</v>
      </c>
      <c r="E780" s="1">
        <v>45522</v>
      </c>
      <c r="F780">
        <v>2</v>
      </c>
      <c r="G780" t="s">
        <v>2823</v>
      </c>
      <c r="H780" t="s">
        <v>2587</v>
      </c>
      <c r="I780" t="s">
        <v>2555</v>
      </c>
      <c r="J780" t="s">
        <v>2561</v>
      </c>
      <c r="K780">
        <v>90</v>
      </c>
      <c r="L780" s="13" t="s">
        <v>257</v>
      </c>
    </row>
    <row r="781" spans="1:12" x14ac:dyDescent="0.25">
      <c r="A781" t="s">
        <v>3453</v>
      </c>
      <c r="B781" t="s">
        <v>201</v>
      </c>
      <c r="C781" t="str">
        <f>_xlfn.XLOOKUP(Table7[[#This Row],[app_id]],Table5[app_id],Table5[app_name],"",0)</f>
        <v>TripPro</v>
      </c>
      <c r="D781" t="s">
        <v>2098</v>
      </c>
      <c r="E781" s="1">
        <v>45695</v>
      </c>
      <c r="F781">
        <v>4</v>
      </c>
      <c r="G781" t="s">
        <v>2931</v>
      </c>
      <c r="H781" t="s">
        <v>2564</v>
      </c>
      <c r="I781" t="s">
        <v>2565</v>
      </c>
      <c r="J781" t="s">
        <v>2566</v>
      </c>
      <c r="K781">
        <v>13</v>
      </c>
      <c r="L781" s="13" t="s">
        <v>257</v>
      </c>
    </row>
    <row r="782" spans="1:12" x14ac:dyDescent="0.25">
      <c r="A782" t="s">
        <v>3454</v>
      </c>
      <c r="B782" t="s">
        <v>203</v>
      </c>
      <c r="C782" t="str">
        <f>_xlfn.XLOOKUP(Table7[[#This Row],[app_id]],Table5[app_id],Table5[app_name],"",0)</f>
        <v>Focusly</v>
      </c>
      <c r="D782" t="s">
        <v>2414</v>
      </c>
      <c r="E782" s="1">
        <v>45735</v>
      </c>
      <c r="F782">
        <v>3</v>
      </c>
      <c r="G782" t="s">
        <v>3254</v>
      </c>
      <c r="H782" t="s">
        <v>2554</v>
      </c>
      <c r="I782" t="s">
        <v>2571</v>
      </c>
      <c r="J782" t="s">
        <v>2603</v>
      </c>
      <c r="K782">
        <v>33</v>
      </c>
      <c r="L782" s="13" t="s">
        <v>258</v>
      </c>
    </row>
    <row r="783" spans="1:12" x14ac:dyDescent="0.25">
      <c r="A783" t="s">
        <v>3455</v>
      </c>
      <c r="B783" t="s">
        <v>206</v>
      </c>
      <c r="C783" t="str">
        <f>_xlfn.XLOOKUP(Table7[[#This Row],[app_id]],Table5[app_id],Table5[app_name],"",0)</f>
        <v>DeskX</v>
      </c>
      <c r="D783" t="s">
        <v>2381</v>
      </c>
      <c r="E783" s="1">
        <v>46061</v>
      </c>
      <c r="F783">
        <v>4</v>
      </c>
      <c r="G783" t="s">
        <v>2836</v>
      </c>
      <c r="H783" t="s">
        <v>2564</v>
      </c>
      <c r="I783" t="s">
        <v>2571</v>
      </c>
      <c r="J783" t="s">
        <v>2633</v>
      </c>
      <c r="K783">
        <v>27</v>
      </c>
      <c r="L783" s="13" t="s">
        <v>258</v>
      </c>
    </row>
    <row r="784" spans="1:12" x14ac:dyDescent="0.25">
      <c r="A784" t="s">
        <v>3456</v>
      </c>
      <c r="B784" t="s">
        <v>208</v>
      </c>
      <c r="C784" t="str">
        <f>_xlfn.XLOOKUP(Table7[[#This Row],[app_id]],Table5[app_id],Table5[app_name],"",0)</f>
        <v>DonePro</v>
      </c>
      <c r="D784" t="s">
        <v>567</v>
      </c>
      <c r="E784" s="1">
        <v>45316</v>
      </c>
      <c r="F784">
        <v>4</v>
      </c>
      <c r="G784" t="s">
        <v>2703</v>
      </c>
      <c r="H784" t="s">
        <v>2564</v>
      </c>
      <c r="I784" t="s">
        <v>2555</v>
      </c>
      <c r="J784" t="s">
        <v>2559</v>
      </c>
      <c r="K784">
        <v>38</v>
      </c>
      <c r="L784" s="13" t="s">
        <v>258</v>
      </c>
    </row>
    <row r="785" spans="1:12" x14ac:dyDescent="0.25">
      <c r="A785" t="s">
        <v>3457</v>
      </c>
      <c r="B785" t="s">
        <v>210</v>
      </c>
      <c r="C785" t="str">
        <f>_xlfn.XLOOKUP(Table7[[#This Row],[app_id]],Table5[app_id],Table5[app_name],"",0)</f>
        <v>NotePlus</v>
      </c>
      <c r="D785" t="s">
        <v>1004</v>
      </c>
      <c r="E785" s="1">
        <v>45560</v>
      </c>
      <c r="F785">
        <v>3</v>
      </c>
      <c r="G785" t="s">
        <v>2710</v>
      </c>
      <c r="H785" t="s">
        <v>2554</v>
      </c>
      <c r="I785" t="s">
        <v>2578</v>
      </c>
      <c r="J785" t="s">
        <v>2566</v>
      </c>
      <c r="K785">
        <v>11</v>
      </c>
      <c r="L785" s="13" t="s">
        <v>257</v>
      </c>
    </row>
    <row r="786" spans="1:12" x14ac:dyDescent="0.25">
      <c r="A786" t="s">
        <v>3458</v>
      </c>
      <c r="B786" t="s">
        <v>212</v>
      </c>
      <c r="C786" t="str">
        <f>_xlfn.XLOOKUP(Table7[[#This Row],[app_id]],Table5[app_id],Table5[app_name],"",0)</f>
        <v>SyncPlus</v>
      </c>
      <c r="D786" t="s">
        <v>1885</v>
      </c>
      <c r="E786" s="1">
        <v>46044</v>
      </c>
      <c r="F786">
        <v>3</v>
      </c>
      <c r="G786" t="s">
        <v>2710</v>
      </c>
      <c r="H786" t="s">
        <v>2554</v>
      </c>
      <c r="I786" t="s">
        <v>2558</v>
      </c>
      <c r="J786" t="s">
        <v>2561</v>
      </c>
      <c r="K786">
        <v>12</v>
      </c>
      <c r="L786" s="13" t="s">
        <v>257</v>
      </c>
    </row>
    <row r="787" spans="1:12" x14ac:dyDescent="0.25">
      <c r="A787" t="s">
        <v>3459</v>
      </c>
      <c r="B787" t="s">
        <v>214</v>
      </c>
      <c r="C787" t="str">
        <f>_xlfn.XLOOKUP(Table7[[#This Row],[app_id]],Table5[app_id],Table5[app_name],"",0)</f>
        <v>NoteOne</v>
      </c>
      <c r="D787" t="s">
        <v>904</v>
      </c>
      <c r="E787" s="1">
        <v>45962</v>
      </c>
      <c r="F787">
        <v>5</v>
      </c>
      <c r="G787" t="s">
        <v>2700</v>
      </c>
      <c r="H787" t="s">
        <v>2564</v>
      </c>
      <c r="I787" t="s">
        <v>2565</v>
      </c>
      <c r="J787" t="s">
        <v>2569</v>
      </c>
      <c r="K787">
        <v>41</v>
      </c>
      <c r="L787" s="13" t="s">
        <v>257</v>
      </c>
    </row>
    <row r="788" spans="1:12" x14ac:dyDescent="0.25">
      <c r="A788" t="s">
        <v>3460</v>
      </c>
      <c r="B788" t="s">
        <v>216</v>
      </c>
      <c r="C788" t="str">
        <f>_xlfn.XLOOKUP(Table7[[#This Row],[app_id]],Table5[app_id],Table5[app_name],"",0)</f>
        <v>NoteMate</v>
      </c>
      <c r="D788" t="s">
        <v>1210</v>
      </c>
      <c r="E788" s="1">
        <v>45975</v>
      </c>
      <c r="F788">
        <v>3</v>
      </c>
      <c r="G788" t="s">
        <v>2713</v>
      </c>
      <c r="H788" t="s">
        <v>2554</v>
      </c>
      <c r="I788" t="s">
        <v>2584</v>
      </c>
      <c r="J788" t="s">
        <v>2596</v>
      </c>
      <c r="K788">
        <v>34</v>
      </c>
      <c r="L788" s="13" t="s">
        <v>258</v>
      </c>
    </row>
    <row r="789" spans="1:12" x14ac:dyDescent="0.25">
      <c r="A789" t="s">
        <v>3461</v>
      </c>
      <c r="B789" t="s">
        <v>218</v>
      </c>
      <c r="C789" t="str">
        <f>_xlfn.XLOOKUP(Table7[[#This Row],[app_id]],Table5[app_id],Table5[app_name],"",0)</f>
        <v>PlanPlus</v>
      </c>
      <c r="D789" t="s">
        <v>1992</v>
      </c>
      <c r="E789" s="1">
        <v>45975</v>
      </c>
      <c r="F789">
        <v>5</v>
      </c>
      <c r="G789" t="s">
        <v>2703</v>
      </c>
      <c r="H789" t="s">
        <v>2564</v>
      </c>
      <c r="I789" t="s">
        <v>2558</v>
      </c>
      <c r="J789" t="s">
        <v>2633</v>
      </c>
      <c r="K789">
        <v>2</v>
      </c>
      <c r="L789" s="13" t="s">
        <v>257</v>
      </c>
    </row>
    <row r="790" spans="1:12" x14ac:dyDescent="0.25">
      <c r="A790" t="s">
        <v>3462</v>
      </c>
      <c r="B790" t="s">
        <v>220</v>
      </c>
      <c r="C790" t="str">
        <f>_xlfn.XLOOKUP(Table7[[#This Row],[app_id]],Table5[app_id],Table5[app_name],"",0)</f>
        <v>PlanMate</v>
      </c>
      <c r="D790" t="s">
        <v>1681</v>
      </c>
      <c r="E790" s="1">
        <v>45866</v>
      </c>
      <c r="F790">
        <v>4</v>
      </c>
      <c r="G790" t="s">
        <v>2703</v>
      </c>
      <c r="H790" t="s">
        <v>2564</v>
      </c>
      <c r="I790" t="s">
        <v>2565</v>
      </c>
      <c r="J790" t="s">
        <v>2633</v>
      </c>
      <c r="K790">
        <v>10</v>
      </c>
      <c r="L790" s="13" t="s">
        <v>257</v>
      </c>
    </row>
    <row r="791" spans="1:12" x14ac:dyDescent="0.25">
      <c r="A791" t="s">
        <v>3463</v>
      </c>
      <c r="B791" t="s">
        <v>222</v>
      </c>
      <c r="C791" t="str">
        <f>_xlfn.XLOOKUP(Table7[[#This Row],[app_id]],Table5[app_id],Table5[app_name],"",0)</f>
        <v>SyncPlus</v>
      </c>
      <c r="D791" t="s">
        <v>1786</v>
      </c>
      <c r="E791" s="1">
        <v>45978</v>
      </c>
      <c r="F791">
        <v>3</v>
      </c>
      <c r="G791" t="s">
        <v>2706</v>
      </c>
      <c r="H791" t="s">
        <v>2554</v>
      </c>
      <c r="I791" t="s">
        <v>2578</v>
      </c>
      <c r="J791" t="s">
        <v>2559</v>
      </c>
      <c r="K791">
        <v>11</v>
      </c>
      <c r="L791" s="13" t="s">
        <v>258</v>
      </c>
    </row>
    <row r="792" spans="1:12" x14ac:dyDescent="0.25">
      <c r="A792" t="s">
        <v>3464</v>
      </c>
      <c r="B792" t="s">
        <v>223</v>
      </c>
      <c r="C792" t="str">
        <f>_xlfn.XLOOKUP(Table7[[#This Row],[app_id]],Table5[app_id],Table5[app_name],"",0)</f>
        <v>ClinicPro</v>
      </c>
      <c r="D792" t="s">
        <v>1350</v>
      </c>
      <c r="E792" s="1">
        <v>45408</v>
      </c>
      <c r="F792">
        <v>4</v>
      </c>
      <c r="G792" t="s">
        <v>2728</v>
      </c>
      <c r="H792" t="s">
        <v>2564</v>
      </c>
      <c r="I792" t="s">
        <v>2575</v>
      </c>
      <c r="J792" t="s">
        <v>2566</v>
      </c>
      <c r="K792">
        <v>1</v>
      </c>
      <c r="L792" s="13" t="s">
        <v>257</v>
      </c>
    </row>
    <row r="793" spans="1:12" x14ac:dyDescent="0.25">
      <c r="A793" t="s">
        <v>3465</v>
      </c>
      <c r="B793" t="s">
        <v>226</v>
      </c>
      <c r="C793" t="str">
        <f>_xlfn.XLOOKUP(Table7[[#This Row],[app_id]],Table5[app_id],Table5[app_name],"",0)</f>
        <v>MindMate</v>
      </c>
      <c r="D793" t="s">
        <v>2031</v>
      </c>
      <c r="E793" s="1">
        <v>45942</v>
      </c>
      <c r="F793">
        <v>4</v>
      </c>
      <c r="G793" t="s">
        <v>2954</v>
      </c>
      <c r="H793" t="s">
        <v>2564</v>
      </c>
      <c r="I793" t="s">
        <v>2558</v>
      </c>
      <c r="J793" t="s">
        <v>2556</v>
      </c>
      <c r="K793">
        <v>23</v>
      </c>
      <c r="L793" s="13" t="s">
        <v>257</v>
      </c>
    </row>
    <row r="794" spans="1:12" x14ac:dyDescent="0.25">
      <c r="A794" t="s">
        <v>3466</v>
      </c>
      <c r="B794" t="s">
        <v>228</v>
      </c>
      <c r="C794" t="str">
        <f>_xlfn.XLOOKUP(Table7[[#This Row],[app_id]],Table5[app_id],Table5[app_name],"",0)</f>
        <v>ClinicOne</v>
      </c>
      <c r="D794" t="s">
        <v>1812</v>
      </c>
      <c r="E794" s="1">
        <v>45401</v>
      </c>
      <c r="F794">
        <v>3</v>
      </c>
      <c r="G794" t="s">
        <v>2846</v>
      </c>
      <c r="H794" t="s">
        <v>2554</v>
      </c>
      <c r="I794" t="s">
        <v>2584</v>
      </c>
      <c r="J794" t="s">
        <v>2596</v>
      </c>
      <c r="K794">
        <v>22</v>
      </c>
      <c r="L794" s="13" t="s">
        <v>257</v>
      </c>
    </row>
    <row r="795" spans="1:12" x14ac:dyDescent="0.25">
      <c r="A795" t="s">
        <v>3467</v>
      </c>
      <c r="B795" t="s">
        <v>230</v>
      </c>
      <c r="C795" t="str">
        <f>_xlfn.XLOOKUP(Table7[[#This Row],[app_id]],Table5[app_id],Table5[app_name],"",0)</f>
        <v>WellMate</v>
      </c>
      <c r="D795" t="s">
        <v>1327</v>
      </c>
      <c r="E795" s="1">
        <v>45915</v>
      </c>
      <c r="F795">
        <v>4</v>
      </c>
      <c r="G795" t="s">
        <v>2728</v>
      </c>
      <c r="H795" t="s">
        <v>2564</v>
      </c>
      <c r="I795" t="s">
        <v>2555</v>
      </c>
      <c r="J795" t="s">
        <v>2633</v>
      </c>
      <c r="K795">
        <v>16</v>
      </c>
      <c r="L795" s="13" t="s">
        <v>257</v>
      </c>
    </row>
    <row r="796" spans="1:12" x14ac:dyDescent="0.25">
      <c r="A796" t="s">
        <v>3468</v>
      </c>
      <c r="B796" t="s">
        <v>232</v>
      </c>
      <c r="C796" t="str">
        <f>_xlfn.XLOOKUP(Table7[[#This Row],[app_id]],Table5[app_id],Table5[app_name],"",0)</f>
        <v>MediMate</v>
      </c>
      <c r="D796" t="s">
        <v>825</v>
      </c>
      <c r="E796" s="1">
        <v>45682</v>
      </c>
      <c r="F796">
        <v>3</v>
      </c>
      <c r="G796" t="s">
        <v>2720</v>
      </c>
      <c r="H796" t="s">
        <v>2554</v>
      </c>
      <c r="I796" t="s">
        <v>2584</v>
      </c>
      <c r="J796" t="s">
        <v>2566</v>
      </c>
      <c r="K796">
        <v>33</v>
      </c>
      <c r="L796" s="13" t="s">
        <v>257</v>
      </c>
    </row>
    <row r="797" spans="1:12" x14ac:dyDescent="0.25">
      <c r="A797" t="s">
        <v>3469</v>
      </c>
      <c r="B797" t="s">
        <v>234</v>
      </c>
      <c r="C797" t="str">
        <f>_xlfn.XLOOKUP(Table7[[#This Row],[app_id]],Table5[app_id],Table5[app_name],"",0)</f>
        <v>WellNow</v>
      </c>
      <c r="D797" t="s">
        <v>1749</v>
      </c>
      <c r="E797" s="1">
        <v>45645</v>
      </c>
      <c r="F797">
        <v>4</v>
      </c>
      <c r="G797" t="s">
        <v>2716</v>
      </c>
      <c r="H797" t="s">
        <v>2564</v>
      </c>
      <c r="I797" t="s">
        <v>2565</v>
      </c>
      <c r="J797" t="s">
        <v>2556</v>
      </c>
      <c r="K797">
        <v>26</v>
      </c>
      <c r="L797" s="13" t="s">
        <v>257</v>
      </c>
    </row>
    <row r="798" spans="1:12" x14ac:dyDescent="0.25">
      <c r="A798" t="s">
        <v>3470</v>
      </c>
      <c r="B798" t="s">
        <v>236</v>
      </c>
      <c r="C798" t="str">
        <f>_xlfn.XLOOKUP(Table7[[#This Row],[app_id]],Table5[app_id],Table5[app_name],"",0)</f>
        <v>CareCloud</v>
      </c>
      <c r="D798" t="s">
        <v>942</v>
      </c>
      <c r="E798" s="1">
        <v>45605</v>
      </c>
      <c r="F798">
        <v>3</v>
      </c>
      <c r="G798" t="s">
        <v>2726</v>
      </c>
      <c r="H798" t="s">
        <v>2554</v>
      </c>
      <c r="I798" t="s">
        <v>2565</v>
      </c>
      <c r="J798" t="s">
        <v>2569</v>
      </c>
      <c r="K798">
        <v>28</v>
      </c>
      <c r="L798" s="13" t="s">
        <v>258</v>
      </c>
    </row>
    <row r="799" spans="1:12" x14ac:dyDescent="0.25">
      <c r="A799" t="s">
        <v>3471</v>
      </c>
      <c r="B799" t="s">
        <v>238</v>
      </c>
      <c r="C799" t="str">
        <f>_xlfn.XLOOKUP(Table7[[#This Row],[app_id]],Table5[app_id],Table5[app_name],"",0)</f>
        <v>MediNow</v>
      </c>
      <c r="D799" t="s">
        <v>1479</v>
      </c>
      <c r="E799" s="1">
        <v>45910</v>
      </c>
      <c r="F799">
        <v>4</v>
      </c>
      <c r="G799" t="s">
        <v>2728</v>
      </c>
      <c r="H799" t="s">
        <v>2564</v>
      </c>
      <c r="I799" t="s">
        <v>2558</v>
      </c>
      <c r="J799" t="s">
        <v>2566</v>
      </c>
      <c r="K799">
        <v>48</v>
      </c>
      <c r="L799" s="13" t="s">
        <v>257</v>
      </c>
    </row>
    <row r="800" spans="1:12" x14ac:dyDescent="0.25">
      <c r="A800" t="s">
        <v>3472</v>
      </c>
      <c r="B800" t="s">
        <v>240</v>
      </c>
      <c r="C800" t="str">
        <f>_xlfn.XLOOKUP(Table7[[#This Row],[app_id]],Table5[app_id],Table5[app_name],"",0)</f>
        <v>MindPlus</v>
      </c>
      <c r="D800" t="s">
        <v>2128</v>
      </c>
      <c r="E800" s="1">
        <v>45369</v>
      </c>
      <c r="F800">
        <v>3</v>
      </c>
      <c r="G800" t="s">
        <v>2726</v>
      </c>
      <c r="H800" t="s">
        <v>2554</v>
      </c>
      <c r="I800" t="s">
        <v>2571</v>
      </c>
      <c r="J800" t="s">
        <v>2566</v>
      </c>
      <c r="K800">
        <v>21</v>
      </c>
      <c r="L800" s="13" t="s">
        <v>258</v>
      </c>
    </row>
    <row r="801" spans="1:12" x14ac:dyDescent="0.25">
      <c r="A801" t="s">
        <v>3473</v>
      </c>
      <c r="B801" t="s">
        <v>242</v>
      </c>
      <c r="C801" t="str">
        <f>_xlfn.XLOOKUP(Table7[[#This Row],[app_id]],Table5[app_id],Table5[app_name],"",0)</f>
        <v>MediCloud</v>
      </c>
      <c r="D801" t="s">
        <v>1427</v>
      </c>
      <c r="E801" s="1">
        <v>45598</v>
      </c>
      <c r="F801">
        <v>3</v>
      </c>
      <c r="G801" t="s">
        <v>2846</v>
      </c>
      <c r="H801" t="s">
        <v>2554</v>
      </c>
      <c r="I801" t="s">
        <v>2578</v>
      </c>
      <c r="J801" t="s">
        <v>2559</v>
      </c>
      <c r="K801">
        <v>21</v>
      </c>
      <c r="L801" s="13" t="s">
        <v>257</v>
      </c>
    </row>
    <row r="802" spans="1:12" x14ac:dyDescent="0.25">
      <c r="A802" t="s">
        <v>3474</v>
      </c>
      <c r="B802" t="s">
        <v>12</v>
      </c>
      <c r="C802" t="str">
        <f>_xlfn.XLOOKUP(Table7[[#This Row],[app_id]],Table5[app_id],Table5[app_name],"",0)</f>
        <v>InvestPro</v>
      </c>
      <c r="D802" t="s">
        <v>2393</v>
      </c>
      <c r="E802" s="1">
        <v>45644</v>
      </c>
      <c r="F802">
        <v>4</v>
      </c>
      <c r="G802" t="s">
        <v>2573</v>
      </c>
      <c r="H802" t="s">
        <v>2564</v>
      </c>
      <c r="I802" t="s">
        <v>2575</v>
      </c>
      <c r="J802" t="s">
        <v>2596</v>
      </c>
      <c r="K802">
        <v>43</v>
      </c>
      <c r="L802" s="13" t="s">
        <v>257</v>
      </c>
    </row>
    <row r="803" spans="1:12" x14ac:dyDescent="0.25">
      <c r="A803" t="s">
        <v>3475</v>
      </c>
      <c r="B803" t="s">
        <v>19</v>
      </c>
      <c r="C803" t="str">
        <f>_xlfn.XLOOKUP(Table7[[#This Row],[app_id]],Table5[app_id],Table5[app_name],"",0)</f>
        <v>BankPro</v>
      </c>
      <c r="D803" t="s">
        <v>1855</v>
      </c>
      <c r="E803" s="1">
        <v>45583</v>
      </c>
      <c r="F803">
        <v>3</v>
      </c>
      <c r="G803" t="s">
        <v>2583</v>
      </c>
      <c r="H803" t="s">
        <v>2554</v>
      </c>
      <c r="I803" t="s">
        <v>2565</v>
      </c>
      <c r="J803" t="s">
        <v>2566</v>
      </c>
      <c r="K803">
        <v>14</v>
      </c>
      <c r="L803" s="13" t="s">
        <v>257</v>
      </c>
    </row>
    <row r="804" spans="1:12" x14ac:dyDescent="0.25">
      <c r="A804" t="s">
        <v>3476</v>
      </c>
      <c r="B804" t="s">
        <v>24</v>
      </c>
      <c r="C804" t="str">
        <f>_xlfn.XLOOKUP(Table7[[#This Row],[app_id]],Table5[app_id],Table5[app_name],"",0)</f>
        <v>BankX</v>
      </c>
      <c r="D804" t="s">
        <v>2410</v>
      </c>
      <c r="E804" s="1">
        <v>45500</v>
      </c>
      <c r="F804">
        <v>4</v>
      </c>
      <c r="G804" t="s">
        <v>2563</v>
      </c>
      <c r="H804" t="s">
        <v>2564</v>
      </c>
      <c r="I804" t="s">
        <v>2571</v>
      </c>
      <c r="J804" t="s">
        <v>2603</v>
      </c>
      <c r="K804">
        <v>32</v>
      </c>
      <c r="L804" s="13" t="s">
        <v>257</v>
      </c>
    </row>
    <row r="805" spans="1:12" x14ac:dyDescent="0.25">
      <c r="A805" t="s">
        <v>3477</v>
      </c>
      <c r="B805" t="s">
        <v>27</v>
      </c>
      <c r="C805" t="str">
        <f>_xlfn.XLOOKUP(Table7[[#This Row],[app_id]],Table5[app_id],Table5[app_name],"",0)</f>
        <v>BankNow</v>
      </c>
      <c r="D805" t="s">
        <v>1004</v>
      </c>
      <c r="E805" s="1">
        <v>45800</v>
      </c>
      <c r="F805">
        <v>4</v>
      </c>
      <c r="G805" t="s">
        <v>2573</v>
      </c>
      <c r="H805" t="s">
        <v>2564</v>
      </c>
      <c r="I805" t="s">
        <v>2575</v>
      </c>
      <c r="J805" t="s">
        <v>2581</v>
      </c>
      <c r="K805">
        <v>25</v>
      </c>
      <c r="L805" s="13" t="s">
        <v>257</v>
      </c>
    </row>
    <row r="806" spans="1:12" x14ac:dyDescent="0.25">
      <c r="A806" t="s">
        <v>3478</v>
      </c>
      <c r="B806" t="s">
        <v>31</v>
      </c>
      <c r="C806" t="str">
        <f>_xlfn.XLOOKUP(Table7[[#This Row],[app_id]],Table5[app_id],Table5[app_name],"",0)</f>
        <v>CreditHub</v>
      </c>
      <c r="D806" t="s">
        <v>2143</v>
      </c>
      <c r="E806" s="1">
        <v>45438</v>
      </c>
      <c r="F806">
        <v>5</v>
      </c>
      <c r="G806" t="s">
        <v>2580</v>
      </c>
      <c r="H806" t="s">
        <v>2564</v>
      </c>
      <c r="I806" t="s">
        <v>2565</v>
      </c>
      <c r="J806" t="s">
        <v>2633</v>
      </c>
      <c r="K806">
        <v>20</v>
      </c>
      <c r="L806" s="13" t="s">
        <v>257</v>
      </c>
    </row>
    <row r="807" spans="1:12" x14ac:dyDescent="0.25">
      <c r="A807" t="s">
        <v>3479</v>
      </c>
      <c r="B807" t="s">
        <v>36</v>
      </c>
      <c r="C807" t="str">
        <f>_xlfn.XLOOKUP(Table7[[#This Row],[app_id]],Table5[app_id],Table5[app_name],"",0)</f>
        <v>PayPlus</v>
      </c>
      <c r="D807" t="s">
        <v>1720</v>
      </c>
      <c r="E807" s="1">
        <v>45733</v>
      </c>
      <c r="F807">
        <v>5</v>
      </c>
      <c r="G807" t="s">
        <v>2573</v>
      </c>
      <c r="H807" t="s">
        <v>2564</v>
      </c>
      <c r="I807" t="s">
        <v>2565</v>
      </c>
      <c r="J807" t="s">
        <v>2600</v>
      </c>
      <c r="K807">
        <v>21</v>
      </c>
      <c r="L807" s="13" t="s">
        <v>257</v>
      </c>
    </row>
    <row r="808" spans="1:12" x14ac:dyDescent="0.25">
      <c r="A808" t="s">
        <v>3480</v>
      </c>
      <c r="B808" t="s">
        <v>39</v>
      </c>
      <c r="C808" t="str">
        <f>_xlfn.XLOOKUP(Table7[[#This Row],[app_id]],Table5[app_id],Table5[app_name],"",0)</f>
        <v>BankPlus</v>
      </c>
      <c r="D808" t="s">
        <v>1475</v>
      </c>
      <c r="E808" s="1">
        <v>45313</v>
      </c>
      <c r="F808">
        <v>4</v>
      </c>
      <c r="G808" t="s">
        <v>2568</v>
      </c>
      <c r="H808" t="s">
        <v>2564</v>
      </c>
      <c r="I808" t="s">
        <v>2558</v>
      </c>
      <c r="J808" t="s">
        <v>2569</v>
      </c>
      <c r="K808">
        <v>24</v>
      </c>
      <c r="L808" s="13" t="s">
        <v>257</v>
      </c>
    </row>
    <row r="809" spans="1:12" x14ac:dyDescent="0.25">
      <c r="A809" t="s">
        <v>3481</v>
      </c>
      <c r="B809" t="s">
        <v>42</v>
      </c>
      <c r="C809" t="str">
        <f>_xlfn.XLOOKUP(Table7[[#This Row],[app_id]],Table5[app_id],Table5[app_name],"",0)</f>
        <v>CoinPlus</v>
      </c>
      <c r="D809" t="s">
        <v>2076</v>
      </c>
      <c r="E809" s="1">
        <v>45731</v>
      </c>
      <c r="F809">
        <v>2</v>
      </c>
      <c r="G809" t="s">
        <v>2740</v>
      </c>
      <c r="H809" t="s">
        <v>2587</v>
      </c>
      <c r="I809" t="s">
        <v>2571</v>
      </c>
      <c r="J809" t="s">
        <v>2600</v>
      </c>
      <c r="K809">
        <v>44</v>
      </c>
      <c r="L809" s="13" t="s">
        <v>258</v>
      </c>
    </row>
    <row r="810" spans="1:12" x14ac:dyDescent="0.25">
      <c r="A810" t="s">
        <v>3482</v>
      </c>
      <c r="B810" t="s">
        <v>47</v>
      </c>
      <c r="C810" t="str">
        <f>_xlfn.XLOOKUP(Table7[[#This Row],[app_id]],Table5[app_id],Table5[app_name],"",0)</f>
        <v>CreditOne</v>
      </c>
      <c r="D810" t="s">
        <v>827</v>
      </c>
      <c r="E810" s="1">
        <v>45665</v>
      </c>
      <c r="F810">
        <v>3</v>
      </c>
      <c r="G810" t="s">
        <v>2553</v>
      </c>
      <c r="H810" t="s">
        <v>2554</v>
      </c>
      <c r="I810" t="s">
        <v>2578</v>
      </c>
      <c r="J810" t="s">
        <v>2633</v>
      </c>
      <c r="K810">
        <v>40</v>
      </c>
      <c r="L810" s="13" t="s">
        <v>257</v>
      </c>
    </row>
    <row r="811" spans="1:12" x14ac:dyDescent="0.25">
      <c r="A811" t="s">
        <v>3483</v>
      </c>
      <c r="B811" t="s">
        <v>49</v>
      </c>
      <c r="C811" t="str">
        <f>_xlfn.XLOOKUP(Table7[[#This Row],[app_id]],Table5[app_id],Table5[app_name],"",0)</f>
        <v>PayPro</v>
      </c>
      <c r="D811" t="s">
        <v>1998</v>
      </c>
      <c r="E811" s="1">
        <v>45794</v>
      </c>
      <c r="F811">
        <v>5</v>
      </c>
      <c r="G811" t="s">
        <v>2580</v>
      </c>
      <c r="H811" t="s">
        <v>2564</v>
      </c>
      <c r="I811" t="s">
        <v>2565</v>
      </c>
      <c r="J811" t="s">
        <v>2633</v>
      </c>
      <c r="K811">
        <v>42</v>
      </c>
      <c r="L811" s="13" t="s">
        <v>257</v>
      </c>
    </row>
    <row r="812" spans="1:12" x14ac:dyDescent="0.25">
      <c r="A812" t="s">
        <v>3484</v>
      </c>
      <c r="B812" t="s">
        <v>51</v>
      </c>
      <c r="C812" t="str">
        <f>_xlfn.XLOOKUP(Table7[[#This Row],[app_id]],Table5[app_id],Table5[app_name],"",0)</f>
        <v>Creditly</v>
      </c>
      <c r="D812" t="s">
        <v>1786</v>
      </c>
      <c r="E812" s="1">
        <v>45650</v>
      </c>
      <c r="F812">
        <v>3</v>
      </c>
      <c r="G812" t="s">
        <v>2553</v>
      </c>
      <c r="H812" t="s">
        <v>2554</v>
      </c>
      <c r="I812" t="s">
        <v>2578</v>
      </c>
      <c r="J812" t="s">
        <v>2633</v>
      </c>
      <c r="K812">
        <v>34</v>
      </c>
      <c r="L812" s="13" t="s">
        <v>257</v>
      </c>
    </row>
    <row r="813" spans="1:12" x14ac:dyDescent="0.25">
      <c r="A813" t="s">
        <v>3485</v>
      </c>
      <c r="B813" t="s">
        <v>53</v>
      </c>
      <c r="C813" t="str">
        <f>_xlfn.XLOOKUP(Table7[[#This Row],[app_id]],Table5[app_id],Table5[app_name],"",0)</f>
        <v>PayX</v>
      </c>
      <c r="D813" t="s">
        <v>1893</v>
      </c>
      <c r="E813" s="1">
        <v>46051</v>
      </c>
      <c r="F813">
        <v>2</v>
      </c>
      <c r="G813" t="s">
        <v>3486</v>
      </c>
      <c r="H813" t="s">
        <v>2587</v>
      </c>
      <c r="I813" t="s">
        <v>2588</v>
      </c>
      <c r="J813" t="s">
        <v>2603</v>
      </c>
      <c r="K813">
        <v>89</v>
      </c>
      <c r="L813" s="13" t="s">
        <v>258</v>
      </c>
    </row>
    <row r="814" spans="1:12" x14ac:dyDescent="0.25">
      <c r="A814" t="s">
        <v>3487</v>
      </c>
      <c r="B814" t="s">
        <v>56</v>
      </c>
      <c r="C814" t="str">
        <f>_xlfn.XLOOKUP(Table7[[#This Row],[app_id]],Table5[app_id],Table5[app_name],"",0)</f>
        <v>DealGo</v>
      </c>
      <c r="D814" t="s">
        <v>1733</v>
      </c>
      <c r="E814" s="1">
        <v>46062</v>
      </c>
      <c r="F814">
        <v>4</v>
      </c>
      <c r="G814" t="s">
        <v>2592</v>
      </c>
      <c r="H814" t="s">
        <v>2564</v>
      </c>
      <c r="I814" t="s">
        <v>2555</v>
      </c>
      <c r="J814" t="s">
        <v>2581</v>
      </c>
      <c r="K814">
        <v>28</v>
      </c>
      <c r="L814" s="13" t="s">
        <v>257</v>
      </c>
    </row>
    <row r="815" spans="1:12" x14ac:dyDescent="0.25">
      <c r="A815" t="s">
        <v>3488</v>
      </c>
      <c r="B815" t="s">
        <v>62</v>
      </c>
      <c r="C815" t="str">
        <f>_xlfn.XLOOKUP(Table7[[#This Row],[app_id]],Table5[app_id],Table5[app_name],"",0)</f>
        <v>MallNow</v>
      </c>
      <c r="D815" t="s">
        <v>1268</v>
      </c>
      <c r="E815" s="1">
        <v>45532</v>
      </c>
      <c r="F815">
        <v>3</v>
      </c>
      <c r="G815" t="s">
        <v>2602</v>
      </c>
      <c r="H815" t="s">
        <v>2554</v>
      </c>
      <c r="I815" t="s">
        <v>2584</v>
      </c>
      <c r="J815" t="s">
        <v>2566</v>
      </c>
      <c r="K815">
        <v>13</v>
      </c>
      <c r="L815" s="13" t="s">
        <v>257</v>
      </c>
    </row>
    <row r="816" spans="1:12" x14ac:dyDescent="0.25">
      <c r="A816" t="s">
        <v>3489</v>
      </c>
      <c r="B816" t="s">
        <v>65</v>
      </c>
      <c r="C816" t="str">
        <f>_xlfn.XLOOKUP(Table7[[#This Row],[app_id]],Table5[app_id],Table5[app_name],"",0)</f>
        <v>DealPro</v>
      </c>
      <c r="D816" t="s">
        <v>2462</v>
      </c>
      <c r="E816" s="1">
        <v>45564</v>
      </c>
      <c r="F816">
        <v>4</v>
      </c>
      <c r="G816" t="s">
        <v>2598</v>
      </c>
      <c r="H816" t="s">
        <v>2564</v>
      </c>
      <c r="I816" t="s">
        <v>2575</v>
      </c>
      <c r="J816" t="s">
        <v>2633</v>
      </c>
      <c r="K816">
        <v>41</v>
      </c>
      <c r="L816" s="13" t="s">
        <v>257</v>
      </c>
    </row>
    <row r="817" spans="1:12" x14ac:dyDescent="0.25">
      <c r="A817" t="s">
        <v>3490</v>
      </c>
      <c r="B817" t="s">
        <v>67</v>
      </c>
      <c r="C817" t="str">
        <f>_xlfn.XLOOKUP(Table7[[#This Row],[app_id]],Table5[app_id],Table5[app_name],"",0)</f>
        <v>StyleNow</v>
      </c>
      <c r="D817" t="s">
        <v>1362</v>
      </c>
      <c r="E817" s="1">
        <v>46054</v>
      </c>
      <c r="F817">
        <v>3</v>
      </c>
      <c r="G817" t="s">
        <v>2594</v>
      </c>
      <c r="H817" t="s">
        <v>2554</v>
      </c>
      <c r="I817" t="s">
        <v>2575</v>
      </c>
      <c r="J817" t="s">
        <v>2581</v>
      </c>
      <c r="K817">
        <v>2</v>
      </c>
      <c r="L817" s="13" t="s">
        <v>257</v>
      </c>
    </row>
    <row r="818" spans="1:12" x14ac:dyDescent="0.25">
      <c r="A818" t="s">
        <v>3491</v>
      </c>
      <c r="B818" t="s">
        <v>70</v>
      </c>
      <c r="C818" t="str">
        <f>_xlfn.XLOOKUP(Table7[[#This Row],[app_id]],Table5[app_id],Table5[app_name],"",0)</f>
        <v>DealCloud</v>
      </c>
      <c r="D818" t="s">
        <v>809</v>
      </c>
      <c r="E818" s="1">
        <v>45419</v>
      </c>
      <c r="F818">
        <v>5</v>
      </c>
      <c r="G818" t="s">
        <v>2592</v>
      </c>
      <c r="H818" t="s">
        <v>2564</v>
      </c>
      <c r="I818" t="s">
        <v>2565</v>
      </c>
      <c r="J818" t="s">
        <v>2569</v>
      </c>
      <c r="K818">
        <v>37</v>
      </c>
      <c r="L818" s="13" t="s">
        <v>257</v>
      </c>
    </row>
    <row r="819" spans="1:12" x14ac:dyDescent="0.25">
      <c r="A819" t="s">
        <v>3492</v>
      </c>
      <c r="B819" t="s">
        <v>72</v>
      </c>
      <c r="C819" t="str">
        <f>_xlfn.XLOOKUP(Table7[[#This Row],[app_id]],Table5[app_id],Table5[app_name],"",0)</f>
        <v>CartCloud</v>
      </c>
      <c r="D819" t="s">
        <v>1766</v>
      </c>
      <c r="E819" s="1">
        <v>45894</v>
      </c>
      <c r="F819">
        <v>5</v>
      </c>
      <c r="G819" t="s">
        <v>2867</v>
      </c>
      <c r="H819" t="s">
        <v>2564</v>
      </c>
      <c r="I819" t="s">
        <v>2555</v>
      </c>
      <c r="J819" t="s">
        <v>2559</v>
      </c>
      <c r="K819">
        <v>24</v>
      </c>
      <c r="L819" s="13" t="s">
        <v>257</v>
      </c>
    </row>
    <row r="820" spans="1:12" x14ac:dyDescent="0.25">
      <c r="A820" t="s">
        <v>3493</v>
      </c>
      <c r="B820" t="s">
        <v>74</v>
      </c>
      <c r="C820" t="str">
        <f>_xlfn.XLOOKUP(Table7[[#This Row],[app_id]],Table5[app_id],Table5[app_name],"",0)</f>
        <v>CartMate</v>
      </c>
      <c r="D820" t="s">
        <v>1277</v>
      </c>
      <c r="E820" s="1">
        <v>45713</v>
      </c>
      <c r="F820">
        <v>4</v>
      </c>
      <c r="G820" t="s">
        <v>2592</v>
      </c>
      <c r="H820" t="s">
        <v>2564</v>
      </c>
      <c r="I820" t="s">
        <v>2555</v>
      </c>
      <c r="J820" t="s">
        <v>2569</v>
      </c>
      <c r="K820">
        <v>7</v>
      </c>
      <c r="L820" s="13" t="s">
        <v>257</v>
      </c>
    </row>
    <row r="821" spans="1:12" x14ac:dyDescent="0.25">
      <c r="A821" t="s">
        <v>3494</v>
      </c>
      <c r="B821" t="s">
        <v>76</v>
      </c>
      <c r="C821" t="str">
        <f>_xlfn.XLOOKUP(Table7[[#This Row],[app_id]],Table5[app_id],Table5[app_name],"",0)</f>
        <v>BazaarOne</v>
      </c>
      <c r="D821" t="s">
        <v>1049</v>
      </c>
      <c r="E821" s="1">
        <v>45367</v>
      </c>
      <c r="F821">
        <v>4</v>
      </c>
      <c r="G821" t="s">
        <v>2598</v>
      </c>
      <c r="H821" t="s">
        <v>2564</v>
      </c>
      <c r="I821" t="s">
        <v>2565</v>
      </c>
      <c r="J821" t="s">
        <v>2559</v>
      </c>
      <c r="K821">
        <v>46</v>
      </c>
      <c r="L821" s="13" t="s">
        <v>257</v>
      </c>
    </row>
    <row r="822" spans="1:12" x14ac:dyDescent="0.25">
      <c r="A822" t="s">
        <v>3495</v>
      </c>
      <c r="B822" t="s">
        <v>78</v>
      </c>
      <c r="C822" t="str">
        <f>_xlfn.XLOOKUP(Table7[[#This Row],[app_id]],Table5[app_id],Table5[app_name],"",0)</f>
        <v>StyleOne</v>
      </c>
      <c r="D822" t="s">
        <v>658</v>
      </c>
      <c r="E822" s="1">
        <v>45837</v>
      </c>
      <c r="F822">
        <v>3</v>
      </c>
      <c r="G822" t="s">
        <v>2748</v>
      </c>
      <c r="H822" t="s">
        <v>2554</v>
      </c>
      <c r="I822" t="s">
        <v>2588</v>
      </c>
      <c r="J822" t="s">
        <v>2581</v>
      </c>
      <c r="K822">
        <v>10</v>
      </c>
      <c r="L822" s="13" t="s">
        <v>257</v>
      </c>
    </row>
    <row r="823" spans="1:12" x14ac:dyDescent="0.25">
      <c r="A823" t="s">
        <v>3496</v>
      </c>
      <c r="B823" t="s">
        <v>80</v>
      </c>
      <c r="C823" t="str">
        <f>_xlfn.XLOOKUP(Table7[[#This Row],[app_id]],Table5[app_id],Table5[app_name],"",0)</f>
        <v>Cartly</v>
      </c>
      <c r="D823" t="s">
        <v>1383</v>
      </c>
      <c r="E823" s="1">
        <v>45609</v>
      </c>
      <c r="F823">
        <v>5</v>
      </c>
      <c r="G823" t="s">
        <v>2598</v>
      </c>
      <c r="H823" t="s">
        <v>2564</v>
      </c>
      <c r="I823" t="s">
        <v>2575</v>
      </c>
      <c r="J823" t="s">
        <v>2603</v>
      </c>
      <c r="K823">
        <v>28</v>
      </c>
      <c r="L823" s="13" t="s">
        <v>257</v>
      </c>
    </row>
    <row r="824" spans="1:12" x14ac:dyDescent="0.25">
      <c r="A824" t="s">
        <v>3497</v>
      </c>
      <c r="B824" t="s">
        <v>83</v>
      </c>
      <c r="C824" t="str">
        <f>_xlfn.XLOOKUP(Table7[[#This Row],[app_id]],Table5[app_id],Table5[app_name],"",0)</f>
        <v>BazaarCloud</v>
      </c>
      <c r="D824" t="s">
        <v>662</v>
      </c>
      <c r="E824" s="1">
        <v>45813</v>
      </c>
      <c r="F824">
        <v>3</v>
      </c>
      <c r="G824" t="s">
        <v>2594</v>
      </c>
      <c r="H824" t="s">
        <v>2554</v>
      </c>
      <c r="I824" t="s">
        <v>2588</v>
      </c>
      <c r="J824" t="s">
        <v>2596</v>
      </c>
      <c r="K824">
        <v>23</v>
      </c>
      <c r="L824" s="13" t="s">
        <v>257</v>
      </c>
    </row>
    <row r="825" spans="1:12" x14ac:dyDescent="0.25">
      <c r="A825" t="s">
        <v>3498</v>
      </c>
      <c r="B825" t="s">
        <v>85</v>
      </c>
      <c r="C825" t="str">
        <f>_xlfn.XLOOKUP(Table7[[#This Row],[app_id]],Table5[app_id],Table5[app_name],"",0)</f>
        <v>CartPro</v>
      </c>
      <c r="D825" t="s">
        <v>1172</v>
      </c>
      <c r="E825" s="1">
        <v>45647</v>
      </c>
      <c r="F825">
        <v>4</v>
      </c>
      <c r="G825" t="s">
        <v>2590</v>
      </c>
      <c r="H825" t="s">
        <v>2564</v>
      </c>
      <c r="I825" t="s">
        <v>2558</v>
      </c>
      <c r="J825" t="s">
        <v>2559</v>
      </c>
      <c r="K825">
        <v>6</v>
      </c>
      <c r="L825" s="13" t="s">
        <v>257</v>
      </c>
    </row>
    <row r="826" spans="1:12" x14ac:dyDescent="0.25">
      <c r="A826" t="s">
        <v>3499</v>
      </c>
      <c r="B826" t="s">
        <v>87</v>
      </c>
      <c r="C826" t="str">
        <f>_xlfn.XLOOKUP(Table7[[#This Row],[app_id]],Table5[app_id],Table5[app_name],"",0)</f>
        <v>RunPlus</v>
      </c>
      <c r="D826" t="s">
        <v>2539</v>
      </c>
      <c r="E826" s="1">
        <v>45922</v>
      </c>
      <c r="F826">
        <v>3</v>
      </c>
      <c r="G826" t="s">
        <v>2611</v>
      </c>
      <c r="H826" t="s">
        <v>2554</v>
      </c>
      <c r="I826" t="s">
        <v>2565</v>
      </c>
      <c r="J826" t="s">
        <v>2633</v>
      </c>
      <c r="K826">
        <v>21</v>
      </c>
      <c r="L826" s="13" t="s">
        <v>257</v>
      </c>
    </row>
    <row r="827" spans="1:12" x14ac:dyDescent="0.25">
      <c r="A827" t="s">
        <v>3500</v>
      </c>
      <c r="B827" t="s">
        <v>90</v>
      </c>
      <c r="C827" t="str">
        <f>_xlfn.XLOOKUP(Table7[[#This Row],[app_id]],Table5[app_id],Table5[app_name],"",0)</f>
        <v>TrainCloud</v>
      </c>
      <c r="D827" t="s">
        <v>1668</v>
      </c>
      <c r="E827" s="1">
        <v>45438</v>
      </c>
      <c r="F827">
        <v>3</v>
      </c>
      <c r="G827" t="s">
        <v>2620</v>
      </c>
      <c r="H827" t="s">
        <v>2554</v>
      </c>
      <c r="I827" t="s">
        <v>2575</v>
      </c>
      <c r="J827" t="s">
        <v>2581</v>
      </c>
      <c r="K827">
        <v>39</v>
      </c>
      <c r="L827" s="13" t="s">
        <v>257</v>
      </c>
    </row>
    <row r="828" spans="1:12" x14ac:dyDescent="0.25">
      <c r="A828" t="s">
        <v>3501</v>
      </c>
      <c r="B828" t="s">
        <v>92</v>
      </c>
      <c r="C828" t="str">
        <f>_xlfn.XLOOKUP(Table7[[#This Row],[app_id]],Table5[app_id],Table5[app_name],"",0)</f>
        <v>Trainly</v>
      </c>
      <c r="D828" t="s">
        <v>1704</v>
      </c>
      <c r="E828" s="1">
        <v>45486</v>
      </c>
      <c r="F828">
        <v>3</v>
      </c>
      <c r="G828" t="s">
        <v>2615</v>
      </c>
      <c r="H828" t="s">
        <v>2554</v>
      </c>
      <c r="I828" t="s">
        <v>2571</v>
      </c>
      <c r="J828" t="s">
        <v>2556</v>
      </c>
      <c r="K828">
        <v>24</v>
      </c>
      <c r="L828" s="13" t="s">
        <v>258</v>
      </c>
    </row>
    <row r="829" spans="1:12" x14ac:dyDescent="0.25">
      <c r="A829" t="s">
        <v>3502</v>
      </c>
      <c r="B829" t="s">
        <v>94</v>
      </c>
      <c r="C829" t="str">
        <f>_xlfn.XLOOKUP(Table7[[#This Row],[app_id]],Table5[app_id],Table5[app_name],"",0)</f>
        <v>LiftCloud</v>
      </c>
      <c r="D829" t="s">
        <v>1607</v>
      </c>
      <c r="E829" s="1">
        <v>45484</v>
      </c>
      <c r="F829">
        <v>5</v>
      </c>
      <c r="G829" t="s">
        <v>2625</v>
      </c>
      <c r="H829" t="s">
        <v>2564</v>
      </c>
      <c r="I829" t="s">
        <v>2565</v>
      </c>
      <c r="J829" t="s">
        <v>2569</v>
      </c>
      <c r="K829">
        <v>6</v>
      </c>
      <c r="L829" s="13" t="s">
        <v>258</v>
      </c>
    </row>
    <row r="830" spans="1:12" x14ac:dyDescent="0.25">
      <c r="A830" t="s">
        <v>3503</v>
      </c>
      <c r="B830" t="s">
        <v>96</v>
      </c>
      <c r="C830" t="str">
        <f>_xlfn.XLOOKUP(Table7[[#This Row],[app_id]],Table5[app_id],Table5[app_name],"",0)</f>
        <v>MoveNow</v>
      </c>
      <c r="D830" t="s">
        <v>2366</v>
      </c>
      <c r="E830" s="1">
        <v>45888</v>
      </c>
      <c r="F830">
        <v>3</v>
      </c>
      <c r="G830" t="s">
        <v>2770</v>
      </c>
      <c r="H830" t="s">
        <v>2554</v>
      </c>
      <c r="I830" t="s">
        <v>2578</v>
      </c>
      <c r="J830" t="s">
        <v>2603</v>
      </c>
      <c r="K830">
        <v>33</v>
      </c>
      <c r="L830" s="13" t="s">
        <v>257</v>
      </c>
    </row>
    <row r="831" spans="1:12" x14ac:dyDescent="0.25">
      <c r="A831" t="s">
        <v>3504</v>
      </c>
      <c r="B831" t="s">
        <v>98</v>
      </c>
      <c r="C831" t="str">
        <f>_xlfn.XLOOKUP(Table7[[#This Row],[app_id]],Table5[app_id],Table5[app_name],"",0)</f>
        <v>ActiveMate</v>
      </c>
      <c r="D831" t="s">
        <v>1825</v>
      </c>
      <c r="E831" s="1">
        <v>45624</v>
      </c>
      <c r="F831">
        <v>3</v>
      </c>
      <c r="G831" t="s">
        <v>2620</v>
      </c>
      <c r="H831" t="s">
        <v>2554</v>
      </c>
      <c r="I831" t="s">
        <v>2584</v>
      </c>
      <c r="J831" t="s">
        <v>2581</v>
      </c>
      <c r="K831">
        <v>30</v>
      </c>
      <c r="L831" s="13" t="s">
        <v>257</v>
      </c>
    </row>
    <row r="832" spans="1:12" x14ac:dyDescent="0.25">
      <c r="A832" t="s">
        <v>3505</v>
      </c>
      <c r="B832" t="s">
        <v>100</v>
      </c>
      <c r="C832" t="str">
        <f>_xlfn.XLOOKUP(Table7[[#This Row],[app_id]],Table5[app_id],Table5[app_name],"",0)</f>
        <v>RunGo</v>
      </c>
      <c r="D832" t="s">
        <v>2147</v>
      </c>
      <c r="E832" s="1">
        <v>45960</v>
      </c>
      <c r="F832">
        <v>3</v>
      </c>
      <c r="G832" t="s">
        <v>2611</v>
      </c>
      <c r="H832" t="s">
        <v>2554</v>
      </c>
      <c r="I832" t="s">
        <v>2565</v>
      </c>
      <c r="J832" t="s">
        <v>2559</v>
      </c>
      <c r="K832">
        <v>26</v>
      </c>
      <c r="L832" s="13" t="s">
        <v>257</v>
      </c>
    </row>
    <row r="833" spans="1:12" x14ac:dyDescent="0.25">
      <c r="A833" t="s">
        <v>3506</v>
      </c>
      <c r="B833" t="s">
        <v>102</v>
      </c>
      <c r="C833" t="str">
        <f>_xlfn.XLOOKUP(Table7[[#This Row],[app_id]],Table5[app_id],Table5[app_name],"",0)</f>
        <v>LiftPro</v>
      </c>
      <c r="D833" t="s">
        <v>1888</v>
      </c>
      <c r="E833" s="1">
        <v>45500</v>
      </c>
      <c r="F833">
        <v>5</v>
      </c>
      <c r="G833" t="s">
        <v>2622</v>
      </c>
      <c r="H833" t="s">
        <v>2564</v>
      </c>
      <c r="I833" t="s">
        <v>2565</v>
      </c>
      <c r="J833" t="s">
        <v>2559</v>
      </c>
      <c r="K833">
        <v>37</v>
      </c>
      <c r="L833" s="13" t="s">
        <v>257</v>
      </c>
    </row>
    <row r="834" spans="1:12" x14ac:dyDescent="0.25">
      <c r="A834" t="s">
        <v>3507</v>
      </c>
      <c r="B834" t="s">
        <v>104</v>
      </c>
      <c r="C834" t="str">
        <f>_xlfn.XLOOKUP(Table7[[#This Row],[app_id]],Table5[app_id],Table5[app_name],"",0)</f>
        <v>LiftPro</v>
      </c>
      <c r="D834" t="s">
        <v>712</v>
      </c>
      <c r="E834" s="1">
        <v>45855</v>
      </c>
      <c r="F834">
        <v>4</v>
      </c>
      <c r="G834" t="s">
        <v>2625</v>
      </c>
      <c r="H834" t="s">
        <v>2564</v>
      </c>
      <c r="I834" t="s">
        <v>2565</v>
      </c>
      <c r="J834" t="s">
        <v>2561</v>
      </c>
      <c r="K834">
        <v>41</v>
      </c>
      <c r="L834" s="13" t="s">
        <v>258</v>
      </c>
    </row>
    <row r="835" spans="1:12" x14ac:dyDescent="0.25">
      <c r="A835" t="s">
        <v>3508</v>
      </c>
      <c r="B835" t="s">
        <v>105</v>
      </c>
      <c r="C835" t="str">
        <f>_xlfn.XLOOKUP(Table7[[#This Row],[app_id]],Table5[app_id],Table5[app_name],"",0)</f>
        <v>Liftly</v>
      </c>
      <c r="D835" t="s">
        <v>715</v>
      </c>
      <c r="E835" s="1">
        <v>45893</v>
      </c>
      <c r="F835">
        <v>3</v>
      </c>
      <c r="G835" t="s">
        <v>2620</v>
      </c>
      <c r="H835" t="s">
        <v>2554</v>
      </c>
      <c r="I835" t="s">
        <v>2555</v>
      </c>
      <c r="J835" t="s">
        <v>2581</v>
      </c>
      <c r="K835">
        <v>34</v>
      </c>
      <c r="L835" s="13" t="s">
        <v>258</v>
      </c>
    </row>
    <row r="836" spans="1:12" x14ac:dyDescent="0.25">
      <c r="A836" t="s">
        <v>3509</v>
      </c>
      <c r="B836" t="s">
        <v>107</v>
      </c>
      <c r="C836" t="str">
        <f>_xlfn.XLOOKUP(Table7[[#This Row],[app_id]],Table5[app_id],Table5[app_name],"",0)</f>
        <v>YogaHub</v>
      </c>
      <c r="D836" t="s">
        <v>2390</v>
      </c>
      <c r="E836" s="1">
        <v>45824</v>
      </c>
      <c r="F836">
        <v>4</v>
      </c>
      <c r="G836" t="s">
        <v>2622</v>
      </c>
      <c r="H836" t="s">
        <v>2564</v>
      </c>
      <c r="I836" t="s">
        <v>2575</v>
      </c>
      <c r="J836" t="s">
        <v>2569</v>
      </c>
      <c r="K836">
        <v>29</v>
      </c>
      <c r="L836" s="13" t="s">
        <v>258</v>
      </c>
    </row>
    <row r="837" spans="1:12" x14ac:dyDescent="0.25">
      <c r="A837" t="s">
        <v>3510</v>
      </c>
      <c r="B837" t="s">
        <v>109</v>
      </c>
      <c r="C837" t="str">
        <f>_xlfn.XLOOKUP(Table7[[#This Row],[app_id]],Table5[app_id],Table5[app_name],"",0)</f>
        <v>MoveGo</v>
      </c>
      <c r="D837" t="s">
        <v>1203</v>
      </c>
      <c r="E837" s="1">
        <v>45798</v>
      </c>
      <c r="F837">
        <v>5</v>
      </c>
      <c r="G837" t="s">
        <v>2613</v>
      </c>
      <c r="H837" t="s">
        <v>2564</v>
      </c>
      <c r="I837" t="s">
        <v>2555</v>
      </c>
      <c r="J837" t="s">
        <v>2596</v>
      </c>
      <c r="K837">
        <v>5</v>
      </c>
      <c r="L837" s="13" t="s">
        <v>257</v>
      </c>
    </row>
    <row r="838" spans="1:12" x14ac:dyDescent="0.25">
      <c r="A838" t="s">
        <v>3511</v>
      </c>
      <c r="B838" t="s">
        <v>111</v>
      </c>
      <c r="C838" t="str">
        <f>_xlfn.XLOOKUP(Table7[[#This Row],[app_id]],Table5[app_id],Table5[app_name],"",0)</f>
        <v>BrightNow</v>
      </c>
      <c r="D838" t="s">
        <v>803</v>
      </c>
      <c r="E838" s="1">
        <v>45849</v>
      </c>
      <c r="F838">
        <v>3</v>
      </c>
      <c r="G838" t="s">
        <v>2773</v>
      </c>
      <c r="H838" t="s">
        <v>2554</v>
      </c>
      <c r="I838" t="s">
        <v>2558</v>
      </c>
      <c r="J838" t="s">
        <v>2561</v>
      </c>
      <c r="K838">
        <v>29</v>
      </c>
      <c r="L838" s="13" t="s">
        <v>258</v>
      </c>
    </row>
    <row r="839" spans="1:12" x14ac:dyDescent="0.25">
      <c r="A839" t="s">
        <v>3512</v>
      </c>
      <c r="B839" t="s">
        <v>114</v>
      </c>
      <c r="C839" t="str">
        <f>_xlfn.XLOOKUP(Table7[[#This Row],[app_id]],Table5[app_id],Table5[app_name],"",0)</f>
        <v>StudyCloud</v>
      </c>
      <c r="D839" t="s">
        <v>854</v>
      </c>
      <c r="E839" s="1">
        <v>45453</v>
      </c>
      <c r="F839">
        <v>2</v>
      </c>
      <c r="G839" t="s">
        <v>2630</v>
      </c>
      <c r="H839" t="s">
        <v>2587</v>
      </c>
      <c r="I839" t="s">
        <v>2578</v>
      </c>
      <c r="J839" t="s">
        <v>2566</v>
      </c>
      <c r="K839">
        <v>89</v>
      </c>
      <c r="L839" s="13" t="s">
        <v>257</v>
      </c>
    </row>
    <row r="840" spans="1:12" x14ac:dyDescent="0.25">
      <c r="A840" t="s">
        <v>3513</v>
      </c>
      <c r="B840" t="s">
        <v>116</v>
      </c>
      <c r="C840" t="str">
        <f>_xlfn.XLOOKUP(Table7[[#This Row],[app_id]],Table5[app_id],Table5[app_name],"",0)</f>
        <v>SkillNow</v>
      </c>
      <c r="D840" t="s">
        <v>1489</v>
      </c>
      <c r="E840" s="1">
        <v>46120</v>
      </c>
      <c r="F840">
        <v>3</v>
      </c>
      <c r="G840" t="s">
        <v>2773</v>
      </c>
      <c r="H840" t="s">
        <v>2554</v>
      </c>
      <c r="I840" t="s">
        <v>2571</v>
      </c>
      <c r="J840" t="s">
        <v>2596</v>
      </c>
      <c r="K840">
        <v>22</v>
      </c>
      <c r="L840" s="13" t="s">
        <v>258</v>
      </c>
    </row>
    <row r="841" spans="1:12" x14ac:dyDescent="0.25">
      <c r="A841" t="s">
        <v>3514</v>
      </c>
      <c r="B841" t="s">
        <v>118</v>
      </c>
      <c r="C841" t="str">
        <f>_xlfn.XLOOKUP(Table7[[#This Row],[app_id]],Table5[app_id],Table5[app_name],"",0)</f>
        <v>LearnMate</v>
      </c>
      <c r="D841" t="s">
        <v>2397</v>
      </c>
      <c r="E841" s="1">
        <v>45965</v>
      </c>
      <c r="F841">
        <v>3</v>
      </c>
      <c r="G841" t="s">
        <v>2889</v>
      </c>
      <c r="H841" t="s">
        <v>2554</v>
      </c>
      <c r="I841" t="s">
        <v>2555</v>
      </c>
      <c r="J841" t="s">
        <v>2569</v>
      </c>
      <c r="K841">
        <v>15</v>
      </c>
      <c r="L841" s="13" t="s">
        <v>257</v>
      </c>
    </row>
    <row r="842" spans="1:12" x14ac:dyDescent="0.25">
      <c r="A842" t="s">
        <v>3515</v>
      </c>
      <c r="B842" t="s">
        <v>120</v>
      </c>
      <c r="C842" t="str">
        <f>_xlfn.XLOOKUP(Table7[[#This Row],[app_id]],Table5[app_id],Table5[app_name],"",0)</f>
        <v>QuestNow</v>
      </c>
      <c r="D842" t="s">
        <v>2526</v>
      </c>
      <c r="E842" s="1">
        <v>45807</v>
      </c>
      <c r="F842">
        <v>2</v>
      </c>
      <c r="G842" t="s">
        <v>2632</v>
      </c>
      <c r="H842" t="s">
        <v>2587</v>
      </c>
      <c r="I842" t="s">
        <v>2571</v>
      </c>
      <c r="J842" t="s">
        <v>2633</v>
      </c>
      <c r="K842">
        <v>30</v>
      </c>
      <c r="L842" s="13" t="s">
        <v>257</v>
      </c>
    </row>
    <row r="843" spans="1:12" x14ac:dyDescent="0.25">
      <c r="A843" t="s">
        <v>3516</v>
      </c>
      <c r="B843" t="s">
        <v>122</v>
      </c>
      <c r="C843" t="str">
        <f>_xlfn.XLOOKUP(Table7[[#This Row],[app_id]],Table5[app_id],Table5[app_name],"",0)</f>
        <v>SkillHub</v>
      </c>
      <c r="D843" t="s">
        <v>2415</v>
      </c>
      <c r="E843" s="1">
        <v>45542</v>
      </c>
      <c r="F843">
        <v>5</v>
      </c>
      <c r="G843" t="s">
        <v>2638</v>
      </c>
      <c r="H843" t="s">
        <v>2564</v>
      </c>
      <c r="I843" t="s">
        <v>2555</v>
      </c>
      <c r="J843" t="s">
        <v>2559</v>
      </c>
      <c r="K843">
        <v>17</v>
      </c>
      <c r="L843" s="13" t="s">
        <v>257</v>
      </c>
    </row>
    <row r="844" spans="1:12" x14ac:dyDescent="0.25">
      <c r="A844" t="s">
        <v>3517</v>
      </c>
      <c r="B844" t="s">
        <v>124</v>
      </c>
      <c r="C844" t="str">
        <f>_xlfn.XLOOKUP(Table7[[#This Row],[app_id]],Table5[app_id],Table5[app_name],"",0)</f>
        <v>TutorCloud</v>
      </c>
      <c r="D844" t="s">
        <v>1157</v>
      </c>
      <c r="E844" s="1">
        <v>46098</v>
      </c>
      <c r="F844">
        <v>4</v>
      </c>
      <c r="G844" t="s">
        <v>2780</v>
      </c>
      <c r="H844" t="s">
        <v>2564</v>
      </c>
      <c r="I844" t="s">
        <v>2555</v>
      </c>
      <c r="J844" t="s">
        <v>2603</v>
      </c>
      <c r="K844">
        <v>25</v>
      </c>
      <c r="L844" s="13" t="s">
        <v>257</v>
      </c>
    </row>
    <row r="845" spans="1:12" x14ac:dyDescent="0.25">
      <c r="A845" t="s">
        <v>3518</v>
      </c>
      <c r="B845" t="s">
        <v>126</v>
      </c>
      <c r="C845" t="str">
        <f>_xlfn.XLOOKUP(Table7[[#This Row],[app_id]],Table5[app_id],Table5[app_name],"",0)</f>
        <v>SkillOne</v>
      </c>
      <c r="D845" t="s">
        <v>1971</v>
      </c>
      <c r="E845" s="1">
        <v>45918</v>
      </c>
      <c r="F845">
        <v>3</v>
      </c>
      <c r="G845" t="s">
        <v>2773</v>
      </c>
      <c r="H845" t="s">
        <v>2554</v>
      </c>
      <c r="I845" t="s">
        <v>2555</v>
      </c>
      <c r="J845" t="s">
        <v>2566</v>
      </c>
      <c r="K845">
        <v>41</v>
      </c>
      <c r="L845" s="13" t="s">
        <v>257</v>
      </c>
    </row>
    <row r="846" spans="1:12" x14ac:dyDescent="0.25">
      <c r="A846" t="s">
        <v>3519</v>
      </c>
      <c r="B846" t="s">
        <v>128</v>
      </c>
      <c r="C846" t="str">
        <f>_xlfn.XLOOKUP(Table7[[#This Row],[app_id]],Table5[app_id],Table5[app_name],"",0)</f>
        <v>LearnOne</v>
      </c>
      <c r="D846" t="s">
        <v>2418</v>
      </c>
      <c r="E846" s="1">
        <v>45570</v>
      </c>
      <c r="F846">
        <v>3</v>
      </c>
      <c r="G846" t="s">
        <v>2778</v>
      </c>
      <c r="H846" t="s">
        <v>2554</v>
      </c>
      <c r="I846" t="s">
        <v>2578</v>
      </c>
      <c r="J846" t="s">
        <v>2600</v>
      </c>
      <c r="K846">
        <v>41</v>
      </c>
      <c r="L846" s="13" t="s">
        <v>257</v>
      </c>
    </row>
    <row r="847" spans="1:12" x14ac:dyDescent="0.25">
      <c r="A847" t="s">
        <v>3520</v>
      </c>
      <c r="B847" t="s">
        <v>130</v>
      </c>
      <c r="C847" t="str">
        <f>_xlfn.XLOOKUP(Table7[[#This Row],[app_id]],Table5[app_id],Table5[app_name],"",0)</f>
        <v>LearnPlus</v>
      </c>
      <c r="D847" t="s">
        <v>1229</v>
      </c>
      <c r="E847" s="1">
        <v>46033</v>
      </c>
      <c r="F847">
        <v>4</v>
      </c>
      <c r="G847" t="s">
        <v>2635</v>
      </c>
      <c r="H847" t="s">
        <v>2564</v>
      </c>
      <c r="I847" t="s">
        <v>2565</v>
      </c>
      <c r="J847" t="s">
        <v>2633</v>
      </c>
      <c r="K847">
        <v>13</v>
      </c>
      <c r="L847" s="13" t="s">
        <v>257</v>
      </c>
    </row>
    <row r="848" spans="1:12" x14ac:dyDescent="0.25">
      <c r="A848" t="s">
        <v>3521</v>
      </c>
      <c r="B848" t="s">
        <v>132</v>
      </c>
      <c r="C848" t="str">
        <f>_xlfn.XLOOKUP(Table7[[#This Row],[app_id]],Table5[app_id],Table5[app_name],"",0)</f>
        <v>StudyPlus</v>
      </c>
      <c r="D848" t="s">
        <v>1761</v>
      </c>
      <c r="E848" s="1">
        <v>45767</v>
      </c>
      <c r="F848">
        <v>3</v>
      </c>
      <c r="G848" t="s">
        <v>2778</v>
      </c>
      <c r="H848" t="s">
        <v>2554</v>
      </c>
      <c r="I848" t="s">
        <v>2558</v>
      </c>
      <c r="J848" t="s">
        <v>2581</v>
      </c>
      <c r="K848">
        <v>44</v>
      </c>
      <c r="L848" s="13" t="s">
        <v>258</v>
      </c>
    </row>
    <row r="849" spans="1:12" x14ac:dyDescent="0.25">
      <c r="A849" t="s">
        <v>3522</v>
      </c>
      <c r="B849" t="s">
        <v>134</v>
      </c>
      <c r="C849" t="str">
        <f>_xlfn.XLOOKUP(Table7[[#This Row],[app_id]],Table5[app_id],Table5[app_name],"",0)</f>
        <v>StudyX</v>
      </c>
      <c r="D849" t="s">
        <v>2083</v>
      </c>
      <c r="E849" s="1">
        <v>45908</v>
      </c>
      <c r="F849">
        <v>4</v>
      </c>
      <c r="G849" t="s">
        <v>2635</v>
      </c>
      <c r="H849" t="s">
        <v>2564</v>
      </c>
      <c r="I849" t="s">
        <v>2575</v>
      </c>
      <c r="J849" t="s">
        <v>2556</v>
      </c>
      <c r="K849">
        <v>17</v>
      </c>
      <c r="L849" s="13" t="s">
        <v>257</v>
      </c>
    </row>
    <row r="850" spans="1:12" x14ac:dyDescent="0.25">
      <c r="A850" t="s">
        <v>3523</v>
      </c>
      <c r="B850" t="s">
        <v>136</v>
      </c>
      <c r="C850" t="str">
        <f>_xlfn.XLOOKUP(Table7[[#This Row],[app_id]],Table5[app_id],Table5[app_name],"",0)</f>
        <v>PlayPlus</v>
      </c>
      <c r="D850" t="s">
        <v>1678</v>
      </c>
      <c r="E850" s="1">
        <v>45735</v>
      </c>
      <c r="F850">
        <v>3</v>
      </c>
      <c r="G850" t="s">
        <v>2791</v>
      </c>
      <c r="H850" t="s">
        <v>2554</v>
      </c>
      <c r="I850" t="s">
        <v>2571</v>
      </c>
      <c r="J850" t="s">
        <v>2559</v>
      </c>
      <c r="K850">
        <v>7</v>
      </c>
      <c r="L850" s="13" t="s">
        <v>257</v>
      </c>
    </row>
    <row r="851" spans="1:12" x14ac:dyDescent="0.25">
      <c r="A851" t="s">
        <v>3524</v>
      </c>
      <c r="B851" t="s">
        <v>139</v>
      </c>
      <c r="C851" t="str">
        <f>_xlfn.XLOOKUP(Table7[[#This Row],[app_id]],Table5[app_id],Table5[app_name],"",0)</f>
        <v>ShowMate</v>
      </c>
      <c r="D851" t="s">
        <v>780</v>
      </c>
      <c r="E851" s="1">
        <v>45428</v>
      </c>
      <c r="F851">
        <v>3</v>
      </c>
      <c r="G851" t="s">
        <v>2793</v>
      </c>
      <c r="H851" t="s">
        <v>2554</v>
      </c>
      <c r="I851" t="s">
        <v>2565</v>
      </c>
      <c r="J851" t="s">
        <v>2566</v>
      </c>
      <c r="K851">
        <v>7</v>
      </c>
      <c r="L851" s="13" t="s">
        <v>257</v>
      </c>
    </row>
    <row r="852" spans="1:12" x14ac:dyDescent="0.25">
      <c r="A852" t="s">
        <v>3525</v>
      </c>
      <c r="B852" t="s">
        <v>141</v>
      </c>
      <c r="C852" t="str">
        <f>_xlfn.XLOOKUP(Table7[[#This Row],[app_id]],Table5[app_id],Table5[app_name],"",0)</f>
        <v>VibeX</v>
      </c>
      <c r="D852" t="s">
        <v>2327</v>
      </c>
      <c r="E852" s="1">
        <v>45891</v>
      </c>
      <c r="F852">
        <v>3</v>
      </c>
      <c r="G852" t="s">
        <v>2663</v>
      </c>
      <c r="H852" t="s">
        <v>2554</v>
      </c>
      <c r="I852" t="s">
        <v>2588</v>
      </c>
      <c r="J852" t="s">
        <v>2603</v>
      </c>
      <c r="K852">
        <v>26</v>
      </c>
      <c r="L852" s="13" t="s">
        <v>257</v>
      </c>
    </row>
    <row r="853" spans="1:12" x14ac:dyDescent="0.25">
      <c r="A853" t="s">
        <v>3526</v>
      </c>
      <c r="B853" t="s">
        <v>143</v>
      </c>
      <c r="C853" t="str">
        <f>_xlfn.XLOOKUP(Table7[[#This Row],[app_id]],Table5[app_id],Table5[app_name],"",0)</f>
        <v>BuzzNow</v>
      </c>
      <c r="D853" t="s">
        <v>541</v>
      </c>
      <c r="E853" s="1">
        <v>45666</v>
      </c>
      <c r="F853">
        <v>5</v>
      </c>
      <c r="G853" t="s">
        <v>2789</v>
      </c>
      <c r="H853" t="s">
        <v>2564</v>
      </c>
      <c r="I853" t="s">
        <v>2575</v>
      </c>
      <c r="J853" t="s">
        <v>2633</v>
      </c>
      <c r="K853">
        <v>30</v>
      </c>
      <c r="L853" s="13" t="s">
        <v>257</v>
      </c>
    </row>
    <row r="854" spans="1:12" x14ac:dyDescent="0.25">
      <c r="A854" t="s">
        <v>3527</v>
      </c>
      <c r="B854" t="s">
        <v>145</v>
      </c>
      <c r="C854" t="str">
        <f>_xlfn.XLOOKUP(Table7[[#This Row],[app_id]],Table5[app_id],Table5[app_name],"",0)</f>
        <v>StreamPlus</v>
      </c>
      <c r="D854" t="s">
        <v>2157</v>
      </c>
      <c r="E854" s="1">
        <v>45959</v>
      </c>
      <c r="F854">
        <v>4</v>
      </c>
      <c r="G854" t="s">
        <v>2650</v>
      </c>
      <c r="H854" t="s">
        <v>2564</v>
      </c>
      <c r="I854" t="s">
        <v>2575</v>
      </c>
      <c r="J854" t="s">
        <v>2600</v>
      </c>
      <c r="K854">
        <v>27</v>
      </c>
      <c r="L854" s="13" t="s">
        <v>257</v>
      </c>
    </row>
    <row r="855" spans="1:12" x14ac:dyDescent="0.25">
      <c r="A855" t="s">
        <v>3528</v>
      </c>
      <c r="B855" t="s">
        <v>147</v>
      </c>
      <c r="C855" t="str">
        <f>_xlfn.XLOOKUP(Table7[[#This Row],[app_id]],Table5[app_id],Table5[app_name],"",0)</f>
        <v>Showly</v>
      </c>
      <c r="D855" t="s">
        <v>2210</v>
      </c>
      <c r="E855" s="1">
        <v>45963</v>
      </c>
      <c r="F855">
        <v>4</v>
      </c>
      <c r="G855" t="s">
        <v>2650</v>
      </c>
      <c r="H855" t="s">
        <v>2564</v>
      </c>
      <c r="I855" t="s">
        <v>2565</v>
      </c>
      <c r="J855" t="s">
        <v>2633</v>
      </c>
      <c r="K855">
        <v>32</v>
      </c>
      <c r="L855" s="13" t="s">
        <v>258</v>
      </c>
    </row>
    <row r="856" spans="1:12" x14ac:dyDescent="0.25">
      <c r="A856" t="s">
        <v>3529</v>
      </c>
      <c r="B856" t="s">
        <v>149</v>
      </c>
      <c r="C856" t="str">
        <f>_xlfn.XLOOKUP(Table7[[#This Row],[app_id]],Table5[app_id],Table5[app_name],"",0)</f>
        <v>BuzzOne</v>
      </c>
      <c r="D856" t="s">
        <v>2535</v>
      </c>
      <c r="E856" s="1">
        <v>45442</v>
      </c>
      <c r="F856">
        <v>3</v>
      </c>
      <c r="G856" t="s">
        <v>2791</v>
      </c>
      <c r="H856" t="s">
        <v>2554</v>
      </c>
      <c r="I856" t="s">
        <v>2588</v>
      </c>
      <c r="J856" t="s">
        <v>2556</v>
      </c>
      <c r="K856">
        <v>42</v>
      </c>
      <c r="L856" s="13" t="s">
        <v>257</v>
      </c>
    </row>
    <row r="857" spans="1:12" x14ac:dyDescent="0.25">
      <c r="A857" t="s">
        <v>3530</v>
      </c>
      <c r="B857" t="s">
        <v>151</v>
      </c>
      <c r="C857" t="str">
        <f>_xlfn.XLOOKUP(Table7[[#This Row],[app_id]],Table5[app_id],Table5[app_name],"",0)</f>
        <v>PlayHub</v>
      </c>
      <c r="D857" t="s">
        <v>830</v>
      </c>
      <c r="E857" s="1">
        <v>46106</v>
      </c>
      <c r="F857">
        <v>3</v>
      </c>
      <c r="G857" t="s">
        <v>2663</v>
      </c>
      <c r="H857" t="s">
        <v>2554</v>
      </c>
      <c r="I857" t="s">
        <v>2565</v>
      </c>
      <c r="J857" t="s">
        <v>2596</v>
      </c>
      <c r="K857">
        <v>35</v>
      </c>
      <c r="L857" s="13" t="s">
        <v>258</v>
      </c>
    </row>
    <row r="858" spans="1:12" x14ac:dyDescent="0.25">
      <c r="A858" t="s">
        <v>3531</v>
      </c>
      <c r="B858" t="s">
        <v>153</v>
      </c>
      <c r="C858" t="str">
        <f>_xlfn.XLOOKUP(Table7[[#This Row],[app_id]],Table5[app_id],Table5[app_name],"",0)</f>
        <v>CinemaGo</v>
      </c>
      <c r="D858" t="s">
        <v>2366</v>
      </c>
      <c r="E858" s="1">
        <v>45804</v>
      </c>
      <c r="F858">
        <v>5</v>
      </c>
      <c r="G858" t="s">
        <v>2789</v>
      </c>
      <c r="H858" t="s">
        <v>2564</v>
      </c>
      <c r="I858" t="s">
        <v>2565</v>
      </c>
      <c r="J858" t="s">
        <v>2559</v>
      </c>
      <c r="K858">
        <v>12</v>
      </c>
      <c r="L858" s="13" t="s">
        <v>257</v>
      </c>
    </row>
    <row r="859" spans="1:12" x14ac:dyDescent="0.25">
      <c r="A859" t="s">
        <v>3532</v>
      </c>
      <c r="B859" t="s">
        <v>155</v>
      </c>
      <c r="C859" t="str">
        <f>_xlfn.XLOOKUP(Table7[[#This Row],[app_id]],Table5[app_id],Table5[app_name],"",0)</f>
        <v>LaughX</v>
      </c>
      <c r="D859" t="s">
        <v>2317</v>
      </c>
      <c r="E859" s="1">
        <v>45956</v>
      </c>
      <c r="F859">
        <v>3</v>
      </c>
      <c r="G859" t="s">
        <v>2791</v>
      </c>
      <c r="H859" t="s">
        <v>2554</v>
      </c>
      <c r="I859" t="s">
        <v>2565</v>
      </c>
      <c r="J859" t="s">
        <v>2600</v>
      </c>
      <c r="K859">
        <v>35</v>
      </c>
      <c r="L859" s="13" t="s">
        <v>258</v>
      </c>
    </row>
    <row r="860" spans="1:12" x14ac:dyDescent="0.25">
      <c r="A860" t="s">
        <v>3533</v>
      </c>
      <c r="B860" t="s">
        <v>157</v>
      </c>
      <c r="C860" t="str">
        <f>_xlfn.XLOOKUP(Table7[[#This Row],[app_id]],Table5[app_id],Table5[app_name],"",0)</f>
        <v>CinemaHub</v>
      </c>
      <c r="D860" t="s">
        <v>722</v>
      </c>
      <c r="E860" s="1">
        <v>45848</v>
      </c>
      <c r="F860">
        <v>4</v>
      </c>
      <c r="G860" t="s">
        <v>2905</v>
      </c>
      <c r="H860" t="s">
        <v>2564</v>
      </c>
      <c r="I860" t="s">
        <v>2555</v>
      </c>
      <c r="J860" t="s">
        <v>2561</v>
      </c>
      <c r="K860">
        <v>11</v>
      </c>
      <c r="L860" s="13" t="s">
        <v>257</v>
      </c>
    </row>
    <row r="861" spans="1:12" x14ac:dyDescent="0.25">
      <c r="A861" t="s">
        <v>3534</v>
      </c>
      <c r="B861" t="s">
        <v>159</v>
      </c>
      <c r="C861" t="str">
        <f>_xlfn.XLOOKUP(Table7[[#This Row],[app_id]],Table5[app_id],Table5[app_name],"",0)</f>
        <v>ShowPro</v>
      </c>
      <c r="D861" t="s">
        <v>2062</v>
      </c>
      <c r="E861" s="1">
        <v>45924</v>
      </c>
      <c r="F861">
        <v>5</v>
      </c>
      <c r="G861" t="s">
        <v>2650</v>
      </c>
      <c r="H861" t="s">
        <v>2564</v>
      </c>
      <c r="I861" t="s">
        <v>2555</v>
      </c>
      <c r="J861" t="s">
        <v>2600</v>
      </c>
      <c r="K861">
        <v>42</v>
      </c>
      <c r="L861" s="13" t="s">
        <v>257</v>
      </c>
    </row>
    <row r="862" spans="1:12" x14ac:dyDescent="0.25">
      <c r="A862" t="s">
        <v>3535</v>
      </c>
      <c r="B862" t="s">
        <v>161</v>
      </c>
      <c r="C862" t="str">
        <f>_xlfn.XLOOKUP(Table7[[#This Row],[app_id]],Table5[app_id],Table5[app_name],"",0)</f>
        <v>FoodPlus</v>
      </c>
      <c r="D862" t="s">
        <v>1468</v>
      </c>
      <c r="E862" s="1">
        <v>45591</v>
      </c>
      <c r="F862">
        <v>5</v>
      </c>
      <c r="G862" t="s">
        <v>2806</v>
      </c>
      <c r="H862" t="s">
        <v>2564</v>
      </c>
      <c r="I862" t="s">
        <v>2565</v>
      </c>
      <c r="J862" t="s">
        <v>2596</v>
      </c>
      <c r="K862">
        <v>3</v>
      </c>
      <c r="L862" s="13" t="s">
        <v>257</v>
      </c>
    </row>
    <row r="863" spans="1:12" x14ac:dyDescent="0.25">
      <c r="A863" t="s">
        <v>3536</v>
      </c>
      <c r="B863" t="s">
        <v>164</v>
      </c>
      <c r="C863" t="str">
        <f>_xlfn.XLOOKUP(Table7[[#This Row],[app_id]],Table5[app_id],Table5[app_name],"",0)</f>
        <v>BiteGo</v>
      </c>
      <c r="D863" t="s">
        <v>1557</v>
      </c>
      <c r="E863" s="1">
        <v>45756</v>
      </c>
      <c r="F863">
        <v>3</v>
      </c>
      <c r="G863" t="s">
        <v>2668</v>
      </c>
      <c r="H863" t="s">
        <v>2554</v>
      </c>
      <c r="I863" t="s">
        <v>2588</v>
      </c>
      <c r="J863" t="s">
        <v>2596</v>
      </c>
      <c r="K863">
        <v>20</v>
      </c>
      <c r="L863" s="13" t="s">
        <v>257</v>
      </c>
    </row>
    <row r="864" spans="1:12" x14ac:dyDescent="0.25">
      <c r="A864" t="s">
        <v>3537</v>
      </c>
      <c r="B864" t="s">
        <v>166</v>
      </c>
      <c r="C864" t="str">
        <f>_xlfn.XLOOKUP(Table7[[#This Row],[app_id]],Table5[app_id],Table5[app_name],"",0)</f>
        <v>OrderCloud</v>
      </c>
      <c r="D864" t="s">
        <v>1883</v>
      </c>
      <c r="E864" s="1">
        <v>45895</v>
      </c>
      <c r="F864">
        <v>4</v>
      </c>
      <c r="G864" t="s">
        <v>2676</v>
      </c>
      <c r="H864" t="s">
        <v>2564</v>
      </c>
      <c r="I864" t="s">
        <v>2565</v>
      </c>
      <c r="J864" t="s">
        <v>2581</v>
      </c>
      <c r="K864">
        <v>25</v>
      </c>
      <c r="L864" s="13" t="s">
        <v>257</v>
      </c>
    </row>
    <row r="865" spans="1:12" x14ac:dyDescent="0.25">
      <c r="A865" t="s">
        <v>3538</v>
      </c>
      <c r="B865" t="s">
        <v>168</v>
      </c>
      <c r="C865" t="str">
        <f>_xlfn.XLOOKUP(Table7[[#This Row],[app_id]],Table5[app_id],Table5[app_name],"",0)</f>
        <v>DinePlus</v>
      </c>
      <c r="D865" t="s">
        <v>1024</v>
      </c>
      <c r="E865" s="1">
        <v>45850</v>
      </c>
      <c r="F865">
        <v>3</v>
      </c>
      <c r="G865" t="s">
        <v>2670</v>
      </c>
      <c r="H865" t="s">
        <v>2554</v>
      </c>
      <c r="I865" t="s">
        <v>2571</v>
      </c>
      <c r="J865" t="s">
        <v>2559</v>
      </c>
      <c r="K865">
        <v>25</v>
      </c>
      <c r="L865" s="13" t="s">
        <v>257</v>
      </c>
    </row>
    <row r="866" spans="1:12" x14ac:dyDescent="0.25">
      <c r="A866" t="s">
        <v>3539</v>
      </c>
      <c r="B866" t="s">
        <v>170</v>
      </c>
      <c r="C866" t="str">
        <f>_xlfn.XLOOKUP(Table7[[#This Row],[app_id]],Table5[app_id],Table5[app_name],"",0)</f>
        <v>SnackX</v>
      </c>
      <c r="D866" t="s">
        <v>1286</v>
      </c>
      <c r="E866" s="1">
        <v>45545</v>
      </c>
      <c r="F866">
        <v>4</v>
      </c>
      <c r="G866" t="s">
        <v>2679</v>
      </c>
      <c r="H866" t="s">
        <v>2564</v>
      </c>
      <c r="I866" t="s">
        <v>2565</v>
      </c>
      <c r="J866" t="s">
        <v>2596</v>
      </c>
      <c r="K866">
        <v>28</v>
      </c>
      <c r="L866" s="13" t="s">
        <v>258</v>
      </c>
    </row>
    <row r="867" spans="1:12" x14ac:dyDescent="0.25">
      <c r="A867" t="s">
        <v>3540</v>
      </c>
      <c r="B867" t="s">
        <v>172</v>
      </c>
      <c r="C867" t="str">
        <f>_xlfn.XLOOKUP(Table7[[#This Row],[app_id]],Table5[app_id],Table5[app_name],"",0)</f>
        <v>FoodOne</v>
      </c>
      <c r="D867" t="s">
        <v>2038</v>
      </c>
      <c r="E867" s="1">
        <v>46044</v>
      </c>
      <c r="F867">
        <v>4</v>
      </c>
      <c r="G867" t="s">
        <v>2679</v>
      </c>
      <c r="H867" t="s">
        <v>2564</v>
      </c>
      <c r="I867" t="s">
        <v>2565</v>
      </c>
      <c r="J867" t="s">
        <v>2581</v>
      </c>
      <c r="K867">
        <v>1</v>
      </c>
      <c r="L867" s="13" t="s">
        <v>258</v>
      </c>
    </row>
    <row r="868" spans="1:12" x14ac:dyDescent="0.25">
      <c r="A868" t="s">
        <v>3541</v>
      </c>
      <c r="B868" t="s">
        <v>174</v>
      </c>
      <c r="C868" t="str">
        <f>_xlfn.XLOOKUP(Table7[[#This Row],[app_id]],Table5[app_id],Table5[app_name],"",0)</f>
        <v>MealMate</v>
      </c>
      <c r="D868" t="s">
        <v>1666</v>
      </c>
      <c r="E868" s="1">
        <v>45976</v>
      </c>
      <c r="F868">
        <v>3</v>
      </c>
      <c r="G868" t="s">
        <v>2672</v>
      </c>
      <c r="H868" t="s">
        <v>2554</v>
      </c>
      <c r="I868" t="s">
        <v>2565</v>
      </c>
      <c r="J868" t="s">
        <v>2561</v>
      </c>
      <c r="K868">
        <v>19</v>
      </c>
      <c r="L868" s="13" t="s">
        <v>257</v>
      </c>
    </row>
    <row r="869" spans="1:12" x14ac:dyDescent="0.25">
      <c r="A869" t="s">
        <v>3542</v>
      </c>
      <c r="B869" t="s">
        <v>176</v>
      </c>
      <c r="C869" t="str">
        <f>_xlfn.XLOOKUP(Table7[[#This Row],[app_id]],Table5[app_id],Table5[app_name],"",0)</f>
        <v>SnackHub</v>
      </c>
      <c r="D869" t="s">
        <v>2154</v>
      </c>
      <c r="E869" s="1">
        <v>46091</v>
      </c>
      <c r="F869">
        <v>2</v>
      </c>
      <c r="G869" t="s">
        <v>3543</v>
      </c>
      <c r="H869" t="s">
        <v>2587</v>
      </c>
      <c r="I869" t="s">
        <v>2578</v>
      </c>
      <c r="J869" t="s">
        <v>2633</v>
      </c>
      <c r="K869">
        <v>34</v>
      </c>
      <c r="L869" s="13" t="s">
        <v>257</v>
      </c>
    </row>
    <row r="870" spans="1:12" x14ac:dyDescent="0.25">
      <c r="A870" t="s">
        <v>3544</v>
      </c>
      <c r="B870" t="s">
        <v>178</v>
      </c>
      <c r="C870" t="str">
        <f>_xlfn.XLOOKUP(Table7[[#This Row],[app_id]],Table5[app_id],Table5[app_name],"",0)</f>
        <v>BiteCloud</v>
      </c>
      <c r="D870" t="s">
        <v>2298</v>
      </c>
      <c r="E870" s="1">
        <v>45801</v>
      </c>
      <c r="F870">
        <v>5</v>
      </c>
      <c r="G870" t="s">
        <v>2676</v>
      </c>
      <c r="H870" t="s">
        <v>2564</v>
      </c>
      <c r="I870" t="s">
        <v>2575</v>
      </c>
      <c r="J870" t="s">
        <v>2569</v>
      </c>
      <c r="K870">
        <v>2</v>
      </c>
      <c r="L870" s="13" t="s">
        <v>257</v>
      </c>
    </row>
    <row r="871" spans="1:12" x14ac:dyDescent="0.25">
      <c r="A871" t="s">
        <v>3545</v>
      </c>
      <c r="B871" t="s">
        <v>180</v>
      </c>
      <c r="C871" t="str">
        <f>_xlfn.XLOOKUP(Table7[[#This Row],[app_id]],Table5[app_id],Table5[app_name],"",0)</f>
        <v>PlatePlus</v>
      </c>
      <c r="D871" t="s">
        <v>1529</v>
      </c>
      <c r="E871" s="1">
        <v>46136</v>
      </c>
      <c r="F871">
        <v>5</v>
      </c>
      <c r="G871" t="s">
        <v>2676</v>
      </c>
      <c r="H871" t="s">
        <v>2564</v>
      </c>
      <c r="I871" t="s">
        <v>2555</v>
      </c>
      <c r="J871" t="s">
        <v>2566</v>
      </c>
      <c r="K871">
        <v>2</v>
      </c>
      <c r="L871" s="13" t="s">
        <v>257</v>
      </c>
    </row>
    <row r="872" spans="1:12" x14ac:dyDescent="0.25">
      <c r="A872" t="s">
        <v>3546</v>
      </c>
      <c r="B872" t="s">
        <v>182</v>
      </c>
      <c r="C872" t="str">
        <f>_xlfn.XLOOKUP(Table7[[#This Row],[app_id]],Table5[app_id],Table5[app_name],"",0)</f>
        <v>VoyageGo</v>
      </c>
      <c r="D872" t="s">
        <v>2377</v>
      </c>
      <c r="E872" s="1">
        <v>45540</v>
      </c>
      <c r="F872">
        <v>5</v>
      </c>
      <c r="G872" t="s">
        <v>2683</v>
      </c>
      <c r="H872" t="s">
        <v>2564</v>
      </c>
      <c r="I872" t="s">
        <v>2575</v>
      </c>
      <c r="J872" t="s">
        <v>2559</v>
      </c>
      <c r="K872">
        <v>12</v>
      </c>
      <c r="L872" s="13" t="s">
        <v>258</v>
      </c>
    </row>
    <row r="873" spans="1:12" x14ac:dyDescent="0.25">
      <c r="A873" t="s">
        <v>3547</v>
      </c>
      <c r="B873" t="s">
        <v>185</v>
      </c>
      <c r="C873" t="str">
        <f>_xlfn.XLOOKUP(Table7[[#This Row],[app_id]],Table5[app_id],Table5[app_name],"",0)</f>
        <v>TripOne</v>
      </c>
      <c r="D873" t="s">
        <v>1549</v>
      </c>
      <c r="E873" s="1">
        <v>45492</v>
      </c>
      <c r="F873">
        <v>3</v>
      </c>
      <c r="G873" t="s">
        <v>2695</v>
      </c>
      <c r="H873" t="s">
        <v>2554</v>
      </c>
      <c r="I873" t="s">
        <v>2565</v>
      </c>
      <c r="J873" t="s">
        <v>2566</v>
      </c>
      <c r="K873">
        <v>4</v>
      </c>
      <c r="L873" s="13" t="s">
        <v>257</v>
      </c>
    </row>
    <row r="874" spans="1:12" x14ac:dyDescent="0.25">
      <c r="A874" t="s">
        <v>3548</v>
      </c>
      <c r="B874" t="s">
        <v>187</v>
      </c>
      <c r="C874" t="str">
        <f>_xlfn.XLOOKUP(Table7[[#This Row],[app_id]],Table5[app_id],Table5[app_name],"",0)</f>
        <v>FlyGo</v>
      </c>
      <c r="D874" t="s">
        <v>1637</v>
      </c>
      <c r="E874" s="1">
        <v>45549</v>
      </c>
      <c r="F874">
        <v>4</v>
      </c>
      <c r="G874" t="s">
        <v>2687</v>
      </c>
      <c r="H874" t="s">
        <v>2564</v>
      </c>
      <c r="I874" t="s">
        <v>2558</v>
      </c>
      <c r="J874" t="s">
        <v>2559</v>
      </c>
      <c r="K874">
        <v>19</v>
      </c>
      <c r="L874" s="13" t="s">
        <v>257</v>
      </c>
    </row>
    <row r="875" spans="1:12" x14ac:dyDescent="0.25">
      <c r="A875" t="s">
        <v>3549</v>
      </c>
      <c r="B875" t="s">
        <v>189</v>
      </c>
      <c r="C875" t="str">
        <f>_xlfn.XLOOKUP(Table7[[#This Row],[app_id]],Table5[app_id],Table5[app_name],"",0)</f>
        <v>MapX</v>
      </c>
      <c r="D875" t="s">
        <v>1452</v>
      </c>
      <c r="E875" s="1">
        <v>45675</v>
      </c>
      <c r="F875">
        <v>3</v>
      </c>
      <c r="G875" t="s">
        <v>2695</v>
      </c>
      <c r="H875" t="s">
        <v>2554</v>
      </c>
      <c r="I875" t="s">
        <v>2584</v>
      </c>
      <c r="J875" t="s">
        <v>2603</v>
      </c>
      <c r="K875">
        <v>9</v>
      </c>
      <c r="L875" s="13" t="s">
        <v>257</v>
      </c>
    </row>
    <row r="876" spans="1:12" x14ac:dyDescent="0.25">
      <c r="A876" t="s">
        <v>3550</v>
      </c>
      <c r="B876" t="s">
        <v>191</v>
      </c>
      <c r="C876" t="str">
        <f>_xlfn.XLOOKUP(Table7[[#This Row],[app_id]],Table5[app_id],Table5[app_name],"",0)</f>
        <v>StayX</v>
      </c>
      <c r="D876" t="s">
        <v>979</v>
      </c>
      <c r="E876" s="1">
        <v>45645</v>
      </c>
      <c r="F876">
        <v>4</v>
      </c>
      <c r="G876" t="s">
        <v>2687</v>
      </c>
      <c r="H876" t="s">
        <v>2564</v>
      </c>
      <c r="I876" t="s">
        <v>2565</v>
      </c>
      <c r="J876" t="s">
        <v>2603</v>
      </c>
      <c r="K876">
        <v>6</v>
      </c>
      <c r="L876" s="13" t="s">
        <v>257</v>
      </c>
    </row>
    <row r="877" spans="1:12" x14ac:dyDescent="0.25">
      <c r="A877" t="s">
        <v>3551</v>
      </c>
      <c r="B877" t="s">
        <v>193</v>
      </c>
      <c r="C877" t="str">
        <f>_xlfn.XLOOKUP(Table7[[#This Row],[app_id]],Table5[app_id],Table5[app_name],"",0)</f>
        <v>GoNow</v>
      </c>
      <c r="D877" t="s">
        <v>958</v>
      </c>
      <c r="E877" s="1">
        <v>45775</v>
      </c>
      <c r="F877">
        <v>3</v>
      </c>
      <c r="G877" t="s">
        <v>2690</v>
      </c>
      <c r="H877" t="s">
        <v>2554</v>
      </c>
      <c r="I877" t="s">
        <v>2558</v>
      </c>
      <c r="J877" t="s">
        <v>2600</v>
      </c>
      <c r="K877">
        <v>43</v>
      </c>
      <c r="L877" s="13" t="s">
        <v>257</v>
      </c>
    </row>
    <row r="878" spans="1:12" x14ac:dyDescent="0.25">
      <c r="A878" t="s">
        <v>3552</v>
      </c>
      <c r="B878" t="s">
        <v>195</v>
      </c>
      <c r="C878" t="str">
        <f>_xlfn.XLOOKUP(Table7[[#This Row],[app_id]],Table5[app_id],Table5[app_name],"",0)</f>
        <v>RouteGo</v>
      </c>
      <c r="D878" t="s">
        <v>1094</v>
      </c>
      <c r="E878" s="1">
        <v>45587</v>
      </c>
      <c r="F878">
        <v>4</v>
      </c>
      <c r="G878" t="s">
        <v>2931</v>
      </c>
      <c r="H878" t="s">
        <v>2564</v>
      </c>
      <c r="I878" t="s">
        <v>2565</v>
      </c>
      <c r="J878" t="s">
        <v>2569</v>
      </c>
      <c r="K878">
        <v>15</v>
      </c>
      <c r="L878" s="13" t="s">
        <v>257</v>
      </c>
    </row>
    <row r="879" spans="1:12" x14ac:dyDescent="0.25">
      <c r="A879" t="s">
        <v>3553</v>
      </c>
      <c r="B879" t="s">
        <v>197</v>
      </c>
      <c r="C879" t="str">
        <f>_xlfn.XLOOKUP(Table7[[#This Row],[app_id]],Table5[app_id],Table5[app_name],"",0)</f>
        <v>TripGo</v>
      </c>
      <c r="D879" t="s">
        <v>887</v>
      </c>
      <c r="E879" s="1">
        <v>45490</v>
      </c>
      <c r="F879">
        <v>4</v>
      </c>
      <c r="G879" t="s">
        <v>2687</v>
      </c>
      <c r="H879" t="s">
        <v>2564</v>
      </c>
      <c r="I879" t="s">
        <v>2558</v>
      </c>
      <c r="J879" t="s">
        <v>2569</v>
      </c>
      <c r="K879">
        <v>16</v>
      </c>
      <c r="L879" s="13" t="s">
        <v>258</v>
      </c>
    </row>
    <row r="880" spans="1:12" x14ac:dyDescent="0.25">
      <c r="A880" t="s">
        <v>3554</v>
      </c>
      <c r="B880" t="s">
        <v>199</v>
      </c>
      <c r="C880" t="str">
        <f>_xlfn.XLOOKUP(Table7[[#This Row],[app_id]],Table5[app_id],Table5[app_name],"",0)</f>
        <v>Flyly</v>
      </c>
      <c r="D880" t="s">
        <v>1090</v>
      </c>
      <c r="E880" s="1">
        <v>45553</v>
      </c>
      <c r="F880">
        <v>3</v>
      </c>
      <c r="G880" t="s">
        <v>2690</v>
      </c>
      <c r="H880" t="s">
        <v>2554</v>
      </c>
      <c r="I880" t="s">
        <v>2584</v>
      </c>
      <c r="J880" t="s">
        <v>2561</v>
      </c>
      <c r="K880">
        <v>38</v>
      </c>
      <c r="L880" s="13" t="s">
        <v>257</v>
      </c>
    </row>
    <row r="881" spans="1:12" x14ac:dyDescent="0.25">
      <c r="A881" t="s">
        <v>3555</v>
      </c>
      <c r="B881" t="s">
        <v>201</v>
      </c>
      <c r="C881" t="str">
        <f>_xlfn.XLOOKUP(Table7[[#This Row],[app_id]],Table5[app_id],Table5[app_name],"",0)</f>
        <v>TripPro</v>
      </c>
      <c r="D881" t="s">
        <v>1790</v>
      </c>
      <c r="E881" s="1">
        <v>45598</v>
      </c>
      <c r="F881">
        <v>4</v>
      </c>
      <c r="G881" t="s">
        <v>2687</v>
      </c>
      <c r="H881" t="s">
        <v>2564</v>
      </c>
      <c r="I881" t="s">
        <v>2565</v>
      </c>
      <c r="J881" t="s">
        <v>2569</v>
      </c>
      <c r="K881">
        <v>48</v>
      </c>
      <c r="L881" s="13" t="s">
        <v>257</v>
      </c>
    </row>
    <row r="882" spans="1:12" x14ac:dyDescent="0.25">
      <c r="A882" t="s">
        <v>3556</v>
      </c>
      <c r="B882" t="s">
        <v>203</v>
      </c>
      <c r="C882" t="str">
        <f>_xlfn.XLOOKUP(Table7[[#This Row],[app_id]],Table5[app_id],Table5[app_name],"",0)</f>
        <v>Focusly</v>
      </c>
      <c r="D882" t="s">
        <v>1115</v>
      </c>
      <c r="E882" s="1">
        <v>45770</v>
      </c>
      <c r="F882">
        <v>4</v>
      </c>
      <c r="G882" t="s">
        <v>2703</v>
      </c>
      <c r="H882" t="s">
        <v>2564</v>
      </c>
      <c r="I882" t="s">
        <v>2565</v>
      </c>
      <c r="J882" t="s">
        <v>2633</v>
      </c>
      <c r="K882">
        <v>8</v>
      </c>
      <c r="L882" s="13" t="s">
        <v>257</v>
      </c>
    </row>
    <row r="883" spans="1:12" x14ac:dyDescent="0.25">
      <c r="A883" t="s">
        <v>3557</v>
      </c>
      <c r="B883" t="s">
        <v>206</v>
      </c>
      <c r="C883" t="str">
        <f>_xlfn.XLOOKUP(Table7[[#This Row],[app_id]],Table5[app_id],Table5[app_name],"",0)</f>
        <v>DeskX</v>
      </c>
      <c r="D883" t="s">
        <v>568</v>
      </c>
      <c r="E883" s="1">
        <v>45891</v>
      </c>
      <c r="F883">
        <v>3</v>
      </c>
      <c r="G883" t="s">
        <v>2706</v>
      </c>
      <c r="H883" t="s">
        <v>2554</v>
      </c>
      <c r="I883" t="s">
        <v>2584</v>
      </c>
      <c r="J883" t="s">
        <v>2566</v>
      </c>
      <c r="K883">
        <v>29</v>
      </c>
      <c r="L883" s="13" t="s">
        <v>257</v>
      </c>
    </row>
    <row r="884" spans="1:12" x14ac:dyDescent="0.25">
      <c r="A884" t="s">
        <v>3558</v>
      </c>
      <c r="B884" t="s">
        <v>208</v>
      </c>
      <c r="C884" t="str">
        <f>_xlfn.XLOOKUP(Table7[[#This Row],[app_id]],Table5[app_id],Table5[app_name],"",0)</f>
        <v>DonePro</v>
      </c>
      <c r="D884" t="s">
        <v>985</v>
      </c>
      <c r="E884" s="1">
        <v>46137</v>
      </c>
      <c r="F884">
        <v>3</v>
      </c>
      <c r="G884" t="s">
        <v>3254</v>
      </c>
      <c r="H884" t="s">
        <v>2554</v>
      </c>
      <c r="I884" t="s">
        <v>2578</v>
      </c>
      <c r="J884" t="s">
        <v>2603</v>
      </c>
      <c r="K884">
        <v>33</v>
      </c>
      <c r="L884" s="13" t="s">
        <v>257</v>
      </c>
    </row>
    <row r="885" spans="1:12" x14ac:dyDescent="0.25">
      <c r="A885" t="s">
        <v>3559</v>
      </c>
      <c r="B885" t="s">
        <v>210</v>
      </c>
      <c r="C885" t="str">
        <f>_xlfn.XLOOKUP(Table7[[#This Row],[app_id]],Table5[app_id],Table5[app_name],"",0)</f>
        <v>NotePlus</v>
      </c>
      <c r="D885" t="s">
        <v>1108</v>
      </c>
      <c r="E885" s="1">
        <v>45648</v>
      </c>
      <c r="F885">
        <v>3</v>
      </c>
      <c r="G885" t="s">
        <v>2706</v>
      </c>
      <c r="H885" t="s">
        <v>2554</v>
      </c>
      <c r="I885" t="s">
        <v>2565</v>
      </c>
      <c r="J885" t="s">
        <v>2566</v>
      </c>
      <c r="K885">
        <v>41</v>
      </c>
      <c r="L885" s="13" t="s">
        <v>257</v>
      </c>
    </row>
    <row r="886" spans="1:12" x14ac:dyDescent="0.25">
      <c r="A886" t="s">
        <v>3560</v>
      </c>
      <c r="B886" t="s">
        <v>212</v>
      </c>
      <c r="C886" t="str">
        <f>_xlfn.XLOOKUP(Table7[[#This Row],[app_id]],Table5[app_id],Table5[app_name],"",0)</f>
        <v>SyncPlus</v>
      </c>
      <c r="D886" t="s">
        <v>804</v>
      </c>
      <c r="E886" s="1">
        <v>45860</v>
      </c>
      <c r="F886">
        <v>4</v>
      </c>
      <c r="G886" t="s">
        <v>2703</v>
      </c>
      <c r="H886" t="s">
        <v>2564</v>
      </c>
      <c r="I886" t="s">
        <v>2575</v>
      </c>
      <c r="J886" t="s">
        <v>2581</v>
      </c>
      <c r="K886">
        <v>1</v>
      </c>
      <c r="L886" s="13" t="s">
        <v>257</v>
      </c>
    </row>
    <row r="887" spans="1:12" x14ac:dyDescent="0.25">
      <c r="A887" t="s">
        <v>3561</v>
      </c>
      <c r="B887" t="s">
        <v>214</v>
      </c>
      <c r="C887" t="str">
        <f>_xlfn.XLOOKUP(Table7[[#This Row],[app_id]],Table5[app_id],Table5[app_name],"",0)</f>
        <v>NoteOne</v>
      </c>
      <c r="D887" t="s">
        <v>890</v>
      </c>
      <c r="E887" s="1">
        <v>45818</v>
      </c>
      <c r="F887">
        <v>4</v>
      </c>
      <c r="G887" t="s">
        <v>2836</v>
      </c>
      <c r="H887" t="s">
        <v>2564</v>
      </c>
      <c r="I887" t="s">
        <v>2558</v>
      </c>
      <c r="J887" t="s">
        <v>2596</v>
      </c>
      <c r="K887">
        <v>14</v>
      </c>
      <c r="L887" s="13" t="s">
        <v>257</v>
      </c>
    </row>
    <row r="888" spans="1:12" x14ac:dyDescent="0.25">
      <c r="A888" t="s">
        <v>3562</v>
      </c>
      <c r="B888" t="s">
        <v>216</v>
      </c>
      <c r="C888" t="str">
        <f>_xlfn.XLOOKUP(Table7[[#This Row],[app_id]],Table5[app_id],Table5[app_name],"",0)</f>
        <v>NoteMate</v>
      </c>
      <c r="D888" t="s">
        <v>1594</v>
      </c>
      <c r="E888" s="1">
        <v>45624</v>
      </c>
      <c r="F888">
        <v>3</v>
      </c>
      <c r="G888" t="s">
        <v>2706</v>
      </c>
      <c r="H888" t="s">
        <v>2554</v>
      </c>
      <c r="I888" t="s">
        <v>2575</v>
      </c>
      <c r="J888" t="s">
        <v>2600</v>
      </c>
      <c r="K888">
        <v>2</v>
      </c>
      <c r="L888" s="13" t="s">
        <v>257</v>
      </c>
    </row>
    <row r="889" spans="1:12" x14ac:dyDescent="0.25">
      <c r="A889" t="s">
        <v>3563</v>
      </c>
      <c r="B889" t="s">
        <v>218</v>
      </c>
      <c r="C889" t="str">
        <f>_xlfn.XLOOKUP(Table7[[#This Row],[app_id]],Table5[app_id],Table5[app_name],"",0)</f>
        <v>PlanPlus</v>
      </c>
      <c r="D889" t="s">
        <v>1632</v>
      </c>
      <c r="E889" s="1">
        <v>46096</v>
      </c>
      <c r="F889">
        <v>4</v>
      </c>
      <c r="G889" t="s">
        <v>2708</v>
      </c>
      <c r="H889" t="s">
        <v>2564</v>
      </c>
      <c r="I889" t="s">
        <v>2575</v>
      </c>
      <c r="J889" t="s">
        <v>2596</v>
      </c>
      <c r="K889">
        <v>5</v>
      </c>
      <c r="L889" s="13" t="s">
        <v>257</v>
      </c>
    </row>
    <row r="890" spans="1:12" x14ac:dyDescent="0.25">
      <c r="A890" t="s">
        <v>3564</v>
      </c>
      <c r="B890" t="s">
        <v>220</v>
      </c>
      <c r="C890" t="str">
        <f>_xlfn.XLOOKUP(Table7[[#This Row],[app_id]],Table5[app_id],Table5[app_name],"",0)</f>
        <v>PlanMate</v>
      </c>
      <c r="D890" t="s">
        <v>1918</v>
      </c>
      <c r="E890" s="1">
        <v>45525</v>
      </c>
      <c r="F890">
        <v>3</v>
      </c>
      <c r="G890" t="s">
        <v>2710</v>
      </c>
      <c r="H890" t="s">
        <v>2554</v>
      </c>
      <c r="I890" t="s">
        <v>2565</v>
      </c>
      <c r="J890" t="s">
        <v>2581</v>
      </c>
      <c r="K890">
        <v>32</v>
      </c>
      <c r="L890" s="13" t="s">
        <v>258</v>
      </c>
    </row>
    <row r="891" spans="1:12" x14ac:dyDescent="0.25">
      <c r="A891" t="s">
        <v>3565</v>
      </c>
      <c r="B891" t="s">
        <v>222</v>
      </c>
      <c r="C891" t="str">
        <f>_xlfn.XLOOKUP(Table7[[#This Row],[app_id]],Table5[app_id],Table5[app_name],"",0)</f>
        <v>SyncPlus</v>
      </c>
      <c r="D891" t="s">
        <v>1899</v>
      </c>
      <c r="E891" s="1">
        <v>45397</v>
      </c>
      <c r="F891">
        <v>5</v>
      </c>
      <c r="G891" t="s">
        <v>2700</v>
      </c>
      <c r="H891" t="s">
        <v>2564</v>
      </c>
      <c r="I891" t="s">
        <v>2571</v>
      </c>
      <c r="J891" t="s">
        <v>2581</v>
      </c>
      <c r="K891">
        <v>44</v>
      </c>
      <c r="L891" s="13" t="s">
        <v>257</v>
      </c>
    </row>
    <row r="892" spans="1:12" x14ac:dyDescent="0.25">
      <c r="A892" t="s">
        <v>3566</v>
      </c>
      <c r="B892" t="s">
        <v>223</v>
      </c>
      <c r="C892" t="str">
        <f>_xlfn.XLOOKUP(Table7[[#This Row],[app_id]],Table5[app_id],Table5[app_name],"",0)</f>
        <v>ClinicPro</v>
      </c>
      <c r="D892" t="s">
        <v>2505</v>
      </c>
      <c r="E892" s="1">
        <v>45548</v>
      </c>
      <c r="F892">
        <v>4</v>
      </c>
      <c r="G892" t="s">
        <v>2716</v>
      </c>
      <c r="H892" t="s">
        <v>2564</v>
      </c>
      <c r="I892" t="s">
        <v>2555</v>
      </c>
      <c r="J892" t="s">
        <v>2581</v>
      </c>
      <c r="K892">
        <v>33</v>
      </c>
      <c r="L892" s="13" t="s">
        <v>258</v>
      </c>
    </row>
    <row r="893" spans="1:12" x14ac:dyDescent="0.25">
      <c r="A893" t="s">
        <v>3567</v>
      </c>
      <c r="B893" t="s">
        <v>226</v>
      </c>
      <c r="C893" t="str">
        <f>_xlfn.XLOOKUP(Table7[[#This Row],[app_id]],Table5[app_id],Table5[app_name],"",0)</f>
        <v>MindMate</v>
      </c>
      <c r="D893" t="s">
        <v>1738</v>
      </c>
      <c r="E893" s="1">
        <v>45743</v>
      </c>
      <c r="F893">
        <v>4</v>
      </c>
      <c r="G893" t="s">
        <v>2728</v>
      </c>
      <c r="H893" t="s">
        <v>2564</v>
      </c>
      <c r="I893" t="s">
        <v>2555</v>
      </c>
      <c r="J893" t="s">
        <v>2569</v>
      </c>
      <c r="K893">
        <v>31</v>
      </c>
      <c r="L893" s="13" t="s">
        <v>258</v>
      </c>
    </row>
    <row r="894" spans="1:12" x14ac:dyDescent="0.25">
      <c r="A894" t="s">
        <v>3568</v>
      </c>
      <c r="B894" t="s">
        <v>228</v>
      </c>
      <c r="C894" t="str">
        <f>_xlfn.XLOOKUP(Table7[[#This Row],[app_id]],Table5[app_id],Table5[app_name],"",0)</f>
        <v>ClinicOne</v>
      </c>
      <c r="D894" t="s">
        <v>874</v>
      </c>
      <c r="E894" s="1">
        <v>46042</v>
      </c>
      <c r="F894">
        <v>3</v>
      </c>
      <c r="G894" t="s">
        <v>2718</v>
      </c>
      <c r="H894" t="s">
        <v>2554</v>
      </c>
      <c r="I894" t="s">
        <v>2555</v>
      </c>
      <c r="J894" t="s">
        <v>2596</v>
      </c>
      <c r="K894">
        <v>26</v>
      </c>
      <c r="L894" s="13" t="s">
        <v>258</v>
      </c>
    </row>
    <row r="895" spans="1:12" x14ac:dyDescent="0.25">
      <c r="A895" t="s">
        <v>3569</v>
      </c>
      <c r="B895" t="s">
        <v>230</v>
      </c>
      <c r="C895" t="str">
        <f>_xlfn.XLOOKUP(Table7[[#This Row],[app_id]],Table5[app_id],Table5[app_name],"",0)</f>
        <v>WellMate</v>
      </c>
      <c r="D895" t="s">
        <v>1298</v>
      </c>
      <c r="E895" s="1">
        <v>45933</v>
      </c>
      <c r="F895">
        <v>4</v>
      </c>
      <c r="G895" t="s">
        <v>2728</v>
      </c>
      <c r="H895" t="s">
        <v>2564</v>
      </c>
      <c r="I895" t="s">
        <v>2575</v>
      </c>
      <c r="J895" t="s">
        <v>2581</v>
      </c>
      <c r="K895">
        <v>10</v>
      </c>
      <c r="L895" s="13" t="s">
        <v>258</v>
      </c>
    </row>
    <row r="896" spans="1:12" x14ac:dyDescent="0.25">
      <c r="A896" t="s">
        <v>3570</v>
      </c>
      <c r="B896" t="s">
        <v>232</v>
      </c>
      <c r="C896" t="str">
        <f>_xlfn.XLOOKUP(Table7[[#This Row],[app_id]],Table5[app_id],Table5[app_name],"",0)</f>
        <v>MediMate</v>
      </c>
      <c r="D896" t="s">
        <v>1961</v>
      </c>
      <c r="E896" s="1">
        <v>45652</v>
      </c>
      <c r="F896">
        <v>3</v>
      </c>
      <c r="G896" t="s">
        <v>2726</v>
      </c>
      <c r="H896" t="s">
        <v>2554</v>
      </c>
      <c r="I896" t="s">
        <v>2588</v>
      </c>
      <c r="J896" t="s">
        <v>2559</v>
      </c>
      <c r="K896">
        <v>10</v>
      </c>
      <c r="L896" s="13" t="s">
        <v>257</v>
      </c>
    </row>
    <row r="897" spans="1:12" x14ac:dyDescent="0.25">
      <c r="A897" t="s">
        <v>3571</v>
      </c>
      <c r="B897" t="s">
        <v>234</v>
      </c>
      <c r="C897" t="str">
        <f>_xlfn.XLOOKUP(Table7[[#This Row],[app_id]],Table5[app_id],Table5[app_name],"",0)</f>
        <v>WellNow</v>
      </c>
      <c r="D897" t="s">
        <v>1459</v>
      </c>
      <c r="E897" s="1">
        <v>45425</v>
      </c>
      <c r="F897">
        <v>5</v>
      </c>
      <c r="G897" t="s">
        <v>2716</v>
      </c>
      <c r="H897" t="s">
        <v>2564</v>
      </c>
      <c r="I897" t="s">
        <v>2555</v>
      </c>
      <c r="J897" t="s">
        <v>2559</v>
      </c>
      <c r="K897">
        <v>24</v>
      </c>
      <c r="L897" s="13" t="s">
        <v>257</v>
      </c>
    </row>
    <row r="898" spans="1:12" x14ac:dyDescent="0.25">
      <c r="A898" t="s">
        <v>3572</v>
      </c>
      <c r="B898" t="s">
        <v>236</v>
      </c>
      <c r="C898" t="str">
        <f>_xlfn.XLOOKUP(Table7[[#This Row],[app_id]],Table5[app_id],Table5[app_name],"",0)</f>
        <v>CareCloud</v>
      </c>
      <c r="D898" t="s">
        <v>743</v>
      </c>
      <c r="E898" s="1">
        <v>46044</v>
      </c>
      <c r="F898">
        <v>2</v>
      </c>
      <c r="G898" t="s">
        <v>2844</v>
      </c>
      <c r="H898" t="s">
        <v>2587</v>
      </c>
      <c r="I898" t="s">
        <v>2571</v>
      </c>
      <c r="J898" t="s">
        <v>2559</v>
      </c>
      <c r="K898">
        <v>84</v>
      </c>
      <c r="L898" s="13" t="s">
        <v>257</v>
      </c>
    </row>
    <row r="899" spans="1:12" x14ac:dyDescent="0.25">
      <c r="A899" t="s">
        <v>3573</v>
      </c>
      <c r="B899" t="s">
        <v>238</v>
      </c>
      <c r="C899" t="str">
        <f>_xlfn.XLOOKUP(Table7[[#This Row],[app_id]],Table5[app_id],Table5[app_name],"",0)</f>
        <v>MediNow</v>
      </c>
      <c r="D899" t="s">
        <v>2450</v>
      </c>
      <c r="E899" s="1">
        <v>45664</v>
      </c>
      <c r="F899">
        <v>4</v>
      </c>
      <c r="G899" t="s">
        <v>2716</v>
      </c>
      <c r="H899" t="s">
        <v>2564</v>
      </c>
      <c r="I899" t="s">
        <v>2575</v>
      </c>
      <c r="J899" t="s">
        <v>2556</v>
      </c>
      <c r="K899">
        <v>3</v>
      </c>
      <c r="L899" s="13" t="s">
        <v>257</v>
      </c>
    </row>
    <row r="900" spans="1:12" x14ac:dyDescent="0.25">
      <c r="A900" t="s">
        <v>3574</v>
      </c>
      <c r="B900" t="s">
        <v>240</v>
      </c>
      <c r="C900" t="str">
        <f>_xlfn.XLOOKUP(Table7[[#This Row],[app_id]],Table5[app_id],Table5[app_name],"",0)</f>
        <v>MindPlus</v>
      </c>
      <c r="D900" t="s">
        <v>862</v>
      </c>
      <c r="E900" s="1">
        <v>45585</v>
      </c>
      <c r="F900">
        <v>4</v>
      </c>
      <c r="G900" t="s">
        <v>2722</v>
      </c>
      <c r="H900" t="s">
        <v>2564</v>
      </c>
      <c r="I900" t="s">
        <v>2565</v>
      </c>
      <c r="J900" t="s">
        <v>2596</v>
      </c>
      <c r="K900">
        <v>43</v>
      </c>
      <c r="L900" s="13" t="s">
        <v>257</v>
      </c>
    </row>
    <row r="901" spans="1:12" x14ac:dyDescent="0.25">
      <c r="A901" t="s">
        <v>3575</v>
      </c>
      <c r="B901" t="s">
        <v>242</v>
      </c>
      <c r="C901" t="str">
        <f>_xlfn.XLOOKUP(Table7[[#This Row],[app_id]],Table5[app_id],Table5[app_name],"",0)</f>
        <v>MediCloud</v>
      </c>
      <c r="D901" t="s">
        <v>2483</v>
      </c>
      <c r="E901" s="1">
        <v>45458</v>
      </c>
      <c r="F901">
        <v>5</v>
      </c>
      <c r="G901" t="s">
        <v>2716</v>
      </c>
      <c r="H901" t="s">
        <v>2564</v>
      </c>
      <c r="I901" t="s">
        <v>2575</v>
      </c>
      <c r="J901" t="s">
        <v>2561</v>
      </c>
      <c r="K901">
        <v>47</v>
      </c>
      <c r="L901" s="13" t="s">
        <v>257</v>
      </c>
    </row>
    <row r="902" spans="1:12" x14ac:dyDescent="0.25">
      <c r="A902" t="s">
        <v>3576</v>
      </c>
      <c r="B902" t="s">
        <v>12</v>
      </c>
      <c r="C902" t="str">
        <f>_xlfn.XLOOKUP(Table7[[#This Row],[app_id]],Table5[app_id],Table5[app_name],"",0)</f>
        <v>InvestPro</v>
      </c>
      <c r="D902" t="s">
        <v>1252</v>
      </c>
      <c r="E902" s="1">
        <v>45770</v>
      </c>
      <c r="F902">
        <v>3</v>
      </c>
      <c r="G902" t="s">
        <v>2968</v>
      </c>
      <c r="H902" t="s">
        <v>2554</v>
      </c>
      <c r="I902" t="s">
        <v>2571</v>
      </c>
      <c r="J902" t="s">
        <v>2556</v>
      </c>
      <c r="K902">
        <v>24</v>
      </c>
      <c r="L902" s="13" t="s">
        <v>257</v>
      </c>
    </row>
    <row r="903" spans="1:12" x14ac:dyDescent="0.25">
      <c r="A903" t="s">
        <v>3577</v>
      </c>
      <c r="B903" t="s">
        <v>19</v>
      </c>
      <c r="C903" t="str">
        <f>_xlfn.XLOOKUP(Table7[[#This Row],[app_id]],Table5[app_id],Table5[app_name],"",0)</f>
        <v>BankPro</v>
      </c>
      <c r="D903" t="s">
        <v>2371</v>
      </c>
      <c r="E903" s="1">
        <v>45709</v>
      </c>
      <c r="F903">
        <v>3</v>
      </c>
      <c r="G903" t="s">
        <v>2553</v>
      </c>
      <c r="H903" t="s">
        <v>2554</v>
      </c>
      <c r="I903" t="s">
        <v>2584</v>
      </c>
      <c r="J903" t="s">
        <v>2633</v>
      </c>
      <c r="K903">
        <v>30</v>
      </c>
      <c r="L903" s="13" t="s">
        <v>257</v>
      </c>
    </row>
    <row r="904" spans="1:12" x14ac:dyDescent="0.25">
      <c r="A904" t="s">
        <v>3578</v>
      </c>
      <c r="B904" t="s">
        <v>24</v>
      </c>
      <c r="C904" t="str">
        <f>_xlfn.XLOOKUP(Table7[[#This Row],[app_id]],Table5[app_id],Table5[app_name],"",0)</f>
        <v>BankX</v>
      </c>
      <c r="D904" t="s">
        <v>764</v>
      </c>
      <c r="E904" s="1">
        <v>45752</v>
      </c>
      <c r="F904">
        <v>5</v>
      </c>
      <c r="G904" t="s">
        <v>2580</v>
      </c>
      <c r="H904" t="s">
        <v>2564</v>
      </c>
      <c r="I904" t="s">
        <v>2565</v>
      </c>
      <c r="J904" t="s">
        <v>2566</v>
      </c>
      <c r="K904">
        <v>34</v>
      </c>
      <c r="L904" s="13" t="s">
        <v>257</v>
      </c>
    </row>
    <row r="905" spans="1:12" x14ac:dyDescent="0.25">
      <c r="A905" t="s">
        <v>3579</v>
      </c>
      <c r="B905" t="s">
        <v>27</v>
      </c>
      <c r="C905" t="str">
        <f>_xlfn.XLOOKUP(Table7[[#This Row],[app_id]],Table5[app_id],Table5[app_name],"",0)</f>
        <v>BankNow</v>
      </c>
      <c r="D905" t="s">
        <v>2156</v>
      </c>
      <c r="E905" s="1">
        <v>45639</v>
      </c>
      <c r="F905">
        <v>2</v>
      </c>
      <c r="G905" t="s">
        <v>3385</v>
      </c>
      <c r="H905" t="s">
        <v>2587</v>
      </c>
      <c r="I905" t="s">
        <v>2584</v>
      </c>
      <c r="J905" t="s">
        <v>2556</v>
      </c>
      <c r="K905">
        <v>54</v>
      </c>
      <c r="L905" s="13" t="s">
        <v>258</v>
      </c>
    </row>
    <row r="906" spans="1:12" x14ac:dyDescent="0.25">
      <c r="A906" t="s">
        <v>3580</v>
      </c>
      <c r="B906" t="s">
        <v>31</v>
      </c>
      <c r="C906" t="str">
        <f>_xlfn.XLOOKUP(Table7[[#This Row],[app_id]],Table5[app_id],Table5[app_name],"",0)</f>
        <v>CreditHub</v>
      </c>
      <c r="D906" t="s">
        <v>787</v>
      </c>
      <c r="E906" s="1">
        <v>45368</v>
      </c>
      <c r="F906">
        <v>4</v>
      </c>
      <c r="G906" t="s">
        <v>2580</v>
      </c>
      <c r="H906" t="s">
        <v>2564</v>
      </c>
      <c r="I906" t="s">
        <v>2565</v>
      </c>
      <c r="J906" t="s">
        <v>2561</v>
      </c>
      <c r="K906">
        <v>2</v>
      </c>
      <c r="L906" s="13" t="s">
        <v>257</v>
      </c>
    </row>
    <row r="907" spans="1:12" x14ac:dyDescent="0.25">
      <c r="A907" t="s">
        <v>3581</v>
      </c>
      <c r="B907" t="s">
        <v>36</v>
      </c>
      <c r="C907" t="str">
        <f>_xlfn.XLOOKUP(Table7[[#This Row],[app_id]],Table5[app_id],Table5[app_name],"",0)</f>
        <v>PayPlus</v>
      </c>
      <c r="D907" t="s">
        <v>1734</v>
      </c>
      <c r="E907" s="1">
        <v>45820</v>
      </c>
      <c r="F907">
        <v>5</v>
      </c>
      <c r="G907" t="s">
        <v>2568</v>
      </c>
      <c r="H907" t="s">
        <v>2564</v>
      </c>
      <c r="I907" t="s">
        <v>2555</v>
      </c>
      <c r="J907" t="s">
        <v>2566</v>
      </c>
      <c r="K907">
        <v>9</v>
      </c>
      <c r="L907" s="13" t="s">
        <v>257</v>
      </c>
    </row>
    <row r="908" spans="1:12" x14ac:dyDescent="0.25">
      <c r="A908" t="s">
        <v>3582</v>
      </c>
      <c r="B908" t="s">
        <v>39</v>
      </c>
      <c r="C908" t="str">
        <f>_xlfn.XLOOKUP(Table7[[#This Row],[app_id]],Table5[app_id],Table5[app_name],"",0)</f>
        <v>BankPlus</v>
      </c>
      <c r="D908" t="s">
        <v>1878</v>
      </c>
      <c r="E908" s="1">
        <v>45617</v>
      </c>
      <c r="F908">
        <v>5</v>
      </c>
      <c r="G908" t="s">
        <v>2573</v>
      </c>
      <c r="H908" t="s">
        <v>2564</v>
      </c>
      <c r="I908" t="s">
        <v>2558</v>
      </c>
      <c r="J908" t="s">
        <v>2556</v>
      </c>
      <c r="K908">
        <v>18</v>
      </c>
      <c r="L908" s="13" t="s">
        <v>257</v>
      </c>
    </row>
    <row r="909" spans="1:12" x14ac:dyDescent="0.25">
      <c r="A909" t="s">
        <v>3583</v>
      </c>
      <c r="B909" t="s">
        <v>42</v>
      </c>
      <c r="C909" t="str">
        <f>_xlfn.XLOOKUP(Table7[[#This Row],[app_id]],Table5[app_id],Table5[app_name],"",0)</f>
        <v>CoinPlus</v>
      </c>
      <c r="D909" t="s">
        <v>1479</v>
      </c>
      <c r="E909" s="1">
        <v>46100</v>
      </c>
      <c r="F909">
        <v>4</v>
      </c>
      <c r="G909" t="s">
        <v>2580</v>
      </c>
      <c r="H909" t="s">
        <v>2564</v>
      </c>
      <c r="I909" t="s">
        <v>2575</v>
      </c>
      <c r="J909" t="s">
        <v>2603</v>
      </c>
      <c r="K909">
        <v>40</v>
      </c>
      <c r="L909" s="13" t="s">
        <v>257</v>
      </c>
    </row>
    <row r="910" spans="1:12" x14ac:dyDescent="0.25">
      <c r="A910" t="s">
        <v>3584</v>
      </c>
      <c r="B910" t="s">
        <v>47</v>
      </c>
      <c r="C910" t="str">
        <f>_xlfn.XLOOKUP(Table7[[#This Row],[app_id]],Table5[app_id],Table5[app_name],"",0)</f>
        <v>CreditOne</v>
      </c>
      <c r="D910" t="s">
        <v>2386</v>
      </c>
      <c r="E910" s="1">
        <v>45742</v>
      </c>
      <c r="F910">
        <v>4</v>
      </c>
      <c r="G910" t="s">
        <v>2580</v>
      </c>
      <c r="H910" t="s">
        <v>2564</v>
      </c>
      <c r="I910" t="s">
        <v>2555</v>
      </c>
      <c r="J910" t="s">
        <v>2569</v>
      </c>
      <c r="K910">
        <v>37</v>
      </c>
      <c r="L910" s="13" t="s">
        <v>258</v>
      </c>
    </row>
    <row r="911" spans="1:12" x14ac:dyDescent="0.25">
      <c r="A911" t="s">
        <v>3585</v>
      </c>
      <c r="B911" t="s">
        <v>49</v>
      </c>
      <c r="C911" t="str">
        <f>_xlfn.XLOOKUP(Table7[[#This Row],[app_id]],Table5[app_id],Table5[app_name],"",0)</f>
        <v>PayPro</v>
      </c>
      <c r="D911" t="s">
        <v>869</v>
      </c>
      <c r="E911" s="1">
        <v>46082</v>
      </c>
      <c r="F911">
        <v>3</v>
      </c>
      <c r="G911" t="s">
        <v>2583</v>
      </c>
      <c r="H911" t="s">
        <v>2554</v>
      </c>
      <c r="I911" t="s">
        <v>2578</v>
      </c>
      <c r="J911" t="s">
        <v>2603</v>
      </c>
      <c r="K911">
        <v>14</v>
      </c>
      <c r="L911" s="13" t="s">
        <v>258</v>
      </c>
    </row>
    <row r="912" spans="1:12" x14ac:dyDescent="0.25">
      <c r="A912" t="s">
        <v>3586</v>
      </c>
      <c r="B912" t="s">
        <v>51</v>
      </c>
      <c r="C912" t="str">
        <f>_xlfn.XLOOKUP(Table7[[#This Row],[app_id]],Table5[app_id],Table5[app_name],"",0)</f>
        <v>Creditly</v>
      </c>
      <c r="D912" t="s">
        <v>1074</v>
      </c>
      <c r="E912" s="1">
        <v>45401</v>
      </c>
      <c r="F912">
        <v>4</v>
      </c>
      <c r="G912" t="s">
        <v>2573</v>
      </c>
      <c r="H912" t="s">
        <v>2564</v>
      </c>
      <c r="I912" t="s">
        <v>2555</v>
      </c>
      <c r="J912" t="s">
        <v>2556</v>
      </c>
      <c r="K912">
        <v>12</v>
      </c>
      <c r="L912" s="13" t="s">
        <v>257</v>
      </c>
    </row>
    <row r="913" spans="1:12" x14ac:dyDescent="0.25">
      <c r="A913" t="s">
        <v>3587</v>
      </c>
      <c r="B913" t="s">
        <v>53</v>
      </c>
      <c r="C913" t="str">
        <f>_xlfn.XLOOKUP(Table7[[#This Row],[app_id]],Table5[app_id],Table5[app_name],"",0)</f>
        <v>PayX</v>
      </c>
      <c r="D913" t="s">
        <v>1109</v>
      </c>
      <c r="E913" s="1">
        <v>45603</v>
      </c>
      <c r="F913">
        <v>3</v>
      </c>
      <c r="G913" t="s">
        <v>2553</v>
      </c>
      <c r="H913" t="s">
        <v>2554</v>
      </c>
      <c r="I913" t="s">
        <v>2555</v>
      </c>
      <c r="J913" t="s">
        <v>2603</v>
      </c>
      <c r="K913">
        <v>37</v>
      </c>
      <c r="L913" s="13" t="s">
        <v>257</v>
      </c>
    </row>
    <row r="914" spans="1:12" x14ac:dyDescent="0.25">
      <c r="A914" t="s">
        <v>3588</v>
      </c>
      <c r="B914" t="s">
        <v>56</v>
      </c>
      <c r="C914" t="str">
        <f>_xlfn.XLOOKUP(Table7[[#This Row],[app_id]],Table5[app_id],Table5[app_name],"",0)</f>
        <v>DealGo</v>
      </c>
      <c r="D914" t="s">
        <v>1747</v>
      </c>
      <c r="E914" s="1">
        <v>46002</v>
      </c>
      <c r="F914">
        <v>3</v>
      </c>
      <c r="G914" t="s">
        <v>2748</v>
      </c>
      <c r="H914" t="s">
        <v>2554</v>
      </c>
      <c r="I914" t="s">
        <v>2584</v>
      </c>
      <c r="J914" t="s">
        <v>2556</v>
      </c>
      <c r="K914">
        <v>32</v>
      </c>
      <c r="L914" s="13" t="s">
        <v>257</v>
      </c>
    </row>
    <row r="915" spans="1:12" x14ac:dyDescent="0.25">
      <c r="A915" t="s">
        <v>3589</v>
      </c>
      <c r="B915" t="s">
        <v>62</v>
      </c>
      <c r="C915" t="str">
        <f>_xlfn.XLOOKUP(Table7[[#This Row],[app_id]],Table5[app_id],Table5[app_name],"",0)</f>
        <v>MallNow</v>
      </c>
      <c r="D915" t="s">
        <v>1760</v>
      </c>
      <c r="E915" s="1">
        <v>46061</v>
      </c>
      <c r="F915">
        <v>4</v>
      </c>
      <c r="G915" t="s">
        <v>2598</v>
      </c>
      <c r="H915" t="s">
        <v>2564</v>
      </c>
      <c r="I915" t="s">
        <v>2565</v>
      </c>
      <c r="J915" t="s">
        <v>2596</v>
      </c>
      <c r="K915">
        <v>32</v>
      </c>
      <c r="L915" s="13" t="s">
        <v>258</v>
      </c>
    </row>
    <row r="916" spans="1:12" x14ac:dyDescent="0.25">
      <c r="A916" t="s">
        <v>3590</v>
      </c>
      <c r="B916" t="s">
        <v>65</v>
      </c>
      <c r="C916" t="str">
        <f>_xlfn.XLOOKUP(Table7[[#This Row],[app_id]],Table5[app_id],Table5[app_name],"",0)</f>
        <v>DealPro</v>
      </c>
      <c r="D916" t="s">
        <v>1876</v>
      </c>
      <c r="E916" s="1">
        <v>46079</v>
      </c>
      <c r="F916">
        <v>3</v>
      </c>
      <c r="G916" t="s">
        <v>2609</v>
      </c>
      <c r="H916" t="s">
        <v>2554</v>
      </c>
      <c r="I916" t="s">
        <v>2588</v>
      </c>
      <c r="J916" t="s">
        <v>2569</v>
      </c>
      <c r="K916">
        <v>22</v>
      </c>
      <c r="L916" s="13" t="s">
        <v>257</v>
      </c>
    </row>
    <row r="917" spans="1:12" x14ac:dyDescent="0.25">
      <c r="A917" t="s">
        <v>3591</v>
      </c>
      <c r="B917" t="s">
        <v>67</v>
      </c>
      <c r="C917" t="str">
        <f>_xlfn.XLOOKUP(Table7[[#This Row],[app_id]],Table5[app_id],Table5[app_name],"",0)</f>
        <v>StyleNow</v>
      </c>
      <c r="D917" t="s">
        <v>1360</v>
      </c>
      <c r="E917" s="1">
        <v>45793</v>
      </c>
      <c r="F917">
        <v>3</v>
      </c>
      <c r="G917" t="s">
        <v>2602</v>
      </c>
      <c r="H917" t="s">
        <v>2554</v>
      </c>
      <c r="I917" t="s">
        <v>2578</v>
      </c>
      <c r="J917" t="s">
        <v>2566</v>
      </c>
      <c r="K917">
        <v>20</v>
      </c>
      <c r="L917" s="13" t="s">
        <v>257</v>
      </c>
    </row>
    <row r="918" spans="1:12" x14ac:dyDescent="0.25">
      <c r="A918" t="s">
        <v>3592</v>
      </c>
      <c r="B918" t="s">
        <v>70</v>
      </c>
      <c r="C918" t="str">
        <f>_xlfn.XLOOKUP(Table7[[#This Row],[app_id]],Table5[app_id],Table5[app_name],"",0)</f>
        <v>DealCloud</v>
      </c>
      <c r="D918" t="s">
        <v>1222</v>
      </c>
      <c r="E918" s="1">
        <v>46017</v>
      </c>
      <c r="F918">
        <v>5</v>
      </c>
      <c r="G918" t="s">
        <v>2867</v>
      </c>
      <c r="H918" t="s">
        <v>2564</v>
      </c>
      <c r="I918" t="s">
        <v>2565</v>
      </c>
      <c r="J918" t="s">
        <v>2600</v>
      </c>
      <c r="K918">
        <v>22</v>
      </c>
      <c r="L918" s="13" t="s">
        <v>257</v>
      </c>
    </row>
    <row r="919" spans="1:12" x14ac:dyDescent="0.25">
      <c r="A919" t="s">
        <v>3593</v>
      </c>
      <c r="B919" t="s">
        <v>72</v>
      </c>
      <c r="C919" t="str">
        <f>_xlfn.XLOOKUP(Table7[[#This Row],[app_id]],Table5[app_id],Table5[app_name],"",0)</f>
        <v>CartCloud</v>
      </c>
      <c r="D919" t="s">
        <v>2050</v>
      </c>
      <c r="E919" s="1">
        <v>45654</v>
      </c>
      <c r="F919">
        <v>4</v>
      </c>
      <c r="G919" t="s">
        <v>2590</v>
      </c>
      <c r="H919" t="s">
        <v>2564</v>
      </c>
      <c r="I919" t="s">
        <v>2555</v>
      </c>
      <c r="J919" t="s">
        <v>2556</v>
      </c>
      <c r="K919">
        <v>13</v>
      </c>
      <c r="L919" s="13" t="s">
        <v>257</v>
      </c>
    </row>
    <row r="920" spans="1:12" x14ac:dyDescent="0.25">
      <c r="A920" t="s">
        <v>3594</v>
      </c>
      <c r="B920" t="s">
        <v>74</v>
      </c>
      <c r="C920" t="str">
        <f>_xlfn.XLOOKUP(Table7[[#This Row],[app_id]],Table5[app_id],Table5[app_name],"",0)</f>
        <v>CartMate</v>
      </c>
      <c r="D920" t="s">
        <v>2464</v>
      </c>
      <c r="E920" s="1">
        <v>45986</v>
      </c>
      <c r="F920">
        <v>4</v>
      </c>
      <c r="G920" t="s">
        <v>2590</v>
      </c>
      <c r="H920" t="s">
        <v>2564</v>
      </c>
      <c r="I920" t="s">
        <v>2555</v>
      </c>
      <c r="J920" t="s">
        <v>2600</v>
      </c>
      <c r="K920">
        <v>36</v>
      </c>
      <c r="L920" s="13" t="s">
        <v>258</v>
      </c>
    </row>
    <row r="921" spans="1:12" x14ac:dyDescent="0.25">
      <c r="A921" t="s">
        <v>3595</v>
      </c>
      <c r="B921" t="s">
        <v>76</v>
      </c>
      <c r="C921" t="str">
        <f>_xlfn.XLOOKUP(Table7[[#This Row],[app_id]],Table5[app_id],Table5[app_name],"",0)</f>
        <v>BazaarOne</v>
      </c>
      <c r="D921" t="s">
        <v>2201</v>
      </c>
      <c r="E921" s="1">
        <v>46095</v>
      </c>
      <c r="F921">
        <v>2</v>
      </c>
      <c r="G921" t="s">
        <v>2586</v>
      </c>
      <c r="H921" t="s">
        <v>2587</v>
      </c>
      <c r="I921" t="s">
        <v>2588</v>
      </c>
      <c r="J921" t="s">
        <v>2561</v>
      </c>
      <c r="K921">
        <v>13</v>
      </c>
      <c r="L921" s="13" t="s">
        <v>258</v>
      </c>
    </row>
    <row r="922" spans="1:12" x14ac:dyDescent="0.25">
      <c r="A922" t="s">
        <v>3596</v>
      </c>
      <c r="B922" t="s">
        <v>78</v>
      </c>
      <c r="C922" t="str">
        <f>_xlfn.XLOOKUP(Table7[[#This Row],[app_id]],Table5[app_id],Table5[app_name],"",0)</f>
        <v>StyleOne</v>
      </c>
      <c r="D922" t="s">
        <v>1821</v>
      </c>
      <c r="E922" s="1">
        <v>45562</v>
      </c>
      <c r="F922">
        <v>3</v>
      </c>
      <c r="G922" t="s">
        <v>2748</v>
      </c>
      <c r="H922" t="s">
        <v>2554</v>
      </c>
      <c r="I922" t="s">
        <v>2578</v>
      </c>
      <c r="J922" t="s">
        <v>2566</v>
      </c>
      <c r="K922">
        <v>24</v>
      </c>
      <c r="L922" s="13" t="s">
        <v>257</v>
      </c>
    </row>
    <row r="923" spans="1:12" x14ac:dyDescent="0.25">
      <c r="A923" t="s">
        <v>3597</v>
      </c>
      <c r="B923" t="s">
        <v>80</v>
      </c>
      <c r="C923" t="str">
        <f>_xlfn.XLOOKUP(Table7[[#This Row],[app_id]],Table5[app_id],Table5[app_name],"",0)</f>
        <v>Cartly</v>
      </c>
      <c r="D923" t="s">
        <v>1037</v>
      </c>
      <c r="E923" s="1">
        <v>45941</v>
      </c>
      <c r="F923">
        <v>4</v>
      </c>
      <c r="G923" t="s">
        <v>2867</v>
      </c>
      <c r="H923" t="s">
        <v>2564</v>
      </c>
      <c r="I923" t="s">
        <v>2565</v>
      </c>
      <c r="J923" t="s">
        <v>2600</v>
      </c>
      <c r="K923">
        <v>9</v>
      </c>
      <c r="L923" s="13" t="s">
        <v>258</v>
      </c>
    </row>
    <row r="924" spans="1:12" x14ac:dyDescent="0.25">
      <c r="A924" t="s">
        <v>3598</v>
      </c>
      <c r="B924" t="s">
        <v>83</v>
      </c>
      <c r="C924" t="str">
        <f>_xlfn.XLOOKUP(Table7[[#This Row],[app_id]],Table5[app_id],Table5[app_name],"",0)</f>
        <v>BazaarCloud</v>
      </c>
      <c r="D924" t="s">
        <v>1677</v>
      </c>
      <c r="E924" s="1">
        <v>45913</v>
      </c>
      <c r="F924">
        <v>4</v>
      </c>
      <c r="G924" t="s">
        <v>2590</v>
      </c>
      <c r="H924" t="s">
        <v>2564</v>
      </c>
      <c r="I924" t="s">
        <v>2575</v>
      </c>
      <c r="J924" t="s">
        <v>2561</v>
      </c>
      <c r="K924">
        <v>32</v>
      </c>
      <c r="L924" s="13" t="s">
        <v>257</v>
      </c>
    </row>
    <row r="925" spans="1:12" x14ac:dyDescent="0.25">
      <c r="A925" t="s">
        <v>3599</v>
      </c>
      <c r="B925" t="s">
        <v>85</v>
      </c>
      <c r="C925" t="str">
        <f>_xlfn.XLOOKUP(Table7[[#This Row],[app_id]],Table5[app_id],Table5[app_name],"",0)</f>
        <v>CartPro</v>
      </c>
      <c r="D925" t="s">
        <v>1260</v>
      </c>
      <c r="E925" s="1">
        <v>45419</v>
      </c>
      <c r="F925">
        <v>3</v>
      </c>
      <c r="G925" t="s">
        <v>2594</v>
      </c>
      <c r="H925" t="s">
        <v>2554</v>
      </c>
      <c r="I925" t="s">
        <v>2578</v>
      </c>
      <c r="J925" t="s">
        <v>2556</v>
      </c>
      <c r="K925">
        <v>10</v>
      </c>
      <c r="L925" s="13" t="s">
        <v>257</v>
      </c>
    </row>
    <row r="926" spans="1:12" x14ac:dyDescent="0.25">
      <c r="A926" t="s">
        <v>3600</v>
      </c>
      <c r="B926" t="s">
        <v>87</v>
      </c>
      <c r="C926" t="str">
        <f>_xlfn.XLOOKUP(Table7[[#This Row],[app_id]],Table5[app_id],Table5[app_name],"",0)</f>
        <v>RunPlus</v>
      </c>
      <c r="D926" t="s">
        <v>1208</v>
      </c>
      <c r="E926" s="1">
        <v>46020</v>
      </c>
      <c r="F926">
        <v>4</v>
      </c>
      <c r="G926" t="s">
        <v>2622</v>
      </c>
      <c r="H926" t="s">
        <v>2564</v>
      </c>
      <c r="I926" t="s">
        <v>2565</v>
      </c>
      <c r="J926" t="s">
        <v>2561</v>
      </c>
      <c r="K926">
        <v>45</v>
      </c>
      <c r="L926" s="13" t="s">
        <v>258</v>
      </c>
    </row>
    <row r="927" spans="1:12" x14ac:dyDescent="0.25">
      <c r="A927" t="s">
        <v>3601</v>
      </c>
      <c r="B927" t="s">
        <v>90</v>
      </c>
      <c r="C927" t="str">
        <f>_xlfn.XLOOKUP(Table7[[#This Row],[app_id]],Table5[app_id],Table5[app_name],"",0)</f>
        <v>TrainCloud</v>
      </c>
      <c r="D927" t="s">
        <v>1676</v>
      </c>
      <c r="E927" s="1">
        <v>45785</v>
      </c>
      <c r="F927">
        <v>4</v>
      </c>
      <c r="G927" t="s">
        <v>2622</v>
      </c>
      <c r="H927" t="s">
        <v>2564</v>
      </c>
      <c r="I927" t="s">
        <v>2565</v>
      </c>
      <c r="J927" t="s">
        <v>2566</v>
      </c>
      <c r="K927">
        <v>39</v>
      </c>
      <c r="L927" s="13" t="s">
        <v>257</v>
      </c>
    </row>
    <row r="928" spans="1:12" x14ac:dyDescent="0.25">
      <c r="A928" t="s">
        <v>3602</v>
      </c>
      <c r="B928" t="s">
        <v>92</v>
      </c>
      <c r="C928" t="str">
        <f>_xlfn.XLOOKUP(Table7[[#This Row],[app_id]],Table5[app_id],Table5[app_name],"",0)</f>
        <v>Trainly</v>
      </c>
      <c r="D928" t="s">
        <v>1007</v>
      </c>
      <c r="E928" s="1">
        <v>45709</v>
      </c>
      <c r="F928">
        <v>3</v>
      </c>
      <c r="G928" t="s">
        <v>2615</v>
      </c>
      <c r="H928" t="s">
        <v>2554</v>
      </c>
      <c r="I928" t="s">
        <v>2575</v>
      </c>
      <c r="J928" t="s">
        <v>2566</v>
      </c>
      <c r="K928">
        <v>20</v>
      </c>
      <c r="L928" s="13" t="s">
        <v>257</v>
      </c>
    </row>
    <row r="929" spans="1:12" x14ac:dyDescent="0.25">
      <c r="A929" t="s">
        <v>3603</v>
      </c>
      <c r="B929" t="s">
        <v>94</v>
      </c>
      <c r="C929" t="str">
        <f>_xlfn.XLOOKUP(Table7[[#This Row],[app_id]],Table5[app_id],Table5[app_name],"",0)</f>
        <v>LiftCloud</v>
      </c>
      <c r="D929" t="s">
        <v>1818</v>
      </c>
      <c r="E929" s="1">
        <v>45555</v>
      </c>
      <c r="F929">
        <v>4</v>
      </c>
      <c r="G929" t="s">
        <v>2617</v>
      </c>
      <c r="H929" t="s">
        <v>2564</v>
      </c>
      <c r="I929" t="s">
        <v>2555</v>
      </c>
      <c r="J929" t="s">
        <v>2581</v>
      </c>
      <c r="K929">
        <v>25</v>
      </c>
      <c r="L929" s="13" t="s">
        <v>257</v>
      </c>
    </row>
    <row r="930" spans="1:12" x14ac:dyDescent="0.25">
      <c r="A930" t="s">
        <v>3604</v>
      </c>
      <c r="B930" t="s">
        <v>96</v>
      </c>
      <c r="C930" t="str">
        <f>_xlfn.XLOOKUP(Table7[[#This Row],[app_id]],Table5[app_id],Table5[app_name],"",0)</f>
        <v>MoveNow</v>
      </c>
      <c r="D930" t="s">
        <v>1706</v>
      </c>
      <c r="E930" s="1">
        <v>46129</v>
      </c>
      <c r="F930">
        <v>3</v>
      </c>
      <c r="G930" t="s">
        <v>2620</v>
      </c>
      <c r="H930" t="s">
        <v>2554</v>
      </c>
      <c r="I930" t="s">
        <v>2571</v>
      </c>
      <c r="J930" t="s">
        <v>2556</v>
      </c>
      <c r="K930">
        <v>26</v>
      </c>
      <c r="L930" s="13" t="s">
        <v>257</v>
      </c>
    </row>
    <row r="931" spans="1:12" x14ac:dyDescent="0.25">
      <c r="A931" t="s">
        <v>3605</v>
      </c>
      <c r="B931" t="s">
        <v>98</v>
      </c>
      <c r="C931" t="str">
        <f>_xlfn.XLOOKUP(Table7[[#This Row],[app_id]],Table5[app_id],Table5[app_name],"",0)</f>
        <v>ActiveMate</v>
      </c>
      <c r="D931" t="s">
        <v>575</v>
      </c>
      <c r="E931" s="1">
        <v>46080</v>
      </c>
      <c r="F931">
        <v>4</v>
      </c>
      <c r="G931" t="s">
        <v>2625</v>
      </c>
      <c r="H931" t="s">
        <v>2564</v>
      </c>
      <c r="I931" t="s">
        <v>2575</v>
      </c>
      <c r="J931" t="s">
        <v>2559</v>
      </c>
      <c r="K931">
        <v>31</v>
      </c>
      <c r="L931" s="13" t="s">
        <v>257</v>
      </c>
    </row>
    <row r="932" spans="1:12" x14ac:dyDescent="0.25">
      <c r="A932" t="s">
        <v>3606</v>
      </c>
      <c r="B932" t="s">
        <v>100</v>
      </c>
      <c r="C932" t="str">
        <f>_xlfn.XLOOKUP(Table7[[#This Row],[app_id]],Table5[app_id],Table5[app_name],"",0)</f>
        <v>RunGo</v>
      </c>
      <c r="D932" t="s">
        <v>603</v>
      </c>
      <c r="E932" s="1">
        <v>45978</v>
      </c>
      <c r="F932">
        <v>4</v>
      </c>
      <c r="G932" t="s">
        <v>2613</v>
      </c>
      <c r="H932" t="s">
        <v>2564</v>
      </c>
      <c r="I932" t="s">
        <v>2565</v>
      </c>
      <c r="J932" t="s">
        <v>2556</v>
      </c>
      <c r="K932">
        <v>41</v>
      </c>
      <c r="L932" s="13" t="s">
        <v>257</v>
      </c>
    </row>
    <row r="933" spans="1:12" x14ac:dyDescent="0.25">
      <c r="A933" t="s">
        <v>3607</v>
      </c>
      <c r="B933" t="s">
        <v>102</v>
      </c>
      <c r="C933" t="str">
        <f>_xlfn.XLOOKUP(Table7[[#This Row],[app_id]],Table5[app_id],Table5[app_name],"",0)</f>
        <v>LiftPro</v>
      </c>
      <c r="D933" t="s">
        <v>815</v>
      </c>
      <c r="E933" s="1">
        <v>46075</v>
      </c>
      <c r="F933">
        <v>5</v>
      </c>
      <c r="G933" t="s">
        <v>2613</v>
      </c>
      <c r="H933" t="s">
        <v>2564</v>
      </c>
      <c r="I933" t="s">
        <v>2558</v>
      </c>
      <c r="J933" t="s">
        <v>2561</v>
      </c>
      <c r="K933">
        <v>44</v>
      </c>
      <c r="L933" s="13" t="s">
        <v>257</v>
      </c>
    </row>
    <row r="934" spans="1:12" x14ac:dyDescent="0.25">
      <c r="A934" t="s">
        <v>3608</v>
      </c>
      <c r="B934" t="s">
        <v>104</v>
      </c>
      <c r="C934" t="str">
        <f>_xlfn.XLOOKUP(Table7[[#This Row],[app_id]],Table5[app_id],Table5[app_name],"",0)</f>
        <v>LiftPro</v>
      </c>
      <c r="D934" t="s">
        <v>2291</v>
      </c>
      <c r="E934" s="1">
        <v>45385</v>
      </c>
      <c r="F934">
        <v>4</v>
      </c>
      <c r="G934" t="s">
        <v>2622</v>
      </c>
      <c r="H934" t="s">
        <v>2564</v>
      </c>
      <c r="I934" t="s">
        <v>2555</v>
      </c>
      <c r="J934" t="s">
        <v>2581</v>
      </c>
      <c r="K934">
        <v>40</v>
      </c>
      <c r="L934" s="13" t="s">
        <v>257</v>
      </c>
    </row>
    <row r="935" spans="1:12" x14ac:dyDescent="0.25">
      <c r="A935" t="s">
        <v>3609</v>
      </c>
      <c r="B935" t="s">
        <v>105</v>
      </c>
      <c r="C935" t="str">
        <f>_xlfn.XLOOKUP(Table7[[#This Row],[app_id]],Table5[app_id],Table5[app_name],"",0)</f>
        <v>Liftly</v>
      </c>
      <c r="D935" t="s">
        <v>2005</v>
      </c>
      <c r="E935" s="1">
        <v>45501</v>
      </c>
      <c r="F935">
        <v>4</v>
      </c>
      <c r="G935" t="s">
        <v>2617</v>
      </c>
      <c r="H935" t="s">
        <v>2564</v>
      </c>
      <c r="I935" t="s">
        <v>2575</v>
      </c>
      <c r="J935" t="s">
        <v>2569</v>
      </c>
      <c r="K935">
        <v>21</v>
      </c>
      <c r="L935" s="13" t="s">
        <v>257</v>
      </c>
    </row>
    <row r="936" spans="1:12" x14ac:dyDescent="0.25">
      <c r="A936" t="s">
        <v>3610</v>
      </c>
      <c r="B936" t="s">
        <v>107</v>
      </c>
      <c r="C936" t="str">
        <f>_xlfn.XLOOKUP(Table7[[#This Row],[app_id]],Table5[app_id],Table5[app_name],"",0)</f>
        <v>YogaHub</v>
      </c>
      <c r="D936" t="s">
        <v>1274</v>
      </c>
      <c r="E936" s="1">
        <v>45534</v>
      </c>
      <c r="F936">
        <v>3</v>
      </c>
      <c r="G936" t="s">
        <v>2615</v>
      </c>
      <c r="H936" t="s">
        <v>2554</v>
      </c>
      <c r="I936" t="s">
        <v>2571</v>
      </c>
      <c r="J936" t="s">
        <v>2603</v>
      </c>
      <c r="K936">
        <v>31</v>
      </c>
      <c r="L936" s="13" t="s">
        <v>257</v>
      </c>
    </row>
    <row r="937" spans="1:12" x14ac:dyDescent="0.25">
      <c r="A937" t="s">
        <v>3611</v>
      </c>
      <c r="B937" t="s">
        <v>109</v>
      </c>
      <c r="C937" t="str">
        <f>_xlfn.XLOOKUP(Table7[[#This Row],[app_id]],Table5[app_id],Table5[app_name],"",0)</f>
        <v>MoveGo</v>
      </c>
      <c r="D937" t="s">
        <v>845</v>
      </c>
      <c r="E937" s="1">
        <v>46035</v>
      </c>
      <c r="F937">
        <v>3</v>
      </c>
      <c r="G937" t="s">
        <v>2611</v>
      </c>
      <c r="H937" t="s">
        <v>2554</v>
      </c>
      <c r="I937" t="s">
        <v>2565</v>
      </c>
      <c r="J937" t="s">
        <v>2596</v>
      </c>
      <c r="K937">
        <v>23</v>
      </c>
      <c r="L937" s="13" t="s">
        <v>257</v>
      </c>
    </row>
    <row r="938" spans="1:12" x14ac:dyDescent="0.25">
      <c r="A938" t="s">
        <v>3612</v>
      </c>
      <c r="B938" t="s">
        <v>111</v>
      </c>
      <c r="C938" t="str">
        <f>_xlfn.XLOOKUP(Table7[[#This Row],[app_id]],Table5[app_id],Table5[app_name],"",0)</f>
        <v>BrightNow</v>
      </c>
      <c r="D938" t="s">
        <v>598</v>
      </c>
      <c r="E938" s="1">
        <v>45743</v>
      </c>
      <c r="F938">
        <v>2</v>
      </c>
      <c r="G938" t="s">
        <v>2644</v>
      </c>
      <c r="H938" t="s">
        <v>2587</v>
      </c>
      <c r="I938" t="s">
        <v>2558</v>
      </c>
      <c r="J938" t="s">
        <v>2559</v>
      </c>
      <c r="K938">
        <v>9</v>
      </c>
      <c r="L938" s="13" t="s">
        <v>258</v>
      </c>
    </row>
    <row r="939" spans="1:12" x14ac:dyDescent="0.25">
      <c r="A939" t="s">
        <v>3613</v>
      </c>
      <c r="B939" t="s">
        <v>114</v>
      </c>
      <c r="C939" t="str">
        <f>_xlfn.XLOOKUP(Table7[[#This Row],[app_id]],Table5[app_id],Table5[app_name],"",0)</f>
        <v>StudyCloud</v>
      </c>
      <c r="D939" t="s">
        <v>1886</v>
      </c>
      <c r="E939" s="1">
        <v>45607</v>
      </c>
      <c r="F939">
        <v>3</v>
      </c>
      <c r="G939" t="s">
        <v>2778</v>
      </c>
      <c r="H939" t="s">
        <v>2554</v>
      </c>
      <c r="I939" t="s">
        <v>2588</v>
      </c>
      <c r="J939" t="s">
        <v>2581</v>
      </c>
      <c r="K939">
        <v>8</v>
      </c>
      <c r="L939" s="13" t="s">
        <v>257</v>
      </c>
    </row>
    <row r="940" spans="1:12" x14ac:dyDescent="0.25">
      <c r="A940" t="s">
        <v>3614</v>
      </c>
      <c r="B940" t="s">
        <v>116</v>
      </c>
      <c r="C940" t="str">
        <f>_xlfn.XLOOKUP(Table7[[#This Row],[app_id]],Table5[app_id],Table5[app_name],"",0)</f>
        <v>SkillNow</v>
      </c>
      <c r="D940" t="s">
        <v>2479</v>
      </c>
      <c r="E940" s="1">
        <v>45645</v>
      </c>
      <c r="F940">
        <v>4</v>
      </c>
      <c r="G940" t="s">
        <v>2640</v>
      </c>
      <c r="H940" t="s">
        <v>2564</v>
      </c>
      <c r="I940" t="s">
        <v>2565</v>
      </c>
      <c r="J940" t="s">
        <v>2559</v>
      </c>
      <c r="K940">
        <v>3</v>
      </c>
      <c r="L940" s="13" t="s">
        <v>258</v>
      </c>
    </row>
    <row r="941" spans="1:12" x14ac:dyDescent="0.25">
      <c r="A941" t="s">
        <v>3615</v>
      </c>
      <c r="B941" t="s">
        <v>118</v>
      </c>
      <c r="C941" t="str">
        <f>_xlfn.XLOOKUP(Table7[[#This Row],[app_id]],Table5[app_id],Table5[app_name],"",0)</f>
        <v>LearnMate</v>
      </c>
      <c r="D941" t="s">
        <v>2159</v>
      </c>
      <c r="E941" s="1">
        <v>45671</v>
      </c>
      <c r="F941">
        <v>3</v>
      </c>
      <c r="G941" t="s">
        <v>2889</v>
      </c>
      <c r="H941" t="s">
        <v>2554</v>
      </c>
      <c r="I941" t="s">
        <v>2555</v>
      </c>
      <c r="J941" t="s">
        <v>2581</v>
      </c>
      <c r="K941">
        <v>24</v>
      </c>
      <c r="L941" s="13" t="s">
        <v>257</v>
      </c>
    </row>
    <row r="942" spans="1:12" x14ac:dyDescent="0.25">
      <c r="A942" t="s">
        <v>3616</v>
      </c>
      <c r="B942" t="s">
        <v>120</v>
      </c>
      <c r="C942" t="str">
        <f>_xlfn.XLOOKUP(Table7[[#This Row],[app_id]],Table5[app_id],Table5[app_name],"",0)</f>
        <v>QuestNow</v>
      </c>
      <c r="D942" t="s">
        <v>919</v>
      </c>
      <c r="E942" s="1">
        <v>45662</v>
      </c>
      <c r="F942">
        <v>2</v>
      </c>
      <c r="G942" t="s">
        <v>3107</v>
      </c>
      <c r="H942" t="s">
        <v>2587</v>
      </c>
      <c r="I942" t="s">
        <v>2571</v>
      </c>
      <c r="J942" t="s">
        <v>2600</v>
      </c>
      <c r="K942">
        <v>9</v>
      </c>
      <c r="L942" s="13" t="s">
        <v>258</v>
      </c>
    </row>
    <row r="943" spans="1:12" x14ac:dyDescent="0.25">
      <c r="A943" t="s">
        <v>3617</v>
      </c>
      <c r="B943" t="s">
        <v>122</v>
      </c>
      <c r="C943" t="str">
        <f>_xlfn.XLOOKUP(Table7[[#This Row],[app_id]],Table5[app_id],Table5[app_name],"",0)</f>
        <v>SkillHub</v>
      </c>
      <c r="D943" t="s">
        <v>1798</v>
      </c>
      <c r="E943" s="1">
        <v>45738</v>
      </c>
      <c r="F943">
        <v>4</v>
      </c>
      <c r="G943" t="s">
        <v>2635</v>
      </c>
      <c r="H943" t="s">
        <v>2564</v>
      </c>
      <c r="I943" t="s">
        <v>2565</v>
      </c>
      <c r="J943" t="s">
        <v>2596</v>
      </c>
      <c r="K943">
        <v>46</v>
      </c>
      <c r="L943" s="13" t="s">
        <v>258</v>
      </c>
    </row>
    <row r="944" spans="1:12" x14ac:dyDescent="0.25">
      <c r="A944" t="s">
        <v>3618</v>
      </c>
      <c r="B944" t="s">
        <v>124</v>
      </c>
      <c r="C944" t="str">
        <f>_xlfn.XLOOKUP(Table7[[#This Row],[app_id]],Table5[app_id],Table5[app_name],"",0)</f>
        <v>TutorCloud</v>
      </c>
      <c r="D944" t="s">
        <v>2338</v>
      </c>
      <c r="E944" s="1">
        <v>45787</v>
      </c>
      <c r="F944">
        <v>2</v>
      </c>
      <c r="G944" t="s">
        <v>2632</v>
      </c>
      <c r="H944" t="s">
        <v>2587</v>
      </c>
      <c r="I944" t="s">
        <v>2578</v>
      </c>
      <c r="J944" t="s">
        <v>2566</v>
      </c>
      <c r="K944">
        <v>20</v>
      </c>
      <c r="L944" s="13" t="s">
        <v>258</v>
      </c>
    </row>
    <row r="945" spans="1:12" x14ac:dyDescent="0.25">
      <c r="A945" t="s">
        <v>3619</v>
      </c>
      <c r="B945" t="s">
        <v>126</v>
      </c>
      <c r="C945" t="str">
        <f>_xlfn.XLOOKUP(Table7[[#This Row],[app_id]],Table5[app_id],Table5[app_name],"",0)</f>
        <v>SkillOne</v>
      </c>
      <c r="D945" t="s">
        <v>665</v>
      </c>
      <c r="E945" s="1">
        <v>45552</v>
      </c>
      <c r="F945">
        <v>3</v>
      </c>
      <c r="G945" t="s">
        <v>2778</v>
      </c>
      <c r="H945" t="s">
        <v>2554</v>
      </c>
      <c r="I945" t="s">
        <v>2588</v>
      </c>
      <c r="J945" t="s">
        <v>2559</v>
      </c>
      <c r="K945">
        <v>24</v>
      </c>
      <c r="L945" s="13" t="s">
        <v>258</v>
      </c>
    </row>
    <row r="946" spans="1:12" x14ac:dyDescent="0.25">
      <c r="A946" t="s">
        <v>3620</v>
      </c>
      <c r="B946" t="s">
        <v>128</v>
      </c>
      <c r="C946" t="str">
        <f>_xlfn.XLOOKUP(Table7[[#This Row],[app_id]],Table5[app_id],Table5[app_name],"",0)</f>
        <v>LearnOne</v>
      </c>
      <c r="D946" t="s">
        <v>2197</v>
      </c>
      <c r="E946" s="1">
        <v>46059</v>
      </c>
      <c r="F946">
        <v>3</v>
      </c>
      <c r="G946" t="s">
        <v>2889</v>
      </c>
      <c r="H946" t="s">
        <v>2554</v>
      </c>
      <c r="I946" t="s">
        <v>2578</v>
      </c>
      <c r="J946" t="s">
        <v>2556</v>
      </c>
      <c r="K946">
        <v>22</v>
      </c>
      <c r="L946" s="13" t="s">
        <v>257</v>
      </c>
    </row>
    <row r="947" spans="1:12" x14ac:dyDescent="0.25">
      <c r="A947" t="s">
        <v>3621</v>
      </c>
      <c r="B947" t="s">
        <v>130</v>
      </c>
      <c r="C947" t="str">
        <f>_xlfn.XLOOKUP(Table7[[#This Row],[app_id]],Table5[app_id],Table5[app_name],"",0)</f>
        <v>LearnPlus</v>
      </c>
      <c r="D947" t="s">
        <v>976</v>
      </c>
      <c r="E947" s="1">
        <v>45567</v>
      </c>
      <c r="F947">
        <v>3</v>
      </c>
      <c r="G947" t="s">
        <v>2773</v>
      </c>
      <c r="H947" t="s">
        <v>2554</v>
      </c>
      <c r="I947" t="s">
        <v>2571</v>
      </c>
      <c r="J947" t="s">
        <v>2561</v>
      </c>
      <c r="K947">
        <v>9</v>
      </c>
      <c r="L947" s="13" t="s">
        <v>257</v>
      </c>
    </row>
    <row r="948" spans="1:12" x14ac:dyDescent="0.25">
      <c r="A948" t="s">
        <v>3622</v>
      </c>
      <c r="B948" t="s">
        <v>132</v>
      </c>
      <c r="C948" t="str">
        <f>_xlfn.XLOOKUP(Table7[[#This Row],[app_id]],Table5[app_id],Table5[app_name],"",0)</f>
        <v>StudyPlus</v>
      </c>
      <c r="D948" t="s">
        <v>1625</v>
      </c>
      <c r="E948" s="1">
        <v>45344</v>
      </c>
      <c r="F948">
        <v>3</v>
      </c>
      <c r="G948" t="s">
        <v>2773</v>
      </c>
      <c r="H948" t="s">
        <v>2554</v>
      </c>
      <c r="I948" t="s">
        <v>2575</v>
      </c>
      <c r="J948" t="s">
        <v>2566</v>
      </c>
      <c r="K948">
        <v>29</v>
      </c>
      <c r="L948" s="13" t="s">
        <v>257</v>
      </c>
    </row>
    <row r="949" spans="1:12" x14ac:dyDescent="0.25">
      <c r="A949" t="s">
        <v>3623</v>
      </c>
      <c r="B949" t="s">
        <v>134</v>
      </c>
      <c r="C949" t="str">
        <f>_xlfn.XLOOKUP(Table7[[#This Row],[app_id]],Table5[app_id],Table5[app_name],"",0)</f>
        <v>StudyX</v>
      </c>
      <c r="D949" t="s">
        <v>1927</v>
      </c>
      <c r="E949" s="1">
        <v>45728</v>
      </c>
      <c r="F949">
        <v>5</v>
      </c>
      <c r="G949" t="s">
        <v>2638</v>
      </c>
      <c r="H949" t="s">
        <v>2564</v>
      </c>
      <c r="I949" t="s">
        <v>2555</v>
      </c>
      <c r="J949" t="s">
        <v>2556</v>
      </c>
      <c r="K949">
        <v>8</v>
      </c>
      <c r="L949" s="13" t="s">
        <v>258</v>
      </c>
    </row>
    <row r="950" spans="1:12" x14ac:dyDescent="0.25">
      <c r="A950" t="s">
        <v>3624</v>
      </c>
      <c r="B950" t="s">
        <v>136</v>
      </c>
      <c r="C950" t="str">
        <f>_xlfn.XLOOKUP(Table7[[#This Row],[app_id]],Table5[app_id],Table5[app_name],"",0)</f>
        <v>PlayPlus</v>
      </c>
      <c r="D950" t="s">
        <v>2038</v>
      </c>
      <c r="E950" s="1">
        <v>46060</v>
      </c>
      <c r="F950">
        <v>3</v>
      </c>
      <c r="G950" t="s">
        <v>2791</v>
      </c>
      <c r="H950" t="s">
        <v>2554</v>
      </c>
      <c r="I950" t="s">
        <v>2578</v>
      </c>
      <c r="J950" t="s">
        <v>2566</v>
      </c>
      <c r="K950">
        <v>30</v>
      </c>
      <c r="L950" s="13" t="s">
        <v>258</v>
      </c>
    </row>
    <row r="951" spans="1:12" x14ac:dyDescent="0.25">
      <c r="A951" t="s">
        <v>3625</v>
      </c>
      <c r="B951" t="s">
        <v>139</v>
      </c>
      <c r="C951" t="str">
        <f>_xlfn.XLOOKUP(Table7[[#This Row],[app_id]],Table5[app_id],Table5[app_name],"",0)</f>
        <v>ShowMate</v>
      </c>
      <c r="D951" t="s">
        <v>2314</v>
      </c>
      <c r="E951" s="1">
        <v>45947</v>
      </c>
      <c r="F951">
        <v>3</v>
      </c>
      <c r="G951" t="s">
        <v>2655</v>
      </c>
      <c r="H951" t="s">
        <v>2554</v>
      </c>
      <c r="I951" t="s">
        <v>2565</v>
      </c>
      <c r="J951" t="s">
        <v>2603</v>
      </c>
      <c r="K951">
        <v>19</v>
      </c>
      <c r="L951" s="13" t="s">
        <v>257</v>
      </c>
    </row>
    <row r="952" spans="1:12" x14ac:dyDescent="0.25">
      <c r="A952" t="s">
        <v>3626</v>
      </c>
      <c r="B952" t="s">
        <v>141</v>
      </c>
      <c r="C952" t="str">
        <f>_xlfn.XLOOKUP(Table7[[#This Row],[app_id]],Table5[app_id],Table5[app_name],"",0)</f>
        <v>VibeX</v>
      </c>
      <c r="D952" t="s">
        <v>1771</v>
      </c>
      <c r="E952" s="1">
        <v>45306</v>
      </c>
      <c r="F952">
        <v>3</v>
      </c>
      <c r="G952" t="s">
        <v>2793</v>
      </c>
      <c r="H952" t="s">
        <v>2554</v>
      </c>
      <c r="I952" t="s">
        <v>2565</v>
      </c>
      <c r="J952" t="s">
        <v>2600</v>
      </c>
      <c r="K952">
        <v>41</v>
      </c>
      <c r="L952" s="13" t="s">
        <v>257</v>
      </c>
    </row>
    <row r="953" spans="1:12" x14ac:dyDescent="0.25">
      <c r="A953" t="s">
        <v>3627</v>
      </c>
      <c r="B953" t="s">
        <v>143</v>
      </c>
      <c r="C953" t="str">
        <f>_xlfn.XLOOKUP(Table7[[#This Row],[app_id]],Table5[app_id],Table5[app_name],"",0)</f>
        <v>BuzzNow</v>
      </c>
      <c r="D953" t="s">
        <v>1164</v>
      </c>
      <c r="E953" s="1">
        <v>45732</v>
      </c>
      <c r="F953">
        <v>4</v>
      </c>
      <c r="G953" t="s">
        <v>2905</v>
      </c>
      <c r="H953" t="s">
        <v>2564</v>
      </c>
      <c r="I953" t="s">
        <v>2575</v>
      </c>
      <c r="J953" t="s">
        <v>2556</v>
      </c>
      <c r="K953">
        <v>21</v>
      </c>
      <c r="L953" s="13" t="s">
        <v>257</v>
      </c>
    </row>
    <row r="954" spans="1:12" x14ac:dyDescent="0.25">
      <c r="A954" t="s">
        <v>3628</v>
      </c>
      <c r="B954" t="s">
        <v>145</v>
      </c>
      <c r="C954" t="str">
        <f>_xlfn.XLOOKUP(Table7[[#This Row],[app_id]],Table5[app_id],Table5[app_name],"",0)</f>
        <v>StreamPlus</v>
      </c>
      <c r="D954" t="s">
        <v>699</v>
      </c>
      <c r="E954" s="1">
        <v>45544</v>
      </c>
      <c r="F954">
        <v>4</v>
      </c>
      <c r="G954" t="s">
        <v>2789</v>
      </c>
      <c r="H954" t="s">
        <v>2564</v>
      </c>
      <c r="I954" t="s">
        <v>2555</v>
      </c>
      <c r="J954" t="s">
        <v>2566</v>
      </c>
      <c r="K954">
        <v>28</v>
      </c>
      <c r="L954" s="13" t="s">
        <v>257</v>
      </c>
    </row>
    <row r="955" spans="1:12" x14ac:dyDescent="0.25">
      <c r="A955" t="s">
        <v>3629</v>
      </c>
      <c r="B955" t="s">
        <v>147</v>
      </c>
      <c r="C955" t="str">
        <f>_xlfn.XLOOKUP(Table7[[#This Row],[app_id]],Table5[app_id],Table5[app_name],"",0)</f>
        <v>Showly</v>
      </c>
      <c r="D955" t="s">
        <v>2358</v>
      </c>
      <c r="E955" s="1">
        <v>45515</v>
      </c>
      <c r="F955">
        <v>2</v>
      </c>
      <c r="G955" t="s">
        <v>2907</v>
      </c>
      <c r="H955" t="s">
        <v>2587</v>
      </c>
      <c r="I955" t="s">
        <v>2558</v>
      </c>
      <c r="J955" t="s">
        <v>2569</v>
      </c>
      <c r="K955">
        <v>38</v>
      </c>
      <c r="L955" s="13" t="s">
        <v>257</v>
      </c>
    </row>
    <row r="956" spans="1:12" x14ac:dyDescent="0.25">
      <c r="A956" t="s">
        <v>3630</v>
      </c>
      <c r="B956" t="s">
        <v>149</v>
      </c>
      <c r="C956" t="str">
        <f>_xlfn.XLOOKUP(Table7[[#This Row],[app_id]],Table5[app_id],Table5[app_name],"",0)</f>
        <v>BuzzOne</v>
      </c>
      <c r="D956" t="s">
        <v>863</v>
      </c>
      <c r="E956" s="1">
        <v>45722</v>
      </c>
      <c r="F956">
        <v>4</v>
      </c>
      <c r="G956" t="s">
        <v>2789</v>
      </c>
      <c r="H956" t="s">
        <v>2564</v>
      </c>
      <c r="I956" t="s">
        <v>2558</v>
      </c>
      <c r="J956" t="s">
        <v>2561</v>
      </c>
      <c r="K956">
        <v>1</v>
      </c>
      <c r="L956" s="13" t="s">
        <v>258</v>
      </c>
    </row>
    <row r="957" spans="1:12" x14ac:dyDescent="0.25">
      <c r="A957" t="s">
        <v>3631</v>
      </c>
      <c r="B957" t="s">
        <v>151</v>
      </c>
      <c r="C957" t="str">
        <f>_xlfn.XLOOKUP(Table7[[#This Row],[app_id]],Table5[app_id],Table5[app_name],"",0)</f>
        <v>PlayHub</v>
      </c>
      <c r="D957" t="s">
        <v>1253</v>
      </c>
      <c r="E957" s="1">
        <v>45430</v>
      </c>
      <c r="F957">
        <v>4</v>
      </c>
      <c r="G957" t="s">
        <v>2652</v>
      </c>
      <c r="H957" t="s">
        <v>2564</v>
      </c>
      <c r="I957" t="s">
        <v>2571</v>
      </c>
      <c r="J957" t="s">
        <v>2581</v>
      </c>
      <c r="K957">
        <v>20</v>
      </c>
      <c r="L957" s="13" t="s">
        <v>257</v>
      </c>
    </row>
    <row r="958" spans="1:12" x14ac:dyDescent="0.25">
      <c r="A958" t="s">
        <v>3632</v>
      </c>
      <c r="B958" t="s">
        <v>153</v>
      </c>
      <c r="C958" t="str">
        <f>_xlfn.XLOOKUP(Table7[[#This Row],[app_id]],Table5[app_id],Table5[app_name],"",0)</f>
        <v>CinemaGo</v>
      </c>
      <c r="D958" t="s">
        <v>1096</v>
      </c>
      <c r="E958" s="1">
        <v>46002</v>
      </c>
      <c r="F958">
        <v>4</v>
      </c>
      <c r="G958" t="s">
        <v>2789</v>
      </c>
      <c r="H958" t="s">
        <v>2564</v>
      </c>
      <c r="I958" t="s">
        <v>2565</v>
      </c>
      <c r="J958" t="s">
        <v>2569</v>
      </c>
      <c r="K958">
        <v>1</v>
      </c>
      <c r="L958" s="13" t="s">
        <v>257</v>
      </c>
    </row>
    <row r="959" spans="1:12" x14ac:dyDescent="0.25">
      <c r="A959" t="s">
        <v>3633</v>
      </c>
      <c r="B959" t="s">
        <v>155</v>
      </c>
      <c r="C959" t="str">
        <f>_xlfn.XLOOKUP(Table7[[#This Row],[app_id]],Table5[app_id],Table5[app_name],"",0)</f>
        <v>LaughX</v>
      </c>
      <c r="D959" t="s">
        <v>1313</v>
      </c>
      <c r="E959" s="1">
        <v>45789</v>
      </c>
      <c r="F959">
        <v>3</v>
      </c>
      <c r="G959" t="s">
        <v>2791</v>
      </c>
      <c r="H959" t="s">
        <v>2554</v>
      </c>
      <c r="I959" t="s">
        <v>2571</v>
      </c>
      <c r="J959" t="s">
        <v>2561</v>
      </c>
      <c r="K959">
        <v>1</v>
      </c>
      <c r="L959" s="13" t="s">
        <v>258</v>
      </c>
    </row>
    <row r="960" spans="1:12" x14ac:dyDescent="0.25">
      <c r="A960" t="s">
        <v>3634</v>
      </c>
      <c r="B960" t="s">
        <v>157</v>
      </c>
      <c r="C960" t="str">
        <f>_xlfn.XLOOKUP(Table7[[#This Row],[app_id]],Table5[app_id],Table5[app_name],"",0)</f>
        <v>CinemaHub</v>
      </c>
      <c r="D960" t="s">
        <v>1645</v>
      </c>
      <c r="E960" s="1">
        <v>45694</v>
      </c>
      <c r="F960">
        <v>3</v>
      </c>
      <c r="G960" t="s">
        <v>2793</v>
      </c>
      <c r="H960" t="s">
        <v>2554</v>
      </c>
      <c r="I960" t="s">
        <v>2565</v>
      </c>
      <c r="J960" t="s">
        <v>2569</v>
      </c>
      <c r="K960">
        <v>45</v>
      </c>
      <c r="L960" s="13" t="s">
        <v>257</v>
      </c>
    </row>
    <row r="961" spans="1:12" x14ac:dyDescent="0.25">
      <c r="A961" t="s">
        <v>3635</v>
      </c>
      <c r="B961" t="s">
        <v>159</v>
      </c>
      <c r="C961" t="str">
        <f>_xlfn.XLOOKUP(Table7[[#This Row],[app_id]],Table5[app_id],Table5[app_name],"",0)</f>
        <v>ShowPro</v>
      </c>
      <c r="D961" t="s">
        <v>727</v>
      </c>
      <c r="E961" s="1">
        <v>45867</v>
      </c>
      <c r="F961">
        <v>5</v>
      </c>
      <c r="G961" t="s">
        <v>2650</v>
      </c>
      <c r="H961" t="s">
        <v>2564</v>
      </c>
      <c r="I961" t="s">
        <v>2558</v>
      </c>
      <c r="J961" t="s">
        <v>2556</v>
      </c>
      <c r="K961">
        <v>19</v>
      </c>
      <c r="L961" s="13" t="s">
        <v>257</v>
      </c>
    </row>
    <row r="962" spans="1:12" x14ac:dyDescent="0.25">
      <c r="A962" t="s">
        <v>3636</v>
      </c>
      <c r="B962" t="s">
        <v>161</v>
      </c>
      <c r="C962" t="str">
        <f>_xlfn.XLOOKUP(Table7[[#This Row],[app_id]],Table5[app_id],Table5[app_name],"",0)</f>
        <v>FoodPlus</v>
      </c>
      <c r="D962" t="s">
        <v>800</v>
      </c>
      <c r="E962" s="1">
        <v>45428</v>
      </c>
      <c r="F962">
        <v>5</v>
      </c>
      <c r="G962" t="s">
        <v>2676</v>
      </c>
      <c r="H962" t="s">
        <v>2564</v>
      </c>
      <c r="I962" t="s">
        <v>2558</v>
      </c>
      <c r="J962" t="s">
        <v>2561</v>
      </c>
      <c r="K962">
        <v>19</v>
      </c>
      <c r="L962" s="13" t="s">
        <v>257</v>
      </c>
    </row>
    <row r="963" spans="1:12" x14ac:dyDescent="0.25">
      <c r="A963" t="s">
        <v>3637</v>
      </c>
      <c r="B963" t="s">
        <v>164</v>
      </c>
      <c r="C963" t="str">
        <f>_xlfn.XLOOKUP(Table7[[#This Row],[app_id]],Table5[app_id],Table5[app_name],"",0)</f>
        <v>BiteGo</v>
      </c>
      <c r="D963" t="s">
        <v>1040</v>
      </c>
      <c r="E963" s="1">
        <v>46070</v>
      </c>
      <c r="F963">
        <v>4</v>
      </c>
      <c r="G963" t="s">
        <v>2679</v>
      </c>
      <c r="H963" t="s">
        <v>2564</v>
      </c>
      <c r="I963" t="s">
        <v>2575</v>
      </c>
      <c r="J963" t="s">
        <v>2559</v>
      </c>
      <c r="K963">
        <v>27</v>
      </c>
      <c r="L963" s="13" t="s">
        <v>257</v>
      </c>
    </row>
    <row r="964" spans="1:12" x14ac:dyDescent="0.25">
      <c r="A964" t="s">
        <v>3638</v>
      </c>
      <c r="B964" t="s">
        <v>166</v>
      </c>
      <c r="C964" t="str">
        <f>_xlfn.XLOOKUP(Table7[[#This Row],[app_id]],Table5[app_id],Table5[app_name],"",0)</f>
        <v>OrderCloud</v>
      </c>
      <c r="D964" t="s">
        <v>1516</v>
      </c>
      <c r="E964" s="1">
        <v>45935</v>
      </c>
      <c r="F964">
        <v>3</v>
      </c>
      <c r="G964" t="s">
        <v>2670</v>
      </c>
      <c r="H964" t="s">
        <v>2554</v>
      </c>
      <c r="I964" t="s">
        <v>2584</v>
      </c>
      <c r="J964" t="s">
        <v>2561</v>
      </c>
      <c r="K964">
        <v>7</v>
      </c>
      <c r="L964" s="13" t="s">
        <v>258</v>
      </c>
    </row>
    <row r="965" spans="1:12" x14ac:dyDescent="0.25">
      <c r="A965" t="s">
        <v>3639</v>
      </c>
      <c r="B965" t="s">
        <v>168</v>
      </c>
      <c r="C965" t="str">
        <f>_xlfn.XLOOKUP(Table7[[#This Row],[app_id]],Table5[app_id],Table5[app_name],"",0)</f>
        <v>DinePlus</v>
      </c>
      <c r="D965" t="s">
        <v>1774</v>
      </c>
      <c r="E965" s="1">
        <v>45873</v>
      </c>
      <c r="F965">
        <v>4</v>
      </c>
      <c r="G965" t="s">
        <v>2806</v>
      </c>
      <c r="H965" t="s">
        <v>2564</v>
      </c>
      <c r="I965" t="s">
        <v>2555</v>
      </c>
      <c r="J965" t="s">
        <v>2556</v>
      </c>
      <c r="K965">
        <v>45</v>
      </c>
      <c r="L965" s="13" t="s">
        <v>257</v>
      </c>
    </row>
    <row r="966" spans="1:12" x14ac:dyDescent="0.25">
      <c r="A966" t="s">
        <v>3640</v>
      </c>
      <c r="B966" t="s">
        <v>170</v>
      </c>
      <c r="C966" t="str">
        <f>_xlfn.XLOOKUP(Table7[[#This Row],[app_id]],Table5[app_id],Table5[app_name],"",0)</f>
        <v>SnackX</v>
      </c>
      <c r="D966" t="s">
        <v>2040</v>
      </c>
      <c r="E966" s="1">
        <v>45975</v>
      </c>
      <c r="F966">
        <v>4</v>
      </c>
      <c r="G966" t="s">
        <v>2679</v>
      </c>
      <c r="H966" t="s">
        <v>2564</v>
      </c>
      <c r="I966" t="s">
        <v>2575</v>
      </c>
      <c r="J966" t="s">
        <v>2556</v>
      </c>
      <c r="K966">
        <v>40</v>
      </c>
      <c r="L966" s="13" t="s">
        <v>257</v>
      </c>
    </row>
    <row r="967" spans="1:12" x14ac:dyDescent="0.25">
      <c r="A967" t="s">
        <v>3641</v>
      </c>
      <c r="B967" t="s">
        <v>172</v>
      </c>
      <c r="C967" t="str">
        <f>_xlfn.XLOOKUP(Table7[[#This Row],[app_id]],Table5[app_id],Table5[app_name],"",0)</f>
        <v>FoodOne</v>
      </c>
      <c r="D967" t="s">
        <v>1055</v>
      </c>
      <c r="E967" s="1">
        <v>45990</v>
      </c>
      <c r="F967">
        <v>5</v>
      </c>
      <c r="G967" t="s">
        <v>2676</v>
      </c>
      <c r="H967" t="s">
        <v>2564</v>
      </c>
      <c r="I967" t="s">
        <v>2555</v>
      </c>
      <c r="J967" t="s">
        <v>2600</v>
      </c>
      <c r="K967">
        <v>16</v>
      </c>
      <c r="L967" s="13" t="s">
        <v>257</v>
      </c>
    </row>
    <row r="968" spans="1:12" x14ac:dyDescent="0.25">
      <c r="A968" t="s">
        <v>3642</v>
      </c>
      <c r="B968" t="s">
        <v>174</v>
      </c>
      <c r="C968" t="str">
        <f>_xlfn.XLOOKUP(Table7[[#This Row],[app_id]],Table5[app_id],Table5[app_name],"",0)</f>
        <v>MealMate</v>
      </c>
      <c r="D968" t="s">
        <v>2533</v>
      </c>
      <c r="E968" s="1">
        <v>45363</v>
      </c>
      <c r="F968">
        <v>4</v>
      </c>
      <c r="G968" t="s">
        <v>2806</v>
      </c>
      <c r="H968" t="s">
        <v>2564</v>
      </c>
      <c r="I968" t="s">
        <v>2565</v>
      </c>
      <c r="J968" t="s">
        <v>2559</v>
      </c>
      <c r="K968">
        <v>41</v>
      </c>
      <c r="L968" s="13" t="s">
        <v>257</v>
      </c>
    </row>
    <row r="969" spans="1:12" x14ac:dyDescent="0.25">
      <c r="A969" t="s">
        <v>3643</v>
      </c>
      <c r="B969" t="s">
        <v>176</v>
      </c>
      <c r="C969" t="str">
        <f>_xlfn.XLOOKUP(Table7[[#This Row],[app_id]],Table5[app_id],Table5[app_name],"",0)</f>
        <v>SnackHub</v>
      </c>
      <c r="D969" t="s">
        <v>2238</v>
      </c>
      <c r="E969" s="1">
        <v>45458</v>
      </c>
      <c r="F969">
        <v>3</v>
      </c>
      <c r="G969" t="s">
        <v>2670</v>
      </c>
      <c r="H969" t="s">
        <v>2554</v>
      </c>
      <c r="I969" t="s">
        <v>2578</v>
      </c>
      <c r="J969" t="s">
        <v>2581</v>
      </c>
      <c r="K969">
        <v>35</v>
      </c>
      <c r="L969" s="13" t="s">
        <v>258</v>
      </c>
    </row>
    <row r="970" spans="1:12" x14ac:dyDescent="0.25">
      <c r="A970" t="s">
        <v>3644</v>
      </c>
      <c r="B970" t="s">
        <v>178</v>
      </c>
      <c r="C970" t="str">
        <f>_xlfn.XLOOKUP(Table7[[#This Row],[app_id]],Table5[app_id],Table5[app_name],"",0)</f>
        <v>BiteCloud</v>
      </c>
      <c r="D970" t="s">
        <v>1699</v>
      </c>
      <c r="E970" s="1">
        <v>45452</v>
      </c>
      <c r="F970">
        <v>5</v>
      </c>
      <c r="G970" t="s">
        <v>2674</v>
      </c>
      <c r="H970" t="s">
        <v>2564</v>
      </c>
      <c r="I970" t="s">
        <v>2558</v>
      </c>
      <c r="J970" t="s">
        <v>2600</v>
      </c>
      <c r="K970">
        <v>7</v>
      </c>
      <c r="L970" s="13" t="s">
        <v>257</v>
      </c>
    </row>
    <row r="971" spans="1:12" x14ac:dyDescent="0.25">
      <c r="A971" t="s">
        <v>3645</v>
      </c>
      <c r="B971" t="s">
        <v>180</v>
      </c>
      <c r="C971" t="str">
        <f>_xlfn.XLOOKUP(Table7[[#This Row],[app_id]],Table5[app_id],Table5[app_name],"",0)</f>
        <v>PlatePlus</v>
      </c>
      <c r="D971" t="s">
        <v>2532</v>
      </c>
      <c r="E971" s="1">
        <v>45513</v>
      </c>
      <c r="F971">
        <v>4</v>
      </c>
      <c r="G971" t="s">
        <v>2806</v>
      </c>
      <c r="H971" t="s">
        <v>2564</v>
      </c>
      <c r="I971" t="s">
        <v>2558</v>
      </c>
      <c r="J971" t="s">
        <v>2561</v>
      </c>
      <c r="K971">
        <v>46</v>
      </c>
      <c r="L971" s="13" t="s">
        <v>258</v>
      </c>
    </row>
    <row r="972" spans="1:12" x14ac:dyDescent="0.25">
      <c r="A972" t="s">
        <v>3646</v>
      </c>
      <c r="B972" t="s">
        <v>182</v>
      </c>
      <c r="C972" t="str">
        <f>_xlfn.XLOOKUP(Table7[[#This Row],[app_id]],Table5[app_id],Table5[app_name],"",0)</f>
        <v>VoyageGo</v>
      </c>
      <c r="D972" t="s">
        <v>1407</v>
      </c>
      <c r="E972" s="1">
        <v>45354</v>
      </c>
      <c r="F972">
        <v>3</v>
      </c>
      <c r="G972" t="s">
        <v>2815</v>
      </c>
      <c r="H972" t="s">
        <v>2554</v>
      </c>
      <c r="I972" t="s">
        <v>2565</v>
      </c>
      <c r="J972" t="s">
        <v>2581</v>
      </c>
      <c r="K972">
        <v>1</v>
      </c>
      <c r="L972" s="13" t="s">
        <v>257</v>
      </c>
    </row>
    <row r="973" spans="1:12" x14ac:dyDescent="0.25">
      <c r="A973" t="s">
        <v>3647</v>
      </c>
      <c r="B973" t="s">
        <v>185</v>
      </c>
      <c r="C973" t="str">
        <f>_xlfn.XLOOKUP(Table7[[#This Row],[app_id]],Table5[app_id],Table5[app_name],"",0)</f>
        <v>TripOne</v>
      </c>
      <c r="D973" t="s">
        <v>1622</v>
      </c>
      <c r="E973" s="1">
        <v>45816</v>
      </c>
      <c r="F973">
        <v>4</v>
      </c>
      <c r="G973" t="s">
        <v>2683</v>
      </c>
      <c r="H973" t="s">
        <v>2564</v>
      </c>
      <c r="I973" t="s">
        <v>2555</v>
      </c>
      <c r="J973" t="s">
        <v>2633</v>
      </c>
      <c r="K973">
        <v>33</v>
      </c>
      <c r="L973" s="13" t="s">
        <v>257</v>
      </c>
    </row>
    <row r="974" spans="1:12" x14ac:dyDescent="0.25">
      <c r="A974" t="s">
        <v>3648</v>
      </c>
      <c r="B974" t="s">
        <v>187</v>
      </c>
      <c r="C974" t="str">
        <f>_xlfn.XLOOKUP(Table7[[#This Row],[app_id]],Table5[app_id],Table5[app_name],"",0)</f>
        <v>FlyGo</v>
      </c>
      <c r="D974" t="s">
        <v>1317</v>
      </c>
      <c r="E974" s="1">
        <v>45826</v>
      </c>
      <c r="F974">
        <v>5</v>
      </c>
      <c r="G974" t="s">
        <v>2929</v>
      </c>
      <c r="H974" t="s">
        <v>2564</v>
      </c>
      <c r="I974" t="s">
        <v>2571</v>
      </c>
      <c r="J974" t="s">
        <v>2566</v>
      </c>
      <c r="K974">
        <v>44</v>
      </c>
      <c r="L974" s="13" t="s">
        <v>257</v>
      </c>
    </row>
    <row r="975" spans="1:12" x14ac:dyDescent="0.25">
      <c r="A975" t="s">
        <v>3649</v>
      </c>
      <c r="B975" t="s">
        <v>189</v>
      </c>
      <c r="C975" t="str">
        <f>_xlfn.XLOOKUP(Table7[[#This Row],[app_id]],Table5[app_id],Table5[app_name],"",0)</f>
        <v>MapX</v>
      </c>
      <c r="D975" t="s">
        <v>2300</v>
      </c>
      <c r="E975" s="1">
        <v>45786</v>
      </c>
      <c r="F975">
        <v>4</v>
      </c>
      <c r="G975" t="s">
        <v>2931</v>
      </c>
      <c r="H975" t="s">
        <v>2564</v>
      </c>
      <c r="I975" t="s">
        <v>2558</v>
      </c>
      <c r="J975" t="s">
        <v>2559</v>
      </c>
      <c r="K975">
        <v>8</v>
      </c>
      <c r="L975" s="13" t="s">
        <v>257</v>
      </c>
    </row>
    <row r="976" spans="1:12" x14ac:dyDescent="0.25">
      <c r="A976" t="s">
        <v>3650</v>
      </c>
      <c r="B976" t="s">
        <v>191</v>
      </c>
      <c r="C976" t="str">
        <f>_xlfn.XLOOKUP(Table7[[#This Row],[app_id]],Table5[app_id],Table5[app_name],"",0)</f>
        <v>StayX</v>
      </c>
      <c r="D976" t="s">
        <v>1506</v>
      </c>
      <c r="E976" s="1">
        <v>45490</v>
      </c>
      <c r="F976">
        <v>5</v>
      </c>
      <c r="G976" t="s">
        <v>2929</v>
      </c>
      <c r="H976" t="s">
        <v>2564</v>
      </c>
      <c r="I976" t="s">
        <v>2565</v>
      </c>
      <c r="J976" t="s">
        <v>2566</v>
      </c>
      <c r="K976">
        <v>13</v>
      </c>
      <c r="L976" s="13" t="s">
        <v>257</v>
      </c>
    </row>
    <row r="977" spans="1:12" x14ac:dyDescent="0.25">
      <c r="A977" t="s">
        <v>3651</v>
      </c>
      <c r="B977" t="s">
        <v>193</v>
      </c>
      <c r="C977" t="str">
        <f>_xlfn.XLOOKUP(Table7[[#This Row],[app_id]],Table5[app_id],Table5[app_name],"",0)</f>
        <v>GoNow</v>
      </c>
      <c r="D977" t="s">
        <v>1083</v>
      </c>
      <c r="E977" s="1">
        <v>45922</v>
      </c>
      <c r="F977">
        <v>3</v>
      </c>
      <c r="G977" t="s">
        <v>2697</v>
      </c>
      <c r="H977" t="s">
        <v>2554</v>
      </c>
      <c r="I977" t="s">
        <v>2584</v>
      </c>
      <c r="J977" t="s">
        <v>2561</v>
      </c>
      <c r="K977">
        <v>47</v>
      </c>
      <c r="L977" s="13" t="s">
        <v>257</v>
      </c>
    </row>
    <row r="978" spans="1:12" x14ac:dyDescent="0.25">
      <c r="A978" t="s">
        <v>3652</v>
      </c>
      <c r="B978" t="s">
        <v>195</v>
      </c>
      <c r="C978" t="str">
        <f>_xlfn.XLOOKUP(Table7[[#This Row],[app_id]],Table5[app_id],Table5[app_name],"",0)</f>
        <v>RouteGo</v>
      </c>
      <c r="D978" t="s">
        <v>1092</v>
      </c>
      <c r="E978" s="1">
        <v>45570</v>
      </c>
      <c r="F978">
        <v>2</v>
      </c>
      <c r="G978" t="s">
        <v>2693</v>
      </c>
      <c r="H978" t="s">
        <v>2587</v>
      </c>
      <c r="I978" t="s">
        <v>2575</v>
      </c>
      <c r="J978" t="s">
        <v>2561</v>
      </c>
      <c r="K978">
        <v>37</v>
      </c>
      <c r="L978" s="13" t="s">
        <v>257</v>
      </c>
    </row>
    <row r="979" spans="1:12" x14ac:dyDescent="0.25">
      <c r="A979" t="s">
        <v>3653</v>
      </c>
      <c r="B979" t="s">
        <v>197</v>
      </c>
      <c r="C979" t="str">
        <f>_xlfn.XLOOKUP(Table7[[#This Row],[app_id]],Table5[app_id],Table5[app_name],"",0)</f>
        <v>TripGo</v>
      </c>
      <c r="D979" t="s">
        <v>844</v>
      </c>
      <c r="E979" s="1">
        <v>45737</v>
      </c>
      <c r="F979">
        <v>3</v>
      </c>
      <c r="G979" t="s">
        <v>2815</v>
      </c>
      <c r="H979" t="s">
        <v>2554</v>
      </c>
      <c r="I979" t="s">
        <v>2584</v>
      </c>
      <c r="J979" t="s">
        <v>2566</v>
      </c>
      <c r="K979">
        <v>46</v>
      </c>
      <c r="L979" s="13" t="s">
        <v>257</v>
      </c>
    </row>
    <row r="980" spans="1:12" x14ac:dyDescent="0.25">
      <c r="A980" t="s">
        <v>3654</v>
      </c>
      <c r="B980" t="s">
        <v>199</v>
      </c>
      <c r="C980" t="str">
        <f>_xlfn.XLOOKUP(Table7[[#This Row],[app_id]],Table5[app_id],Table5[app_name],"",0)</f>
        <v>Flyly</v>
      </c>
      <c r="D980" t="s">
        <v>857</v>
      </c>
      <c r="E980" s="1">
        <v>46112</v>
      </c>
      <c r="F980">
        <v>3</v>
      </c>
      <c r="G980" t="s">
        <v>2815</v>
      </c>
      <c r="H980" t="s">
        <v>2554</v>
      </c>
      <c r="I980" t="s">
        <v>2555</v>
      </c>
      <c r="J980" t="s">
        <v>2603</v>
      </c>
      <c r="K980">
        <v>46</v>
      </c>
      <c r="L980" s="13" t="s">
        <v>257</v>
      </c>
    </row>
    <row r="981" spans="1:12" x14ac:dyDescent="0.25">
      <c r="A981" t="s">
        <v>3655</v>
      </c>
      <c r="B981" t="s">
        <v>201</v>
      </c>
      <c r="C981" t="str">
        <f>_xlfn.XLOOKUP(Table7[[#This Row],[app_id]],Table5[app_id],Table5[app_name],"",0)</f>
        <v>TripPro</v>
      </c>
      <c r="D981" t="s">
        <v>1434</v>
      </c>
      <c r="E981" s="1">
        <v>45932</v>
      </c>
      <c r="F981">
        <v>5</v>
      </c>
      <c r="G981" t="s">
        <v>2687</v>
      </c>
      <c r="H981" t="s">
        <v>2564</v>
      </c>
      <c r="I981" t="s">
        <v>2558</v>
      </c>
      <c r="J981" t="s">
        <v>2559</v>
      </c>
      <c r="K981">
        <v>44</v>
      </c>
      <c r="L981" s="13" t="s">
        <v>257</v>
      </c>
    </row>
    <row r="982" spans="1:12" x14ac:dyDescent="0.25">
      <c r="A982" t="s">
        <v>3656</v>
      </c>
      <c r="B982" t="s">
        <v>203</v>
      </c>
      <c r="C982" t="str">
        <f>_xlfn.XLOOKUP(Table7[[#This Row],[app_id]],Table5[app_id],Table5[app_name],"",0)</f>
        <v>Focusly</v>
      </c>
      <c r="D982" t="s">
        <v>1875</v>
      </c>
      <c r="E982" s="1">
        <v>45615</v>
      </c>
      <c r="F982">
        <v>3</v>
      </c>
      <c r="G982" t="s">
        <v>2710</v>
      </c>
      <c r="H982" t="s">
        <v>2554</v>
      </c>
      <c r="I982" t="s">
        <v>2558</v>
      </c>
      <c r="J982" t="s">
        <v>2596</v>
      </c>
      <c r="K982">
        <v>19</v>
      </c>
      <c r="L982" s="13" t="s">
        <v>258</v>
      </c>
    </row>
    <row r="983" spans="1:12" x14ac:dyDescent="0.25">
      <c r="A983" t="s">
        <v>3657</v>
      </c>
      <c r="B983" t="s">
        <v>206</v>
      </c>
      <c r="C983" t="str">
        <f>_xlfn.XLOOKUP(Table7[[#This Row],[app_id]],Table5[app_id],Table5[app_name],"",0)</f>
        <v>DeskX</v>
      </c>
      <c r="D983" t="s">
        <v>2307</v>
      </c>
      <c r="E983" s="1">
        <v>45476</v>
      </c>
      <c r="F983">
        <v>4</v>
      </c>
      <c r="G983" t="s">
        <v>2700</v>
      </c>
      <c r="H983" t="s">
        <v>2564</v>
      </c>
      <c r="I983" t="s">
        <v>2575</v>
      </c>
      <c r="J983" t="s">
        <v>2569</v>
      </c>
      <c r="K983">
        <v>24</v>
      </c>
      <c r="L983" s="13" t="s">
        <v>258</v>
      </c>
    </row>
    <row r="984" spans="1:12" x14ac:dyDescent="0.25">
      <c r="A984" t="s">
        <v>3658</v>
      </c>
      <c r="B984" t="s">
        <v>208</v>
      </c>
      <c r="C984" t="str">
        <f>_xlfn.XLOOKUP(Table7[[#This Row],[app_id]],Table5[app_id],Table5[app_name],"",0)</f>
        <v>DonePro</v>
      </c>
      <c r="D984" t="s">
        <v>2138</v>
      </c>
      <c r="E984" s="1">
        <v>45764</v>
      </c>
      <c r="F984">
        <v>3</v>
      </c>
      <c r="G984" t="s">
        <v>2713</v>
      </c>
      <c r="H984" t="s">
        <v>2554</v>
      </c>
      <c r="I984" t="s">
        <v>2584</v>
      </c>
      <c r="J984" t="s">
        <v>2633</v>
      </c>
      <c r="K984">
        <v>6</v>
      </c>
      <c r="L984" s="13" t="s">
        <v>257</v>
      </c>
    </row>
    <row r="985" spans="1:12" x14ac:dyDescent="0.25">
      <c r="A985" t="s">
        <v>3659</v>
      </c>
      <c r="B985" t="s">
        <v>210</v>
      </c>
      <c r="C985" t="str">
        <f>_xlfn.XLOOKUP(Table7[[#This Row],[app_id]],Table5[app_id],Table5[app_name],"",0)</f>
        <v>NotePlus</v>
      </c>
      <c r="D985" t="s">
        <v>1145</v>
      </c>
      <c r="E985" s="1">
        <v>45485</v>
      </c>
      <c r="F985">
        <v>3</v>
      </c>
      <c r="G985" t="s">
        <v>2713</v>
      </c>
      <c r="H985" t="s">
        <v>2554</v>
      </c>
      <c r="I985" t="s">
        <v>2565</v>
      </c>
      <c r="J985" t="s">
        <v>2581</v>
      </c>
      <c r="K985">
        <v>1</v>
      </c>
      <c r="L985" s="13" t="s">
        <v>257</v>
      </c>
    </row>
    <row r="986" spans="1:12" x14ac:dyDescent="0.25">
      <c r="A986" t="s">
        <v>3660</v>
      </c>
      <c r="B986" t="s">
        <v>212</v>
      </c>
      <c r="C986" t="str">
        <f>_xlfn.XLOOKUP(Table7[[#This Row],[app_id]],Table5[app_id],Table5[app_name],"",0)</f>
        <v>SyncPlus</v>
      </c>
      <c r="D986" t="s">
        <v>1177</v>
      </c>
      <c r="E986" s="1">
        <v>45950</v>
      </c>
      <c r="F986">
        <v>3</v>
      </c>
      <c r="G986" t="s">
        <v>2710</v>
      </c>
      <c r="H986" t="s">
        <v>2554</v>
      </c>
      <c r="I986" t="s">
        <v>2584</v>
      </c>
      <c r="J986" t="s">
        <v>2569</v>
      </c>
      <c r="K986">
        <v>34</v>
      </c>
      <c r="L986" s="13" t="s">
        <v>257</v>
      </c>
    </row>
    <row r="987" spans="1:12" x14ac:dyDescent="0.25">
      <c r="A987" t="s">
        <v>3661</v>
      </c>
      <c r="B987" t="s">
        <v>214</v>
      </c>
      <c r="C987" t="str">
        <f>_xlfn.XLOOKUP(Table7[[#This Row],[app_id]],Table5[app_id],Table5[app_name],"",0)</f>
        <v>NoteOne</v>
      </c>
      <c r="D987" t="s">
        <v>2486</v>
      </c>
      <c r="E987" s="1">
        <v>45447</v>
      </c>
      <c r="F987">
        <v>5</v>
      </c>
      <c r="G987" t="s">
        <v>2703</v>
      </c>
      <c r="H987" t="s">
        <v>2564</v>
      </c>
      <c r="I987" t="s">
        <v>2565</v>
      </c>
      <c r="J987" t="s">
        <v>2596</v>
      </c>
      <c r="K987">
        <v>10</v>
      </c>
      <c r="L987" s="13" t="s">
        <v>258</v>
      </c>
    </row>
    <row r="988" spans="1:12" x14ac:dyDescent="0.25">
      <c r="A988" t="s">
        <v>3662</v>
      </c>
      <c r="B988" t="s">
        <v>216</v>
      </c>
      <c r="C988" t="str">
        <f>_xlfn.XLOOKUP(Table7[[#This Row],[app_id]],Table5[app_id],Table5[app_name],"",0)</f>
        <v>NoteMate</v>
      </c>
      <c r="D988" t="s">
        <v>688</v>
      </c>
      <c r="E988" s="1">
        <v>45452</v>
      </c>
      <c r="F988">
        <v>3</v>
      </c>
      <c r="G988" t="s">
        <v>2713</v>
      </c>
      <c r="H988" t="s">
        <v>2554</v>
      </c>
      <c r="I988" t="s">
        <v>2578</v>
      </c>
      <c r="J988" t="s">
        <v>2596</v>
      </c>
      <c r="K988">
        <v>26</v>
      </c>
      <c r="L988" s="13" t="s">
        <v>257</v>
      </c>
    </row>
    <row r="989" spans="1:12" x14ac:dyDescent="0.25">
      <c r="A989" t="s">
        <v>3663</v>
      </c>
      <c r="B989" t="s">
        <v>218</v>
      </c>
      <c r="C989" t="str">
        <f>_xlfn.XLOOKUP(Table7[[#This Row],[app_id]],Table5[app_id],Table5[app_name],"",0)</f>
        <v>PlanPlus</v>
      </c>
      <c r="D989" t="s">
        <v>2343</v>
      </c>
      <c r="E989" s="1">
        <v>45403</v>
      </c>
      <c r="F989">
        <v>3</v>
      </c>
      <c r="G989" t="s">
        <v>2713</v>
      </c>
      <c r="H989" t="s">
        <v>2554</v>
      </c>
      <c r="I989" t="s">
        <v>2558</v>
      </c>
      <c r="J989" t="s">
        <v>2556</v>
      </c>
      <c r="K989">
        <v>3</v>
      </c>
      <c r="L989" s="13" t="s">
        <v>257</v>
      </c>
    </row>
    <row r="990" spans="1:12" x14ac:dyDescent="0.25">
      <c r="A990" t="s">
        <v>3664</v>
      </c>
      <c r="B990" t="s">
        <v>220</v>
      </c>
      <c r="C990" t="str">
        <f>_xlfn.XLOOKUP(Table7[[#This Row],[app_id]],Table5[app_id],Table5[app_name],"",0)</f>
        <v>PlanMate</v>
      </c>
      <c r="D990" t="s">
        <v>1161</v>
      </c>
      <c r="E990" s="1">
        <v>45617</v>
      </c>
      <c r="F990">
        <v>2</v>
      </c>
      <c r="G990" t="s">
        <v>2943</v>
      </c>
      <c r="H990" t="s">
        <v>2587</v>
      </c>
      <c r="I990" t="s">
        <v>2588</v>
      </c>
      <c r="J990" t="s">
        <v>2603</v>
      </c>
      <c r="K990">
        <v>65</v>
      </c>
      <c r="L990" s="13" t="s">
        <v>258</v>
      </c>
    </row>
    <row r="991" spans="1:12" x14ac:dyDescent="0.25">
      <c r="A991" t="s">
        <v>3665</v>
      </c>
      <c r="B991" t="s">
        <v>222</v>
      </c>
      <c r="C991" t="str">
        <f>_xlfn.XLOOKUP(Table7[[#This Row],[app_id]],Table5[app_id],Table5[app_name],"",0)</f>
        <v>SyncPlus</v>
      </c>
      <c r="D991" t="s">
        <v>836</v>
      </c>
      <c r="E991" s="1">
        <v>45574</v>
      </c>
      <c r="F991">
        <v>4</v>
      </c>
      <c r="G991" t="s">
        <v>2836</v>
      </c>
      <c r="H991" t="s">
        <v>2564</v>
      </c>
      <c r="I991" t="s">
        <v>2565</v>
      </c>
      <c r="J991" t="s">
        <v>2556</v>
      </c>
      <c r="K991">
        <v>31</v>
      </c>
      <c r="L991" s="13" t="s">
        <v>258</v>
      </c>
    </row>
    <row r="992" spans="1:12" x14ac:dyDescent="0.25">
      <c r="A992" t="s">
        <v>3666</v>
      </c>
      <c r="B992" t="s">
        <v>223</v>
      </c>
      <c r="C992" t="str">
        <f>_xlfn.XLOOKUP(Table7[[#This Row],[app_id]],Table5[app_id],Table5[app_name],"",0)</f>
        <v>ClinicPro</v>
      </c>
      <c r="D992" t="s">
        <v>2500</v>
      </c>
      <c r="E992" s="1">
        <v>46086</v>
      </c>
      <c r="F992">
        <v>3</v>
      </c>
      <c r="G992" t="s">
        <v>2726</v>
      </c>
      <c r="H992" t="s">
        <v>2554</v>
      </c>
      <c r="I992" t="s">
        <v>2555</v>
      </c>
      <c r="J992" t="s">
        <v>2596</v>
      </c>
      <c r="K992">
        <v>30</v>
      </c>
      <c r="L992" s="13" t="s">
        <v>257</v>
      </c>
    </row>
    <row r="993" spans="1:12" x14ac:dyDescent="0.25">
      <c r="A993" t="s">
        <v>3667</v>
      </c>
      <c r="B993" t="s">
        <v>226</v>
      </c>
      <c r="C993" t="str">
        <f>_xlfn.XLOOKUP(Table7[[#This Row],[app_id]],Table5[app_id],Table5[app_name],"",0)</f>
        <v>MindMate</v>
      </c>
      <c r="D993" t="s">
        <v>810</v>
      </c>
      <c r="E993" s="1">
        <v>45989</v>
      </c>
      <c r="F993">
        <v>3</v>
      </c>
      <c r="G993" t="s">
        <v>2726</v>
      </c>
      <c r="H993" t="s">
        <v>2554</v>
      </c>
      <c r="I993" t="s">
        <v>2578</v>
      </c>
      <c r="J993" t="s">
        <v>2596</v>
      </c>
      <c r="K993">
        <v>46</v>
      </c>
      <c r="L993" s="13" t="s">
        <v>257</v>
      </c>
    </row>
    <row r="994" spans="1:12" x14ac:dyDescent="0.25">
      <c r="A994" t="s">
        <v>3668</v>
      </c>
      <c r="B994" t="s">
        <v>228</v>
      </c>
      <c r="C994" t="str">
        <f>_xlfn.XLOOKUP(Table7[[#This Row],[app_id]],Table5[app_id],Table5[app_name],"",0)</f>
        <v>ClinicOne</v>
      </c>
      <c r="D994" t="s">
        <v>651</v>
      </c>
      <c r="E994" s="1">
        <v>46120</v>
      </c>
      <c r="F994">
        <v>4</v>
      </c>
      <c r="G994" t="s">
        <v>2722</v>
      </c>
      <c r="H994" t="s">
        <v>2564</v>
      </c>
      <c r="I994" t="s">
        <v>2571</v>
      </c>
      <c r="J994" t="s">
        <v>2603</v>
      </c>
      <c r="K994">
        <v>13</v>
      </c>
      <c r="L994" s="13" t="s">
        <v>257</v>
      </c>
    </row>
    <row r="995" spans="1:12" x14ac:dyDescent="0.25">
      <c r="A995" t="s">
        <v>3669</v>
      </c>
      <c r="B995" t="s">
        <v>230</v>
      </c>
      <c r="C995" t="str">
        <f>_xlfn.XLOOKUP(Table7[[#This Row],[app_id]],Table5[app_id],Table5[app_name],"",0)</f>
        <v>WellMate</v>
      </c>
      <c r="D995" t="s">
        <v>2467</v>
      </c>
      <c r="E995" s="1">
        <v>46113</v>
      </c>
      <c r="F995">
        <v>4</v>
      </c>
      <c r="G995" t="s">
        <v>2716</v>
      </c>
      <c r="H995" t="s">
        <v>2564</v>
      </c>
      <c r="I995" t="s">
        <v>2565</v>
      </c>
      <c r="J995" t="s">
        <v>2566</v>
      </c>
      <c r="K995">
        <v>30</v>
      </c>
      <c r="L995" s="13" t="s">
        <v>257</v>
      </c>
    </row>
    <row r="996" spans="1:12" x14ac:dyDescent="0.25">
      <c r="A996" t="s">
        <v>3670</v>
      </c>
      <c r="B996" t="s">
        <v>232</v>
      </c>
      <c r="C996" t="str">
        <f>_xlfn.XLOOKUP(Table7[[#This Row],[app_id]],Table5[app_id],Table5[app_name],"",0)</f>
        <v>MediMate</v>
      </c>
      <c r="D996" t="s">
        <v>2224</v>
      </c>
      <c r="E996" s="1">
        <v>45933</v>
      </c>
      <c r="F996">
        <v>3</v>
      </c>
      <c r="G996" t="s">
        <v>2726</v>
      </c>
      <c r="H996" t="s">
        <v>2554</v>
      </c>
      <c r="I996" t="s">
        <v>2558</v>
      </c>
      <c r="J996" t="s">
        <v>2566</v>
      </c>
      <c r="K996">
        <v>26</v>
      </c>
      <c r="L996" s="13" t="s">
        <v>257</v>
      </c>
    </row>
    <row r="997" spans="1:12" x14ac:dyDescent="0.25">
      <c r="A997" t="s">
        <v>3671</v>
      </c>
      <c r="B997" t="s">
        <v>234</v>
      </c>
      <c r="C997" t="str">
        <f>_xlfn.XLOOKUP(Table7[[#This Row],[app_id]],Table5[app_id],Table5[app_name],"",0)</f>
        <v>WellNow</v>
      </c>
      <c r="D997" t="s">
        <v>1985</v>
      </c>
      <c r="E997" s="1">
        <v>45327</v>
      </c>
      <c r="F997">
        <v>3</v>
      </c>
      <c r="G997" t="s">
        <v>2846</v>
      </c>
      <c r="H997" t="s">
        <v>2554</v>
      </c>
      <c r="I997" t="s">
        <v>2575</v>
      </c>
      <c r="J997" t="s">
        <v>2596</v>
      </c>
      <c r="K997">
        <v>41</v>
      </c>
      <c r="L997" s="13" t="s">
        <v>257</v>
      </c>
    </row>
    <row r="998" spans="1:12" x14ac:dyDescent="0.25">
      <c r="A998" t="s">
        <v>3672</v>
      </c>
      <c r="B998" t="s">
        <v>236</v>
      </c>
      <c r="C998" t="str">
        <f>_xlfn.XLOOKUP(Table7[[#This Row],[app_id]],Table5[app_id],Table5[app_name],"",0)</f>
        <v>CareCloud</v>
      </c>
      <c r="D998" t="s">
        <v>1123</v>
      </c>
      <c r="E998" s="1">
        <v>45466</v>
      </c>
      <c r="F998">
        <v>2</v>
      </c>
      <c r="G998" t="s">
        <v>3061</v>
      </c>
      <c r="H998" t="s">
        <v>2587</v>
      </c>
      <c r="I998" t="s">
        <v>2578</v>
      </c>
      <c r="J998" t="s">
        <v>2569</v>
      </c>
      <c r="K998">
        <v>34</v>
      </c>
      <c r="L998" s="13" t="s">
        <v>257</v>
      </c>
    </row>
    <row r="999" spans="1:12" x14ac:dyDescent="0.25">
      <c r="A999" t="s">
        <v>3673</v>
      </c>
      <c r="B999" t="s">
        <v>238</v>
      </c>
      <c r="C999" t="str">
        <f>_xlfn.XLOOKUP(Table7[[#This Row],[app_id]],Table5[app_id],Table5[app_name],"",0)</f>
        <v>MediNow</v>
      </c>
      <c r="D999" t="s">
        <v>2147</v>
      </c>
      <c r="E999" s="1">
        <v>45954</v>
      </c>
      <c r="F999">
        <v>4</v>
      </c>
      <c r="G999" t="s">
        <v>2716</v>
      </c>
      <c r="H999" t="s">
        <v>2564</v>
      </c>
      <c r="I999" t="s">
        <v>2558</v>
      </c>
      <c r="J999" t="s">
        <v>2556</v>
      </c>
      <c r="K999">
        <v>6</v>
      </c>
      <c r="L999" s="13" t="s">
        <v>257</v>
      </c>
    </row>
    <row r="1000" spans="1:12" x14ac:dyDescent="0.25">
      <c r="A1000" t="s">
        <v>3674</v>
      </c>
      <c r="B1000" t="s">
        <v>240</v>
      </c>
      <c r="C1000" t="str">
        <f>_xlfn.XLOOKUP(Table7[[#This Row],[app_id]],Table5[app_id],Table5[app_name],"",0)</f>
        <v>MindPlus</v>
      </c>
      <c r="D1000" t="s">
        <v>1165</v>
      </c>
      <c r="E1000" s="1">
        <v>45719</v>
      </c>
      <c r="F1000">
        <v>4</v>
      </c>
      <c r="G1000" t="s">
        <v>2722</v>
      </c>
      <c r="H1000" t="s">
        <v>2564</v>
      </c>
      <c r="I1000" t="s">
        <v>2565</v>
      </c>
      <c r="J1000" t="s">
        <v>2556</v>
      </c>
      <c r="K1000">
        <v>8</v>
      </c>
      <c r="L1000" s="13" t="s">
        <v>258</v>
      </c>
    </row>
    <row r="1001" spans="1:12" x14ac:dyDescent="0.25">
      <c r="A1001" t="s">
        <v>3675</v>
      </c>
      <c r="B1001" t="s">
        <v>242</v>
      </c>
      <c r="C1001" t="str">
        <f>_xlfn.XLOOKUP(Table7[[#This Row],[app_id]],Table5[app_id],Table5[app_name],"",0)</f>
        <v>MediCloud</v>
      </c>
      <c r="D1001" t="s">
        <v>963</v>
      </c>
      <c r="E1001" s="1">
        <v>46086</v>
      </c>
      <c r="F1001">
        <v>4</v>
      </c>
      <c r="G1001" t="s">
        <v>2728</v>
      </c>
      <c r="H1001" t="s">
        <v>2564</v>
      </c>
      <c r="I1001" t="s">
        <v>2555</v>
      </c>
      <c r="J1001" t="s">
        <v>2600</v>
      </c>
      <c r="K1001">
        <v>4</v>
      </c>
      <c r="L1001" s="13" t="s">
        <v>257</v>
      </c>
    </row>
    <row r="1002" spans="1:12" x14ac:dyDescent="0.25">
      <c r="A1002" t="s">
        <v>3676</v>
      </c>
      <c r="B1002" t="s">
        <v>12</v>
      </c>
      <c r="C1002" t="str">
        <f>_xlfn.XLOOKUP(Table7[[#This Row],[app_id]],Table5[app_id],Table5[app_name],"",0)</f>
        <v>InvestPro</v>
      </c>
      <c r="D1002" t="s">
        <v>711</v>
      </c>
      <c r="E1002" s="1">
        <v>45823</v>
      </c>
      <c r="F1002">
        <v>3</v>
      </c>
      <c r="G1002" t="s">
        <v>2735</v>
      </c>
      <c r="H1002" t="s">
        <v>2554</v>
      </c>
      <c r="I1002" t="s">
        <v>2575</v>
      </c>
      <c r="J1002" t="s">
        <v>2559</v>
      </c>
      <c r="K1002">
        <v>12</v>
      </c>
      <c r="L1002" s="13" t="s">
        <v>257</v>
      </c>
    </row>
    <row r="1003" spans="1:12" x14ac:dyDescent="0.25">
      <c r="A1003" t="s">
        <v>3677</v>
      </c>
      <c r="B1003" t="s">
        <v>19</v>
      </c>
      <c r="C1003" t="str">
        <f>_xlfn.XLOOKUP(Table7[[#This Row],[app_id]],Table5[app_id],Table5[app_name],"",0)</f>
        <v>BankPro</v>
      </c>
      <c r="D1003" t="s">
        <v>2298</v>
      </c>
      <c r="E1003" s="1">
        <v>46016</v>
      </c>
      <c r="F1003">
        <v>3</v>
      </c>
      <c r="G1003" t="s">
        <v>2583</v>
      </c>
      <c r="H1003" t="s">
        <v>2554</v>
      </c>
      <c r="I1003" t="s">
        <v>2555</v>
      </c>
      <c r="J1003" t="s">
        <v>2559</v>
      </c>
      <c r="K1003">
        <v>17</v>
      </c>
      <c r="L1003" s="13" t="s">
        <v>257</v>
      </c>
    </row>
    <row r="1004" spans="1:12" x14ac:dyDescent="0.25">
      <c r="A1004" t="s">
        <v>3678</v>
      </c>
      <c r="B1004" t="s">
        <v>24</v>
      </c>
      <c r="C1004" t="str">
        <f>_xlfn.XLOOKUP(Table7[[#This Row],[app_id]],Table5[app_id],Table5[app_name],"",0)</f>
        <v>BankX</v>
      </c>
      <c r="D1004" t="s">
        <v>1286</v>
      </c>
      <c r="E1004" s="1">
        <v>46075</v>
      </c>
      <c r="F1004">
        <v>4</v>
      </c>
      <c r="G1004" t="s">
        <v>2568</v>
      </c>
      <c r="H1004" t="s">
        <v>2564</v>
      </c>
      <c r="I1004" t="s">
        <v>2575</v>
      </c>
      <c r="J1004" t="s">
        <v>2566</v>
      </c>
      <c r="K1004">
        <v>2</v>
      </c>
      <c r="L1004" s="13" t="s">
        <v>257</v>
      </c>
    </row>
    <row r="1005" spans="1:12" x14ac:dyDescent="0.25">
      <c r="A1005" t="s">
        <v>3679</v>
      </c>
      <c r="B1005" t="s">
        <v>27</v>
      </c>
      <c r="C1005" t="str">
        <f>_xlfn.XLOOKUP(Table7[[#This Row],[app_id]],Table5[app_id],Table5[app_name],"",0)</f>
        <v>BankNow</v>
      </c>
      <c r="D1005" t="s">
        <v>2495</v>
      </c>
      <c r="E1005" s="1">
        <v>45313</v>
      </c>
      <c r="F1005">
        <v>2</v>
      </c>
      <c r="G1005" t="s">
        <v>3276</v>
      </c>
      <c r="H1005" t="s">
        <v>2587</v>
      </c>
      <c r="I1005" t="s">
        <v>2565</v>
      </c>
      <c r="J1005" t="s">
        <v>2596</v>
      </c>
      <c r="K1005">
        <v>28</v>
      </c>
      <c r="L1005" s="13" t="s">
        <v>257</v>
      </c>
    </row>
    <row r="1006" spans="1:12" x14ac:dyDescent="0.25">
      <c r="A1006" t="s">
        <v>3680</v>
      </c>
      <c r="B1006" t="s">
        <v>31</v>
      </c>
      <c r="C1006" t="str">
        <f>_xlfn.XLOOKUP(Table7[[#This Row],[app_id]],Table5[app_id],Table5[app_name],"",0)</f>
        <v>CreditHub</v>
      </c>
      <c r="D1006" t="s">
        <v>2206</v>
      </c>
      <c r="E1006" s="1">
        <v>45861</v>
      </c>
      <c r="F1006">
        <v>4</v>
      </c>
      <c r="G1006" t="s">
        <v>2563</v>
      </c>
      <c r="H1006" t="s">
        <v>2564</v>
      </c>
      <c r="I1006" t="s">
        <v>2565</v>
      </c>
      <c r="J1006" t="s">
        <v>2556</v>
      </c>
      <c r="K1006">
        <v>11</v>
      </c>
      <c r="L1006" s="13" t="s">
        <v>257</v>
      </c>
    </row>
    <row r="1007" spans="1:12" x14ac:dyDescent="0.25">
      <c r="A1007" t="s">
        <v>3681</v>
      </c>
      <c r="B1007" t="s">
        <v>36</v>
      </c>
      <c r="C1007" t="str">
        <f>_xlfn.XLOOKUP(Table7[[#This Row],[app_id]],Table5[app_id],Table5[app_name],"",0)</f>
        <v>PayPlus</v>
      </c>
      <c r="D1007" t="s">
        <v>1000</v>
      </c>
      <c r="E1007" s="1">
        <v>45852</v>
      </c>
      <c r="F1007">
        <v>3</v>
      </c>
      <c r="G1007" t="s">
        <v>2735</v>
      </c>
      <c r="H1007" t="s">
        <v>2554</v>
      </c>
      <c r="I1007" t="s">
        <v>2558</v>
      </c>
      <c r="J1007" t="s">
        <v>2561</v>
      </c>
      <c r="K1007">
        <v>33</v>
      </c>
      <c r="L1007" s="13" t="s">
        <v>257</v>
      </c>
    </row>
    <row r="1008" spans="1:12" x14ac:dyDescent="0.25">
      <c r="A1008" t="s">
        <v>3682</v>
      </c>
      <c r="B1008" t="s">
        <v>39</v>
      </c>
      <c r="C1008" t="str">
        <f>_xlfn.XLOOKUP(Table7[[#This Row],[app_id]],Table5[app_id],Table5[app_name],"",0)</f>
        <v>BankPlus</v>
      </c>
      <c r="D1008" t="s">
        <v>1205</v>
      </c>
      <c r="E1008" s="1">
        <v>45840</v>
      </c>
      <c r="F1008">
        <v>3</v>
      </c>
      <c r="G1008" t="s">
        <v>2735</v>
      </c>
      <c r="H1008" t="s">
        <v>2554</v>
      </c>
      <c r="I1008" t="s">
        <v>2555</v>
      </c>
      <c r="J1008" t="s">
        <v>2633</v>
      </c>
      <c r="K1008">
        <v>22</v>
      </c>
      <c r="L1008" s="13" t="s">
        <v>257</v>
      </c>
    </row>
    <row r="1009" spans="1:12" x14ac:dyDescent="0.25">
      <c r="A1009" t="s">
        <v>3683</v>
      </c>
      <c r="B1009" t="s">
        <v>42</v>
      </c>
      <c r="C1009" t="str">
        <f>_xlfn.XLOOKUP(Table7[[#This Row],[app_id]],Table5[app_id],Table5[app_name],"",0)</f>
        <v>CoinPlus</v>
      </c>
      <c r="D1009" t="s">
        <v>988</v>
      </c>
      <c r="E1009" s="1">
        <v>45491</v>
      </c>
      <c r="F1009">
        <v>4</v>
      </c>
      <c r="G1009" t="s">
        <v>2580</v>
      </c>
      <c r="H1009" t="s">
        <v>2564</v>
      </c>
      <c r="I1009" t="s">
        <v>2565</v>
      </c>
      <c r="J1009" t="s">
        <v>2569</v>
      </c>
      <c r="K1009">
        <v>2</v>
      </c>
      <c r="L1009" s="13" t="s">
        <v>257</v>
      </c>
    </row>
    <row r="1010" spans="1:12" x14ac:dyDescent="0.25">
      <c r="A1010" t="s">
        <v>3684</v>
      </c>
      <c r="B1010" t="s">
        <v>47</v>
      </c>
      <c r="C1010" t="str">
        <f>_xlfn.XLOOKUP(Table7[[#This Row],[app_id]],Table5[app_id],Table5[app_name],"",0)</f>
        <v>CreditOne</v>
      </c>
      <c r="D1010" t="s">
        <v>1055</v>
      </c>
      <c r="E1010" s="1">
        <v>45862</v>
      </c>
      <c r="F1010">
        <v>4</v>
      </c>
      <c r="G1010" t="s">
        <v>2573</v>
      </c>
      <c r="H1010" t="s">
        <v>2564</v>
      </c>
      <c r="I1010" t="s">
        <v>2565</v>
      </c>
      <c r="J1010" t="s">
        <v>2556</v>
      </c>
      <c r="K1010">
        <v>7</v>
      </c>
      <c r="L1010" s="13" t="s">
        <v>257</v>
      </c>
    </row>
    <row r="1011" spans="1:12" x14ac:dyDescent="0.25">
      <c r="A1011" t="s">
        <v>3685</v>
      </c>
      <c r="B1011" t="s">
        <v>49</v>
      </c>
      <c r="C1011" t="str">
        <f>_xlfn.XLOOKUP(Table7[[#This Row],[app_id]],Table5[app_id],Table5[app_name],"",0)</f>
        <v>PayPro</v>
      </c>
      <c r="D1011" t="s">
        <v>1988</v>
      </c>
      <c r="E1011" s="1">
        <v>45348</v>
      </c>
      <c r="F1011">
        <v>3</v>
      </c>
      <c r="G1011" t="s">
        <v>2553</v>
      </c>
      <c r="H1011" t="s">
        <v>2554</v>
      </c>
      <c r="I1011" t="s">
        <v>2578</v>
      </c>
      <c r="J1011" t="s">
        <v>2600</v>
      </c>
      <c r="K1011">
        <v>37</v>
      </c>
      <c r="L1011" s="13" t="s">
        <v>258</v>
      </c>
    </row>
    <row r="1012" spans="1:12" x14ac:dyDescent="0.25">
      <c r="A1012" t="s">
        <v>3686</v>
      </c>
      <c r="B1012" t="s">
        <v>51</v>
      </c>
      <c r="C1012" t="str">
        <f>_xlfn.XLOOKUP(Table7[[#This Row],[app_id]],Table5[app_id],Table5[app_name],"",0)</f>
        <v>Creditly</v>
      </c>
      <c r="D1012" t="s">
        <v>2197</v>
      </c>
      <c r="E1012" s="1">
        <v>45459</v>
      </c>
      <c r="F1012">
        <v>4</v>
      </c>
      <c r="G1012" t="s">
        <v>2568</v>
      </c>
      <c r="H1012" t="s">
        <v>2564</v>
      </c>
      <c r="I1012" t="s">
        <v>2555</v>
      </c>
      <c r="J1012" t="s">
        <v>2559</v>
      </c>
      <c r="K1012">
        <v>17</v>
      </c>
      <c r="L1012" s="13" t="s">
        <v>257</v>
      </c>
    </row>
    <row r="1013" spans="1:12" x14ac:dyDescent="0.25">
      <c r="A1013" t="s">
        <v>3687</v>
      </c>
      <c r="B1013" t="s">
        <v>53</v>
      </c>
      <c r="C1013" t="str">
        <f>_xlfn.XLOOKUP(Table7[[#This Row],[app_id]],Table5[app_id],Table5[app_name],"",0)</f>
        <v>PayX</v>
      </c>
      <c r="D1013" t="s">
        <v>2506</v>
      </c>
      <c r="E1013" s="1">
        <v>46032</v>
      </c>
      <c r="F1013">
        <v>3</v>
      </c>
      <c r="G1013" t="s">
        <v>2553</v>
      </c>
      <c r="H1013" t="s">
        <v>2554</v>
      </c>
      <c r="I1013" t="s">
        <v>2588</v>
      </c>
      <c r="J1013" t="s">
        <v>2559</v>
      </c>
      <c r="K1013">
        <v>22</v>
      </c>
      <c r="L1013" s="13" t="s">
        <v>257</v>
      </c>
    </row>
    <row r="1014" spans="1:12" x14ac:dyDescent="0.25">
      <c r="A1014" t="s">
        <v>3688</v>
      </c>
      <c r="B1014" t="s">
        <v>56</v>
      </c>
      <c r="C1014" t="str">
        <f>_xlfn.XLOOKUP(Table7[[#This Row],[app_id]],Table5[app_id],Table5[app_name],"",0)</f>
        <v>DealGo</v>
      </c>
      <c r="D1014" t="s">
        <v>1360</v>
      </c>
      <c r="E1014" s="1">
        <v>46013</v>
      </c>
      <c r="F1014">
        <v>2</v>
      </c>
      <c r="G1014" t="s">
        <v>2871</v>
      </c>
      <c r="H1014" t="s">
        <v>2587</v>
      </c>
      <c r="I1014" t="s">
        <v>2571</v>
      </c>
      <c r="J1014" t="s">
        <v>2559</v>
      </c>
      <c r="K1014">
        <v>55</v>
      </c>
      <c r="L1014" s="13" t="s">
        <v>257</v>
      </c>
    </row>
    <row r="1015" spans="1:12" x14ac:dyDescent="0.25">
      <c r="A1015" t="s">
        <v>3689</v>
      </c>
      <c r="B1015" t="s">
        <v>62</v>
      </c>
      <c r="C1015" t="str">
        <f>_xlfn.XLOOKUP(Table7[[#This Row],[app_id]],Table5[app_id],Table5[app_name],"",0)</f>
        <v>MallNow</v>
      </c>
      <c r="D1015" t="s">
        <v>654</v>
      </c>
      <c r="E1015" s="1">
        <v>45570</v>
      </c>
      <c r="F1015">
        <v>5</v>
      </c>
      <c r="G1015" t="s">
        <v>2598</v>
      </c>
      <c r="H1015" t="s">
        <v>2564</v>
      </c>
      <c r="I1015" t="s">
        <v>2558</v>
      </c>
      <c r="J1015" t="s">
        <v>2603</v>
      </c>
      <c r="K1015">
        <v>19</v>
      </c>
      <c r="L1015" s="13" t="s">
        <v>257</v>
      </c>
    </row>
    <row r="1016" spans="1:12" x14ac:dyDescent="0.25">
      <c r="A1016" t="s">
        <v>3690</v>
      </c>
      <c r="B1016" t="s">
        <v>65</v>
      </c>
      <c r="C1016" t="str">
        <f>_xlfn.XLOOKUP(Table7[[#This Row],[app_id]],Table5[app_id],Table5[app_name],"",0)</f>
        <v>DealPro</v>
      </c>
      <c r="D1016" t="s">
        <v>2192</v>
      </c>
      <c r="E1016" s="1">
        <v>46137</v>
      </c>
      <c r="F1016">
        <v>4</v>
      </c>
      <c r="G1016" t="s">
        <v>2592</v>
      </c>
      <c r="H1016" t="s">
        <v>2564</v>
      </c>
      <c r="I1016" t="s">
        <v>2575</v>
      </c>
      <c r="J1016" t="s">
        <v>2633</v>
      </c>
      <c r="K1016">
        <v>20</v>
      </c>
      <c r="L1016" s="13" t="s">
        <v>257</v>
      </c>
    </row>
    <row r="1017" spans="1:12" x14ac:dyDescent="0.25">
      <c r="A1017" t="s">
        <v>3691</v>
      </c>
      <c r="B1017" t="s">
        <v>67</v>
      </c>
      <c r="C1017" t="str">
        <f>_xlfn.XLOOKUP(Table7[[#This Row],[app_id]],Table5[app_id],Table5[app_name],"",0)</f>
        <v>StyleNow</v>
      </c>
      <c r="D1017" t="s">
        <v>770</v>
      </c>
      <c r="E1017" s="1">
        <v>45832</v>
      </c>
      <c r="F1017">
        <v>4</v>
      </c>
      <c r="G1017" t="s">
        <v>2592</v>
      </c>
      <c r="H1017" t="s">
        <v>2564</v>
      </c>
      <c r="I1017" t="s">
        <v>2558</v>
      </c>
      <c r="J1017" t="s">
        <v>2603</v>
      </c>
      <c r="K1017">
        <v>31</v>
      </c>
      <c r="L1017" s="13" t="s">
        <v>257</v>
      </c>
    </row>
    <row r="1018" spans="1:12" x14ac:dyDescent="0.25">
      <c r="A1018" t="s">
        <v>3692</v>
      </c>
      <c r="B1018" t="s">
        <v>70</v>
      </c>
      <c r="C1018" t="str">
        <f>_xlfn.XLOOKUP(Table7[[#This Row],[app_id]],Table5[app_id],Table5[app_name],"",0)</f>
        <v>DealCloud</v>
      </c>
      <c r="D1018" t="s">
        <v>1880</v>
      </c>
      <c r="E1018" s="1">
        <v>45556</v>
      </c>
      <c r="F1018">
        <v>3</v>
      </c>
      <c r="G1018" t="s">
        <v>2748</v>
      </c>
      <c r="H1018" t="s">
        <v>2554</v>
      </c>
      <c r="I1018" t="s">
        <v>2565</v>
      </c>
      <c r="J1018" t="s">
        <v>2633</v>
      </c>
      <c r="K1018">
        <v>34</v>
      </c>
      <c r="L1018" s="13" t="s">
        <v>257</v>
      </c>
    </row>
    <row r="1019" spans="1:12" x14ac:dyDescent="0.25">
      <c r="A1019" t="s">
        <v>3693</v>
      </c>
      <c r="B1019" t="s">
        <v>72</v>
      </c>
      <c r="C1019" t="str">
        <f>_xlfn.XLOOKUP(Table7[[#This Row],[app_id]],Table5[app_id],Table5[app_name],"",0)</f>
        <v>CartCloud</v>
      </c>
      <c r="D1019" t="s">
        <v>2046</v>
      </c>
      <c r="E1019" s="1">
        <v>45366</v>
      </c>
      <c r="F1019">
        <v>5</v>
      </c>
      <c r="G1019" t="s">
        <v>2598</v>
      </c>
      <c r="H1019" t="s">
        <v>2564</v>
      </c>
      <c r="I1019" t="s">
        <v>2575</v>
      </c>
      <c r="J1019" t="s">
        <v>2596</v>
      </c>
      <c r="K1019">
        <v>28</v>
      </c>
      <c r="L1019" s="13" t="s">
        <v>258</v>
      </c>
    </row>
    <row r="1020" spans="1:12" x14ac:dyDescent="0.25">
      <c r="A1020" t="s">
        <v>3694</v>
      </c>
      <c r="B1020" t="s">
        <v>74</v>
      </c>
      <c r="C1020" t="str">
        <f>_xlfn.XLOOKUP(Table7[[#This Row],[app_id]],Table5[app_id],Table5[app_name],"",0)</f>
        <v>CartMate</v>
      </c>
      <c r="D1020" t="s">
        <v>1778</v>
      </c>
      <c r="E1020" s="1">
        <v>45582</v>
      </c>
      <c r="F1020">
        <v>4</v>
      </c>
      <c r="G1020" t="s">
        <v>2590</v>
      </c>
      <c r="H1020" t="s">
        <v>2564</v>
      </c>
      <c r="I1020" t="s">
        <v>2565</v>
      </c>
      <c r="J1020" t="s">
        <v>2561</v>
      </c>
      <c r="K1020">
        <v>1</v>
      </c>
      <c r="L1020" s="13" t="s">
        <v>257</v>
      </c>
    </row>
    <row r="1021" spans="1:12" x14ac:dyDescent="0.25">
      <c r="A1021" t="s">
        <v>3695</v>
      </c>
      <c r="B1021" t="s">
        <v>76</v>
      </c>
      <c r="C1021" t="str">
        <f>_xlfn.XLOOKUP(Table7[[#This Row],[app_id]],Table5[app_id],Table5[app_name],"",0)</f>
        <v>BazaarOne</v>
      </c>
      <c r="D1021" t="s">
        <v>1154</v>
      </c>
      <c r="E1021" s="1">
        <v>45818</v>
      </c>
      <c r="F1021">
        <v>3</v>
      </c>
      <c r="G1021" t="s">
        <v>2609</v>
      </c>
      <c r="H1021" t="s">
        <v>2554</v>
      </c>
      <c r="I1021" t="s">
        <v>2565</v>
      </c>
      <c r="J1021" t="s">
        <v>2556</v>
      </c>
      <c r="K1021">
        <v>46</v>
      </c>
      <c r="L1021" s="13" t="s">
        <v>257</v>
      </c>
    </row>
    <row r="1022" spans="1:12" x14ac:dyDescent="0.25">
      <c r="A1022" t="s">
        <v>3696</v>
      </c>
      <c r="B1022" t="s">
        <v>78</v>
      </c>
      <c r="C1022" t="str">
        <f>_xlfn.XLOOKUP(Table7[[#This Row],[app_id]],Table5[app_id],Table5[app_name],"",0)</f>
        <v>StyleOne</v>
      </c>
      <c r="D1022" t="s">
        <v>2031</v>
      </c>
      <c r="E1022" s="1">
        <v>45343</v>
      </c>
      <c r="F1022">
        <v>4</v>
      </c>
      <c r="G1022" t="s">
        <v>2590</v>
      </c>
      <c r="H1022" t="s">
        <v>2564</v>
      </c>
      <c r="I1022" t="s">
        <v>2565</v>
      </c>
      <c r="J1022" t="s">
        <v>2569</v>
      </c>
      <c r="K1022">
        <v>30</v>
      </c>
      <c r="L1022" s="13" t="s">
        <v>257</v>
      </c>
    </row>
    <row r="1023" spans="1:12" x14ac:dyDescent="0.25">
      <c r="A1023" t="s">
        <v>3697</v>
      </c>
      <c r="B1023" t="s">
        <v>80</v>
      </c>
      <c r="C1023" t="str">
        <f>_xlfn.XLOOKUP(Table7[[#This Row],[app_id]],Table5[app_id],Table5[app_name],"",0)</f>
        <v>Cartly</v>
      </c>
      <c r="D1023" t="s">
        <v>869</v>
      </c>
      <c r="E1023" s="1">
        <v>45618</v>
      </c>
      <c r="F1023">
        <v>5</v>
      </c>
      <c r="G1023" t="s">
        <v>2590</v>
      </c>
      <c r="H1023" t="s">
        <v>2564</v>
      </c>
      <c r="I1023" t="s">
        <v>2575</v>
      </c>
      <c r="J1023" t="s">
        <v>2633</v>
      </c>
      <c r="K1023">
        <v>25</v>
      </c>
      <c r="L1023" s="13" t="s">
        <v>258</v>
      </c>
    </row>
    <row r="1024" spans="1:12" x14ac:dyDescent="0.25">
      <c r="A1024" t="s">
        <v>3698</v>
      </c>
      <c r="B1024" t="s">
        <v>83</v>
      </c>
      <c r="C1024" t="str">
        <f>_xlfn.XLOOKUP(Table7[[#This Row],[app_id]],Table5[app_id],Table5[app_name],"",0)</f>
        <v>BazaarCloud</v>
      </c>
      <c r="D1024" t="s">
        <v>2198</v>
      </c>
      <c r="E1024" s="1">
        <v>45662</v>
      </c>
      <c r="F1024">
        <v>5</v>
      </c>
      <c r="G1024" t="s">
        <v>2590</v>
      </c>
      <c r="H1024" t="s">
        <v>2564</v>
      </c>
      <c r="I1024" t="s">
        <v>2558</v>
      </c>
      <c r="J1024" t="s">
        <v>2600</v>
      </c>
      <c r="K1024">
        <v>12</v>
      </c>
      <c r="L1024" s="13" t="s">
        <v>257</v>
      </c>
    </row>
    <row r="1025" spans="1:12" x14ac:dyDescent="0.25">
      <c r="A1025" t="s">
        <v>3699</v>
      </c>
      <c r="B1025" t="s">
        <v>85</v>
      </c>
      <c r="C1025" t="str">
        <f>_xlfn.XLOOKUP(Table7[[#This Row],[app_id]],Table5[app_id],Table5[app_name],"",0)</f>
        <v>CartPro</v>
      </c>
      <c r="D1025" t="s">
        <v>693</v>
      </c>
      <c r="E1025" s="1">
        <v>45550</v>
      </c>
      <c r="F1025">
        <v>3</v>
      </c>
      <c r="G1025" t="s">
        <v>2594</v>
      </c>
      <c r="H1025" t="s">
        <v>2554</v>
      </c>
      <c r="I1025" t="s">
        <v>2555</v>
      </c>
      <c r="J1025" t="s">
        <v>2559</v>
      </c>
      <c r="K1025">
        <v>47</v>
      </c>
      <c r="L1025" s="13" t="s">
        <v>257</v>
      </c>
    </row>
    <row r="1026" spans="1:12" x14ac:dyDescent="0.25">
      <c r="A1026" t="s">
        <v>3700</v>
      </c>
      <c r="B1026" t="s">
        <v>87</v>
      </c>
      <c r="C1026" t="str">
        <f>_xlfn.XLOOKUP(Table7[[#This Row],[app_id]],Table5[app_id],Table5[app_name],"",0)</f>
        <v>RunPlus</v>
      </c>
      <c r="D1026" t="s">
        <v>1883</v>
      </c>
      <c r="E1026" s="1">
        <v>46132</v>
      </c>
      <c r="F1026">
        <v>4</v>
      </c>
      <c r="G1026" t="s">
        <v>2622</v>
      </c>
      <c r="H1026" t="s">
        <v>2564</v>
      </c>
      <c r="I1026" t="s">
        <v>2565</v>
      </c>
      <c r="J1026" t="s">
        <v>2603</v>
      </c>
      <c r="K1026">
        <v>45</v>
      </c>
      <c r="L1026" s="13" t="s">
        <v>257</v>
      </c>
    </row>
    <row r="1027" spans="1:12" x14ac:dyDescent="0.25">
      <c r="A1027" t="s">
        <v>3701</v>
      </c>
      <c r="B1027" t="s">
        <v>90</v>
      </c>
      <c r="C1027" t="str">
        <f>_xlfn.XLOOKUP(Table7[[#This Row],[app_id]],Table5[app_id],Table5[app_name],"",0)</f>
        <v>TrainCloud</v>
      </c>
      <c r="D1027" t="s">
        <v>1483</v>
      </c>
      <c r="E1027" s="1">
        <v>45838</v>
      </c>
      <c r="F1027">
        <v>3</v>
      </c>
      <c r="G1027" t="s">
        <v>2620</v>
      </c>
      <c r="H1027" t="s">
        <v>2554</v>
      </c>
      <c r="I1027" t="s">
        <v>2558</v>
      </c>
      <c r="J1027" t="s">
        <v>2581</v>
      </c>
      <c r="K1027">
        <v>32</v>
      </c>
      <c r="L1027" s="13" t="s">
        <v>257</v>
      </c>
    </row>
    <row r="1028" spans="1:12" x14ac:dyDescent="0.25">
      <c r="A1028" t="s">
        <v>3702</v>
      </c>
      <c r="B1028" t="s">
        <v>92</v>
      </c>
      <c r="C1028" t="str">
        <f>_xlfn.XLOOKUP(Table7[[#This Row],[app_id]],Table5[app_id],Table5[app_name],"",0)</f>
        <v>Trainly</v>
      </c>
      <c r="D1028" t="s">
        <v>1352</v>
      </c>
      <c r="E1028" s="1">
        <v>45600</v>
      </c>
      <c r="F1028">
        <v>3</v>
      </c>
      <c r="G1028" t="s">
        <v>2770</v>
      </c>
      <c r="H1028" t="s">
        <v>2554</v>
      </c>
      <c r="I1028" t="s">
        <v>2565</v>
      </c>
      <c r="J1028" t="s">
        <v>2559</v>
      </c>
      <c r="K1028">
        <v>42</v>
      </c>
      <c r="L1028" s="13" t="s">
        <v>257</v>
      </c>
    </row>
    <row r="1029" spans="1:12" x14ac:dyDescent="0.25">
      <c r="A1029" t="s">
        <v>3703</v>
      </c>
      <c r="B1029" t="s">
        <v>94</v>
      </c>
      <c r="C1029" t="str">
        <f>_xlfn.XLOOKUP(Table7[[#This Row],[app_id]],Table5[app_id],Table5[app_name],"",0)</f>
        <v>LiftCloud</v>
      </c>
      <c r="D1029" t="s">
        <v>2074</v>
      </c>
      <c r="E1029" s="1">
        <v>45768</v>
      </c>
      <c r="F1029">
        <v>3</v>
      </c>
      <c r="G1029" t="s">
        <v>2620</v>
      </c>
      <c r="H1029" t="s">
        <v>2554</v>
      </c>
      <c r="I1029" t="s">
        <v>2555</v>
      </c>
      <c r="J1029" t="s">
        <v>2600</v>
      </c>
      <c r="K1029">
        <v>22</v>
      </c>
      <c r="L1029" s="13" t="s">
        <v>257</v>
      </c>
    </row>
    <row r="1030" spans="1:12" x14ac:dyDescent="0.25">
      <c r="A1030" t="s">
        <v>3704</v>
      </c>
      <c r="B1030" t="s">
        <v>96</v>
      </c>
      <c r="C1030" t="str">
        <f>_xlfn.XLOOKUP(Table7[[#This Row],[app_id]],Table5[app_id],Table5[app_name],"",0)</f>
        <v>MoveNow</v>
      </c>
      <c r="D1030" t="s">
        <v>2165</v>
      </c>
      <c r="E1030" s="1">
        <v>46039</v>
      </c>
      <c r="F1030">
        <v>5</v>
      </c>
      <c r="G1030" t="s">
        <v>2613</v>
      </c>
      <c r="H1030" t="s">
        <v>2564</v>
      </c>
      <c r="I1030" t="s">
        <v>2565</v>
      </c>
      <c r="J1030" t="s">
        <v>2581</v>
      </c>
      <c r="K1030">
        <v>4</v>
      </c>
      <c r="L1030" s="13" t="s">
        <v>257</v>
      </c>
    </row>
    <row r="1031" spans="1:12" x14ac:dyDescent="0.25">
      <c r="A1031" t="s">
        <v>3705</v>
      </c>
      <c r="B1031" t="s">
        <v>98</v>
      </c>
      <c r="C1031" t="str">
        <f>_xlfn.XLOOKUP(Table7[[#This Row],[app_id]],Table5[app_id],Table5[app_name],"",0)</f>
        <v>ActiveMate</v>
      </c>
      <c r="D1031" t="s">
        <v>1905</v>
      </c>
      <c r="E1031" s="1">
        <v>45871</v>
      </c>
      <c r="F1031">
        <v>3</v>
      </c>
      <c r="G1031" t="s">
        <v>2770</v>
      </c>
      <c r="H1031" t="s">
        <v>2554</v>
      </c>
      <c r="I1031" t="s">
        <v>2584</v>
      </c>
      <c r="J1031" t="s">
        <v>2559</v>
      </c>
      <c r="K1031">
        <v>28</v>
      </c>
      <c r="L1031" s="13" t="s">
        <v>258</v>
      </c>
    </row>
    <row r="1032" spans="1:12" x14ac:dyDescent="0.25">
      <c r="A1032" t="s">
        <v>3706</v>
      </c>
      <c r="B1032" t="s">
        <v>100</v>
      </c>
      <c r="C1032" t="str">
        <f>_xlfn.XLOOKUP(Table7[[#This Row],[app_id]],Table5[app_id],Table5[app_name],"",0)</f>
        <v>RunGo</v>
      </c>
      <c r="D1032" t="s">
        <v>1796</v>
      </c>
      <c r="E1032" s="1">
        <v>45378</v>
      </c>
      <c r="F1032">
        <v>3</v>
      </c>
      <c r="G1032" t="s">
        <v>2620</v>
      </c>
      <c r="H1032" t="s">
        <v>2554</v>
      </c>
      <c r="I1032" t="s">
        <v>2555</v>
      </c>
      <c r="J1032" t="s">
        <v>2600</v>
      </c>
      <c r="K1032">
        <v>18</v>
      </c>
      <c r="L1032" s="13" t="s">
        <v>257</v>
      </c>
    </row>
    <row r="1033" spans="1:12" x14ac:dyDescent="0.25">
      <c r="A1033" t="s">
        <v>3707</v>
      </c>
      <c r="B1033" t="s">
        <v>102</v>
      </c>
      <c r="C1033" t="str">
        <f>_xlfn.XLOOKUP(Table7[[#This Row],[app_id]],Table5[app_id],Table5[app_name],"",0)</f>
        <v>LiftPro</v>
      </c>
      <c r="D1033" t="s">
        <v>1643</v>
      </c>
      <c r="E1033" s="1">
        <v>45847</v>
      </c>
      <c r="F1033">
        <v>4</v>
      </c>
      <c r="G1033" t="s">
        <v>2617</v>
      </c>
      <c r="H1033" t="s">
        <v>2564</v>
      </c>
      <c r="I1033" t="s">
        <v>2565</v>
      </c>
      <c r="J1033" t="s">
        <v>2561</v>
      </c>
      <c r="K1033">
        <v>19</v>
      </c>
      <c r="L1033" s="13" t="s">
        <v>258</v>
      </c>
    </row>
    <row r="1034" spans="1:12" x14ac:dyDescent="0.25">
      <c r="A1034" t="s">
        <v>3708</v>
      </c>
      <c r="B1034" t="s">
        <v>104</v>
      </c>
      <c r="C1034" t="str">
        <f>_xlfn.XLOOKUP(Table7[[#This Row],[app_id]],Table5[app_id],Table5[app_name],"",0)</f>
        <v>LiftPro</v>
      </c>
      <c r="D1034" t="s">
        <v>2261</v>
      </c>
      <c r="E1034" s="1">
        <v>45634</v>
      </c>
      <c r="F1034">
        <v>4</v>
      </c>
      <c r="G1034" t="s">
        <v>2613</v>
      </c>
      <c r="H1034" t="s">
        <v>2564</v>
      </c>
      <c r="I1034" t="s">
        <v>2575</v>
      </c>
      <c r="J1034" t="s">
        <v>2603</v>
      </c>
      <c r="K1034">
        <v>5</v>
      </c>
      <c r="L1034" s="13" t="s">
        <v>258</v>
      </c>
    </row>
    <row r="1035" spans="1:12" x14ac:dyDescent="0.25">
      <c r="A1035" t="s">
        <v>3709</v>
      </c>
      <c r="B1035" t="s">
        <v>105</v>
      </c>
      <c r="C1035" t="str">
        <f>_xlfn.XLOOKUP(Table7[[#This Row],[app_id]],Table5[app_id],Table5[app_name],"",0)</f>
        <v>Liftly</v>
      </c>
      <c r="D1035" t="s">
        <v>1809</v>
      </c>
      <c r="E1035" s="1">
        <v>45894</v>
      </c>
      <c r="F1035">
        <v>4</v>
      </c>
      <c r="G1035" t="s">
        <v>2622</v>
      </c>
      <c r="H1035" t="s">
        <v>2564</v>
      </c>
      <c r="I1035" t="s">
        <v>2558</v>
      </c>
      <c r="J1035" t="s">
        <v>2596</v>
      </c>
      <c r="K1035">
        <v>7</v>
      </c>
      <c r="L1035" s="13" t="s">
        <v>257</v>
      </c>
    </row>
    <row r="1036" spans="1:12" x14ac:dyDescent="0.25">
      <c r="A1036" t="s">
        <v>3710</v>
      </c>
      <c r="B1036" t="s">
        <v>107</v>
      </c>
      <c r="C1036" t="str">
        <f>_xlfn.XLOOKUP(Table7[[#This Row],[app_id]],Table5[app_id],Table5[app_name],"",0)</f>
        <v>YogaHub</v>
      </c>
      <c r="D1036" t="s">
        <v>742</v>
      </c>
      <c r="E1036" s="1">
        <v>45734</v>
      </c>
      <c r="F1036">
        <v>4</v>
      </c>
      <c r="G1036" t="s">
        <v>2622</v>
      </c>
      <c r="H1036" t="s">
        <v>2564</v>
      </c>
      <c r="I1036" t="s">
        <v>2555</v>
      </c>
      <c r="J1036" t="s">
        <v>2569</v>
      </c>
      <c r="K1036">
        <v>46</v>
      </c>
      <c r="L1036" s="13" t="s">
        <v>258</v>
      </c>
    </row>
    <row r="1037" spans="1:12" x14ac:dyDescent="0.25">
      <c r="A1037" t="s">
        <v>3711</v>
      </c>
      <c r="B1037" t="s">
        <v>109</v>
      </c>
      <c r="C1037" t="str">
        <f>_xlfn.XLOOKUP(Table7[[#This Row],[app_id]],Table5[app_id],Table5[app_name],"",0)</f>
        <v>MoveGo</v>
      </c>
      <c r="D1037" t="s">
        <v>1401</v>
      </c>
      <c r="E1037" s="1">
        <v>45491</v>
      </c>
      <c r="F1037">
        <v>4</v>
      </c>
      <c r="G1037" t="s">
        <v>2613</v>
      </c>
      <c r="H1037" t="s">
        <v>2564</v>
      </c>
      <c r="I1037" t="s">
        <v>2565</v>
      </c>
      <c r="J1037" t="s">
        <v>2561</v>
      </c>
      <c r="K1037">
        <v>45</v>
      </c>
      <c r="L1037" s="13" t="s">
        <v>257</v>
      </c>
    </row>
    <row r="1038" spans="1:12" x14ac:dyDescent="0.25">
      <c r="A1038" t="s">
        <v>3712</v>
      </c>
      <c r="B1038" t="s">
        <v>111</v>
      </c>
      <c r="C1038" t="str">
        <f>_xlfn.XLOOKUP(Table7[[#This Row],[app_id]],Table5[app_id],Table5[app_name],"",0)</f>
        <v>BrightNow</v>
      </c>
      <c r="D1038" t="s">
        <v>2212</v>
      </c>
      <c r="E1038" s="1">
        <v>45397</v>
      </c>
      <c r="F1038">
        <v>4</v>
      </c>
      <c r="G1038" t="s">
        <v>2638</v>
      </c>
      <c r="H1038" t="s">
        <v>2564</v>
      </c>
      <c r="I1038" t="s">
        <v>2555</v>
      </c>
      <c r="J1038" t="s">
        <v>2596</v>
      </c>
      <c r="K1038">
        <v>38</v>
      </c>
      <c r="L1038" s="13" t="s">
        <v>257</v>
      </c>
    </row>
    <row r="1039" spans="1:12" x14ac:dyDescent="0.25">
      <c r="A1039" t="s">
        <v>3713</v>
      </c>
      <c r="B1039" t="s">
        <v>114</v>
      </c>
      <c r="C1039" t="str">
        <f>_xlfn.XLOOKUP(Table7[[#This Row],[app_id]],Table5[app_id],Table5[app_name],"",0)</f>
        <v>StudyCloud</v>
      </c>
      <c r="D1039" t="s">
        <v>2522</v>
      </c>
      <c r="E1039" s="1">
        <v>45567</v>
      </c>
      <c r="F1039">
        <v>3</v>
      </c>
      <c r="G1039" t="s">
        <v>2778</v>
      </c>
      <c r="H1039" t="s">
        <v>2554</v>
      </c>
      <c r="I1039" t="s">
        <v>2584</v>
      </c>
      <c r="J1039" t="s">
        <v>2556</v>
      </c>
      <c r="K1039">
        <v>18</v>
      </c>
      <c r="L1039" s="13" t="s">
        <v>257</v>
      </c>
    </row>
    <row r="1040" spans="1:12" x14ac:dyDescent="0.25">
      <c r="A1040" t="s">
        <v>3714</v>
      </c>
      <c r="B1040" t="s">
        <v>116</v>
      </c>
      <c r="C1040" t="str">
        <f>_xlfn.XLOOKUP(Table7[[#This Row],[app_id]],Table5[app_id],Table5[app_name],"",0)</f>
        <v>SkillNow</v>
      </c>
      <c r="D1040" t="s">
        <v>2058</v>
      </c>
      <c r="E1040" s="1">
        <v>45612</v>
      </c>
      <c r="F1040">
        <v>4</v>
      </c>
      <c r="G1040" t="s">
        <v>2638</v>
      </c>
      <c r="H1040" t="s">
        <v>2564</v>
      </c>
      <c r="I1040" t="s">
        <v>2565</v>
      </c>
      <c r="J1040" t="s">
        <v>2566</v>
      </c>
      <c r="K1040">
        <v>23</v>
      </c>
      <c r="L1040" s="13" t="s">
        <v>257</v>
      </c>
    </row>
    <row r="1041" spans="1:12" x14ac:dyDescent="0.25">
      <c r="A1041" t="s">
        <v>3715</v>
      </c>
      <c r="B1041" t="s">
        <v>118</v>
      </c>
      <c r="C1041" t="str">
        <f>_xlfn.XLOOKUP(Table7[[#This Row],[app_id]],Table5[app_id],Table5[app_name],"",0)</f>
        <v>LearnMate</v>
      </c>
      <c r="D1041" t="s">
        <v>1005</v>
      </c>
      <c r="E1041" s="1">
        <v>45588</v>
      </c>
      <c r="F1041">
        <v>4</v>
      </c>
      <c r="G1041" t="s">
        <v>2780</v>
      </c>
      <c r="H1041" t="s">
        <v>2564</v>
      </c>
      <c r="I1041" t="s">
        <v>2565</v>
      </c>
      <c r="J1041" t="s">
        <v>2603</v>
      </c>
      <c r="K1041">
        <v>23</v>
      </c>
      <c r="L1041" s="13" t="s">
        <v>258</v>
      </c>
    </row>
    <row r="1042" spans="1:12" x14ac:dyDescent="0.25">
      <c r="A1042" t="s">
        <v>3716</v>
      </c>
      <c r="B1042" t="s">
        <v>120</v>
      </c>
      <c r="C1042" t="str">
        <f>_xlfn.XLOOKUP(Table7[[#This Row],[app_id]],Table5[app_id],Table5[app_name],"",0)</f>
        <v>QuestNow</v>
      </c>
      <c r="D1042" t="s">
        <v>713</v>
      </c>
      <c r="E1042" s="1">
        <v>45715</v>
      </c>
      <c r="F1042">
        <v>3</v>
      </c>
      <c r="G1042" t="s">
        <v>2889</v>
      </c>
      <c r="H1042" t="s">
        <v>2554</v>
      </c>
      <c r="I1042" t="s">
        <v>2571</v>
      </c>
      <c r="J1042" t="s">
        <v>2556</v>
      </c>
      <c r="K1042">
        <v>32</v>
      </c>
      <c r="L1042" s="13" t="s">
        <v>257</v>
      </c>
    </row>
    <row r="1043" spans="1:12" x14ac:dyDescent="0.25">
      <c r="A1043" t="s">
        <v>3717</v>
      </c>
      <c r="B1043" t="s">
        <v>122</v>
      </c>
      <c r="C1043" t="str">
        <f>_xlfn.XLOOKUP(Table7[[#This Row],[app_id]],Table5[app_id],Table5[app_name],"",0)</f>
        <v>SkillHub</v>
      </c>
      <c r="D1043" t="s">
        <v>1032</v>
      </c>
      <c r="E1043" s="1">
        <v>45729</v>
      </c>
      <c r="F1043">
        <v>5</v>
      </c>
      <c r="G1043" t="s">
        <v>2780</v>
      </c>
      <c r="H1043" t="s">
        <v>2564</v>
      </c>
      <c r="I1043" t="s">
        <v>2565</v>
      </c>
      <c r="J1043" t="s">
        <v>2581</v>
      </c>
      <c r="K1043">
        <v>23</v>
      </c>
      <c r="L1043" s="13" t="s">
        <v>257</v>
      </c>
    </row>
    <row r="1044" spans="1:12" x14ac:dyDescent="0.25">
      <c r="A1044" t="s">
        <v>3718</v>
      </c>
      <c r="B1044" t="s">
        <v>124</v>
      </c>
      <c r="C1044" t="str">
        <f>_xlfn.XLOOKUP(Table7[[#This Row],[app_id]],Table5[app_id],Table5[app_name],"",0)</f>
        <v>TutorCloud</v>
      </c>
      <c r="D1044" t="s">
        <v>2270</v>
      </c>
      <c r="E1044" s="1">
        <v>45565</v>
      </c>
      <c r="F1044">
        <v>2</v>
      </c>
      <c r="G1044" t="s">
        <v>2630</v>
      </c>
      <c r="H1044" t="s">
        <v>2587</v>
      </c>
      <c r="I1044" t="s">
        <v>2575</v>
      </c>
      <c r="J1044" t="s">
        <v>2559</v>
      </c>
      <c r="K1044">
        <v>58</v>
      </c>
      <c r="L1044" s="13" t="s">
        <v>257</v>
      </c>
    </row>
    <row r="1045" spans="1:12" x14ac:dyDescent="0.25">
      <c r="A1045" t="s">
        <v>3719</v>
      </c>
      <c r="B1045" t="s">
        <v>126</v>
      </c>
      <c r="C1045" t="str">
        <f>_xlfn.XLOOKUP(Table7[[#This Row],[app_id]],Table5[app_id],Table5[app_name],"",0)</f>
        <v>SkillOne</v>
      </c>
      <c r="D1045" t="s">
        <v>1768</v>
      </c>
      <c r="E1045" s="1">
        <v>45657</v>
      </c>
      <c r="F1045">
        <v>4</v>
      </c>
      <c r="G1045" t="s">
        <v>2780</v>
      </c>
      <c r="H1045" t="s">
        <v>2564</v>
      </c>
      <c r="I1045" t="s">
        <v>2565</v>
      </c>
      <c r="J1045" t="s">
        <v>2569</v>
      </c>
      <c r="K1045">
        <v>29</v>
      </c>
      <c r="L1045" s="13" t="s">
        <v>257</v>
      </c>
    </row>
    <row r="1046" spans="1:12" x14ac:dyDescent="0.25">
      <c r="A1046" t="s">
        <v>3720</v>
      </c>
      <c r="B1046" t="s">
        <v>128</v>
      </c>
      <c r="C1046" t="str">
        <f>_xlfn.XLOOKUP(Table7[[#This Row],[app_id]],Table5[app_id],Table5[app_name],"",0)</f>
        <v>LearnOne</v>
      </c>
      <c r="D1046" t="s">
        <v>1117</v>
      </c>
      <c r="E1046" s="1">
        <v>46029</v>
      </c>
      <c r="F1046">
        <v>4</v>
      </c>
      <c r="G1046" t="s">
        <v>2640</v>
      </c>
      <c r="H1046" t="s">
        <v>2564</v>
      </c>
      <c r="I1046" t="s">
        <v>2565</v>
      </c>
      <c r="J1046" t="s">
        <v>2581</v>
      </c>
      <c r="K1046">
        <v>43</v>
      </c>
      <c r="L1046" s="13" t="s">
        <v>257</v>
      </c>
    </row>
    <row r="1047" spans="1:12" x14ac:dyDescent="0.25">
      <c r="A1047" t="s">
        <v>3721</v>
      </c>
      <c r="B1047" t="s">
        <v>130</v>
      </c>
      <c r="C1047" t="str">
        <f>_xlfn.XLOOKUP(Table7[[#This Row],[app_id]],Table5[app_id],Table5[app_name],"",0)</f>
        <v>LearnPlus</v>
      </c>
      <c r="D1047" t="s">
        <v>1980</v>
      </c>
      <c r="E1047" s="1">
        <v>45855</v>
      </c>
      <c r="F1047">
        <v>2</v>
      </c>
      <c r="G1047" t="s">
        <v>2630</v>
      </c>
      <c r="H1047" t="s">
        <v>2587</v>
      </c>
      <c r="I1047" t="s">
        <v>2588</v>
      </c>
      <c r="J1047" t="s">
        <v>2556</v>
      </c>
      <c r="K1047">
        <v>87</v>
      </c>
      <c r="L1047" s="13" t="s">
        <v>258</v>
      </c>
    </row>
    <row r="1048" spans="1:12" x14ac:dyDescent="0.25">
      <c r="A1048" t="s">
        <v>3722</v>
      </c>
      <c r="B1048" t="s">
        <v>132</v>
      </c>
      <c r="C1048" t="str">
        <f>_xlfn.XLOOKUP(Table7[[#This Row],[app_id]],Table5[app_id],Table5[app_name],"",0)</f>
        <v>StudyPlus</v>
      </c>
      <c r="D1048" t="s">
        <v>555</v>
      </c>
      <c r="E1048" s="1">
        <v>46052</v>
      </c>
      <c r="F1048">
        <v>4</v>
      </c>
      <c r="G1048" t="s">
        <v>2780</v>
      </c>
      <c r="H1048" t="s">
        <v>2564</v>
      </c>
      <c r="I1048" t="s">
        <v>2565</v>
      </c>
      <c r="J1048" t="s">
        <v>2633</v>
      </c>
      <c r="K1048">
        <v>25</v>
      </c>
      <c r="L1048" s="13" t="s">
        <v>257</v>
      </c>
    </row>
    <row r="1049" spans="1:12" x14ac:dyDescent="0.25">
      <c r="A1049" t="s">
        <v>3723</v>
      </c>
      <c r="B1049" t="s">
        <v>134</v>
      </c>
      <c r="C1049" t="str">
        <f>_xlfn.XLOOKUP(Table7[[#This Row],[app_id]],Table5[app_id],Table5[app_name],"",0)</f>
        <v>StudyX</v>
      </c>
      <c r="D1049" t="s">
        <v>662</v>
      </c>
      <c r="E1049" s="1">
        <v>45551</v>
      </c>
      <c r="F1049">
        <v>5</v>
      </c>
      <c r="G1049" t="s">
        <v>2635</v>
      </c>
      <c r="H1049" t="s">
        <v>2564</v>
      </c>
      <c r="I1049" t="s">
        <v>2575</v>
      </c>
      <c r="J1049" t="s">
        <v>2600</v>
      </c>
      <c r="K1049">
        <v>4</v>
      </c>
      <c r="L1049" s="13" t="s">
        <v>258</v>
      </c>
    </row>
    <row r="1050" spans="1:12" x14ac:dyDescent="0.25">
      <c r="A1050" t="s">
        <v>3724</v>
      </c>
      <c r="B1050" t="s">
        <v>136</v>
      </c>
      <c r="C1050" t="str">
        <f>_xlfn.XLOOKUP(Table7[[#This Row],[app_id]],Table5[app_id],Table5[app_name],"",0)</f>
        <v>PlayPlus</v>
      </c>
      <c r="D1050" t="s">
        <v>1434</v>
      </c>
      <c r="E1050" s="1">
        <v>45691</v>
      </c>
      <c r="F1050">
        <v>5</v>
      </c>
      <c r="G1050" t="s">
        <v>2905</v>
      </c>
      <c r="H1050" t="s">
        <v>2564</v>
      </c>
      <c r="I1050" t="s">
        <v>2565</v>
      </c>
      <c r="J1050" t="s">
        <v>2559</v>
      </c>
      <c r="K1050">
        <v>18</v>
      </c>
      <c r="L1050" s="13" t="s">
        <v>257</v>
      </c>
    </row>
    <row r="1051" spans="1:12" x14ac:dyDescent="0.25">
      <c r="A1051" t="s">
        <v>3725</v>
      </c>
      <c r="B1051" t="s">
        <v>139</v>
      </c>
      <c r="C1051" t="str">
        <f>_xlfn.XLOOKUP(Table7[[#This Row],[app_id]],Table5[app_id],Table5[app_name],"",0)</f>
        <v>ShowMate</v>
      </c>
      <c r="D1051" t="s">
        <v>1664</v>
      </c>
      <c r="E1051" s="1">
        <v>45749</v>
      </c>
      <c r="F1051">
        <v>2</v>
      </c>
      <c r="G1051" t="s">
        <v>3726</v>
      </c>
      <c r="H1051" t="s">
        <v>2587</v>
      </c>
      <c r="I1051" t="s">
        <v>2558</v>
      </c>
      <c r="J1051" t="s">
        <v>2569</v>
      </c>
      <c r="K1051">
        <v>32</v>
      </c>
      <c r="L1051" s="13" t="s">
        <v>258</v>
      </c>
    </row>
    <row r="1052" spans="1:12" x14ac:dyDescent="0.25">
      <c r="A1052" t="s">
        <v>3727</v>
      </c>
      <c r="B1052" t="s">
        <v>141</v>
      </c>
      <c r="C1052" t="str">
        <f>_xlfn.XLOOKUP(Table7[[#This Row],[app_id]],Table5[app_id],Table5[app_name],"",0)</f>
        <v>VibeX</v>
      </c>
      <c r="D1052" t="s">
        <v>757</v>
      </c>
      <c r="E1052" s="1">
        <v>45740</v>
      </c>
      <c r="F1052">
        <v>4</v>
      </c>
      <c r="G1052" t="s">
        <v>2789</v>
      </c>
      <c r="H1052" t="s">
        <v>2564</v>
      </c>
      <c r="I1052" t="s">
        <v>2565</v>
      </c>
      <c r="J1052" t="s">
        <v>2559</v>
      </c>
      <c r="K1052">
        <v>14</v>
      </c>
      <c r="L1052" s="13" t="s">
        <v>257</v>
      </c>
    </row>
    <row r="1053" spans="1:12" x14ac:dyDescent="0.25">
      <c r="A1053" t="s">
        <v>3728</v>
      </c>
      <c r="B1053" t="s">
        <v>143</v>
      </c>
      <c r="C1053" t="str">
        <f>_xlfn.XLOOKUP(Table7[[#This Row],[app_id]],Table5[app_id],Table5[app_name],"",0)</f>
        <v>BuzzNow</v>
      </c>
      <c r="D1053" t="s">
        <v>2312</v>
      </c>
      <c r="E1053" s="1">
        <v>45453</v>
      </c>
      <c r="F1053">
        <v>4</v>
      </c>
      <c r="G1053" t="s">
        <v>2650</v>
      </c>
      <c r="H1053" t="s">
        <v>2564</v>
      </c>
      <c r="I1053" t="s">
        <v>2558</v>
      </c>
      <c r="J1053" t="s">
        <v>2581</v>
      </c>
      <c r="K1053">
        <v>44</v>
      </c>
      <c r="L1053" s="13" t="s">
        <v>257</v>
      </c>
    </row>
    <row r="1054" spans="1:12" x14ac:dyDescent="0.25">
      <c r="A1054" t="s">
        <v>3729</v>
      </c>
      <c r="B1054" t="s">
        <v>145</v>
      </c>
      <c r="C1054" t="str">
        <f>_xlfn.XLOOKUP(Table7[[#This Row],[app_id]],Table5[app_id],Table5[app_name],"",0)</f>
        <v>StreamPlus</v>
      </c>
      <c r="D1054" t="s">
        <v>2328</v>
      </c>
      <c r="E1054" s="1">
        <v>45658</v>
      </c>
      <c r="F1054">
        <v>3</v>
      </c>
      <c r="G1054" t="s">
        <v>2793</v>
      </c>
      <c r="H1054" t="s">
        <v>2554</v>
      </c>
      <c r="I1054" t="s">
        <v>2588</v>
      </c>
      <c r="J1054" t="s">
        <v>2603</v>
      </c>
      <c r="K1054">
        <v>35</v>
      </c>
      <c r="L1054" s="13" t="s">
        <v>257</v>
      </c>
    </row>
    <row r="1055" spans="1:12" x14ac:dyDescent="0.25">
      <c r="A1055" t="s">
        <v>3730</v>
      </c>
      <c r="B1055" t="s">
        <v>147</v>
      </c>
      <c r="C1055" t="str">
        <f>_xlfn.XLOOKUP(Table7[[#This Row],[app_id]],Table5[app_id],Table5[app_name],"",0)</f>
        <v>Showly</v>
      </c>
      <c r="D1055" t="s">
        <v>2038</v>
      </c>
      <c r="E1055" s="1">
        <v>45548</v>
      </c>
      <c r="F1055">
        <v>3</v>
      </c>
      <c r="G1055" t="s">
        <v>2663</v>
      </c>
      <c r="H1055" t="s">
        <v>2554</v>
      </c>
      <c r="I1055" t="s">
        <v>2588</v>
      </c>
      <c r="J1055" t="s">
        <v>2596</v>
      </c>
      <c r="K1055">
        <v>22</v>
      </c>
      <c r="L1055" s="13" t="s">
        <v>257</v>
      </c>
    </row>
    <row r="1056" spans="1:12" x14ac:dyDescent="0.25">
      <c r="A1056" t="s">
        <v>3731</v>
      </c>
      <c r="B1056" t="s">
        <v>149</v>
      </c>
      <c r="C1056" t="str">
        <f>_xlfn.XLOOKUP(Table7[[#This Row],[app_id]],Table5[app_id],Table5[app_name],"",0)</f>
        <v>BuzzOne</v>
      </c>
      <c r="D1056" t="s">
        <v>1364</v>
      </c>
      <c r="E1056" s="1">
        <v>45750</v>
      </c>
      <c r="F1056">
        <v>4</v>
      </c>
      <c r="G1056" t="s">
        <v>2789</v>
      </c>
      <c r="H1056" t="s">
        <v>2564</v>
      </c>
      <c r="I1056" t="s">
        <v>2571</v>
      </c>
      <c r="J1056" t="s">
        <v>2596</v>
      </c>
      <c r="K1056">
        <v>31</v>
      </c>
      <c r="L1056" s="13" t="s">
        <v>257</v>
      </c>
    </row>
    <row r="1057" spans="1:12" x14ac:dyDescent="0.25">
      <c r="A1057" t="s">
        <v>3732</v>
      </c>
      <c r="B1057" t="s">
        <v>151</v>
      </c>
      <c r="C1057" t="str">
        <f>_xlfn.XLOOKUP(Table7[[#This Row],[app_id]],Table5[app_id],Table5[app_name],"",0)</f>
        <v>PlayHub</v>
      </c>
      <c r="D1057" t="s">
        <v>1000</v>
      </c>
      <c r="E1057" s="1">
        <v>45877</v>
      </c>
      <c r="F1057">
        <v>3</v>
      </c>
      <c r="G1057" t="s">
        <v>2655</v>
      </c>
      <c r="H1057" t="s">
        <v>2554</v>
      </c>
      <c r="I1057" t="s">
        <v>2578</v>
      </c>
      <c r="J1057" t="s">
        <v>2581</v>
      </c>
      <c r="K1057">
        <v>14</v>
      </c>
      <c r="L1057" s="13" t="s">
        <v>258</v>
      </c>
    </row>
    <row r="1058" spans="1:12" x14ac:dyDescent="0.25">
      <c r="A1058" t="s">
        <v>3733</v>
      </c>
      <c r="B1058" t="s">
        <v>153</v>
      </c>
      <c r="C1058" t="str">
        <f>_xlfn.XLOOKUP(Table7[[#This Row],[app_id]],Table5[app_id],Table5[app_name],"",0)</f>
        <v>CinemaGo</v>
      </c>
      <c r="D1058" t="s">
        <v>1122</v>
      </c>
      <c r="E1058" s="1">
        <v>45944</v>
      </c>
      <c r="F1058">
        <v>5</v>
      </c>
      <c r="G1058" t="s">
        <v>2905</v>
      </c>
      <c r="H1058" t="s">
        <v>2564</v>
      </c>
      <c r="I1058" t="s">
        <v>2565</v>
      </c>
      <c r="J1058" t="s">
        <v>2561</v>
      </c>
      <c r="K1058">
        <v>12</v>
      </c>
      <c r="L1058" s="13" t="s">
        <v>257</v>
      </c>
    </row>
    <row r="1059" spans="1:12" x14ac:dyDescent="0.25">
      <c r="A1059" t="s">
        <v>3734</v>
      </c>
      <c r="B1059" t="s">
        <v>155</v>
      </c>
      <c r="C1059" t="str">
        <f>_xlfn.XLOOKUP(Table7[[#This Row],[app_id]],Table5[app_id],Table5[app_name],"",0)</f>
        <v>LaughX</v>
      </c>
      <c r="D1059" t="s">
        <v>713</v>
      </c>
      <c r="E1059" s="1">
        <v>45721</v>
      </c>
      <c r="F1059">
        <v>5</v>
      </c>
      <c r="G1059" t="s">
        <v>2650</v>
      </c>
      <c r="H1059" t="s">
        <v>2564</v>
      </c>
      <c r="I1059" t="s">
        <v>2565</v>
      </c>
      <c r="J1059" t="s">
        <v>2633</v>
      </c>
      <c r="K1059">
        <v>23</v>
      </c>
      <c r="L1059" s="13" t="s">
        <v>257</v>
      </c>
    </row>
    <row r="1060" spans="1:12" x14ac:dyDescent="0.25">
      <c r="A1060" t="s">
        <v>3735</v>
      </c>
      <c r="B1060" t="s">
        <v>157</v>
      </c>
      <c r="C1060" t="str">
        <f>_xlfn.XLOOKUP(Table7[[#This Row],[app_id]],Table5[app_id],Table5[app_name],"",0)</f>
        <v>CinemaHub</v>
      </c>
      <c r="D1060" t="s">
        <v>1526</v>
      </c>
      <c r="E1060" s="1">
        <v>45415</v>
      </c>
      <c r="F1060">
        <v>4</v>
      </c>
      <c r="G1060" t="s">
        <v>2650</v>
      </c>
      <c r="H1060" t="s">
        <v>2564</v>
      </c>
      <c r="I1060" t="s">
        <v>2558</v>
      </c>
      <c r="J1060" t="s">
        <v>2603</v>
      </c>
      <c r="K1060">
        <v>45</v>
      </c>
      <c r="L1060" s="13" t="s">
        <v>257</v>
      </c>
    </row>
    <row r="1061" spans="1:12" x14ac:dyDescent="0.25">
      <c r="A1061" t="s">
        <v>3736</v>
      </c>
      <c r="B1061" t="s">
        <v>159</v>
      </c>
      <c r="C1061" t="str">
        <f>_xlfn.XLOOKUP(Table7[[#This Row],[app_id]],Table5[app_id],Table5[app_name],"",0)</f>
        <v>ShowPro</v>
      </c>
      <c r="D1061" t="s">
        <v>666</v>
      </c>
      <c r="E1061" s="1">
        <v>45973</v>
      </c>
      <c r="F1061">
        <v>5</v>
      </c>
      <c r="G1061" t="s">
        <v>2905</v>
      </c>
      <c r="H1061" t="s">
        <v>2564</v>
      </c>
      <c r="I1061" t="s">
        <v>2565</v>
      </c>
      <c r="J1061" t="s">
        <v>2581</v>
      </c>
      <c r="K1061">
        <v>29</v>
      </c>
      <c r="L1061" s="13" t="s">
        <v>257</v>
      </c>
    </row>
    <row r="1062" spans="1:12" x14ac:dyDescent="0.25">
      <c r="A1062" t="s">
        <v>3737</v>
      </c>
      <c r="B1062" t="s">
        <v>161</v>
      </c>
      <c r="C1062" t="str">
        <f>_xlfn.XLOOKUP(Table7[[#This Row],[app_id]],Table5[app_id],Table5[app_name],"",0)</f>
        <v>FoodPlus</v>
      </c>
      <c r="D1062" t="s">
        <v>1793</v>
      </c>
      <c r="E1062" s="1">
        <v>45619</v>
      </c>
      <c r="F1062">
        <v>3</v>
      </c>
      <c r="G1062" t="s">
        <v>2672</v>
      </c>
      <c r="H1062" t="s">
        <v>2554</v>
      </c>
      <c r="I1062" t="s">
        <v>2558</v>
      </c>
      <c r="J1062" t="s">
        <v>2600</v>
      </c>
      <c r="K1062">
        <v>46</v>
      </c>
      <c r="L1062" s="13" t="s">
        <v>257</v>
      </c>
    </row>
    <row r="1063" spans="1:12" x14ac:dyDescent="0.25">
      <c r="A1063" t="s">
        <v>3738</v>
      </c>
      <c r="B1063" t="s">
        <v>164</v>
      </c>
      <c r="C1063" t="str">
        <f>_xlfn.XLOOKUP(Table7[[#This Row],[app_id]],Table5[app_id],Table5[app_name],"",0)</f>
        <v>BiteGo</v>
      </c>
      <c r="D1063" t="s">
        <v>956</v>
      </c>
      <c r="E1063" s="1">
        <v>45369</v>
      </c>
      <c r="F1063">
        <v>3</v>
      </c>
      <c r="G1063" t="s">
        <v>2666</v>
      </c>
      <c r="H1063" t="s">
        <v>2554</v>
      </c>
      <c r="I1063" t="s">
        <v>2558</v>
      </c>
      <c r="J1063" t="s">
        <v>2596</v>
      </c>
      <c r="K1063">
        <v>27</v>
      </c>
      <c r="L1063" s="13" t="s">
        <v>257</v>
      </c>
    </row>
    <row r="1064" spans="1:12" x14ac:dyDescent="0.25">
      <c r="A1064" t="s">
        <v>3739</v>
      </c>
      <c r="B1064" t="s">
        <v>166</v>
      </c>
      <c r="C1064" t="str">
        <f>_xlfn.XLOOKUP(Table7[[#This Row],[app_id]],Table5[app_id],Table5[app_name],"",0)</f>
        <v>OrderCloud</v>
      </c>
      <c r="D1064" t="s">
        <v>1051</v>
      </c>
      <c r="E1064" s="1">
        <v>45670</v>
      </c>
      <c r="F1064">
        <v>2</v>
      </c>
      <c r="G1064" t="s">
        <v>2917</v>
      </c>
      <c r="H1064" t="s">
        <v>2587</v>
      </c>
      <c r="I1064" t="s">
        <v>2555</v>
      </c>
      <c r="J1064" t="s">
        <v>2569</v>
      </c>
      <c r="K1064">
        <v>34</v>
      </c>
      <c r="L1064" s="13" t="s">
        <v>258</v>
      </c>
    </row>
    <row r="1065" spans="1:12" x14ac:dyDescent="0.25">
      <c r="A1065" t="s">
        <v>3740</v>
      </c>
      <c r="B1065" t="s">
        <v>168</v>
      </c>
      <c r="C1065" t="str">
        <f>_xlfn.XLOOKUP(Table7[[#This Row],[app_id]],Table5[app_id],Table5[app_name],"",0)</f>
        <v>DinePlus</v>
      </c>
      <c r="D1065" t="s">
        <v>904</v>
      </c>
      <c r="E1065" s="1">
        <v>46068</v>
      </c>
      <c r="F1065">
        <v>3</v>
      </c>
      <c r="G1065" t="s">
        <v>2666</v>
      </c>
      <c r="H1065" t="s">
        <v>2554</v>
      </c>
      <c r="I1065" t="s">
        <v>2588</v>
      </c>
      <c r="J1065" t="s">
        <v>2633</v>
      </c>
      <c r="K1065">
        <v>21</v>
      </c>
      <c r="L1065" s="13" t="s">
        <v>257</v>
      </c>
    </row>
    <row r="1066" spans="1:12" x14ac:dyDescent="0.25">
      <c r="A1066" t="s">
        <v>3741</v>
      </c>
      <c r="B1066" t="s">
        <v>170</v>
      </c>
      <c r="C1066" t="str">
        <f>_xlfn.XLOOKUP(Table7[[#This Row],[app_id]],Table5[app_id],Table5[app_name],"",0)</f>
        <v>SnackX</v>
      </c>
      <c r="D1066" t="s">
        <v>974</v>
      </c>
      <c r="E1066" s="1">
        <v>45363</v>
      </c>
      <c r="F1066">
        <v>4</v>
      </c>
      <c r="G1066" t="s">
        <v>2674</v>
      </c>
      <c r="H1066" t="s">
        <v>2564</v>
      </c>
      <c r="I1066" t="s">
        <v>2571</v>
      </c>
      <c r="J1066" t="s">
        <v>2569</v>
      </c>
      <c r="K1066">
        <v>26</v>
      </c>
      <c r="L1066" s="13" t="s">
        <v>257</v>
      </c>
    </row>
    <row r="1067" spans="1:12" x14ac:dyDescent="0.25">
      <c r="A1067" t="s">
        <v>3742</v>
      </c>
      <c r="B1067" t="s">
        <v>172</v>
      </c>
      <c r="C1067" t="str">
        <f>_xlfn.XLOOKUP(Table7[[#This Row],[app_id]],Table5[app_id],Table5[app_name],"",0)</f>
        <v>FoodOne</v>
      </c>
      <c r="D1067" t="s">
        <v>1689</v>
      </c>
      <c r="E1067" s="1">
        <v>45626</v>
      </c>
      <c r="F1067">
        <v>5</v>
      </c>
      <c r="G1067" t="s">
        <v>2676</v>
      </c>
      <c r="H1067" t="s">
        <v>2564</v>
      </c>
      <c r="I1067" t="s">
        <v>2575</v>
      </c>
      <c r="J1067" t="s">
        <v>2603</v>
      </c>
      <c r="K1067">
        <v>10</v>
      </c>
      <c r="L1067" s="13" t="s">
        <v>257</v>
      </c>
    </row>
    <row r="1068" spans="1:12" x14ac:dyDescent="0.25">
      <c r="A1068" t="s">
        <v>3743</v>
      </c>
      <c r="B1068" t="s">
        <v>174</v>
      </c>
      <c r="C1068" t="str">
        <f>_xlfn.XLOOKUP(Table7[[#This Row],[app_id]],Table5[app_id],Table5[app_name],"",0)</f>
        <v>MealMate</v>
      </c>
      <c r="D1068" t="s">
        <v>2400</v>
      </c>
      <c r="E1068" s="1">
        <v>45660</v>
      </c>
      <c r="F1068">
        <v>5</v>
      </c>
      <c r="G1068" t="s">
        <v>2676</v>
      </c>
      <c r="H1068" t="s">
        <v>2564</v>
      </c>
      <c r="I1068" t="s">
        <v>2575</v>
      </c>
      <c r="J1068" t="s">
        <v>2569</v>
      </c>
      <c r="K1068">
        <v>27</v>
      </c>
      <c r="L1068" s="13" t="s">
        <v>257</v>
      </c>
    </row>
    <row r="1069" spans="1:12" x14ac:dyDescent="0.25">
      <c r="A1069" t="s">
        <v>3744</v>
      </c>
      <c r="B1069" t="s">
        <v>176</v>
      </c>
      <c r="C1069" t="str">
        <f>_xlfn.XLOOKUP(Table7[[#This Row],[app_id]],Table5[app_id],Table5[app_name],"",0)</f>
        <v>SnackHub</v>
      </c>
      <c r="D1069" t="s">
        <v>966</v>
      </c>
      <c r="E1069" s="1">
        <v>45976</v>
      </c>
      <c r="F1069">
        <v>3</v>
      </c>
      <c r="G1069" t="s">
        <v>2670</v>
      </c>
      <c r="H1069" t="s">
        <v>2554</v>
      </c>
      <c r="I1069" t="s">
        <v>2578</v>
      </c>
      <c r="J1069" t="s">
        <v>2600</v>
      </c>
      <c r="K1069">
        <v>29</v>
      </c>
      <c r="L1069" s="13" t="s">
        <v>257</v>
      </c>
    </row>
    <row r="1070" spans="1:12" x14ac:dyDescent="0.25">
      <c r="A1070" t="s">
        <v>3745</v>
      </c>
      <c r="B1070" t="s">
        <v>178</v>
      </c>
      <c r="C1070" t="str">
        <f>_xlfn.XLOOKUP(Table7[[#This Row],[app_id]],Table5[app_id],Table5[app_name],"",0)</f>
        <v>BiteCloud</v>
      </c>
      <c r="D1070" t="s">
        <v>1958</v>
      </c>
      <c r="E1070" s="1">
        <v>45761</v>
      </c>
      <c r="F1070">
        <v>5</v>
      </c>
      <c r="G1070" t="s">
        <v>2679</v>
      </c>
      <c r="H1070" t="s">
        <v>2564</v>
      </c>
      <c r="I1070" t="s">
        <v>2558</v>
      </c>
      <c r="J1070" t="s">
        <v>2566</v>
      </c>
      <c r="K1070">
        <v>20</v>
      </c>
      <c r="L1070" s="13" t="s">
        <v>257</v>
      </c>
    </row>
    <row r="1071" spans="1:12" x14ac:dyDescent="0.25">
      <c r="A1071" t="s">
        <v>3746</v>
      </c>
      <c r="B1071" t="s">
        <v>180</v>
      </c>
      <c r="C1071" t="str">
        <f>_xlfn.XLOOKUP(Table7[[#This Row],[app_id]],Table5[app_id],Table5[app_name],"",0)</f>
        <v>PlatePlus</v>
      </c>
      <c r="D1071" t="s">
        <v>1493</v>
      </c>
      <c r="E1071" s="1">
        <v>45407</v>
      </c>
      <c r="F1071">
        <v>5</v>
      </c>
      <c r="G1071" t="s">
        <v>2679</v>
      </c>
      <c r="H1071" t="s">
        <v>2564</v>
      </c>
      <c r="I1071" t="s">
        <v>2558</v>
      </c>
      <c r="J1071" t="s">
        <v>2596</v>
      </c>
      <c r="K1071">
        <v>1</v>
      </c>
      <c r="L1071" s="13" t="s">
        <v>257</v>
      </c>
    </row>
    <row r="1072" spans="1:12" x14ac:dyDescent="0.25">
      <c r="A1072" t="s">
        <v>3747</v>
      </c>
      <c r="B1072" t="s">
        <v>182</v>
      </c>
      <c r="C1072" t="str">
        <f>_xlfn.XLOOKUP(Table7[[#This Row],[app_id]],Table5[app_id],Table5[app_name],"",0)</f>
        <v>VoyageGo</v>
      </c>
      <c r="D1072" t="s">
        <v>692</v>
      </c>
      <c r="E1072" s="1">
        <v>46136</v>
      </c>
      <c r="F1072">
        <v>3</v>
      </c>
      <c r="G1072" t="s">
        <v>2815</v>
      </c>
      <c r="H1072" t="s">
        <v>2554</v>
      </c>
      <c r="I1072" t="s">
        <v>2588</v>
      </c>
      <c r="J1072" t="s">
        <v>2566</v>
      </c>
      <c r="K1072">
        <v>9</v>
      </c>
      <c r="L1072" s="13" t="s">
        <v>257</v>
      </c>
    </row>
    <row r="1073" spans="1:12" x14ac:dyDescent="0.25">
      <c r="A1073" t="s">
        <v>3748</v>
      </c>
      <c r="B1073" t="s">
        <v>185</v>
      </c>
      <c r="C1073" t="str">
        <f>_xlfn.XLOOKUP(Table7[[#This Row],[app_id]],Table5[app_id],Table5[app_name],"",0)</f>
        <v>TripOne</v>
      </c>
      <c r="D1073" t="s">
        <v>1758</v>
      </c>
      <c r="E1073" s="1">
        <v>45840</v>
      </c>
      <c r="F1073">
        <v>4</v>
      </c>
      <c r="G1073" t="s">
        <v>2687</v>
      </c>
      <c r="H1073" t="s">
        <v>2564</v>
      </c>
      <c r="I1073" t="s">
        <v>2575</v>
      </c>
      <c r="J1073" t="s">
        <v>2581</v>
      </c>
      <c r="K1073">
        <v>6</v>
      </c>
      <c r="L1073" s="13" t="s">
        <v>257</v>
      </c>
    </row>
    <row r="1074" spans="1:12" x14ac:dyDescent="0.25">
      <c r="A1074" t="s">
        <v>3749</v>
      </c>
      <c r="B1074" t="s">
        <v>187</v>
      </c>
      <c r="C1074" t="str">
        <f>_xlfn.XLOOKUP(Table7[[#This Row],[app_id]],Table5[app_id],Table5[app_name],"",0)</f>
        <v>FlyGo</v>
      </c>
      <c r="D1074" t="s">
        <v>689</v>
      </c>
      <c r="E1074" s="1">
        <v>45604</v>
      </c>
      <c r="F1074">
        <v>3</v>
      </c>
      <c r="G1074" t="s">
        <v>2697</v>
      </c>
      <c r="H1074" t="s">
        <v>2554</v>
      </c>
      <c r="I1074" t="s">
        <v>2578</v>
      </c>
      <c r="J1074" t="s">
        <v>2559</v>
      </c>
      <c r="K1074">
        <v>34</v>
      </c>
      <c r="L1074" s="13" t="s">
        <v>257</v>
      </c>
    </row>
    <row r="1075" spans="1:12" x14ac:dyDescent="0.25">
      <c r="A1075" t="s">
        <v>3750</v>
      </c>
      <c r="B1075" t="s">
        <v>189</v>
      </c>
      <c r="C1075" t="str">
        <f>_xlfn.XLOOKUP(Table7[[#This Row],[app_id]],Table5[app_id],Table5[app_name],"",0)</f>
        <v>MapX</v>
      </c>
      <c r="D1075" t="s">
        <v>602</v>
      </c>
      <c r="E1075" s="1">
        <v>45659</v>
      </c>
      <c r="F1075">
        <v>4</v>
      </c>
      <c r="G1075" t="s">
        <v>2687</v>
      </c>
      <c r="H1075" t="s">
        <v>2564</v>
      </c>
      <c r="I1075" t="s">
        <v>2575</v>
      </c>
      <c r="J1075" t="s">
        <v>2561</v>
      </c>
      <c r="K1075">
        <v>42</v>
      </c>
      <c r="L1075" s="13" t="s">
        <v>257</v>
      </c>
    </row>
    <row r="1076" spans="1:12" x14ac:dyDescent="0.25">
      <c r="A1076" t="s">
        <v>3751</v>
      </c>
      <c r="B1076" t="s">
        <v>191</v>
      </c>
      <c r="C1076" t="str">
        <f>_xlfn.XLOOKUP(Table7[[#This Row],[app_id]],Table5[app_id],Table5[app_name],"",0)</f>
        <v>StayX</v>
      </c>
      <c r="D1076" t="s">
        <v>1701</v>
      </c>
      <c r="E1076" s="1">
        <v>46058</v>
      </c>
      <c r="F1076">
        <v>5</v>
      </c>
      <c r="G1076" t="s">
        <v>2929</v>
      </c>
      <c r="H1076" t="s">
        <v>2564</v>
      </c>
      <c r="I1076" t="s">
        <v>2558</v>
      </c>
      <c r="J1076" t="s">
        <v>2633</v>
      </c>
      <c r="K1076">
        <v>21</v>
      </c>
      <c r="L1076" s="13" t="s">
        <v>257</v>
      </c>
    </row>
    <row r="1077" spans="1:12" x14ac:dyDescent="0.25">
      <c r="A1077" t="s">
        <v>3752</v>
      </c>
      <c r="B1077" t="s">
        <v>193</v>
      </c>
      <c r="C1077" t="str">
        <f>_xlfn.XLOOKUP(Table7[[#This Row],[app_id]],Table5[app_id],Table5[app_name],"",0)</f>
        <v>GoNow</v>
      </c>
      <c r="D1077" t="s">
        <v>1846</v>
      </c>
      <c r="E1077" s="1">
        <v>46136</v>
      </c>
      <c r="F1077">
        <v>2</v>
      </c>
      <c r="G1077" t="s">
        <v>2685</v>
      </c>
      <c r="H1077" t="s">
        <v>2587</v>
      </c>
      <c r="I1077" t="s">
        <v>2571</v>
      </c>
      <c r="J1077" t="s">
        <v>2566</v>
      </c>
      <c r="K1077">
        <v>22</v>
      </c>
      <c r="L1077" s="13" t="s">
        <v>257</v>
      </c>
    </row>
    <row r="1078" spans="1:12" x14ac:dyDescent="0.25">
      <c r="A1078" t="s">
        <v>3753</v>
      </c>
      <c r="B1078" t="s">
        <v>195</v>
      </c>
      <c r="C1078" t="str">
        <f>_xlfn.XLOOKUP(Table7[[#This Row],[app_id]],Table5[app_id],Table5[app_name],"",0)</f>
        <v>RouteGo</v>
      </c>
      <c r="D1078" t="s">
        <v>1771</v>
      </c>
      <c r="E1078" s="1">
        <v>45293</v>
      </c>
      <c r="F1078">
        <v>4</v>
      </c>
      <c r="G1078" t="s">
        <v>2687</v>
      </c>
      <c r="H1078" t="s">
        <v>2564</v>
      </c>
      <c r="I1078" t="s">
        <v>2555</v>
      </c>
      <c r="J1078" t="s">
        <v>2561</v>
      </c>
      <c r="K1078">
        <v>12</v>
      </c>
      <c r="L1078" s="13" t="s">
        <v>258</v>
      </c>
    </row>
    <row r="1079" spans="1:12" x14ac:dyDescent="0.25">
      <c r="A1079" t="s">
        <v>3754</v>
      </c>
      <c r="B1079" t="s">
        <v>197</v>
      </c>
      <c r="C1079" t="str">
        <f>_xlfn.XLOOKUP(Table7[[#This Row],[app_id]],Table5[app_id],Table5[app_name],"",0)</f>
        <v>TripGo</v>
      </c>
      <c r="D1079" t="s">
        <v>910</v>
      </c>
      <c r="E1079" s="1">
        <v>45961</v>
      </c>
      <c r="F1079">
        <v>2</v>
      </c>
      <c r="G1079" t="s">
        <v>3148</v>
      </c>
      <c r="H1079" t="s">
        <v>2587</v>
      </c>
      <c r="I1079" t="s">
        <v>2571</v>
      </c>
      <c r="J1079" t="s">
        <v>2569</v>
      </c>
      <c r="K1079">
        <v>79</v>
      </c>
      <c r="L1079" s="13" t="s">
        <v>257</v>
      </c>
    </row>
    <row r="1080" spans="1:12" x14ac:dyDescent="0.25">
      <c r="A1080" t="s">
        <v>3755</v>
      </c>
      <c r="B1080" t="s">
        <v>199</v>
      </c>
      <c r="C1080" t="str">
        <f>_xlfn.XLOOKUP(Table7[[#This Row],[app_id]],Table5[app_id],Table5[app_name],"",0)</f>
        <v>Flyly</v>
      </c>
      <c r="D1080" t="s">
        <v>1858</v>
      </c>
      <c r="E1080" s="1">
        <v>45989</v>
      </c>
      <c r="F1080">
        <v>2</v>
      </c>
      <c r="G1080" t="s">
        <v>3148</v>
      </c>
      <c r="H1080" t="s">
        <v>2587</v>
      </c>
      <c r="I1080" t="s">
        <v>2584</v>
      </c>
      <c r="J1080" t="s">
        <v>2561</v>
      </c>
      <c r="K1080">
        <v>27</v>
      </c>
      <c r="L1080" s="13" t="s">
        <v>258</v>
      </c>
    </row>
    <row r="1081" spans="1:12" x14ac:dyDescent="0.25">
      <c r="A1081" t="s">
        <v>3756</v>
      </c>
      <c r="B1081" t="s">
        <v>201</v>
      </c>
      <c r="C1081" t="str">
        <f>_xlfn.XLOOKUP(Table7[[#This Row],[app_id]],Table5[app_id],Table5[app_name],"",0)</f>
        <v>TripPro</v>
      </c>
      <c r="D1081" t="s">
        <v>1448</v>
      </c>
      <c r="E1081" s="1">
        <v>45971</v>
      </c>
      <c r="F1081">
        <v>3</v>
      </c>
      <c r="G1081" t="s">
        <v>2690</v>
      </c>
      <c r="H1081" t="s">
        <v>2554</v>
      </c>
      <c r="I1081" t="s">
        <v>2584</v>
      </c>
      <c r="J1081" t="s">
        <v>2633</v>
      </c>
      <c r="K1081">
        <v>9</v>
      </c>
      <c r="L1081" s="13" t="s">
        <v>257</v>
      </c>
    </row>
    <row r="1082" spans="1:12" x14ac:dyDescent="0.25">
      <c r="A1082" t="s">
        <v>3757</v>
      </c>
      <c r="B1082" t="s">
        <v>203</v>
      </c>
      <c r="C1082" t="str">
        <f>_xlfn.XLOOKUP(Table7[[#This Row],[app_id]],Table5[app_id],Table5[app_name],"",0)</f>
        <v>Focusly</v>
      </c>
      <c r="D1082" t="s">
        <v>2462</v>
      </c>
      <c r="E1082" s="1">
        <v>45984</v>
      </c>
      <c r="F1082">
        <v>3</v>
      </c>
      <c r="G1082" t="s">
        <v>3254</v>
      </c>
      <c r="H1082" t="s">
        <v>2554</v>
      </c>
      <c r="I1082" t="s">
        <v>2571</v>
      </c>
      <c r="J1082" t="s">
        <v>2633</v>
      </c>
      <c r="K1082">
        <v>26</v>
      </c>
      <c r="L1082" s="13" t="s">
        <v>257</v>
      </c>
    </row>
    <row r="1083" spans="1:12" x14ac:dyDescent="0.25">
      <c r="A1083" t="s">
        <v>3758</v>
      </c>
      <c r="B1083" t="s">
        <v>206</v>
      </c>
      <c r="C1083" t="str">
        <f>_xlfn.XLOOKUP(Table7[[#This Row],[app_id]],Table5[app_id],Table5[app_name],"",0)</f>
        <v>DeskX</v>
      </c>
      <c r="D1083" t="s">
        <v>1963</v>
      </c>
      <c r="E1083" s="1">
        <v>45374</v>
      </c>
      <c r="F1083">
        <v>2</v>
      </c>
      <c r="G1083" t="s">
        <v>2943</v>
      </c>
      <c r="H1083" t="s">
        <v>2587</v>
      </c>
      <c r="I1083" t="s">
        <v>2575</v>
      </c>
      <c r="J1083" t="s">
        <v>2596</v>
      </c>
      <c r="K1083">
        <v>18</v>
      </c>
      <c r="L1083" s="13" t="s">
        <v>257</v>
      </c>
    </row>
    <row r="1084" spans="1:12" x14ac:dyDescent="0.25">
      <c r="A1084" t="s">
        <v>3759</v>
      </c>
      <c r="B1084" t="s">
        <v>208</v>
      </c>
      <c r="C1084" t="str">
        <f>_xlfn.XLOOKUP(Table7[[#This Row],[app_id]],Table5[app_id],Table5[app_name],"",0)</f>
        <v>DonePro</v>
      </c>
      <c r="D1084" t="s">
        <v>2250</v>
      </c>
      <c r="E1084" s="1">
        <v>45554</v>
      </c>
      <c r="F1084">
        <v>3</v>
      </c>
      <c r="G1084" t="s">
        <v>3254</v>
      </c>
      <c r="H1084" t="s">
        <v>2554</v>
      </c>
      <c r="I1084" t="s">
        <v>2584</v>
      </c>
      <c r="J1084" t="s">
        <v>2600</v>
      </c>
      <c r="K1084">
        <v>9</v>
      </c>
      <c r="L1084" s="13" t="s">
        <v>257</v>
      </c>
    </row>
    <row r="1085" spans="1:12" x14ac:dyDescent="0.25">
      <c r="A1085" t="s">
        <v>3760</v>
      </c>
      <c r="B1085" t="s">
        <v>210</v>
      </c>
      <c r="C1085" t="str">
        <f>_xlfn.XLOOKUP(Table7[[#This Row],[app_id]],Table5[app_id],Table5[app_name],"",0)</f>
        <v>NotePlus</v>
      </c>
      <c r="D1085" t="s">
        <v>2441</v>
      </c>
      <c r="E1085" s="1">
        <v>45634</v>
      </c>
      <c r="F1085">
        <v>4</v>
      </c>
      <c r="G1085" t="s">
        <v>2708</v>
      </c>
      <c r="H1085" t="s">
        <v>2564</v>
      </c>
      <c r="I1085" t="s">
        <v>2571</v>
      </c>
      <c r="J1085" t="s">
        <v>2600</v>
      </c>
      <c r="K1085">
        <v>36</v>
      </c>
      <c r="L1085" s="13" t="s">
        <v>257</v>
      </c>
    </row>
    <row r="1086" spans="1:12" x14ac:dyDescent="0.25">
      <c r="A1086" t="s">
        <v>3761</v>
      </c>
      <c r="B1086" t="s">
        <v>212</v>
      </c>
      <c r="C1086" t="str">
        <f>_xlfn.XLOOKUP(Table7[[#This Row],[app_id]],Table5[app_id],Table5[app_name],"",0)</f>
        <v>SyncPlus</v>
      </c>
      <c r="D1086" t="s">
        <v>679</v>
      </c>
      <c r="E1086" s="1">
        <v>45340</v>
      </c>
      <c r="F1086">
        <v>3</v>
      </c>
      <c r="G1086" t="s">
        <v>2713</v>
      </c>
      <c r="H1086" t="s">
        <v>2554</v>
      </c>
      <c r="I1086" t="s">
        <v>2578</v>
      </c>
      <c r="J1086" t="s">
        <v>2633</v>
      </c>
      <c r="K1086">
        <v>39</v>
      </c>
      <c r="L1086" s="13" t="s">
        <v>257</v>
      </c>
    </row>
    <row r="1087" spans="1:12" x14ac:dyDescent="0.25">
      <c r="A1087" t="s">
        <v>3762</v>
      </c>
      <c r="B1087" t="s">
        <v>214</v>
      </c>
      <c r="C1087" t="str">
        <f>_xlfn.XLOOKUP(Table7[[#This Row],[app_id]],Table5[app_id],Table5[app_name],"",0)</f>
        <v>NoteOne</v>
      </c>
      <c r="D1087" t="s">
        <v>967</v>
      </c>
      <c r="E1087" s="1">
        <v>45843</v>
      </c>
      <c r="F1087">
        <v>4</v>
      </c>
      <c r="G1087" t="s">
        <v>2708</v>
      </c>
      <c r="H1087" t="s">
        <v>2564</v>
      </c>
      <c r="I1087" t="s">
        <v>2555</v>
      </c>
      <c r="J1087" t="s">
        <v>2596</v>
      </c>
      <c r="K1087">
        <v>12</v>
      </c>
      <c r="L1087" s="13" t="s">
        <v>257</v>
      </c>
    </row>
    <row r="1088" spans="1:12" x14ac:dyDescent="0.25">
      <c r="A1088" t="s">
        <v>3763</v>
      </c>
      <c r="B1088" t="s">
        <v>216</v>
      </c>
      <c r="C1088" t="str">
        <f>_xlfn.XLOOKUP(Table7[[#This Row],[app_id]],Table5[app_id],Table5[app_name],"",0)</f>
        <v>NoteMate</v>
      </c>
      <c r="D1088" t="s">
        <v>620</v>
      </c>
      <c r="E1088" s="1">
        <v>45980</v>
      </c>
      <c r="F1088">
        <v>3</v>
      </c>
      <c r="G1088" t="s">
        <v>2706</v>
      </c>
      <c r="H1088" t="s">
        <v>2554</v>
      </c>
      <c r="I1088" t="s">
        <v>2555</v>
      </c>
      <c r="J1088" t="s">
        <v>2556</v>
      </c>
      <c r="K1088">
        <v>30</v>
      </c>
      <c r="L1088" s="13" t="s">
        <v>257</v>
      </c>
    </row>
    <row r="1089" spans="1:12" x14ac:dyDescent="0.25">
      <c r="A1089" t="s">
        <v>3764</v>
      </c>
      <c r="B1089" t="s">
        <v>218</v>
      </c>
      <c r="C1089" t="str">
        <f>_xlfn.XLOOKUP(Table7[[#This Row],[app_id]],Table5[app_id],Table5[app_name],"",0)</f>
        <v>PlanPlus</v>
      </c>
      <c r="D1089" t="s">
        <v>2357</v>
      </c>
      <c r="E1089" s="1">
        <v>45749</v>
      </c>
      <c r="F1089">
        <v>3</v>
      </c>
      <c r="G1089" t="s">
        <v>2706</v>
      </c>
      <c r="H1089" t="s">
        <v>2554</v>
      </c>
      <c r="I1089" t="s">
        <v>2584</v>
      </c>
      <c r="J1089" t="s">
        <v>2603</v>
      </c>
      <c r="K1089">
        <v>34</v>
      </c>
      <c r="L1089" s="13" t="s">
        <v>257</v>
      </c>
    </row>
    <row r="1090" spans="1:12" x14ac:dyDescent="0.25">
      <c r="A1090" t="s">
        <v>3765</v>
      </c>
      <c r="B1090" t="s">
        <v>220</v>
      </c>
      <c r="C1090" t="str">
        <f>_xlfn.XLOOKUP(Table7[[#This Row],[app_id]],Table5[app_id],Table5[app_name],"",0)</f>
        <v>PlanMate</v>
      </c>
      <c r="D1090" t="s">
        <v>992</v>
      </c>
      <c r="E1090" s="1">
        <v>46032</v>
      </c>
      <c r="F1090">
        <v>2</v>
      </c>
      <c r="G1090" t="s">
        <v>3051</v>
      </c>
      <c r="H1090" t="s">
        <v>2587</v>
      </c>
      <c r="I1090" t="s">
        <v>2588</v>
      </c>
      <c r="J1090" t="s">
        <v>2633</v>
      </c>
      <c r="K1090">
        <v>8</v>
      </c>
      <c r="L1090" s="13" t="s">
        <v>257</v>
      </c>
    </row>
    <row r="1091" spans="1:12" x14ac:dyDescent="0.25">
      <c r="A1091" t="s">
        <v>3766</v>
      </c>
      <c r="B1091" t="s">
        <v>222</v>
      </c>
      <c r="C1091" t="str">
        <f>_xlfn.XLOOKUP(Table7[[#This Row],[app_id]],Table5[app_id],Table5[app_name],"",0)</f>
        <v>SyncPlus</v>
      </c>
      <c r="D1091" t="s">
        <v>781</v>
      </c>
      <c r="E1091" s="1">
        <v>45391</v>
      </c>
      <c r="F1091">
        <v>4</v>
      </c>
      <c r="G1091" t="s">
        <v>2703</v>
      </c>
      <c r="H1091" t="s">
        <v>2564</v>
      </c>
      <c r="I1091" t="s">
        <v>2575</v>
      </c>
      <c r="J1091" t="s">
        <v>2633</v>
      </c>
      <c r="K1091">
        <v>42</v>
      </c>
      <c r="L1091" s="13" t="s">
        <v>257</v>
      </c>
    </row>
    <row r="1092" spans="1:12" x14ac:dyDescent="0.25">
      <c r="A1092" t="s">
        <v>3767</v>
      </c>
      <c r="B1092" t="s">
        <v>223</v>
      </c>
      <c r="C1092" t="str">
        <f>_xlfn.XLOOKUP(Table7[[#This Row],[app_id]],Table5[app_id],Table5[app_name],"",0)</f>
        <v>ClinicPro</v>
      </c>
      <c r="D1092" t="s">
        <v>1371</v>
      </c>
      <c r="E1092" s="1">
        <v>45855</v>
      </c>
      <c r="F1092">
        <v>3</v>
      </c>
      <c r="G1092" t="s">
        <v>2720</v>
      </c>
      <c r="H1092" t="s">
        <v>2554</v>
      </c>
      <c r="I1092" t="s">
        <v>2575</v>
      </c>
      <c r="J1092" t="s">
        <v>2596</v>
      </c>
      <c r="K1092">
        <v>27</v>
      </c>
      <c r="L1092" s="13" t="s">
        <v>257</v>
      </c>
    </row>
    <row r="1093" spans="1:12" x14ac:dyDescent="0.25">
      <c r="A1093" t="s">
        <v>3768</v>
      </c>
      <c r="B1093" t="s">
        <v>226</v>
      </c>
      <c r="C1093" t="str">
        <f>_xlfn.XLOOKUP(Table7[[#This Row],[app_id]],Table5[app_id],Table5[app_name],"",0)</f>
        <v>MindMate</v>
      </c>
      <c r="D1093" t="s">
        <v>2385</v>
      </c>
      <c r="E1093" s="1">
        <v>45569</v>
      </c>
      <c r="F1093">
        <v>3</v>
      </c>
      <c r="G1093" t="s">
        <v>2720</v>
      </c>
      <c r="H1093" t="s">
        <v>2554</v>
      </c>
      <c r="I1093" t="s">
        <v>2555</v>
      </c>
      <c r="J1093" t="s">
        <v>2561</v>
      </c>
      <c r="K1093">
        <v>3</v>
      </c>
      <c r="L1093" s="13" t="s">
        <v>258</v>
      </c>
    </row>
    <row r="1094" spans="1:12" x14ac:dyDescent="0.25">
      <c r="A1094" t="s">
        <v>3769</v>
      </c>
      <c r="B1094" t="s">
        <v>228</v>
      </c>
      <c r="C1094" t="str">
        <f>_xlfn.XLOOKUP(Table7[[#This Row],[app_id]],Table5[app_id],Table5[app_name],"",0)</f>
        <v>ClinicOne</v>
      </c>
      <c r="D1094" t="s">
        <v>629</v>
      </c>
      <c r="E1094" s="1">
        <v>45536</v>
      </c>
      <c r="F1094">
        <v>4</v>
      </c>
      <c r="G1094" t="s">
        <v>2716</v>
      </c>
      <c r="H1094" t="s">
        <v>2564</v>
      </c>
      <c r="I1094" t="s">
        <v>2565</v>
      </c>
      <c r="J1094" t="s">
        <v>2596</v>
      </c>
      <c r="K1094">
        <v>36</v>
      </c>
      <c r="L1094" s="13" t="s">
        <v>257</v>
      </c>
    </row>
    <row r="1095" spans="1:12" x14ac:dyDescent="0.25">
      <c r="A1095" t="s">
        <v>3770</v>
      </c>
      <c r="B1095" t="s">
        <v>230</v>
      </c>
      <c r="C1095" t="str">
        <f>_xlfn.XLOOKUP(Table7[[#This Row],[app_id]],Table5[app_id],Table5[app_name],"",0)</f>
        <v>WellMate</v>
      </c>
      <c r="D1095" t="s">
        <v>1922</v>
      </c>
      <c r="E1095" s="1">
        <v>45777</v>
      </c>
      <c r="F1095">
        <v>3</v>
      </c>
      <c r="G1095" t="s">
        <v>2846</v>
      </c>
      <c r="H1095" t="s">
        <v>2554</v>
      </c>
      <c r="I1095" t="s">
        <v>2578</v>
      </c>
      <c r="J1095" t="s">
        <v>2559</v>
      </c>
      <c r="K1095">
        <v>42</v>
      </c>
      <c r="L1095" s="13" t="s">
        <v>257</v>
      </c>
    </row>
    <row r="1096" spans="1:12" x14ac:dyDescent="0.25">
      <c r="A1096" t="s">
        <v>3771</v>
      </c>
      <c r="B1096" t="s">
        <v>232</v>
      </c>
      <c r="C1096" t="str">
        <f>_xlfn.XLOOKUP(Table7[[#This Row],[app_id]],Table5[app_id],Table5[app_name],"",0)</f>
        <v>MediMate</v>
      </c>
      <c r="D1096" t="s">
        <v>1555</v>
      </c>
      <c r="E1096" s="1">
        <v>45372</v>
      </c>
      <c r="F1096">
        <v>4</v>
      </c>
      <c r="G1096" t="s">
        <v>2954</v>
      </c>
      <c r="H1096" t="s">
        <v>2564</v>
      </c>
      <c r="I1096" t="s">
        <v>2565</v>
      </c>
      <c r="J1096" t="s">
        <v>2561</v>
      </c>
      <c r="K1096">
        <v>37</v>
      </c>
      <c r="L1096" s="13" t="s">
        <v>257</v>
      </c>
    </row>
    <row r="1097" spans="1:12" x14ac:dyDescent="0.25">
      <c r="A1097" t="s">
        <v>3772</v>
      </c>
      <c r="B1097" t="s">
        <v>234</v>
      </c>
      <c r="C1097" t="str">
        <f>_xlfn.XLOOKUP(Table7[[#This Row],[app_id]],Table5[app_id],Table5[app_name],"",0)</f>
        <v>WellNow</v>
      </c>
      <c r="D1097" t="s">
        <v>1371</v>
      </c>
      <c r="E1097" s="1">
        <v>45530</v>
      </c>
      <c r="F1097">
        <v>3</v>
      </c>
      <c r="G1097" t="s">
        <v>2726</v>
      </c>
      <c r="H1097" t="s">
        <v>2554</v>
      </c>
      <c r="I1097" t="s">
        <v>2571</v>
      </c>
      <c r="J1097" t="s">
        <v>2559</v>
      </c>
      <c r="K1097">
        <v>2</v>
      </c>
      <c r="L1097" s="13" t="s">
        <v>257</v>
      </c>
    </row>
    <row r="1098" spans="1:12" x14ac:dyDescent="0.25">
      <c r="A1098" t="s">
        <v>3773</v>
      </c>
      <c r="B1098" t="s">
        <v>236</v>
      </c>
      <c r="C1098" t="str">
        <f>_xlfn.XLOOKUP(Table7[[#This Row],[app_id]],Table5[app_id],Table5[app_name],"",0)</f>
        <v>CareCloud</v>
      </c>
      <c r="D1098" t="s">
        <v>1475</v>
      </c>
      <c r="E1098" s="1">
        <v>45489</v>
      </c>
      <c r="F1098">
        <v>4</v>
      </c>
      <c r="G1098" t="s">
        <v>2728</v>
      </c>
      <c r="H1098" t="s">
        <v>2564</v>
      </c>
      <c r="I1098" t="s">
        <v>2555</v>
      </c>
      <c r="J1098" t="s">
        <v>2561</v>
      </c>
      <c r="K1098">
        <v>18</v>
      </c>
      <c r="L1098" s="13" t="s">
        <v>258</v>
      </c>
    </row>
    <row r="1099" spans="1:12" x14ac:dyDescent="0.25">
      <c r="A1099" t="s">
        <v>3774</v>
      </c>
      <c r="B1099" t="s">
        <v>238</v>
      </c>
      <c r="C1099" t="str">
        <f>_xlfn.XLOOKUP(Table7[[#This Row],[app_id]],Table5[app_id],Table5[app_name],"",0)</f>
        <v>MediNow</v>
      </c>
      <c r="D1099" t="s">
        <v>563</v>
      </c>
      <c r="E1099" s="1">
        <v>45690</v>
      </c>
      <c r="F1099">
        <v>4</v>
      </c>
      <c r="G1099" t="s">
        <v>2728</v>
      </c>
      <c r="H1099" t="s">
        <v>2564</v>
      </c>
      <c r="I1099" t="s">
        <v>2565</v>
      </c>
      <c r="J1099" t="s">
        <v>2633</v>
      </c>
      <c r="K1099">
        <v>14</v>
      </c>
      <c r="L1099" s="13" t="s">
        <v>257</v>
      </c>
    </row>
    <row r="1100" spans="1:12" x14ac:dyDescent="0.25">
      <c r="A1100" t="s">
        <v>3775</v>
      </c>
      <c r="B1100" t="s">
        <v>240</v>
      </c>
      <c r="C1100" t="str">
        <f>_xlfn.XLOOKUP(Table7[[#This Row],[app_id]],Table5[app_id],Table5[app_name],"",0)</f>
        <v>MindPlus</v>
      </c>
      <c r="D1100" t="s">
        <v>885</v>
      </c>
      <c r="E1100" s="1">
        <v>45481</v>
      </c>
      <c r="F1100">
        <v>3</v>
      </c>
      <c r="G1100" t="s">
        <v>2720</v>
      </c>
      <c r="H1100" t="s">
        <v>2554</v>
      </c>
      <c r="I1100" t="s">
        <v>2584</v>
      </c>
      <c r="J1100" t="s">
        <v>2633</v>
      </c>
      <c r="K1100">
        <v>32</v>
      </c>
      <c r="L1100" s="13" t="s">
        <v>257</v>
      </c>
    </row>
    <row r="1101" spans="1:12" x14ac:dyDescent="0.25">
      <c r="A1101" t="s">
        <v>3776</v>
      </c>
      <c r="B1101" t="s">
        <v>242</v>
      </c>
      <c r="C1101" t="str">
        <f>_xlfn.XLOOKUP(Table7[[#This Row],[app_id]],Table5[app_id],Table5[app_name],"",0)</f>
        <v>MediCloud</v>
      </c>
      <c r="D1101" t="s">
        <v>1815</v>
      </c>
      <c r="E1101" s="1">
        <v>45549</v>
      </c>
      <c r="F1101">
        <v>4</v>
      </c>
      <c r="G1101" t="s">
        <v>2954</v>
      </c>
      <c r="H1101" t="s">
        <v>2564</v>
      </c>
      <c r="I1101" t="s">
        <v>2565</v>
      </c>
      <c r="J1101" t="s">
        <v>2559</v>
      </c>
      <c r="K1101">
        <v>3</v>
      </c>
      <c r="L1101" s="13" t="s">
        <v>257</v>
      </c>
    </row>
    <row r="1102" spans="1:12" x14ac:dyDescent="0.25">
      <c r="A1102" t="s">
        <v>3777</v>
      </c>
      <c r="B1102" t="s">
        <v>12</v>
      </c>
      <c r="C1102" t="str">
        <f>_xlfn.XLOOKUP(Table7[[#This Row],[app_id]],Table5[app_id],Table5[app_name],"",0)</f>
        <v>InvestPro</v>
      </c>
      <c r="D1102" t="s">
        <v>2070</v>
      </c>
      <c r="E1102" s="1">
        <v>45731</v>
      </c>
      <c r="F1102">
        <v>4</v>
      </c>
      <c r="G1102" t="s">
        <v>2568</v>
      </c>
      <c r="H1102" t="s">
        <v>2564</v>
      </c>
      <c r="I1102" t="s">
        <v>2558</v>
      </c>
      <c r="J1102" t="s">
        <v>2596</v>
      </c>
      <c r="K1102">
        <v>44</v>
      </c>
      <c r="L1102" s="13" t="s">
        <v>257</v>
      </c>
    </row>
    <row r="1103" spans="1:12" x14ac:dyDescent="0.25">
      <c r="A1103" t="s">
        <v>3778</v>
      </c>
      <c r="B1103" t="s">
        <v>19</v>
      </c>
      <c r="C1103" t="str">
        <f>_xlfn.XLOOKUP(Table7[[#This Row],[app_id]],Table5[app_id],Table5[app_name],"",0)</f>
        <v>BankPro</v>
      </c>
      <c r="D1103" t="s">
        <v>2537</v>
      </c>
      <c r="E1103" s="1">
        <v>45851</v>
      </c>
      <c r="F1103">
        <v>3</v>
      </c>
      <c r="G1103" t="s">
        <v>2735</v>
      </c>
      <c r="H1103" t="s">
        <v>2554</v>
      </c>
      <c r="I1103" t="s">
        <v>2588</v>
      </c>
      <c r="J1103" t="s">
        <v>2600</v>
      </c>
      <c r="K1103">
        <v>20</v>
      </c>
      <c r="L1103" s="13" t="s">
        <v>257</v>
      </c>
    </row>
    <row r="1104" spans="1:12" x14ac:dyDescent="0.25">
      <c r="A1104" t="s">
        <v>3779</v>
      </c>
      <c r="B1104" t="s">
        <v>24</v>
      </c>
      <c r="C1104" t="str">
        <f>_xlfn.XLOOKUP(Table7[[#This Row],[app_id]],Table5[app_id],Table5[app_name],"",0)</f>
        <v>BankX</v>
      </c>
      <c r="D1104" t="s">
        <v>1730</v>
      </c>
      <c r="E1104" s="1">
        <v>45341</v>
      </c>
      <c r="F1104">
        <v>5</v>
      </c>
      <c r="G1104" t="s">
        <v>2573</v>
      </c>
      <c r="H1104" t="s">
        <v>2564</v>
      </c>
      <c r="I1104" t="s">
        <v>2558</v>
      </c>
      <c r="J1104" t="s">
        <v>2600</v>
      </c>
      <c r="K1104">
        <v>19</v>
      </c>
      <c r="L1104" s="13" t="s">
        <v>257</v>
      </c>
    </row>
    <row r="1105" spans="1:12" x14ac:dyDescent="0.25">
      <c r="A1105" t="s">
        <v>3780</v>
      </c>
      <c r="B1105" t="s">
        <v>27</v>
      </c>
      <c r="C1105" t="str">
        <f>_xlfn.XLOOKUP(Table7[[#This Row],[app_id]],Table5[app_id],Table5[app_name],"",0)</f>
        <v>BankNow</v>
      </c>
      <c r="D1105" t="s">
        <v>1874</v>
      </c>
      <c r="E1105" s="1">
        <v>45877</v>
      </c>
      <c r="F1105">
        <v>3</v>
      </c>
      <c r="G1105" t="s">
        <v>2583</v>
      </c>
      <c r="H1105" t="s">
        <v>2554</v>
      </c>
      <c r="I1105" t="s">
        <v>2558</v>
      </c>
      <c r="J1105" t="s">
        <v>2569</v>
      </c>
      <c r="K1105">
        <v>37</v>
      </c>
      <c r="L1105" s="13" t="s">
        <v>257</v>
      </c>
    </row>
    <row r="1106" spans="1:12" x14ac:dyDescent="0.25">
      <c r="A1106" t="s">
        <v>3781</v>
      </c>
      <c r="B1106" t="s">
        <v>31</v>
      </c>
      <c r="C1106" t="str">
        <f>_xlfn.XLOOKUP(Table7[[#This Row],[app_id]],Table5[app_id],Table5[app_name],"",0)</f>
        <v>CreditHub</v>
      </c>
      <c r="D1106" t="s">
        <v>1609</v>
      </c>
      <c r="E1106" s="1">
        <v>46010</v>
      </c>
      <c r="F1106">
        <v>4</v>
      </c>
      <c r="G1106" t="s">
        <v>2568</v>
      </c>
      <c r="H1106" t="s">
        <v>2564</v>
      </c>
      <c r="I1106" t="s">
        <v>2565</v>
      </c>
      <c r="J1106" t="s">
        <v>2559</v>
      </c>
      <c r="K1106">
        <v>6</v>
      </c>
      <c r="L1106" s="13" t="s">
        <v>257</v>
      </c>
    </row>
    <row r="1107" spans="1:12" x14ac:dyDescent="0.25">
      <c r="A1107" t="s">
        <v>3782</v>
      </c>
      <c r="B1107" t="s">
        <v>36</v>
      </c>
      <c r="C1107" t="str">
        <f>_xlfn.XLOOKUP(Table7[[#This Row],[app_id]],Table5[app_id],Table5[app_name],"",0)</f>
        <v>PayPlus</v>
      </c>
      <c r="D1107" t="s">
        <v>1324</v>
      </c>
      <c r="E1107" s="1">
        <v>45615</v>
      </c>
      <c r="F1107">
        <v>5</v>
      </c>
      <c r="G1107" t="s">
        <v>2580</v>
      </c>
      <c r="H1107" t="s">
        <v>2564</v>
      </c>
      <c r="I1107" t="s">
        <v>2555</v>
      </c>
      <c r="J1107" t="s">
        <v>2633</v>
      </c>
      <c r="K1107">
        <v>36</v>
      </c>
      <c r="L1107" s="13" t="s">
        <v>257</v>
      </c>
    </row>
    <row r="1108" spans="1:12" x14ac:dyDescent="0.25">
      <c r="A1108" t="s">
        <v>3783</v>
      </c>
      <c r="B1108" t="s">
        <v>39</v>
      </c>
      <c r="C1108" t="str">
        <f>_xlfn.XLOOKUP(Table7[[#This Row],[app_id]],Table5[app_id],Table5[app_name],"",0)</f>
        <v>BankPlus</v>
      </c>
      <c r="D1108" t="s">
        <v>1115</v>
      </c>
      <c r="E1108" s="1">
        <v>45715</v>
      </c>
      <c r="F1108">
        <v>5</v>
      </c>
      <c r="G1108" t="s">
        <v>2568</v>
      </c>
      <c r="H1108" t="s">
        <v>2564</v>
      </c>
      <c r="I1108" t="s">
        <v>2571</v>
      </c>
      <c r="J1108" t="s">
        <v>2596</v>
      </c>
      <c r="K1108">
        <v>37</v>
      </c>
      <c r="L1108" s="13" t="s">
        <v>257</v>
      </c>
    </row>
    <row r="1109" spans="1:12" x14ac:dyDescent="0.25">
      <c r="A1109" t="s">
        <v>3784</v>
      </c>
      <c r="B1109" t="s">
        <v>42</v>
      </c>
      <c r="C1109" t="str">
        <f>_xlfn.XLOOKUP(Table7[[#This Row],[app_id]],Table5[app_id],Table5[app_name],"",0)</f>
        <v>CoinPlus</v>
      </c>
      <c r="D1109" t="s">
        <v>1363</v>
      </c>
      <c r="E1109" s="1">
        <v>45395</v>
      </c>
      <c r="F1109">
        <v>2</v>
      </c>
      <c r="G1109" t="s">
        <v>3385</v>
      </c>
      <c r="H1109" t="s">
        <v>2587</v>
      </c>
      <c r="I1109" t="s">
        <v>2578</v>
      </c>
      <c r="J1109" t="s">
        <v>2561</v>
      </c>
      <c r="K1109">
        <v>94</v>
      </c>
      <c r="L1109" s="13" t="s">
        <v>257</v>
      </c>
    </row>
    <row r="1110" spans="1:12" x14ac:dyDescent="0.25">
      <c r="A1110" t="s">
        <v>3785</v>
      </c>
      <c r="B1110" t="s">
        <v>47</v>
      </c>
      <c r="C1110" t="str">
        <f>_xlfn.XLOOKUP(Table7[[#This Row],[app_id]],Table5[app_id],Table5[app_name],"",0)</f>
        <v>CreditOne</v>
      </c>
      <c r="D1110" t="s">
        <v>1947</v>
      </c>
      <c r="E1110" s="1">
        <v>45983</v>
      </c>
      <c r="F1110">
        <v>3</v>
      </c>
      <c r="G1110" t="s">
        <v>2735</v>
      </c>
      <c r="H1110" t="s">
        <v>2554</v>
      </c>
      <c r="I1110" t="s">
        <v>2555</v>
      </c>
      <c r="J1110" t="s">
        <v>2561</v>
      </c>
      <c r="K1110">
        <v>21</v>
      </c>
      <c r="L1110" s="13" t="s">
        <v>257</v>
      </c>
    </row>
    <row r="1111" spans="1:12" x14ac:dyDescent="0.25">
      <c r="A1111" t="s">
        <v>3786</v>
      </c>
      <c r="B1111" t="s">
        <v>49</v>
      </c>
      <c r="C1111" t="str">
        <f>_xlfn.XLOOKUP(Table7[[#This Row],[app_id]],Table5[app_id],Table5[app_name],"",0)</f>
        <v>PayPro</v>
      </c>
      <c r="D1111" t="s">
        <v>2070</v>
      </c>
      <c r="E1111" s="1">
        <v>45515</v>
      </c>
      <c r="F1111">
        <v>5</v>
      </c>
      <c r="G1111" t="s">
        <v>2580</v>
      </c>
      <c r="H1111" t="s">
        <v>2564</v>
      </c>
      <c r="I1111" t="s">
        <v>2555</v>
      </c>
      <c r="J1111" t="s">
        <v>2633</v>
      </c>
      <c r="K1111">
        <v>46</v>
      </c>
      <c r="L1111" s="13" t="s">
        <v>257</v>
      </c>
    </row>
    <row r="1112" spans="1:12" x14ac:dyDescent="0.25">
      <c r="A1112" t="s">
        <v>3787</v>
      </c>
      <c r="B1112" t="s">
        <v>51</v>
      </c>
      <c r="C1112" t="str">
        <f>_xlfn.XLOOKUP(Table7[[#This Row],[app_id]],Table5[app_id],Table5[app_name],"",0)</f>
        <v>Creditly</v>
      </c>
      <c r="D1112" t="s">
        <v>720</v>
      </c>
      <c r="E1112" s="1">
        <v>45576</v>
      </c>
      <c r="F1112">
        <v>3</v>
      </c>
      <c r="G1112" t="s">
        <v>2968</v>
      </c>
      <c r="H1112" t="s">
        <v>2554</v>
      </c>
      <c r="I1112" t="s">
        <v>2575</v>
      </c>
      <c r="J1112" t="s">
        <v>2566</v>
      </c>
      <c r="K1112">
        <v>19</v>
      </c>
      <c r="L1112" s="13" t="s">
        <v>258</v>
      </c>
    </row>
    <row r="1113" spans="1:12" x14ac:dyDescent="0.25">
      <c r="A1113" t="s">
        <v>3788</v>
      </c>
      <c r="B1113" t="s">
        <v>53</v>
      </c>
      <c r="C1113" t="str">
        <f>_xlfn.XLOOKUP(Table7[[#This Row],[app_id]],Table5[app_id],Table5[app_name],"",0)</f>
        <v>PayX</v>
      </c>
      <c r="D1113" t="s">
        <v>1752</v>
      </c>
      <c r="E1113" s="1">
        <v>45868</v>
      </c>
      <c r="F1113">
        <v>3</v>
      </c>
      <c r="G1113" t="s">
        <v>2553</v>
      </c>
      <c r="H1113" t="s">
        <v>2554</v>
      </c>
      <c r="I1113" t="s">
        <v>2584</v>
      </c>
      <c r="J1113" t="s">
        <v>2561</v>
      </c>
      <c r="K1113">
        <v>36</v>
      </c>
      <c r="L1113" s="13" t="s">
        <v>257</v>
      </c>
    </row>
    <row r="1114" spans="1:12" x14ac:dyDescent="0.25">
      <c r="A1114" t="s">
        <v>3789</v>
      </c>
      <c r="B1114" t="s">
        <v>56</v>
      </c>
      <c r="C1114" t="str">
        <f>_xlfn.XLOOKUP(Table7[[#This Row],[app_id]],Table5[app_id],Table5[app_name],"",0)</f>
        <v>DealGo</v>
      </c>
      <c r="D1114" t="s">
        <v>1591</v>
      </c>
      <c r="E1114" s="1">
        <v>46062</v>
      </c>
      <c r="F1114">
        <v>3</v>
      </c>
      <c r="G1114" t="s">
        <v>2602</v>
      </c>
      <c r="H1114" t="s">
        <v>2554</v>
      </c>
      <c r="I1114" t="s">
        <v>2571</v>
      </c>
      <c r="J1114" t="s">
        <v>2569</v>
      </c>
      <c r="K1114">
        <v>48</v>
      </c>
      <c r="L1114" s="13" t="s">
        <v>257</v>
      </c>
    </row>
    <row r="1115" spans="1:12" x14ac:dyDescent="0.25">
      <c r="A1115" t="s">
        <v>3790</v>
      </c>
      <c r="B1115" t="s">
        <v>62</v>
      </c>
      <c r="C1115" t="str">
        <f>_xlfn.XLOOKUP(Table7[[#This Row],[app_id]],Table5[app_id],Table5[app_name],"",0)</f>
        <v>MallNow</v>
      </c>
      <c r="D1115" t="s">
        <v>1570</v>
      </c>
      <c r="E1115" s="1">
        <v>45571</v>
      </c>
      <c r="F1115">
        <v>3</v>
      </c>
      <c r="G1115" t="s">
        <v>2609</v>
      </c>
      <c r="H1115" t="s">
        <v>2554</v>
      </c>
      <c r="I1115" t="s">
        <v>2584</v>
      </c>
      <c r="J1115" t="s">
        <v>2596</v>
      </c>
      <c r="K1115">
        <v>44</v>
      </c>
      <c r="L1115" s="13" t="s">
        <v>257</v>
      </c>
    </row>
    <row r="1116" spans="1:12" x14ac:dyDescent="0.25">
      <c r="A1116" t="s">
        <v>3791</v>
      </c>
      <c r="B1116" t="s">
        <v>65</v>
      </c>
      <c r="C1116" t="str">
        <f>_xlfn.XLOOKUP(Table7[[#This Row],[app_id]],Table5[app_id],Table5[app_name],"",0)</f>
        <v>DealPro</v>
      </c>
      <c r="D1116" t="s">
        <v>883</v>
      </c>
      <c r="E1116" s="1">
        <v>45502</v>
      </c>
      <c r="F1116">
        <v>4</v>
      </c>
      <c r="G1116" t="s">
        <v>2867</v>
      </c>
      <c r="H1116" t="s">
        <v>2564</v>
      </c>
      <c r="I1116" t="s">
        <v>2565</v>
      </c>
      <c r="J1116" t="s">
        <v>2559</v>
      </c>
      <c r="K1116">
        <v>23</v>
      </c>
      <c r="L1116" s="13" t="s">
        <v>257</v>
      </c>
    </row>
    <row r="1117" spans="1:12" x14ac:dyDescent="0.25">
      <c r="A1117" t="s">
        <v>3792</v>
      </c>
      <c r="B1117" t="s">
        <v>67</v>
      </c>
      <c r="C1117" t="str">
        <f>_xlfn.XLOOKUP(Table7[[#This Row],[app_id]],Table5[app_id],Table5[app_name],"",0)</f>
        <v>StyleNow</v>
      </c>
      <c r="D1117" t="s">
        <v>2166</v>
      </c>
      <c r="E1117" s="1">
        <v>45992</v>
      </c>
      <c r="F1117">
        <v>2</v>
      </c>
      <c r="G1117" t="s">
        <v>2605</v>
      </c>
      <c r="H1117" t="s">
        <v>2587</v>
      </c>
      <c r="I1117" t="s">
        <v>2555</v>
      </c>
      <c r="J1117" t="s">
        <v>2559</v>
      </c>
      <c r="K1117">
        <v>32</v>
      </c>
      <c r="L1117" s="13" t="s">
        <v>258</v>
      </c>
    </row>
    <row r="1118" spans="1:12" x14ac:dyDescent="0.25">
      <c r="A1118" t="s">
        <v>3793</v>
      </c>
      <c r="B1118" t="s">
        <v>70</v>
      </c>
      <c r="C1118" t="str">
        <f>_xlfn.XLOOKUP(Table7[[#This Row],[app_id]],Table5[app_id],Table5[app_name],"",0)</f>
        <v>DealCloud</v>
      </c>
      <c r="D1118" t="s">
        <v>1708</v>
      </c>
      <c r="E1118" s="1">
        <v>45717</v>
      </c>
      <c r="F1118">
        <v>5</v>
      </c>
      <c r="G1118" t="s">
        <v>2598</v>
      </c>
      <c r="H1118" t="s">
        <v>2564</v>
      </c>
      <c r="I1118" t="s">
        <v>2575</v>
      </c>
      <c r="J1118" t="s">
        <v>2569</v>
      </c>
      <c r="K1118">
        <v>33</v>
      </c>
      <c r="L1118" s="13" t="s">
        <v>258</v>
      </c>
    </row>
    <row r="1119" spans="1:12" x14ac:dyDescent="0.25">
      <c r="A1119" t="s">
        <v>3794</v>
      </c>
      <c r="B1119" t="s">
        <v>72</v>
      </c>
      <c r="C1119" t="str">
        <f>_xlfn.XLOOKUP(Table7[[#This Row],[app_id]],Table5[app_id],Table5[app_name],"",0)</f>
        <v>CartCloud</v>
      </c>
      <c r="D1119" t="s">
        <v>2281</v>
      </c>
      <c r="E1119" s="1">
        <v>46131</v>
      </c>
      <c r="F1119">
        <v>3</v>
      </c>
      <c r="G1119" t="s">
        <v>2594</v>
      </c>
      <c r="H1119" t="s">
        <v>2554</v>
      </c>
      <c r="I1119" t="s">
        <v>2578</v>
      </c>
      <c r="J1119" t="s">
        <v>2633</v>
      </c>
      <c r="K1119">
        <v>35</v>
      </c>
      <c r="L1119" s="13" t="s">
        <v>257</v>
      </c>
    </row>
    <row r="1120" spans="1:12" x14ac:dyDescent="0.25">
      <c r="A1120" t="s">
        <v>3795</v>
      </c>
      <c r="B1120" t="s">
        <v>74</v>
      </c>
      <c r="C1120" t="str">
        <f>_xlfn.XLOOKUP(Table7[[#This Row],[app_id]],Table5[app_id],Table5[app_name],"",0)</f>
        <v>CartMate</v>
      </c>
      <c r="D1120" t="s">
        <v>595</v>
      </c>
      <c r="E1120" s="1">
        <v>45978</v>
      </c>
      <c r="F1120">
        <v>4</v>
      </c>
      <c r="G1120" t="s">
        <v>2592</v>
      </c>
      <c r="H1120" t="s">
        <v>2564</v>
      </c>
      <c r="I1120" t="s">
        <v>2558</v>
      </c>
      <c r="J1120" t="s">
        <v>2561</v>
      </c>
      <c r="K1120">
        <v>47</v>
      </c>
      <c r="L1120" s="13" t="s">
        <v>257</v>
      </c>
    </row>
    <row r="1121" spans="1:12" x14ac:dyDescent="0.25">
      <c r="A1121" t="s">
        <v>3796</v>
      </c>
      <c r="B1121" t="s">
        <v>76</v>
      </c>
      <c r="C1121" t="str">
        <f>_xlfn.XLOOKUP(Table7[[#This Row],[app_id]],Table5[app_id],Table5[app_name],"",0)</f>
        <v>BazaarOne</v>
      </c>
      <c r="D1121" t="s">
        <v>1388</v>
      </c>
      <c r="E1121" s="1">
        <v>45644</v>
      </c>
      <c r="F1121">
        <v>2</v>
      </c>
      <c r="G1121" t="s">
        <v>2586</v>
      </c>
      <c r="H1121" t="s">
        <v>2587</v>
      </c>
      <c r="I1121" t="s">
        <v>2575</v>
      </c>
      <c r="J1121" t="s">
        <v>2559</v>
      </c>
      <c r="K1121">
        <v>11</v>
      </c>
      <c r="L1121" s="13" t="s">
        <v>257</v>
      </c>
    </row>
    <row r="1122" spans="1:12" x14ac:dyDescent="0.25">
      <c r="A1122" t="s">
        <v>3797</v>
      </c>
      <c r="B1122" t="s">
        <v>78</v>
      </c>
      <c r="C1122" t="str">
        <f>_xlfn.XLOOKUP(Table7[[#This Row],[app_id]],Table5[app_id],Table5[app_name],"",0)</f>
        <v>StyleOne</v>
      </c>
      <c r="D1122" t="s">
        <v>2119</v>
      </c>
      <c r="E1122" s="1">
        <v>46025</v>
      </c>
      <c r="F1122">
        <v>2</v>
      </c>
      <c r="G1122" t="s">
        <v>2605</v>
      </c>
      <c r="H1122" t="s">
        <v>2587</v>
      </c>
      <c r="I1122" t="s">
        <v>2565</v>
      </c>
      <c r="J1122" t="s">
        <v>2556</v>
      </c>
      <c r="K1122">
        <v>9</v>
      </c>
      <c r="L1122" s="13" t="s">
        <v>257</v>
      </c>
    </row>
    <row r="1123" spans="1:12" x14ac:dyDescent="0.25">
      <c r="A1123" t="s">
        <v>3798</v>
      </c>
      <c r="B1123" t="s">
        <v>80</v>
      </c>
      <c r="C1123" t="str">
        <f>_xlfn.XLOOKUP(Table7[[#This Row],[app_id]],Table5[app_id],Table5[app_name],"",0)</f>
        <v>Cartly</v>
      </c>
      <c r="D1123" t="s">
        <v>2312</v>
      </c>
      <c r="E1123" s="1">
        <v>45327</v>
      </c>
      <c r="F1123">
        <v>5</v>
      </c>
      <c r="G1123" t="s">
        <v>2598</v>
      </c>
      <c r="H1123" t="s">
        <v>2564</v>
      </c>
      <c r="I1123" t="s">
        <v>2575</v>
      </c>
      <c r="J1123" t="s">
        <v>2566</v>
      </c>
      <c r="K1123">
        <v>33</v>
      </c>
      <c r="L1123" s="13" t="s">
        <v>257</v>
      </c>
    </row>
    <row r="1124" spans="1:12" x14ac:dyDescent="0.25">
      <c r="A1124" t="s">
        <v>3799</v>
      </c>
      <c r="B1124" t="s">
        <v>83</v>
      </c>
      <c r="C1124" t="str">
        <f>_xlfn.XLOOKUP(Table7[[#This Row],[app_id]],Table5[app_id],Table5[app_name],"",0)</f>
        <v>BazaarCloud</v>
      </c>
      <c r="D1124" t="s">
        <v>1511</v>
      </c>
      <c r="E1124" s="1">
        <v>45698</v>
      </c>
      <c r="F1124">
        <v>3</v>
      </c>
      <c r="G1124" t="s">
        <v>2594</v>
      </c>
      <c r="H1124" t="s">
        <v>2554</v>
      </c>
      <c r="I1124" t="s">
        <v>2578</v>
      </c>
      <c r="J1124" t="s">
        <v>2600</v>
      </c>
      <c r="K1124">
        <v>27</v>
      </c>
      <c r="L1124" s="13" t="s">
        <v>258</v>
      </c>
    </row>
    <row r="1125" spans="1:12" x14ac:dyDescent="0.25">
      <c r="A1125" t="s">
        <v>3800</v>
      </c>
      <c r="B1125" t="s">
        <v>85</v>
      </c>
      <c r="C1125" t="str">
        <f>_xlfn.XLOOKUP(Table7[[#This Row],[app_id]],Table5[app_id],Table5[app_name],"",0)</f>
        <v>CartPro</v>
      </c>
      <c r="D1125" t="s">
        <v>1857</v>
      </c>
      <c r="E1125" s="1">
        <v>45886</v>
      </c>
      <c r="F1125">
        <v>5</v>
      </c>
      <c r="G1125" t="s">
        <v>2590</v>
      </c>
      <c r="H1125" t="s">
        <v>2564</v>
      </c>
      <c r="I1125" t="s">
        <v>2555</v>
      </c>
      <c r="J1125" t="s">
        <v>2556</v>
      </c>
      <c r="K1125">
        <v>32</v>
      </c>
      <c r="L1125" s="13" t="s">
        <v>257</v>
      </c>
    </row>
    <row r="1126" spans="1:12" x14ac:dyDescent="0.25">
      <c r="A1126" t="s">
        <v>3801</v>
      </c>
      <c r="B1126" t="s">
        <v>87</v>
      </c>
      <c r="C1126" t="str">
        <f>_xlfn.XLOOKUP(Table7[[#This Row],[app_id]],Table5[app_id],Table5[app_name],"",0)</f>
        <v>RunPlus</v>
      </c>
      <c r="D1126" t="s">
        <v>1301</v>
      </c>
      <c r="E1126" s="1">
        <v>45419</v>
      </c>
      <c r="F1126">
        <v>3</v>
      </c>
      <c r="G1126" t="s">
        <v>2611</v>
      </c>
      <c r="H1126" t="s">
        <v>2554</v>
      </c>
      <c r="I1126" t="s">
        <v>2565</v>
      </c>
      <c r="J1126" t="s">
        <v>2569</v>
      </c>
      <c r="K1126">
        <v>13</v>
      </c>
      <c r="L1126" s="13" t="s">
        <v>257</v>
      </c>
    </row>
    <row r="1127" spans="1:12" x14ac:dyDescent="0.25">
      <c r="A1127" t="s">
        <v>3802</v>
      </c>
      <c r="B1127" t="s">
        <v>90</v>
      </c>
      <c r="C1127" t="str">
        <f>_xlfn.XLOOKUP(Table7[[#This Row],[app_id]],Table5[app_id],Table5[app_name],"",0)</f>
        <v>TrainCloud</v>
      </c>
      <c r="D1127" t="s">
        <v>1431</v>
      </c>
      <c r="E1127" s="1">
        <v>45872</v>
      </c>
      <c r="F1127">
        <v>3</v>
      </c>
      <c r="G1127" t="s">
        <v>2770</v>
      </c>
      <c r="H1127" t="s">
        <v>2554</v>
      </c>
      <c r="I1127" t="s">
        <v>2588</v>
      </c>
      <c r="J1127" t="s">
        <v>2600</v>
      </c>
      <c r="K1127">
        <v>14</v>
      </c>
      <c r="L1127" s="13" t="s">
        <v>257</v>
      </c>
    </row>
    <row r="1128" spans="1:12" x14ac:dyDescent="0.25">
      <c r="A1128" t="s">
        <v>3803</v>
      </c>
      <c r="B1128" t="s">
        <v>92</v>
      </c>
      <c r="C1128" t="str">
        <f>_xlfn.XLOOKUP(Table7[[#This Row],[app_id]],Table5[app_id],Table5[app_name],"",0)</f>
        <v>Trainly</v>
      </c>
      <c r="D1128" t="s">
        <v>1932</v>
      </c>
      <c r="E1128" s="1">
        <v>45812</v>
      </c>
      <c r="F1128">
        <v>4</v>
      </c>
      <c r="G1128" t="s">
        <v>2625</v>
      </c>
      <c r="H1128" t="s">
        <v>2564</v>
      </c>
      <c r="I1128" t="s">
        <v>2565</v>
      </c>
      <c r="J1128" t="s">
        <v>2559</v>
      </c>
      <c r="K1128">
        <v>28</v>
      </c>
      <c r="L1128" s="13" t="s">
        <v>257</v>
      </c>
    </row>
    <row r="1129" spans="1:12" x14ac:dyDescent="0.25">
      <c r="A1129" t="s">
        <v>3804</v>
      </c>
      <c r="B1129" t="s">
        <v>94</v>
      </c>
      <c r="C1129" t="str">
        <f>_xlfn.XLOOKUP(Table7[[#This Row],[app_id]],Table5[app_id],Table5[app_name],"",0)</f>
        <v>LiftCloud</v>
      </c>
      <c r="D1129" t="s">
        <v>1668</v>
      </c>
      <c r="E1129" s="1">
        <v>45558</v>
      </c>
      <c r="F1129">
        <v>4</v>
      </c>
      <c r="G1129" t="s">
        <v>2613</v>
      </c>
      <c r="H1129" t="s">
        <v>2564</v>
      </c>
      <c r="I1129" t="s">
        <v>2571</v>
      </c>
      <c r="J1129" t="s">
        <v>2581</v>
      </c>
      <c r="K1129">
        <v>1</v>
      </c>
      <c r="L1129" s="13" t="s">
        <v>257</v>
      </c>
    </row>
    <row r="1130" spans="1:12" x14ac:dyDescent="0.25">
      <c r="A1130" t="s">
        <v>3805</v>
      </c>
      <c r="B1130" t="s">
        <v>96</v>
      </c>
      <c r="C1130" t="str">
        <f>_xlfn.XLOOKUP(Table7[[#This Row],[app_id]],Table5[app_id],Table5[app_name],"",0)</f>
        <v>MoveNow</v>
      </c>
      <c r="D1130" t="s">
        <v>2389</v>
      </c>
      <c r="E1130" s="1">
        <v>45639</v>
      </c>
      <c r="F1130">
        <v>4</v>
      </c>
      <c r="G1130" t="s">
        <v>2617</v>
      </c>
      <c r="H1130" t="s">
        <v>2564</v>
      </c>
      <c r="I1130" t="s">
        <v>2555</v>
      </c>
      <c r="J1130" t="s">
        <v>2603</v>
      </c>
      <c r="K1130">
        <v>20</v>
      </c>
      <c r="L1130" s="13" t="s">
        <v>257</v>
      </c>
    </row>
    <row r="1131" spans="1:12" x14ac:dyDescent="0.25">
      <c r="A1131" t="s">
        <v>3806</v>
      </c>
      <c r="B1131" t="s">
        <v>98</v>
      </c>
      <c r="C1131" t="str">
        <f>_xlfn.XLOOKUP(Table7[[#This Row],[app_id]],Table5[app_id],Table5[app_name],"",0)</f>
        <v>ActiveMate</v>
      </c>
      <c r="D1131" t="s">
        <v>1059</v>
      </c>
      <c r="E1131" s="1">
        <v>45714</v>
      </c>
      <c r="F1131">
        <v>4</v>
      </c>
      <c r="G1131" t="s">
        <v>2617</v>
      </c>
      <c r="H1131" t="s">
        <v>2564</v>
      </c>
      <c r="I1131" t="s">
        <v>2575</v>
      </c>
      <c r="J1131" t="s">
        <v>2566</v>
      </c>
      <c r="K1131">
        <v>11</v>
      </c>
      <c r="L1131" s="13" t="s">
        <v>257</v>
      </c>
    </row>
    <row r="1132" spans="1:12" x14ac:dyDescent="0.25">
      <c r="A1132" t="s">
        <v>3807</v>
      </c>
      <c r="B1132" t="s">
        <v>100</v>
      </c>
      <c r="C1132" t="str">
        <f>_xlfn.XLOOKUP(Table7[[#This Row],[app_id]],Table5[app_id],Table5[app_name],"",0)</f>
        <v>RunGo</v>
      </c>
      <c r="D1132" t="s">
        <v>822</v>
      </c>
      <c r="E1132" s="1">
        <v>45675</v>
      </c>
      <c r="F1132">
        <v>4</v>
      </c>
      <c r="G1132" t="s">
        <v>2613</v>
      </c>
      <c r="H1132" t="s">
        <v>2564</v>
      </c>
      <c r="I1132" t="s">
        <v>2558</v>
      </c>
      <c r="J1132" t="s">
        <v>2603</v>
      </c>
      <c r="K1132">
        <v>5</v>
      </c>
      <c r="L1132" s="13" t="s">
        <v>257</v>
      </c>
    </row>
    <row r="1133" spans="1:12" x14ac:dyDescent="0.25">
      <c r="A1133" t="s">
        <v>3808</v>
      </c>
      <c r="B1133" t="s">
        <v>102</v>
      </c>
      <c r="C1133" t="str">
        <f>_xlfn.XLOOKUP(Table7[[#This Row],[app_id]],Table5[app_id],Table5[app_name],"",0)</f>
        <v>LiftPro</v>
      </c>
      <c r="D1133" t="s">
        <v>571</v>
      </c>
      <c r="E1133" s="1">
        <v>45536</v>
      </c>
      <c r="F1133">
        <v>4</v>
      </c>
      <c r="G1133" t="s">
        <v>2625</v>
      </c>
      <c r="H1133" t="s">
        <v>2564</v>
      </c>
      <c r="I1133" t="s">
        <v>2555</v>
      </c>
      <c r="J1133" t="s">
        <v>2600</v>
      </c>
      <c r="K1133">
        <v>6</v>
      </c>
      <c r="L1133" s="13" t="s">
        <v>258</v>
      </c>
    </row>
    <row r="1134" spans="1:12" x14ac:dyDescent="0.25">
      <c r="A1134" t="s">
        <v>3809</v>
      </c>
      <c r="B1134" t="s">
        <v>104</v>
      </c>
      <c r="C1134" t="str">
        <f>_xlfn.XLOOKUP(Table7[[#This Row],[app_id]],Table5[app_id],Table5[app_name],"",0)</f>
        <v>LiftPro</v>
      </c>
      <c r="D1134" t="s">
        <v>1172</v>
      </c>
      <c r="E1134" s="1">
        <v>45785</v>
      </c>
      <c r="F1134">
        <v>4</v>
      </c>
      <c r="G1134" t="s">
        <v>2617</v>
      </c>
      <c r="H1134" t="s">
        <v>2564</v>
      </c>
      <c r="I1134" t="s">
        <v>2558</v>
      </c>
      <c r="J1134" t="s">
        <v>2600</v>
      </c>
      <c r="K1134">
        <v>5</v>
      </c>
      <c r="L1134" s="13" t="s">
        <v>258</v>
      </c>
    </row>
    <row r="1135" spans="1:12" x14ac:dyDescent="0.25">
      <c r="A1135" t="s">
        <v>3810</v>
      </c>
      <c r="B1135" t="s">
        <v>105</v>
      </c>
      <c r="C1135" t="str">
        <f>_xlfn.XLOOKUP(Table7[[#This Row],[app_id]],Table5[app_id],Table5[app_name],"",0)</f>
        <v>Liftly</v>
      </c>
      <c r="D1135" t="s">
        <v>2278</v>
      </c>
      <c r="E1135" s="1">
        <v>45678</v>
      </c>
      <c r="F1135">
        <v>5</v>
      </c>
      <c r="G1135" t="s">
        <v>2625</v>
      </c>
      <c r="H1135" t="s">
        <v>2564</v>
      </c>
      <c r="I1135" t="s">
        <v>2555</v>
      </c>
      <c r="J1135" t="s">
        <v>2569</v>
      </c>
      <c r="K1135">
        <v>20</v>
      </c>
      <c r="L1135" s="13" t="s">
        <v>257</v>
      </c>
    </row>
    <row r="1136" spans="1:12" x14ac:dyDescent="0.25">
      <c r="A1136" t="s">
        <v>3811</v>
      </c>
      <c r="B1136" t="s">
        <v>107</v>
      </c>
      <c r="C1136" t="str">
        <f>_xlfn.XLOOKUP(Table7[[#This Row],[app_id]],Table5[app_id],Table5[app_name],"",0)</f>
        <v>YogaHub</v>
      </c>
      <c r="D1136" t="s">
        <v>1798</v>
      </c>
      <c r="E1136" s="1">
        <v>45403</v>
      </c>
      <c r="F1136">
        <v>5</v>
      </c>
      <c r="G1136" t="s">
        <v>2625</v>
      </c>
      <c r="H1136" t="s">
        <v>2564</v>
      </c>
      <c r="I1136" t="s">
        <v>2555</v>
      </c>
      <c r="J1136" t="s">
        <v>2600</v>
      </c>
      <c r="K1136">
        <v>42</v>
      </c>
      <c r="L1136" s="13" t="s">
        <v>257</v>
      </c>
    </row>
    <row r="1137" spans="1:12" x14ac:dyDescent="0.25">
      <c r="A1137" t="s">
        <v>3812</v>
      </c>
      <c r="B1137" t="s">
        <v>109</v>
      </c>
      <c r="C1137" t="str">
        <f>_xlfn.XLOOKUP(Table7[[#This Row],[app_id]],Table5[app_id],Table5[app_name],"",0)</f>
        <v>MoveGo</v>
      </c>
      <c r="D1137" t="s">
        <v>1977</v>
      </c>
      <c r="E1137" s="1">
        <v>45325</v>
      </c>
      <c r="F1137">
        <v>5</v>
      </c>
      <c r="G1137" t="s">
        <v>2617</v>
      </c>
      <c r="H1137" t="s">
        <v>2564</v>
      </c>
      <c r="I1137" t="s">
        <v>2558</v>
      </c>
      <c r="J1137" t="s">
        <v>2600</v>
      </c>
      <c r="K1137">
        <v>12</v>
      </c>
      <c r="L1137" s="13" t="s">
        <v>257</v>
      </c>
    </row>
    <row r="1138" spans="1:12" x14ac:dyDescent="0.25">
      <c r="A1138" t="s">
        <v>3813</v>
      </c>
      <c r="B1138" t="s">
        <v>111</v>
      </c>
      <c r="C1138" t="str">
        <f>_xlfn.XLOOKUP(Table7[[#This Row],[app_id]],Table5[app_id],Table5[app_name],"",0)</f>
        <v>BrightNow</v>
      </c>
      <c r="D1138" t="s">
        <v>2098</v>
      </c>
      <c r="E1138" s="1">
        <v>45710</v>
      </c>
      <c r="F1138">
        <v>3</v>
      </c>
      <c r="G1138" t="s">
        <v>2773</v>
      </c>
      <c r="H1138" t="s">
        <v>2554</v>
      </c>
      <c r="I1138" t="s">
        <v>2555</v>
      </c>
      <c r="J1138" t="s">
        <v>2633</v>
      </c>
      <c r="K1138">
        <v>33</v>
      </c>
      <c r="L1138" s="13" t="s">
        <v>257</v>
      </c>
    </row>
    <row r="1139" spans="1:12" x14ac:dyDescent="0.25">
      <c r="A1139" t="s">
        <v>3814</v>
      </c>
      <c r="B1139" t="s">
        <v>114</v>
      </c>
      <c r="C1139" t="str">
        <f>_xlfn.XLOOKUP(Table7[[#This Row],[app_id]],Table5[app_id],Table5[app_name],"",0)</f>
        <v>StudyCloud</v>
      </c>
      <c r="D1139" t="s">
        <v>1822</v>
      </c>
      <c r="E1139" s="1">
        <v>46075</v>
      </c>
      <c r="F1139">
        <v>2</v>
      </c>
      <c r="G1139" t="s">
        <v>3107</v>
      </c>
      <c r="H1139" t="s">
        <v>2587</v>
      </c>
      <c r="I1139" t="s">
        <v>2588</v>
      </c>
      <c r="J1139" t="s">
        <v>2556</v>
      </c>
      <c r="K1139">
        <v>91</v>
      </c>
      <c r="L1139" s="13" t="s">
        <v>258</v>
      </c>
    </row>
    <row r="1140" spans="1:12" x14ac:dyDescent="0.25">
      <c r="A1140" t="s">
        <v>3815</v>
      </c>
      <c r="B1140" t="s">
        <v>116</v>
      </c>
      <c r="C1140" t="str">
        <f>_xlfn.XLOOKUP(Table7[[#This Row],[app_id]],Table5[app_id],Table5[app_name],"",0)</f>
        <v>SkillNow</v>
      </c>
      <c r="D1140" t="s">
        <v>1137</v>
      </c>
      <c r="E1140" s="1">
        <v>45865</v>
      </c>
      <c r="F1140">
        <v>4</v>
      </c>
      <c r="G1140" t="s">
        <v>2635</v>
      </c>
      <c r="H1140" t="s">
        <v>2564</v>
      </c>
      <c r="I1140" t="s">
        <v>2555</v>
      </c>
      <c r="J1140" t="s">
        <v>2633</v>
      </c>
      <c r="K1140">
        <v>19</v>
      </c>
      <c r="L1140" s="13" t="s">
        <v>257</v>
      </c>
    </row>
    <row r="1141" spans="1:12" x14ac:dyDescent="0.25">
      <c r="A1141" t="s">
        <v>3816</v>
      </c>
      <c r="B1141" t="s">
        <v>118</v>
      </c>
      <c r="C1141" t="str">
        <f>_xlfn.XLOOKUP(Table7[[#This Row],[app_id]],Table5[app_id],Table5[app_name],"",0)</f>
        <v>LearnMate</v>
      </c>
      <c r="D1141" t="s">
        <v>946</v>
      </c>
      <c r="E1141" s="1">
        <v>45614</v>
      </c>
      <c r="F1141">
        <v>4</v>
      </c>
      <c r="G1141" t="s">
        <v>2640</v>
      </c>
      <c r="H1141" t="s">
        <v>2564</v>
      </c>
      <c r="I1141" t="s">
        <v>2555</v>
      </c>
      <c r="J1141" t="s">
        <v>2559</v>
      </c>
      <c r="K1141">
        <v>41</v>
      </c>
      <c r="L1141" s="13" t="s">
        <v>257</v>
      </c>
    </row>
    <row r="1142" spans="1:12" x14ac:dyDescent="0.25">
      <c r="A1142" t="s">
        <v>3817</v>
      </c>
      <c r="B1142" t="s">
        <v>120</v>
      </c>
      <c r="C1142" t="str">
        <f>_xlfn.XLOOKUP(Table7[[#This Row],[app_id]],Table5[app_id],Table5[app_name],"",0)</f>
        <v>QuestNow</v>
      </c>
      <c r="D1142" t="s">
        <v>2270</v>
      </c>
      <c r="E1142" s="1">
        <v>46027</v>
      </c>
      <c r="F1142">
        <v>3</v>
      </c>
      <c r="G1142" t="s">
        <v>2773</v>
      </c>
      <c r="H1142" t="s">
        <v>2554</v>
      </c>
      <c r="I1142" t="s">
        <v>2571</v>
      </c>
      <c r="J1142" t="s">
        <v>2581</v>
      </c>
      <c r="K1142">
        <v>12</v>
      </c>
      <c r="L1142" s="13" t="s">
        <v>257</v>
      </c>
    </row>
    <row r="1143" spans="1:12" x14ac:dyDescent="0.25">
      <c r="A1143" t="s">
        <v>3818</v>
      </c>
      <c r="B1143" t="s">
        <v>122</v>
      </c>
      <c r="C1143" t="str">
        <f>_xlfn.XLOOKUP(Table7[[#This Row],[app_id]],Table5[app_id],Table5[app_name],"",0)</f>
        <v>SkillHub</v>
      </c>
      <c r="D1143" t="s">
        <v>2083</v>
      </c>
      <c r="E1143" s="1">
        <v>45846</v>
      </c>
      <c r="F1143">
        <v>5</v>
      </c>
      <c r="G1143" t="s">
        <v>2635</v>
      </c>
      <c r="H1143" t="s">
        <v>2564</v>
      </c>
      <c r="I1143" t="s">
        <v>2575</v>
      </c>
      <c r="J1143" t="s">
        <v>2596</v>
      </c>
      <c r="K1143">
        <v>6</v>
      </c>
      <c r="L1143" s="13" t="s">
        <v>257</v>
      </c>
    </row>
    <row r="1144" spans="1:12" x14ac:dyDescent="0.25">
      <c r="A1144" t="s">
        <v>3819</v>
      </c>
      <c r="B1144" t="s">
        <v>124</v>
      </c>
      <c r="C1144" t="str">
        <f>_xlfn.XLOOKUP(Table7[[#This Row],[app_id]],Table5[app_id],Table5[app_name],"",0)</f>
        <v>TutorCloud</v>
      </c>
      <c r="D1144" t="s">
        <v>1768</v>
      </c>
      <c r="E1144" s="1">
        <v>46139</v>
      </c>
      <c r="F1144">
        <v>2</v>
      </c>
      <c r="G1144" t="s">
        <v>2644</v>
      </c>
      <c r="H1144" t="s">
        <v>2587</v>
      </c>
      <c r="I1144" t="s">
        <v>2575</v>
      </c>
      <c r="J1144" t="s">
        <v>2559</v>
      </c>
      <c r="K1144">
        <v>78</v>
      </c>
      <c r="L1144" s="13" t="s">
        <v>258</v>
      </c>
    </row>
    <row r="1145" spans="1:12" x14ac:dyDescent="0.25">
      <c r="A1145" t="s">
        <v>3820</v>
      </c>
      <c r="B1145" t="s">
        <v>126</v>
      </c>
      <c r="C1145" t="str">
        <f>_xlfn.XLOOKUP(Table7[[#This Row],[app_id]],Table5[app_id],Table5[app_name],"",0)</f>
        <v>SkillOne</v>
      </c>
      <c r="D1145" t="s">
        <v>2199</v>
      </c>
      <c r="E1145" s="1">
        <v>45722</v>
      </c>
      <c r="F1145">
        <v>3</v>
      </c>
      <c r="G1145" t="s">
        <v>2773</v>
      </c>
      <c r="H1145" t="s">
        <v>2554</v>
      </c>
      <c r="I1145" t="s">
        <v>2555</v>
      </c>
      <c r="J1145" t="s">
        <v>2566</v>
      </c>
      <c r="K1145">
        <v>28</v>
      </c>
      <c r="L1145" s="13" t="s">
        <v>258</v>
      </c>
    </row>
    <row r="1146" spans="1:12" x14ac:dyDescent="0.25">
      <c r="A1146" t="s">
        <v>3821</v>
      </c>
      <c r="B1146" t="s">
        <v>128</v>
      </c>
      <c r="C1146" t="str">
        <f>_xlfn.XLOOKUP(Table7[[#This Row],[app_id]],Table5[app_id],Table5[app_name],"",0)</f>
        <v>LearnOne</v>
      </c>
      <c r="D1146" t="s">
        <v>1445</v>
      </c>
      <c r="E1146" s="1">
        <v>45554</v>
      </c>
      <c r="F1146">
        <v>3</v>
      </c>
      <c r="G1146" t="s">
        <v>2646</v>
      </c>
      <c r="H1146" t="s">
        <v>2554</v>
      </c>
      <c r="I1146" t="s">
        <v>2558</v>
      </c>
      <c r="J1146" t="s">
        <v>2600</v>
      </c>
      <c r="K1146">
        <v>28</v>
      </c>
      <c r="L1146" s="13" t="s">
        <v>257</v>
      </c>
    </row>
    <row r="1147" spans="1:12" x14ac:dyDescent="0.25">
      <c r="A1147" t="s">
        <v>3822</v>
      </c>
      <c r="B1147" t="s">
        <v>130</v>
      </c>
      <c r="C1147" t="str">
        <f>_xlfn.XLOOKUP(Table7[[#This Row],[app_id]],Table5[app_id],Table5[app_name],"",0)</f>
        <v>LearnPlus</v>
      </c>
      <c r="D1147" t="s">
        <v>1110</v>
      </c>
      <c r="E1147" s="1">
        <v>45966</v>
      </c>
      <c r="F1147">
        <v>3</v>
      </c>
      <c r="G1147" t="s">
        <v>2646</v>
      </c>
      <c r="H1147" t="s">
        <v>2554</v>
      </c>
      <c r="I1147" t="s">
        <v>2571</v>
      </c>
      <c r="J1147" t="s">
        <v>2600</v>
      </c>
      <c r="K1147">
        <v>23</v>
      </c>
      <c r="L1147" s="13" t="s">
        <v>258</v>
      </c>
    </row>
    <row r="1148" spans="1:12" x14ac:dyDescent="0.25">
      <c r="A1148" t="s">
        <v>3823</v>
      </c>
      <c r="B1148" t="s">
        <v>132</v>
      </c>
      <c r="C1148" t="str">
        <f>_xlfn.XLOOKUP(Table7[[#This Row],[app_id]],Table5[app_id],Table5[app_name],"",0)</f>
        <v>StudyPlus</v>
      </c>
      <c r="D1148" t="s">
        <v>1280</v>
      </c>
      <c r="E1148" s="1">
        <v>46062</v>
      </c>
      <c r="F1148">
        <v>4</v>
      </c>
      <c r="G1148" t="s">
        <v>2640</v>
      </c>
      <c r="H1148" t="s">
        <v>2564</v>
      </c>
      <c r="I1148" t="s">
        <v>2555</v>
      </c>
      <c r="J1148" t="s">
        <v>2559</v>
      </c>
      <c r="K1148">
        <v>48</v>
      </c>
      <c r="L1148" s="13" t="s">
        <v>257</v>
      </c>
    </row>
    <row r="1149" spans="1:12" x14ac:dyDescent="0.25">
      <c r="A1149" t="s">
        <v>3824</v>
      </c>
      <c r="B1149" t="s">
        <v>134</v>
      </c>
      <c r="C1149" t="str">
        <f>_xlfn.XLOOKUP(Table7[[#This Row],[app_id]],Table5[app_id],Table5[app_name],"",0)</f>
        <v>StudyX</v>
      </c>
      <c r="D1149" t="s">
        <v>2112</v>
      </c>
      <c r="E1149" s="1">
        <v>45303</v>
      </c>
      <c r="F1149">
        <v>5</v>
      </c>
      <c r="G1149" t="s">
        <v>2635</v>
      </c>
      <c r="H1149" t="s">
        <v>2564</v>
      </c>
      <c r="I1149" t="s">
        <v>2558</v>
      </c>
      <c r="J1149" t="s">
        <v>2581</v>
      </c>
      <c r="K1149">
        <v>15</v>
      </c>
      <c r="L1149" s="13" t="s">
        <v>257</v>
      </c>
    </row>
    <row r="1150" spans="1:12" x14ac:dyDescent="0.25">
      <c r="A1150" t="s">
        <v>3825</v>
      </c>
      <c r="B1150" t="s">
        <v>136</v>
      </c>
      <c r="C1150" t="str">
        <f>_xlfn.XLOOKUP(Table7[[#This Row],[app_id]],Table5[app_id],Table5[app_name],"",0)</f>
        <v>PlayPlus</v>
      </c>
      <c r="D1150" t="s">
        <v>2041</v>
      </c>
      <c r="E1150" s="1">
        <v>45568</v>
      </c>
      <c r="F1150">
        <v>4</v>
      </c>
      <c r="G1150" t="s">
        <v>2789</v>
      </c>
      <c r="H1150" t="s">
        <v>2564</v>
      </c>
      <c r="I1150" t="s">
        <v>2575</v>
      </c>
      <c r="J1150" t="s">
        <v>2569</v>
      </c>
      <c r="K1150">
        <v>7</v>
      </c>
      <c r="L1150" s="13" t="s">
        <v>258</v>
      </c>
    </row>
    <row r="1151" spans="1:12" x14ac:dyDescent="0.25">
      <c r="A1151" t="s">
        <v>3826</v>
      </c>
      <c r="B1151" t="s">
        <v>139</v>
      </c>
      <c r="C1151" t="str">
        <f>_xlfn.XLOOKUP(Table7[[#This Row],[app_id]],Table5[app_id],Table5[app_name],"",0)</f>
        <v>ShowMate</v>
      </c>
      <c r="D1151" t="s">
        <v>605</v>
      </c>
      <c r="E1151" s="1">
        <v>46040</v>
      </c>
      <c r="F1151">
        <v>2</v>
      </c>
      <c r="G1151" t="s">
        <v>3117</v>
      </c>
      <c r="H1151" t="s">
        <v>2587</v>
      </c>
      <c r="I1151" t="s">
        <v>2555</v>
      </c>
      <c r="J1151" t="s">
        <v>2600</v>
      </c>
      <c r="K1151">
        <v>69</v>
      </c>
      <c r="L1151" s="13" t="s">
        <v>257</v>
      </c>
    </row>
    <row r="1152" spans="1:12" x14ac:dyDescent="0.25">
      <c r="A1152" t="s">
        <v>3827</v>
      </c>
      <c r="B1152" t="s">
        <v>141</v>
      </c>
      <c r="C1152" t="str">
        <f>_xlfn.XLOOKUP(Table7[[#This Row],[app_id]],Table5[app_id],Table5[app_name],"",0)</f>
        <v>VibeX</v>
      </c>
      <c r="D1152" t="s">
        <v>1914</v>
      </c>
      <c r="E1152" s="1">
        <v>45374</v>
      </c>
      <c r="F1152">
        <v>4</v>
      </c>
      <c r="G1152" t="s">
        <v>2652</v>
      </c>
      <c r="H1152" t="s">
        <v>2564</v>
      </c>
      <c r="I1152" t="s">
        <v>2575</v>
      </c>
      <c r="J1152" t="s">
        <v>2581</v>
      </c>
      <c r="K1152">
        <v>26</v>
      </c>
      <c r="L1152" s="13" t="s">
        <v>257</v>
      </c>
    </row>
    <row r="1153" spans="1:12" x14ac:dyDescent="0.25">
      <c r="A1153" t="s">
        <v>3828</v>
      </c>
      <c r="B1153" t="s">
        <v>143</v>
      </c>
      <c r="C1153" t="str">
        <f>_xlfn.XLOOKUP(Table7[[#This Row],[app_id]],Table5[app_id],Table5[app_name],"",0)</f>
        <v>BuzzNow</v>
      </c>
      <c r="D1153" t="s">
        <v>719</v>
      </c>
      <c r="E1153" s="1">
        <v>46040</v>
      </c>
      <c r="F1153">
        <v>3</v>
      </c>
      <c r="G1153" t="s">
        <v>2791</v>
      </c>
      <c r="H1153" t="s">
        <v>2554</v>
      </c>
      <c r="I1153" t="s">
        <v>2588</v>
      </c>
      <c r="J1153" t="s">
        <v>2600</v>
      </c>
      <c r="K1153">
        <v>5</v>
      </c>
      <c r="L1153" s="13" t="s">
        <v>257</v>
      </c>
    </row>
    <row r="1154" spans="1:12" x14ac:dyDescent="0.25">
      <c r="A1154" t="s">
        <v>3829</v>
      </c>
      <c r="B1154" t="s">
        <v>145</v>
      </c>
      <c r="C1154" t="str">
        <f>_xlfn.XLOOKUP(Table7[[#This Row],[app_id]],Table5[app_id],Table5[app_name],"",0)</f>
        <v>StreamPlus</v>
      </c>
      <c r="D1154" t="s">
        <v>1127</v>
      </c>
      <c r="E1154" s="1">
        <v>45551</v>
      </c>
      <c r="F1154">
        <v>5</v>
      </c>
      <c r="G1154" t="s">
        <v>2652</v>
      </c>
      <c r="H1154" t="s">
        <v>2564</v>
      </c>
      <c r="I1154" t="s">
        <v>2558</v>
      </c>
      <c r="J1154" t="s">
        <v>2633</v>
      </c>
      <c r="K1154">
        <v>5</v>
      </c>
      <c r="L1154" s="13" t="s">
        <v>257</v>
      </c>
    </row>
    <row r="1155" spans="1:12" x14ac:dyDescent="0.25">
      <c r="A1155" t="s">
        <v>3830</v>
      </c>
      <c r="B1155" t="s">
        <v>147</v>
      </c>
      <c r="C1155" t="str">
        <f>_xlfn.XLOOKUP(Table7[[#This Row],[app_id]],Table5[app_id],Table5[app_name],"",0)</f>
        <v>Showly</v>
      </c>
      <c r="D1155" t="s">
        <v>1932</v>
      </c>
      <c r="E1155" s="1">
        <v>46006</v>
      </c>
      <c r="F1155">
        <v>3</v>
      </c>
      <c r="G1155" t="s">
        <v>2793</v>
      </c>
      <c r="H1155" t="s">
        <v>2554</v>
      </c>
      <c r="I1155" t="s">
        <v>2575</v>
      </c>
      <c r="J1155" t="s">
        <v>2600</v>
      </c>
      <c r="K1155">
        <v>35</v>
      </c>
      <c r="L1155" s="13" t="s">
        <v>257</v>
      </c>
    </row>
    <row r="1156" spans="1:12" x14ac:dyDescent="0.25">
      <c r="A1156" t="s">
        <v>3831</v>
      </c>
      <c r="B1156" t="s">
        <v>149</v>
      </c>
      <c r="C1156" t="str">
        <f>_xlfn.XLOOKUP(Table7[[#This Row],[app_id]],Table5[app_id],Table5[app_name],"",0)</f>
        <v>BuzzOne</v>
      </c>
      <c r="D1156" t="s">
        <v>570</v>
      </c>
      <c r="E1156" s="1">
        <v>45424</v>
      </c>
      <c r="F1156">
        <v>5</v>
      </c>
      <c r="G1156" t="s">
        <v>2905</v>
      </c>
      <c r="H1156" t="s">
        <v>2564</v>
      </c>
      <c r="I1156" t="s">
        <v>2575</v>
      </c>
      <c r="J1156" t="s">
        <v>2600</v>
      </c>
      <c r="K1156">
        <v>35</v>
      </c>
      <c r="L1156" s="13" t="s">
        <v>258</v>
      </c>
    </row>
    <row r="1157" spans="1:12" x14ac:dyDescent="0.25">
      <c r="A1157" t="s">
        <v>3832</v>
      </c>
      <c r="B1157" t="s">
        <v>151</v>
      </c>
      <c r="C1157" t="str">
        <f>_xlfn.XLOOKUP(Table7[[#This Row],[app_id]],Table5[app_id],Table5[app_name],"",0)</f>
        <v>PlayHub</v>
      </c>
      <c r="D1157" t="s">
        <v>1707</v>
      </c>
      <c r="E1157" s="1">
        <v>45701</v>
      </c>
      <c r="F1157">
        <v>4</v>
      </c>
      <c r="G1157" t="s">
        <v>2789</v>
      </c>
      <c r="H1157" t="s">
        <v>2564</v>
      </c>
      <c r="I1157" t="s">
        <v>2575</v>
      </c>
      <c r="J1157" t="s">
        <v>2569</v>
      </c>
      <c r="K1157">
        <v>12</v>
      </c>
      <c r="L1157" s="13" t="s">
        <v>257</v>
      </c>
    </row>
    <row r="1158" spans="1:12" x14ac:dyDescent="0.25">
      <c r="A1158" t="s">
        <v>3833</v>
      </c>
      <c r="B1158" t="s">
        <v>153</v>
      </c>
      <c r="C1158" t="str">
        <f>_xlfn.XLOOKUP(Table7[[#This Row],[app_id]],Table5[app_id],Table5[app_name],"",0)</f>
        <v>CinemaGo</v>
      </c>
      <c r="D1158" t="s">
        <v>2432</v>
      </c>
      <c r="E1158" s="1">
        <v>45743</v>
      </c>
      <c r="F1158">
        <v>5</v>
      </c>
      <c r="G1158" t="s">
        <v>2652</v>
      </c>
      <c r="H1158" t="s">
        <v>2564</v>
      </c>
      <c r="I1158" t="s">
        <v>2565</v>
      </c>
      <c r="J1158" t="s">
        <v>2600</v>
      </c>
      <c r="K1158">
        <v>17</v>
      </c>
      <c r="L1158" s="13" t="s">
        <v>258</v>
      </c>
    </row>
    <row r="1159" spans="1:12" x14ac:dyDescent="0.25">
      <c r="A1159" t="s">
        <v>3834</v>
      </c>
      <c r="B1159" t="s">
        <v>155</v>
      </c>
      <c r="C1159" t="str">
        <f>_xlfn.XLOOKUP(Table7[[#This Row],[app_id]],Table5[app_id],Table5[app_name],"",0)</f>
        <v>LaughX</v>
      </c>
      <c r="D1159" t="s">
        <v>2106</v>
      </c>
      <c r="E1159" s="1">
        <v>46133</v>
      </c>
      <c r="F1159">
        <v>3</v>
      </c>
      <c r="G1159" t="s">
        <v>2655</v>
      </c>
      <c r="H1159" t="s">
        <v>2554</v>
      </c>
      <c r="I1159" t="s">
        <v>2571</v>
      </c>
      <c r="J1159" t="s">
        <v>2566</v>
      </c>
      <c r="K1159">
        <v>32</v>
      </c>
      <c r="L1159" s="13" t="s">
        <v>257</v>
      </c>
    </row>
    <row r="1160" spans="1:12" x14ac:dyDescent="0.25">
      <c r="A1160" t="s">
        <v>3835</v>
      </c>
      <c r="B1160" t="s">
        <v>157</v>
      </c>
      <c r="C1160" t="str">
        <f>_xlfn.XLOOKUP(Table7[[#This Row],[app_id]],Table5[app_id],Table5[app_name],"",0)</f>
        <v>CinemaHub</v>
      </c>
      <c r="D1160" t="s">
        <v>808</v>
      </c>
      <c r="E1160" s="1">
        <v>45769</v>
      </c>
      <c r="F1160">
        <v>4</v>
      </c>
      <c r="G1160" t="s">
        <v>2905</v>
      </c>
      <c r="H1160" t="s">
        <v>2564</v>
      </c>
      <c r="I1160" t="s">
        <v>2555</v>
      </c>
      <c r="J1160" t="s">
        <v>2559</v>
      </c>
      <c r="K1160">
        <v>26</v>
      </c>
      <c r="L1160" s="13" t="s">
        <v>257</v>
      </c>
    </row>
    <row r="1161" spans="1:12" x14ac:dyDescent="0.25">
      <c r="A1161" t="s">
        <v>3836</v>
      </c>
      <c r="B1161" t="s">
        <v>159</v>
      </c>
      <c r="C1161" t="str">
        <f>_xlfn.XLOOKUP(Table7[[#This Row],[app_id]],Table5[app_id],Table5[app_name],"",0)</f>
        <v>ShowPro</v>
      </c>
      <c r="D1161" t="s">
        <v>2421</v>
      </c>
      <c r="E1161" s="1">
        <v>45782</v>
      </c>
      <c r="F1161">
        <v>3</v>
      </c>
      <c r="G1161" t="s">
        <v>2655</v>
      </c>
      <c r="H1161" t="s">
        <v>2554</v>
      </c>
      <c r="I1161" t="s">
        <v>2555</v>
      </c>
      <c r="J1161" t="s">
        <v>2581</v>
      </c>
      <c r="K1161">
        <v>8</v>
      </c>
      <c r="L1161" s="13" t="s">
        <v>257</v>
      </c>
    </row>
    <row r="1162" spans="1:12" x14ac:dyDescent="0.25">
      <c r="A1162" t="s">
        <v>3837</v>
      </c>
      <c r="B1162" t="s">
        <v>161</v>
      </c>
      <c r="C1162" t="str">
        <f>_xlfn.XLOOKUP(Table7[[#This Row],[app_id]],Table5[app_id],Table5[app_name],"",0)</f>
        <v>FoodPlus</v>
      </c>
      <c r="D1162" t="s">
        <v>2340</v>
      </c>
      <c r="E1162" s="1">
        <v>45442</v>
      </c>
      <c r="F1162">
        <v>4</v>
      </c>
      <c r="G1162" t="s">
        <v>2676</v>
      </c>
      <c r="H1162" t="s">
        <v>2564</v>
      </c>
      <c r="I1162" t="s">
        <v>2575</v>
      </c>
      <c r="J1162" t="s">
        <v>2559</v>
      </c>
      <c r="K1162">
        <v>23</v>
      </c>
      <c r="L1162" s="13" t="s">
        <v>257</v>
      </c>
    </row>
    <row r="1163" spans="1:12" x14ac:dyDescent="0.25">
      <c r="A1163" t="s">
        <v>3838</v>
      </c>
      <c r="B1163" t="s">
        <v>164</v>
      </c>
      <c r="C1163" t="str">
        <f>_xlfn.XLOOKUP(Table7[[#This Row],[app_id]],Table5[app_id],Table5[app_name],"",0)</f>
        <v>BiteGo</v>
      </c>
      <c r="D1163" t="s">
        <v>1799</v>
      </c>
      <c r="E1163" s="1">
        <v>45325</v>
      </c>
      <c r="F1163">
        <v>3</v>
      </c>
      <c r="G1163" t="s">
        <v>2668</v>
      </c>
      <c r="H1163" t="s">
        <v>2554</v>
      </c>
      <c r="I1163" t="s">
        <v>2575</v>
      </c>
      <c r="J1163" t="s">
        <v>2603</v>
      </c>
      <c r="K1163">
        <v>41</v>
      </c>
      <c r="L1163" s="13" t="s">
        <v>257</v>
      </c>
    </row>
    <row r="1164" spans="1:12" x14ac:dyDescent="0.25">
      <c r="A1164" t="s">
        <v>3839</v>
      </c>
      <c r="B1164" t="s">
        <v>166</v>
      </c>
      <c r="C1164" t="str">
        <f>_xlfn.XLOOKUP(Table7[[#This Row],[app_id]],Table5[app_id],Table5[app_name],"",0)</f>
        <v>OrderCloud</v>
      </c>
      <c r="D1164" t="s">
        <v>835</v>
      </c>
      <c r="E1164" s="1">
        <v>45871</v>
      </c>
      <c r="F1164">
        <v>2</v>
      </c>
      <c r="G1164" t="s">
        <v>2917</v>
      </c>
      <c r="H1164" t="s">
        <v>2587</v>
      </c>
      <c r="I1164" t="s">
        <v>2588</v>
      </c>
      <c r="J1164" t="s">
        <v>2566</v>
      </c>
      <c r="K1164">
        <v>66</v>
      </c>
      <c r="L1164" s="13" t="s">
        <v>257</v>
      </c>
    </row>
    <row r="1165" spans="1:12" x14ac:dyDescent="0.25">
      <c r="A1165" t="s">
        <v>3840</v>
      </c>
      <c r="B1165" t="s">
        <v>168</v>
      </c>
      <c r="C1165" t="str">
        <f>_xlfn.XLOOKUP(Table7[[#This Row],[app_id]],Table5[app_id],Table5[app_name],"",0)</f>
        <v>DinePlus</v>
      </c>
      <c r="D1165" t="s">
        <v>1864</v>
      </c>
      <c r="E1165" s="1">
        <v>45566</v>
      </c>
      <c r="F1165">
        <v>4</v>
      </c>
      <c r="G1165" t="s">
        <v>2806</v>
      </c>
      <c r="H1165" t="s">
        <v>2564</v>
      </c>
      <c r="I1165" t="s">
        <v>2555</v>
      </c>
      <c r="J1165" t="s">
        <v>2561</v>
      </c>
      <c r="K1165">
        <v>28</v>
      </c>
      <c r="L1165" s="13" t="s">
        <v>258</v>
      </c>
    </row>
    <row r="1166" spans="1:12" x14ac:dyDescent="0.25">
      <c r="A1166" t="s">
        <v>3841</v>
      </c>
      <c r="B1166" t="s">
        <v>170</v>
      </c>
      <c r="C1166" t="str">
        <f>_xlfn.XLOOKUP(Table7[[#This Row],[app_id]],Table5[app_id],Table5[app_name],"",0)</f>
        <v>SnackX</v>
      </c>
      <c r="D1166" t="s">
        <v>1891</v>
      </c>
      <c r="E1166" s="1">
        <v>45552</v>
      </c>
      <c r="F1166">
        <v>4</v>
      </c>
      <c r="G1166" t="s">
        <v>2674</v>
      </c>
      <c r="H1166" t="s">
        <v>2564</v>
      </c>
      <c r="I1166" t="s">
        <v>2565</v>
      </c>
      <c r="J1166" t="s">
        <v>2559</v>
      </c>
      <c r="K1166">
        <v>37</v>
      </c>
      <c r="L1166" s="13" t="s">
        <v>257</v>
      </c>
    </row>
    <row r="1167" spans="1:12" x14ac:dyDescent="0.25">
      <c r="A1167" t="s">
        <v>3842</v>
      </c>
      <c r="B1167" t="s">
        <v>172</v>
      </c>
      <c r="C1167" t="str">
        <f>_xlfn.XLOOKUP(Table7[[#This Row],[app_id]],Table5[app_id],Table5[app_name],"",0)</f>
        <v>FoodOne</v>
      </c>
      <c r="D1167" t="s">
        <v>1342</v>
      </c>
      <c r="E1167" s="1">
        <v>45364</v>
      </c>
      <c r="F1167">
        <v>3</v>
      </c>
      <c r="G1167" t="s">
        <v>2670</v>
      </c>
      <c r="H1167" t="s">
        <v>2554</v>
      </c>
      <c r="I1167" t="s">
        <v>2558</v>
      </c>
      <c r="J1167" t="s">
        <v>2581</v>
      </c>
      <c r="K1167">
        <v>39</v>
      </c>
      <c r="L1167" s="13" t="s">
        <v>257</v>
      </c>
    </row>
    <row r="1168" spans="1:12" x14ac:dyDescent="0.25">
      <c r="A1168" t="s">
        <v>3843</v>
      </c>
      <c r="B1168" t="s">
        <v>174</v>
      </c>
      <c r="C1168" t="str">
        <f>_xlfn.XLOOKUP(Table7[[#This Row],[app_id]],Table5[app_id],Table5[app_name],"",0)</f>
        <v>MealMate</v>
      </c>
      <c r="D1168" t="s">
        <v>1522</v>
      </c>
      <c r="E1168" s="1">
        <v>45951</v>
      </c>
      <c r="F1168">
        <v>4</v>
      </c>
      <c r="G1168" t="s">
        <v>2674</v>
      </c>
      <c r="H1168" t="s">
        <v>2564</v>
      </c>
      <c r="I1168" t="s">
        <v>2565</v>
      </c>
      <c r="J1168" t="s">
        <v>2581</v>
      </c>
      <c r="K1168">
        <v>23</v>
      </c>
      <c r="L1168" s="13" t="s">
        <v>257</v>
      </c>
    </row>
    <row r="1169" spans="1:12" x14ac:dyDescent="0.25">
      <c r="A1169" t="s">
        <v>3844</v>
      </c>
      <c r="B1169" t="s">
        <v>176</v>
      </c>
      <c r="C1169" t="str">
        <f>_xlfn.XLOOKUP(Table7[[#This Row],[app_id]],Table5[app_id],Table5[app_name],"",0)</f>
        <v>SnackHub</v>
      </c>
      <c r="D1169" t="s">
        <v>691</v>
      </c>
      <c r="E1169" s="1">
        <v>45513</v>
      </c>
      <c r="F1169">
        <v>4</v>
      </c>
      <c r="G1169" t="s">
        <v>2676</v>
      </c>
      <c r="H1169" t="s">
        <v>2564</v>
      </c>
      <c r="I1169" t="s">
        <v>2565</v>
      </c>
      <c r="J1169" t="s">
        <v>2596</v>
      </c>
      <c r="K1169">
        <v>17</v>
      </c>
      <c r="L1169" s="13" t="s">
        <v>257</v>
      </c>
    </row>
    <row r="1170" spans="1:12" x14ac:dyDescent="0.25">
      <c r="A1170" t="s">
        <v>3845</v>
      </c>
      <c r="B1170" t="s">
        <v>178</v>
      </c>
      <c r="C1170" t="str">
        <f>_xlfn.XLOOKUP(Table7[[#This Row],[app_id]],Table5[app_id],Table5[app_name],"",0)</f>
        <v>BiteCloud</v>
      </c>
      <c r="D1170" t="s">
        <v>782</v>
      </c>
      <c r="E1170" s="1">
        <v>46032</v>
      </c>
      <c r="F1170">
        <v>4</v>
      </c>
      <c r="G1170" t="s">
        <v>2674</v>
      </c>
      <c r="H1170" t="s">
        <v>2564</v>
      </c>
      <c r="I1170" t="s">
        <v>2565</v>
      </c>
      <c r="J1170" t="s">
        <v>2561</v>
      </c>
      <c r="K1170">
        <v>11</v>
      </c>
      <c r="L1170" s="13" t="s">
        <v>257</v>
      </c>
    </row>
    <row r="1171" spans="1:12" x14ac:dyDescent="0.25">
      <c r="A1171" t="s">
        <v>3846</v>
      </c>
      <c r="B1171" t="s">
        <v>180</v>
      </c>
      <c r="C1171" t="str">
        <f>_xlfn.XLOOKUP(Table7[[#This Row],[app_id]],Table5[app_id],Table5[app_name],"",0)</f>
        <v>PlatePlus</v>
      </c>
      <c r="D1171" t="s">
        <v>721</v>
      </c>
      <c r="E1171" s="1">
        <v>45817</v>
      </c>
      <c r="F1171">
        <v>4</v>
      </c>
      <c r="G1171" t="s">
        <v>2676</v>
      </c>
      <c r="H1171" t="s">
        <v>2564</v>
      </c>
      <c r="I1171" t="s">
        <v>2575</v>
      </c>
      <c r="J1171" t="s">
        <v>2600</v>
      </c>
      <c r="K1171">
        <v>13</v>
      </c>
      <c r="L1171" s="13" t="s">
        <v>257</v>
      </c>
    </row>
    <row r="1172" spans="1:12" x14ac:dyDescent="0.25">
      <c r="A1172" t="s">
        <v>3847</v>
      </c>
      <c r="B1172" t="s">
        <v>182</v>
      </c>
      <c r="C1172" t="str">
        <f>_xlfn.XLOOKUP(Table7[[#This Row],[app_id]],Table5[app_id],Table5[app_name],"",0)</f>
        <v>VoyageGo</v>
      </c>
      <c r="D1172" t="s">
        <v>2392</v>
      </c>
      <c r="E1172" s="1">
        <v>46135</v>
      </c>
      <c r="F1172">
        <v>4</v>
      </c>
      <c r="G1172" t="s">
        <v>2929</v>
      </c>
      <c r="H1172" t="s">
        <v>2564</v>
      </c>
      <c r="I1172" t="s">
        <v>2555</v>
      </c>
      <c r="J1172" t="s">
        <v>2603</v>
      </c>
      <c r="K1172">
        <v>4</v>
      </c>
      <c r="L1172" s="13" t="s">
        <v>257</v>
      </c>
    </row>
    <row r="1173" spans="1:12" x14ac:dyDescent="0.25">
      <c r="A1173" t="s">
        <v>3848</v>
      </c>
      <c r="B1173" t="s">
        <v>185</v>
      </c>
      <c r="C1173" t="str">
        <f>_xlfn.XLOOKUP(Table7[[#This Row],[app_id]],Table5[app_id],Table5[app_name],"",0)</f>
        <v>TripOne</v>
      </c>
      <c r="D1173" t="s">
        <v>1218</v>
      </c>
      <c r="E1173" s="1">
        <v>45570</v>
      </c>
      <c r="F1173">
        <v>4</v>
      </c>
      <c r="G1173" t="s">
        <v>2683</v>
      </c>
      <c r="H1173" t="s">
        <v>2564</v>
      </c>
      <c r="I1173" t="s">
        <v>2565</v>
      </c>
      <c r="J1173" t="s">
        <v>2603</v>
      </c>
      <c r="K1173">
        <v>28</v>
      </c>
      <c r="L1173" s="13" t="s">
        <v>257</v>
      </c>
    </row>
    <row r="1174" spans="1:12" x14ac:dyDescent="0.25">
      <c r="A1174" t="s">
        <v>3849</v>
      </c>
      <c r="B1174" t="s">
        <v>187</v>
      </c>
      <c r="C1174" t="str">
        <f>_xlfn.XLOOKUP(Table7[[#This Row],[app_id]],Table5[app_id],Table5[app_name],"",0)</f>
        <v>FlyGo</v>
      </c>
      <c r="D1174" t="s">
        <v>1365</v>
      </c>
      <c r="E1174" s="1">
        <v>45903</v>
      </c>
      <c r="F1174">
        <v>4</v>
      </c>
      <c r="G1174" t="s">
        <v>2687</v>
      </c>
      <c r="H1174" t="s">
        <v>2564</v>
      </c>
      <c r="I1174" t="s">
        <v>2571</v>
      </c>
      <c r="J1174" t="s">
        <v>2581</v>
      </c>
      <c r="K1174">
        <v>26</v>
      </c>
      <c r="L1174" s="13" t="s">
        <v>257</v>
      </c>
    </row>
    <row r="1175" spans="1:12" x14ac:dyDescent="0.25">
      <c r="A1175" t="s">
        <v>3850</v>
      </c>
      <c r="B1175" t="s">
        <v>189</v>
      </c>
      <c r="C1175" t="str">
        <f>_xlfn.XLOOKUP(Table7[[#This Row],[app_id]],Table5[app_id],Table5[app_name],"",0)</f>
        <v>MapX</v>
      </c>
      <c r="D1175" t="s">
        <v>1576</v>
      </c>
      <c r="E1175" s="1">
        <v>45732</v>
      </c>
      <c r="F1175">
        <v>5</v>
      </c>
      <c r="G1175" t="s">
        <v>2929</v>
      </c>
      <c r="H1175" t="s">
        <v>2564</v>
      </c>
      <c r="I1175" t="s">
        <v>2565</v>
      </c>
      <c r="J1175" t="s">
        <v>2559</v>
      </c>
      <c r="K1175">
        <v>7</v>
      </c>
      <c r="L1175" s="13" t="s">
        <v>257</v>
      </c>
    </row>
    <row r="1176" spans="1:12" x14ac:dyDescent="0.25">
      <c r="A1176" t="s">
        <v>3851</v>
      </c>
      <c r="B1176" t="s">
        <v>191</v>
      </c>
      <c r="C1176" t="str">
        <f>_xlfn.XLOOKUP(Table7[[#This Row],[app_id]],Table5[app_id],Table5[app_name],"",0)</f>
        <v>StayX</v>
      </c>
      <c r="D1176" t="s">
        <v>1628</v>
      </c>
      <c r="E1176" s="1">
        <v>45609</v>
      </c>
      <c r="F1176">
        <v>4</v>
      </c>
      <c r="G1176" t="s">
        <v>2687</v>
      </c>
      <c r="H1176" t="s">
        <v>2564</v>
      </c>
      <c r="I1176" t="s">
        <v>2571</v>
      </c>
      <c r="J1176" t="s">
        <v>2559</v>
      </c>
      <c r="K1176">
        <v>13</v>
      </c>
      <c r="L1176" s="13" t="s">
        <v>257</v>
      </c>
    </row>
    <row r="1177" spans="1:12" x14ac:dyDescent="0.25">
      <c r="A1177" t="s">
        <v>3852</v>
      </c>
      <c r="B1177" t="s">
        <v>193</v>
      </c>
      <c r="C1177" t="str">
        <f>_xlfn.XLOOKUP(Table7[[#This Row],[app_id]],Table5[app_id],Table5[app_name],"",0)</f>
        <v>GoNow</v>
      </c>
      <c r="D1177" t="s">
        <v>1414</v>
      </c>
      <c r="E1177" s="1">
        <v>46011</v>
      </c>
      <c r="F1177">
        <v>4</v>
      </c>
      <c r="G1177" t="s">
        <v>2929</v>
      </c>
      <c r="H1177" t="s">
        <v>2564</v>
      </c>
      <c r="I1177" t="s">
        <v>2555</v>
      </c>
      <c r="J1177" t="s">
        <v>2596</v>
      </c>
      <c r="K1177">
        <v>25</v>
      </c>
      <c r="L1177" s="13" t="s">
        <v>257</v>
      </c>
    </row>
    <row r="1178" spans="1:12" x14ac:dyDescent="0.25">
      <c r="A1178" t="s">
        <v>3853</v>
      </c>
      <c r="B1178" t="s">
        <v>195</v>
      </c>
      <c r="C1178" t="str">
        <f>_xlfn.XLOOKUP(Table7[[#This Row],[app_id]],Table5[app_id],Table5[app_name],"",0)</f>
        <v>RouteGo</v>
      </c>
      <c r="D1178" t="s">
        <v>650</v>
      </c>
      <c r="E1178" s="1">
        <v>45788</v>
      </c>
      <c r="F1178">
        <v>2</v>
      </c>
      <c r="G1178" t="s">
        <v>2693</v>
      </c>
      <c r="H1178" t="s">
        <v>2587</v>
      </c>
      <c r="I1178" t="s">
        <v>2578</v>
      </c>
      <c r="J1178" t="s">
        <v>2566</v>
      </c>
      <c r="K1178">
        <v>14</v>
      </c>
      <c r="L1178" s="13" t="s">
        <v>257</v>
      </c>
    </row>
    <row r="1179" spans="1:12" x14ac:dyDescent="0.25">
      <c r="A1179" t="s">
        <v>3854</v>
      </c>
      <c r="B1179" t="s">
        <v>197</v>
      </c>
      <c r="C1179" t="str">
        <f>_xlfn.XLOOKUP(Table7[[#This Row],[app_id]],Table5[app_id],Table5[app_name],"",0)</f>
        <v>TripGo</v>
      </c>
      <c r="D1179" t="s">
        <v>1206</v>
      </c>
      <c r="E1179" s="1">
        <v>45338</v>
      </c>
      <c r="F1179">
        <v>3</v>
      </c>
      <c r="G1179" t="s">
        <v>2697</v>
      </c>
      <c r="H1179" t="s">
        <v>2554</v>
      </c>
      <c r="I1179" t="s">
        <v>2575</v>
      </c>
      <c r="J1179" t="s">
        <v>2600</v>
      </c>
      <c r="K1179">
        <v>29</v>
      </c>
      <c r="L1179" s="13" t="s">
        <v>257</v>
      </c>
    </row>
    <row r="1180" spans="1:12" x14ac:dyDescent="0.25">
      <c r="A1180" t="s">
        <v>3855</v>
      </c>
      <c r="B1180" t="s">
        <v>199</v>
      </c>
      <c r="C1180" t="str">
        <f>_xlfn.XLOOKUP(Table7[[#This Row],[app_id]],Table5[app_id],Table5[app_name],"",0)</f>
        <v>Flyly</v>
      </c>
      <c r="D1180" t="s">
        <v>2066</v>
      </c>
      <c r="E1180" s="1">
        <v>46012</v>
      </c>
      <c r="F1180">
        <v>2</v>
      </c>
      <c r="G1180" t="s">
        <v>2693</v>
      </c>
      <c r="H1180" t="s">
        <v>2587</v>
      </c>
      <c r="I1180" t="s">
        <v>2555</v>
      </c>
      <c r="J1180" t="s">
        <v>2600</v>
      </c>
      <c r="K1180">
        <v>57</v>
      </c>
      <c r="L1180" s="13" t="s">
        <v>257</v>
      </c>
    </row>
    <row r="1181" spans="1:12" x14ac:dyDescent="0.25">
      <c r="A1181" t="s">
        <v>3856</v>
      </c>
      <c r="B1181" t="s">
        <v>201</v>
      </c>
      <c r="C1181" t="str">
        <f>_xlfn.XLOOKUP(Table7[[#This Row],[app_id]],Table5[app_id],Table5[app_name],"",0)</f>
        <v>TripPro</v>
      </c>
      <c r="D1181" t="s">
        <v>905</v>
      </c>
      <c r="E1181" s="1">
        <v>45746</v>
      </c>
      <c r="F1181">
        <v>4</v>
      </c>
      <c r="G1181" t="s">
        <v>2687</v>
      </c>
      <c r="H1181" t="s">
        <v>2564</v>
      </c>
      <c r="I1181" t="s">
        <v>2558</v>
      </c>
      <c r="J1181" t="s">
        <v>2556</v>
      </c>
      <c r="K1181">
        <v>32</v>
      </c>
      <c r="L1181" s="13" t="s">
        <v>258</v>
      </c>
    </row>
    <row r="1182" spans="1:12" x14ac:dyDescent="0.25">
      <c r="A1182" t="s">
        <v>3857</v>
      </c>
      <c r="B1182" t="s">
        <v>203</v>
      </c>
      <c r="C1182" t="str">
        <f>_xlfn.XLOOKUP(Table7[[#This Row],[app_id]],Table5[app_id],Table5[app_name],"",0)</f>
        <v>Focusly</v>
      </c>
      <c r="D1182" t="s">
        <v>2301</v>
      </c>
      <c r="E1182" s="1">
        <v>45370</v>
      </c>
      <c r="F1182">
        <v>4</v>
      </c>
      <c r="G1182" t="s">
        <v>2703</v>
      </c>
      <c r="H1182" t="s">
        <v>2564</v>
      </c>
      <c r="I1182" t="s">
        <v>2575</v>
      </c>
      <c r="J1182" t="s">
        <v>2600</v>
      </c>
      <c r="K1182">
        <v>48</v>
      </c>
      <c r="L1182" s="13" t="s">
        <v>258</v>
      </c>
    </row>
    <row r="1183" spans="1:12" x14ac:dyDescent="0.25">
      <c r="A1183" t="s">
        <v>3858</v>
      </c>
      <c r="B1183" t="s">
        <v>206</v>
      </c>
      <c r="C1183" t="str">
        <f>_xlfn.XLOOKUP(Table7[[#This Row],[app_id]],Table5[app_id],Table5[app_name],"",0)</f>
        <v>DeskX</v>
      </c>
      <c r="D1183" t="s">
        <v>565</v>
      </c>
      <c r="E1183" s="1">
        <v>46048</v>
      </c>
      <c r="F1183">
        <v>2</v>
      </c>
      <c r="G1183" t="s">
        <v>3859</v>
      </c>
      <c r="H1183" t="s">
        <v>2587</v>
      </c>
      <c r="I1183" t="s">
        <v>2575</v>
      </c>
      <c r="J1183" t="s">
        <v>2556</v>
      </c>
      <c r="K1183">
        <v>93</v>
      </c>
      <c r="L1183" s="13" t="s">
        <v>258</v>
      </c>
    </row>
    <row r="1184" spans="1:12" x14ac:dyDescent="0.25">
      <c r="A1184" t="s">
        <v>3860</v>
      </c>
      <c r="B1184" t="s">
        <v>208</v>
      </c>
      <c r="C1184" t="str">
        <f>_xlfn.XLOOKUP(Table7[[#This Row],[app_id]],Table5[app_id],Table5[app_name],"",0)</f>
        <v>DonePro</v>
      </c>
      <c r="D1184" t="s">
        <v>1199</v>
      </c>
      <c r="E1184" s="1">
        <v>45494</v>
      </c>
      <c r="F1184">
        <v>5</v>
      </c>
      <c r="G1184" t="s">
        <v>2703</v>
      </c>
      <c r="H1184" t="s">
        <v>2564</v>
      </c>
      <c r="I1184" t="s">
        <v>2558</v>
      </c>
      <c r="J1184" t="s">
        <v>2600</v>
      </c>
      <c r="K1184">
        <v>7</v>
      </c>
      <c r="L1184" s="13" t="s">
        <v>257</v>
      </c>
    </row>
    <row r="1185" spans="1:12" x14ac:dyDescent="0.25">
      <c r="A1185" t="s">
        <v>3861</v>
      </c>
      <c r="B1185" t="s">
        <v>210</v>
      </c>
      <c r="C1185" t="str">
        <f>_xlfn.XLOOKUP(Table7[[#This Row],[app_id]],Table5[app_id],Table5[app_name],"",0)</f>
        <v>NotePlus</v>
      </c>
      <c r="D1185" t="s">
        <v>973</v>
      </c>
      <c r="E1185" s="1">
        <v>45716</v>
      </c>
      <c r="F1185">
        <v>4</v>
      </c>
      <c r="G1185" t="s">
        <v>2708</v>
      </c>
      <c r="H1185" t="s">
        <v>2564</v>
      </c>
      <c r="I1185" t="s">
        <v>2575</v>
      </c>
      <c r="J1185" t="s">
        <v>2559</v>
      </c>
      <c r="K1185">
        <v>35</v>
      </c>
      <c r="L1185" s="13" t="s">
        <v>257</v>
      </c>
    </row>
    <row r="1186" spans="1:12" x14ac:dyDescent="0.25">
      <c r="A1186" t="s">
        <v>3862</v>
      </c>
      <c r="B1186" t="s">
        <v>212</v>
      </c>
      <c r="C1186" t="str">
        <f>_xlfn.XLOOKUP(Table7[[#This Row],[app_id]],Table5[app_id],Table5[app_name],"",0)</f>
        <v>SyncPlus</v>
      </c>
      <c r="D1186" t="s">
        <v>641</v>
      </c>
      <c r="E1186" s="1">
        <v>45939</v>
      </c>
      <c r="F1186">
        <v>3</v>
      </c>
      <c r="G1186" t="s">
        <v>3254</v>
      </c>
      <c r="H1186" t="s">
        <v>2554</v>
      </c>
      <c r="I1186" t="s">
        <v>2588</v>
      </c>
      <c r="J1186" t="s">
        <v>2561</v>
      </c>
      <c r="K1186">
        <v>3</v>
      </c>
      <c r="L1186" s="13" t="s">
        <v>258</v>
      </c>
    </row>
    <row r="1187" spans="1:12" x14ac:dyDescent="0.25">
      <c r="A1187" t="s">
        <v>3863</v>
      </c>
      <c r="B1187" t="s">
        <v>214</v>
      </c>
      <c r="C1187" t="str">
        <f>_xlfn.XLOOKUP(Table7[[#This Row],[app_id]],Table5[app_id],Table5[app_name],"",0)</f>
        <v>NoteOne</v>
      </c>
      <c r="D1187" t="s">
        <v>2266</v>
      </c>
      <c r="E1187" s="1">
        <v>45356</v>
      </c>
      <c r="F1187">
        <v>5</v>
      </c>
      <c r="G1187" t="s">
        <v>2700</v>
      </c>
      <c r="H1187" t="s">
        <v>2564</v>
      </c>
      <c r="I1187" t="s">
        <v>2575</v>
      </c>
      <c r="J1187" t="s">
        <v>2559</v>
      </c>
      <c r="K1187">
        <v>38</v>
      </c>
      <c r="L1187" s="13" t="s">
        <v>257</v>
      </c>
    </row>
    <row r="1188" spans="1:12" x14ac:dyDescent="0.25">
      <c r="A1188" t="s">
        <v>3864</v>
      </c>
      <c r="B1188" t="s">
        <v>216</v>
      </c>
      <c r="C1188" t="str">
        <f>_xlfn.XLOOKUP(Table7[[#This Row],[app_id]],Table5[app_id],Table5[app_name],"",0)</f>
        <v>NoteMate</v>
      </c>
      <c r="D1188" t="s">
        <v>1177</v>
      </c>
      <c r="E1188" s="1">
        <v>45509</v>
      </c>
      <c r="F1188">
        <v>2</v>
      </c>
      <c r="G1188" t="s">
        <v>3859</v>
      </c>
      <c r="H1188" t="s">
        <v>2587</v>
      </c>
      <c r="I1188" t="s">
        <v>2578</v>
      </c>
      <c r="J1188" t="s">
        <v>2581</v>
      </c>
      <c r="K1188">
        <v>87</v>
      </c>
      <c r="L1188" s="13" t="s">
        <v>257</v>
      </c>
    </row>
    <row r="1189" spans="1:12" x14ac:dyDescent="0.25">
      <c r="A1189" t="s">
        <v>3865</v>
      </c>
      <c r="B1189" t="s">
        <v>218</v>
      </c>
      <c r="C1189" t="str">
        <f>_xlfn.XLOOKUP(Table7[[#This Row],[app_id]],Table5[app_id],Table5[app_name],"",0)</f>
        <v>PlanPlus</v>
      </c>
      <c r="D1189" t="s">
        <v>558</v>
      </c>
      <c r="E1189" s="1">
        <v>45492</v>
      </c>
      <c r="F1189">
        <v>4</v>
      </c>
      <c r="G1189" t="s">
        <v>2708</v>
      </c>
      <c r="H1189" t="s">
        <v>2564</v>
      </c>
      <c r="I1189" t="s">
        <v>2565</v>
      </c>
      <c r="J1189" t="s">
        <v>2633</v>
      </c>
      <c r="K1189">
        <v>28</v>
      </c>
      <c r="L1189" s="13" t="s">
        <v>258</v>
      </c>
    </row>
    <row r="1190" spans="1:12" x14ac:dyDescent="0.25">
      <c r="A1190" t="s">
        <v>3866</v>
      </c>
      <c r="B1190" t="s">
        <v>220</v>
      </c>
      <c r="C1190" t="str">
        <f>_xlfn.XLOOKUP(Table7[[#This Row],[app_id]],Table5[app_id],Table5[app_name],"",0)</f>
        <v>PlanMate</v>
      </c>
      <c r="D1190" t="s">
        <v>647</v>
      </c>
      <c r="E1190" s="1">
        <v>46139</v>
      </c>
      <c r="F1190">
        <v>4</v>
      </c>
      <c r="G1190" t="s">
        <v>2703</v>
      </c>
      <c r="H1190" t="s">
        <v>2564</v>
      </c>
      <c r="I1190" t="s">
        <v>2575</v>
      </c>
      <c r="J1190" t="s">
        <v>2596</v>
      </c>
      <c r="K1190">
        <v>37</v>
      </c>
      <c r="L1190" s="13" t="s">
        <v>257</v>
      </c>
    </row>
    <row r="1191" spans="1:12" x14ac:dyDescent="0.25">
      <c r="A1191" t="s">
        <v>3867</v>
      </c>
      <c r="B1191" t="s">
        <v>222</v>
      </c>
      <c r="C1191" t="str">
        <f>_xlfn.XLOOKUP(Table7[[#This Row],[app_id]],Table5[app_id],Table5[app_name],"",0)</f>
        <v>SyncPlus</v>
      </c>
      <c r="D1191" t="s">
        <v>571</v>
      </c>
      <c r="E1191" s="1">
        <v>45338</v>
      </c>
      <c r="F1191">
        <v>4</v>
      </c>
      <c r="G1191" t="s">
        <v>2708</v>
      </c>
      <c r="H1191" t="s">
        <v>2564</v>
      </c>
      <c r="I1191" t="s">
        <v>2558</v>
      </c>
      <c r="J1191" t="s">
        <v>2561</v>
      </c>
      <c r="K1191">
        <v>38</v>
      </c>
      <c r="L1191" s="13" t="s">
        <v>258</v>
      </c>
    </row>
    <row r="1192" spans="1:12" x14ac:dyDescent="0.25">
      <c r="A1192" t="s">
        <v>3868</v>
      </c>
      <c r="B1192" t="s">
        <v>223</v>
      </c>
      <c r="C1192" t="str">
        <f>_xlfn.XLOOKUP(Table7[[#This Row],[app_id]],Table5[app_id],Table5[app_name],"",0)</f>
        <v>ClinicPro</v>
      </c>
      <c r="D1192" t="s">
        <v>807</v>
      </c>
      <c r="E1192" s="1">
        <v>45720</v>
      </c>
      <c r="F1192">
        <v>3</v>
      </c>
      <c r="G1192" t="s">
        <v>2718</v>
      </c>
      <c r="H1192" t="s">
        <v>2554</v>
      </c>
      <c r="I1192" t="s">
        <v>2571</v>
      </c>
      <c r="J1192" t="s">
        <v>2603</v>
      </c>
      <c r="K1192">
        <v>23</v>
      </c>
      <c r="L1192" s="13" t="s">
        <v>257</v>
      </c>
    </row>
    <row r="1193" spans="1:12" x14ac:dyDescent="0.25">
      <c r="A1193" t="s">
        <v>3869</v>
      </c>
      <c r="B1193" t="s">
        <v>226</v>
      </c>
      <c r="C1193" t="str">
        <f>_xlfn.XLOOKUP(Table7[[#This Row],[app_id]],Table5[app_id],Table5[app_name],"",0)</f>
        <v>MindMate</v>
      </c>
      <c r="D1193" t="s">
        <v>2255</v>
      </c>
      <c r="E1193" s="1">
        <v>45830</v>
      </c>
      <c r="F1193">
        <v>3</v>
      </c>
      <c r="G1193" t="s">
        <v>2846</v>
      </c>
      <c r="H1193" t="s">
        <v>2554</v>
      </c>
      <c r="I1193" t="s">
        <v>2584</v>
      </c>
      <c r="J1193" t="s">
        <v>2559</v>
      </c>
      <c r="K1193">
        <v>16</v>
      </c>
      <c r="L1193" s="13" t="s">
        <v>257</v>
      </c>
    </row>
    <row r="1194" spans="1:12" x14ac:dyDescent="0.25">
      <c r="A1194" t="s">
        <v>3870</v>
      </c>
      <c r="B1194" t="s">
        <v>228</v>
      </c>
      <c r="C1194" t="str">
        <f>_xlfn.XLOOKUP(Table7[[#This Row],[app_id]],Table5[app_id],Table5[app_name],"",0)</f>
        <v>ClinicOne</v>
      </c>
      <c r="D1194" t="s">
        <v>1954</v>
      </c>
      <c r="E1194" s="1">
        <v>45376</v>
      </c>
      <c r="F1194">
        <v>5</v>
      </c>
      <c r="G1194" t="s">
        <v>2722</v>
      </c>
      <c r="H1194" t="s">
        <v>2564</v>
      </c>
      <c r="I1194" t="s">
        <v>2565</v>
      </c>
      <c r="J1194" t="s">
        <v>2559</v>
      </c>
      <c r="K1194">
        <v>18</v>
      </c>
      <c r="L1194" s="13" t="s">
        <v>258</v>
      </c>
    </row>
    <row r="1195" spans="1:12" x14ac:dyDescent="0.25">
      <c r="A1195" t="s">
        <v>3871</v>
      </c>
      <c r="B1195" t="s">
        <v>230</v>
      </c>
      <c r="C1195" t="str">
        <f>_xlfn.XLOOKUP(Table7[[#This Row],[app_id]],Table5[app_id],Table5[app_name],"",0)</f>
        <v>WellMate</v>
      </c>
      <c r="D1195" t="s">
        <v>1409</v>
      </c>
      <c r="E1195" s="1">
        <v>45852</v>
      </c>
      <c r="F1195">
        <v>3</v>
      </c>
      <c r="G1195" t="s">
        <v>2720</v>
      </c>
      <c r="H1195" t="s">
        <v>2554</v>
      </c>
      <c r="I1195" t="s">
        <v>2578</v>
      </c>
      <c r="J1195" t="s">
        <v>2600</v>
      </c>
      <c r="K1195">
        <v>46</v>
      </c>
      <c r="L1195" s="13" t="s">
        <v>257</v>
      </c>
    </row>
    <row r="1196" spans="1:12" x14ac:dyDescent="0.25">
      <c r="A1196" t="s">
        <v>3872</v>
      </c>
      <c r="B1196" t="s">
        <v>232</v>
      </c>
      <c r="C1196" t="str">
        <f>_xlfn.XLOOKUP(Table7[[#This Row],[app_id]],Table5[app_id],Table5[app_name],"",0)</f>
        <v>MediMate</v>
      </c>
      <c r="D1196" t="s">
        <v>1550</v>
      </c>
      <c r="E1196" s="1">
        <v>45696</v>
      </c>
      <c r="F1196">
        <v>4</v>
      </c>
      <c r="G1196" t="s">
        <v>2716</v>
      </c>
      <c r="H1196" t="s">
        <v>2564</v>
      </c>
      <c r="I1196" t="s">
        <v>2575</v>
      </c>
      <c r="J1196" t="s">
        <v>2596</v>
      </c>
      <c r="K1196">
        <v>8</v>
      </c>
      <c r="L1196" s="13" t="s">
        <v>257</v>
      </c>
    </row>
    <row r="1197" spans="1:12" x14ac:dyDescent="0.25">
      <c r="A1197" t="s">
        <v>3873</v>
      </c>
      <c r="B1197" t="s">
        <v>234</v>
      </c>
      <c r="C1197" t="str">
        <f>_xlfn.XLOOKUP(Table7[[#This Row],[app_id]],Table5[app_id],Table5[app_name],"",0)</f>
        <v>WellNow</v>
      </c>
      <c r="D1197" t="s">
        <v>2314</v>
      </c>
      <c r="E1197" s="1">
        <v>46117</v>
      </c>
      <c r="F1197">
        <v>5</v>
      </c>
      <c r="G1197" t="s">
        <v>2728</v>
      </c>
      <c r="H1197" t="s">
        <v>2564</v>
      </c>
      <c r="I1197" t="s">
        <v>2571</v>
      </c>
      <c r="J1197" t="s">
        <v>2569</v>
      </c>
      <c r="K1197">
        <v>13</v>
      </c>
      <c r="L1197" s="13" t="s">
        <v>257</v>
      </c>
    </row>
    <row r="1198" spans="1:12" x14ac:dyDescent="0.25">
      <c r="A1198" t="s">
        <v>3874</v>
      </c>
      <c r="B1198" t="s">
        <v>236</v>
      </c>
      <c r="C1198" t="str">
        <f>_xlfn.XLOOKUP(Table7[[#This Row],[app_id]],Table5[app_id],Table5[app_name],"",0)</f>
        <v>CareCloud</v>
      </c>
      <c r="D1198" t="s">
        <v>850</v>
      </c>
      <c r="E1198" s="1">
        <v>45509</v>
      </c>
      <c r="F1198">
        <v>2</v>
      </c>
      <c r="G1198" t="s">
        <v>3875</v>
      </c>
      <c r="H1198" t="s">
        <v>2587</v>
      </c>
      <c r="I1198" t="s">
        <v>2571</v>
      </c>
      <c r="J1198" t="s">
        <v>2596</v>
      </c>
      <c r="K1198">
        <v>75</v>
      </c>
      <c r="L1198" s="13" t="s">
        <v>257</v>
      </c>
    </row>
    <row r="1199" spans="1:12" x14ac:dyDescent="0.25">
      <c r="A1199" t="s">
        <v>3876</v>
      </c>
      <c r="B1199" t="s">
        <v>238</v>
      </c>
      <c r="C1199" t="str">
        <f>_xlfn.XLOOKUP(Table7[[#This Row],[app_id]],Table5[app_id],Table5[app_name],"",0)</f>
        <v>MediNow</v>
      </c>
      <c r="D1199" t="s">
        <v>2354</v>
      </c>
      <c r="E1199" s="1">
        <v>45389</v>
      </c>
      <c r="F1199">
        <v>4</v>
      </c>
      <c r="G1199" t="s">
        <v>2722</v>
      </c>
      <c r="H1199" t="s">
        <v>2564</v>
      </c>
      <c r="I1199" t="s">
        <v>2555</v>
      </c>
      <c r="J1199" t="s">
        <v>2566</v>
      </c>
      <c r="K1199">
        <v>20</v>
      </c>
      <c r="L1199" s="13" t="s">
        <v>257</v>
      </c>
    </row>
    <row r="1200" spans="1:12" x14ac:dyDescent="0.25">
      <c r="A1200" t="s">
        <v>3877</v>
      </c>
      <c r="B1200" t="s">
        <v>240</v>
      </c>
      <c r="C1200" t="str">
        <f>_xlfn.XLOOKUP(Table7[[#This Row],[app_id]],Table5[app_id],Table5[app_name],"",0)</f>
        <v>MindPlus</v>
      </c>
      <c r="D1200" t="s">
        <v>1525</v>
      </c>
      <c r="E1200" s="1">
        <v>45763</v>
      </c>
      <c r="F1200">
        <v>2</v>
      </c>
      <c r="G1200" t="s">
        <v>3057</v>
      </c>
      <c r="H1200" t="s">
        <v>2587</v>
      </c>
      <c r="I1200" t="s">
        <v>2584</v>
      </c>
      <c r="J1200" t="s">
        <v>2569</v>
      </c>
      <c r="K1200">
        <v>96</v>
      </c>
      <c r="L1200" s="13" t="s">
        <v>258</v>
      </c>
    </row>
    <row r="1201" spans="1:12" x14ac:dyDescent="0.25">
      <c r="A1201" t="s">
        <v>3878</v>
      </c>
      <c r="B1201" t="s">
        <v>242</v>
      </c>
      <c r="C1201" t="str">
        <f>_xlfn.XLOOKUP(Table7[[#This Row],[app_id]],Table5[app_id],Table5[app_name],"",0)</f>
        <v>MediCloud</v>
      </c>
      <c r="D1201" t="s">
        <v>643</v>
      </c>
      <c r="E1201" s="1">
        <v>46070</v>
      </c>
      <c r="F1201">
        <v>5</v>
      </c>
      <c r="G1201" t="s">
        <v>2716</v>
      </c>
      <c r="H1201" t="s">
        <v>2564</v>
      </c>
      <c r="I1201" t="s">
        <v>2575</v>
      </c>
      <c r="J1201" t="s">
        <v>2633</v>
      </c>
      <c r="K1201">
        <v>44</v>
      </c>
      <c r="L1201" s="13" t="s">
        <v>257</v>
      </c>
    </row>
    <row r="1202" spans="1:12" x14ac:dyDescent="0.25">
      <c r="A1202" t="s">
        <v>3879</v>
      </c>
      <c r="B1202" t="s">
        <v>12</v>
      </c>
      <c r="C1202" t="str">
        <f>_xlfn.XLOOKUP(Table7[[#This Row],[app_id]],Table5[app_id],Table5[app_name],"",0)</f>
        <v>InvestPro</v>
      </c>
      <c r="D1202" t="s">
        <v>2284</v>
      </c>
      <c r="E1202" s="1">
        <v>45755</v>
      </c>
      <c r="F1202">
        <v>2</v>
      </c>
      <c r="G1202" t="s">
        <v>3486</v>
      </c>
      <c r="H1202" t="s">
        <v>2587</v>
      </c>
      <c r="I1202" t="s">
        <v>2584</v>
      </c>
      <c r="J1202" t="s">
        <v>2561</v>
      </c>
      <c r="K1202">
        <v>56</v>
      </c>
      <c r="L1202" s="13" t="s">
        <v>257</v>
      </c>
    </row>
    <row r="1203" spans="1:12" x14ac:dyDescent="0.25">
      <c r="A1203" t="s">
        <v>3880</v>
      </c>
      <c r="B1203" t="s">
        <v>19</v>
      </c>
      <c r="C1203" t="str">
        <f>_xlfn.XLOOKUP(Table7[[#This Row],[app_id]],Table5[app_id],Table5[app_name],"",0)</f>
        <v>BankPro</v>
      </c>
      <c r="D1203" t="s">
        <v>645</v>
      </c>
      <c r="E1203" s="1">
        <v>45320</v>
      </c>
      <c r="F1203">
        <v>3</v>
      </c>
      <c r="G1203" t="s">
        <v>2735</v>
      </c>
      <c r="H1203" t="s">
        <v>2554</v>
      </c>
      <c r="I1203" t="s">
        <v>2555</v>
      </c>
      <c r="J1203" t="s">
        <v>2581</v>
      </c>
      <c r="K1203">
        <v>25</v>
      </c>
      <c r="L1203" s="13" t="s">
        <v>257</v>
      </c>
    </row>
    <row r="1204" spans="1:12" x14ac:dyDescent="0.25">
      <c r="A1204" t="s">
        <v>3881</v>
      </c>
      <c r="B1204" t="s">
        <v>24</v>
      </c>
      <c r="C1204" t="str">
        <f>_xlfn.XLOOKUP(Table7[[#This Row],[app_id]],Table5[app_id],Table5[app_name],"",0)</f>
        <v>BankX</v>
      </c>
      <c r="D1204" t="s">
        <v>1505</v>
      </c>
      <c r="E1204" s="1">
        <v>45305</v>
      </c>
      <c r="F1204">
        <v>3</v>
      </c>
      <c r="G1204" t="s">
        <v>2968</v>
      </c>
      <c r="H1204" t="s">
        <v>2554</v>
      </c>
      <c r="I1204" t="s">
        <v>2575</v>
      </c>
      <c r="J1204" t="s">
        <v>2566</v>
      </c>
      <c r="K1204">
        <v>33</v>
      </c>
      <c r="L1204" s="13" t="s">
        <v>258</v>
      </c>
    </row>
    <row r="1205" spans="1:12" x14ac:dyDescent="0.25">
      <c r="A1205" t="s">
        <v>3882</v>
      </c>
      <c r="B1205" t="s">
        <v>27</v>
      </c>
      <c r="C1205" t="str">
        <f>_xlfn.XLOOKUP(Table7[[#This Row],[app_id]],Table5[app_id],Table5[app_name],"",0)</f>
        <v>BankNow</v>
      </c>
      <c r="D1205" t="s">
        <v>806</v>
      </c>
      <c r="E1205" s="1">
        <v>45741</v>
      </c>
      <c r="F1205">
        <v>3</v>
      </c>
      <c r="G1205" t="s">
        <v>2968</v>
      </c>
      <c r="H1205" t="s">
        <v>2554</v>
      </c>
      <c r="I1205" t="s">
        <v>2584</v>
      </c>
      <c r="J1205" t="s">
        <v>2556</v>
      </c>
      <c r="K1205">
        <v>47</v>
      </c>
      <c r="L1205" s="13" t="s">
        <v>258</v>
      </c>
    </row>
    <row r="1206" spans="1:12" x14ac:dyDescent="0.25">
      <c r="A1206" t="s">
        <v>3883</v>
      </c>
      <c r="B1206" t="s">
        <v>31</v>
      </c>
      <c r="C1206" t="str">
        <f>_xlfn.XLOOKUP(Table7[[#This Row],[app_id]],Table5[app_id],Table5[app_name],"",0)</f>
        <v>CreditHub</v>
      </c>
      <c r="D1206" t="s">
        <v>1857</v>
      </c>
      <c r="E1206" s="1">
        <v>46089</v>
      </c>
      <c r="F1206">
        <v>4</v>
      </c>
      <c r="G1206" t="s">
        <v>2580</v>
      </c>
      <c r="H1206" t="s">
        <v>2564</v>
      </c>
      <c r="I1206" t="s">
        <v>2555</v>
      </c>
      <c r="J1206" t="s">
        <v>2561</v>
      </c>
      <c r="K1206">
        <v>3</v>
      </c>
      <c r="L1206" s="13" t="s">
        <v>257</v>
      </c>
    </row>
    <row r="1207" spans="1:12" x14ac:dyDescent="0.25">
      <c r="A1207" t="s">
        <v>3884</v>
      </c>
      <c r="B1207" t="s">
        <v>36</v>
      </c>
      <c r="C1207" t="str">
        <f>_xlfn.XLOOKUP(Table7[[#This Row],[app_id]],Table5[app_id],Table5[app_name],"",0)</f>
        <v>PayPlus</v>
      </c>
      <c r="D1207" t="s">
        <v>1173</v>
      </c>
      <c r="E1207" s="1">
        <v>45650</v>
      </c>
      <c r="F1207">
        <v>3</v>
      </c>
      <c r="G1207" t="s">
        <v>2735</v>
      </c>
      <c r="H1207" t="s">
        <v>2554</v>
      </c>
      <c r="I1207" t="s">
        <v>2584</v>
      </c>
      <c r="J1207" t="s">
        <v>2569</v>
      </c>
      <c r="K1207">
        <v>40</v>
      </c>
      <c r="L1207" s="13" t="s">
        <v>258</v>
      </c>
    </row>
    <row r="1208" spans="1:12" x14ac:dyDescent="0.25">
      <c r="A1208" t="s">
        <v>3885</v>
      </c>
      <c r="B1208" t="s">
        <v>39</v>
      </c>
      <c r="C1208" t="str">
        <f>_xlfn.XLOOKUP(Table7[[#This Row],[app_id]],Table5[app_id],Table5[app_name],"",0)</f>
        <v>BankPlus</v>
      </c>
      <c r="D1208" t="s">
        <v>924</v>
      </c>
      <c r="E1208" s="1">
        <v>45312</v>
      </c>
      <c r="F1208">
        <v>5</v>
      </c>
      <c r="G1208" t="s">
        <v>2580</v>
      </c>
      <c r="H1208" t="s">
        <v>2564</v>
      </c>
      <c r="I1208" t="s">
        <v>2565</v>
      </c>
      <c r="J1208" t="s">
        <v>2556</v>
      </c>
      <c r="K1208">
        <v>30</v>
      </c>
      <c r="L1208" s="13" t="s">
        <v>258</v>
      </c>
    </row>
    <row r="1209" spans="1:12" x14ac:dyDescent="0.25">
      <c r="A1209" t="s">
        <v>3886</v>
      </c>
      <c r="B1209" t="s">
        <v>42</v>
      </c>
      <c r="C1209" t="str">
        <f>_xlfn.XLOOKUP(Table7[[#This Row],[app_id]],Table5[app_id],Table5[app_name],"",0)</f>
        <v>CoinPlus</v>
      </c>
      <c r="D1209" t="s">
        <v>2022</v>
      </c>
      <c r="E1209" s="1">
        <v>45512</v>
      </c>
      <c r="F1209">
        <v>4</v>
      </c>
      <c r="G1209" t="s">
        <v>2568</v>
      </c>
      <c r="H1209" t="s">
        <v>2564</v>
      </c>
      <c r="I1209" t="s">
        <v>2565</v>
      </c>
      <c r="J1209" t="s">
        <v>2566</v>
      </c>
      <c r="K1209">
        <v>16</v>
      </c>
      <c r="L1209" s="13" t="s">
        <v>257</v>
      </c>
    </row>
    <row r="1210" spans="1:12" x14ac:dyDescent="0.25">
      <c r="A1210" t="s">
        <v>3887</v>
      </c>
      <c r="B1210" t="s">
        <v>47</v>
      </c>
      <c r="C1210" t="str">
        <f>_xlfn.XLOOKUP(Table7[[#This Row],[app_id]],Table5[app_id],Table5[app_name],"",0)</f>
        <v>CreditOne</v>
      </c>
      <c r="D1210" t="s">
        <v>1829</v>
      </c>
      <c r="E1210" s="1">
        <v>45541</v>
      </c>
      <c r="F1210">
        <v>4</v>
      </c>
      <c r="G1210" t="s">
        <v>2563</v>
      </c>
      <c r="H1210" t="s">
        <v>2564</v>
      </c>
      <c r="I1210" t="s">
        <v>2558</v>
      </c>
      <c r="J1210" t="s">
        <v>2569</v>
      </c>
      <c r="K1210">
        <v>16</v>
      </c>
      <c r="L1210" s="13" t="s">
        <v>257</v>
      </c>
    </row>
    <row r="1211" spans="1:12" x14ac:dyDescent="0.25">
      <c r="A1211" t="s">
        <v>3888</v>
      </c>
      <c r="B1211" t="s">
        <v>49</v>
      </c>
      <c r="C1211" t="str">
        <f>_xlfn.XLOOKUP(Table7[[#This Row],[app_id]],Table5[app_id],Table5[app_name],"",0)</f>
        <v>PayPro</v>
      </c>
      <c r="D1211" t="s">
        <v>2485</v>
      </c>
      <c r="E1211" s="1">
        <v>45865</v>
      </c>
      <c r="F1211">
        <v>4</v>
      </c>
      <c r="G1211" t="s">
        <v>2580</v>
      </c>
      <c r="H1211" t="s">
        <v>2564</v>
      </c>
      <c r="I1211" t="s">
        <v>2555</v>
      </c>
      <c r="J1211" t="s">
        <v>2569</v>
      </c>
      <c r="K1211">
        <v>6</v>
      </c>
      <c r="L1211" s="13" t="s">
        <v>257</v>
      </c>
    </row>
    <row r="1212" spans="1:12" x14ac:dyDescent="0.25">
      <c r="A1212" t="s">
        <v>3889</v>
      </c>
      <c r="B1212" t="s">
        <v>51</v>
      </c>
      <c r="C1212" t="str">
        <f>_xlfn.XLOOKUP(Table7[[#This Row],[app_id]],Table5[app_id],Table5[app_name],"",0)</f>
        <v>Creditly</v>
      </c>
      <c r="D1212" t="s">
        <v>1866</v>
      </c>
      <c r="E1212" s="1">
        <v>45831</v>
      </c>
      <c r="F1212">
        <v>5</v>
      </c>
      <c r="G1212" t="s">
        <v>2563</v>
      </c>
      <c r="H1212" t="s">
        <v>2564</v>
      </c>
      <c r="I1212" t="s">
        <v>2555</v>
      </c>
      <c r="J1212" t="s">
        <v>2581</v>
      </c>
      <c r="K1212">
        <v>47</v>
      </c>
      <c r="L1212" s="13" t="s">
        <v>257</v>
      </c>
    </row>
    <row r="1213" spans="1:12" x14ac:dyDescent="0.25">
      <c r="A1213" t="s">
        <v>3890</v>
      </c>
      <c r="B1213" t="s">
        <v>53</v>
      </c>
      <c r="C1213" t="str">
        <f>_xlfn.XLOOKUP(Table7[[#This Row],[app_id]],Table5[app_id],Table5[app_name],"",0)</f>
        <v>PayX</v>
      </c>
      <c r="D1213" t="s">
        <v>1169</v>
      </c>
      <c r="E1213" s="1">
        <v>46099</v>
      </c>
      <c r="F1213">
        <v>2</v>
      </c>
      <c r="G1213" t="s">
        <v>3486</v>
      </c>
      <c r="H1213" t="s">
        <v>2587</v>
      </c>
      <c r="I1213" t="s">
        <v>2584</v>
      </c>
      <c r="J1213" t="s">
        <v>2600</v>
      </c>
      <c r="K1213">
        <v>19</v>
      </c>
      <c r="L1213" s="13" t="s">
        <v>258</v>
      </c>
    </row>
    <row r="1214" spans="1:12" x14ac:dyDescent="0.25">
      <c r="A1214" t="s">
        <v>3891</v>
      </c>
      <c r="B1214" t="s">
        <v>56</v>
      </c>
      <c r="C1214" t="str">
        <f>_xlfn.XLOOKUP(Table7[[#This Row],[app_id]],Table5[app_id],Table5[app_name],"",0)</f>
        <v>DealGo</v>
      </c>
      <c r="D1214" t="s">
        <v>1116</v>
      </c>
      <c r="E1214" s="1">
        <v>45602</v>
      </c>
      <c r="F1214">
        <v>4</v>
      </c>
      <c r="G1214" t="s">
        <v>2598</v>
      </c>
      <c r="H1214" t="s">
        <v>2564</v>
      </c>
      <c r="I1214" t="s">
        <v>2575</v>
      </c>
      <c r="J1214" t="s">
        <v>2569</v>
      </c>
      <c r="K1214">
        <v>3</v>
      </c>
      <c r="L1214" s="13" t="s">
        <v>257</v>
      </c>
    </row>
    <row r="1215" spans="1:12" x14ac:dyDescent="0.25">
      <c r="A1215" t="s">
        <v>3892</v>
      </c>
      <c r="B1215" t="s">
        <v>62</v>
      </c>
      <c r="C1215" t="str">
        <f>_xlfn.XLOOKUP(Table7[[#This Row],[app_id]],Table5[app_id],Table5[app_name],"",0)</f>
        <v>MallNow</v>
      </c>
      <c r="D1215" t="s">
        <v>786</v>
      </c>
      <c r="E1215" s="1">
        <v>45784</v>
      </c>
      <c r="F1215">
        <v>3</v>
      </c>
      <c r="G1215" t="s">
        <v>2609</v>
      </c>
      <c r="H1215" t="s">
        <v>2554</v>
      </c>
      <c r="I1215" t="s">
        <v>2555</v>
      </c>
      <c r="J1215" t="s">
        <v>2596</v>
      </c>
      <c r="K1215">
        <v>17</v>
      </c>
      <c r="L1215" s="13" t="s">
        <v>258</v>
      </c>
    </row>
    <row r="1216" spans="1:12" x14ac:dyDescent="0.25">
      <c r="A1216" t="s">
        <v>3893</v>
      </c>
      <c r="B1216" t="s">
        <v>65</v>
      </c>
      <c r="C1216" t="str">
        <f>_xlfn.XLOOKUP(Table7[[#This Row],[app_id]],Table5[app_id],Table5[app_name],"",0)</f>
        <v>DealPro</v>
      </c>
      <c r="D1216" t="s">
        <v>1076</v>
      </c>
      <c r="E1216" s="1">
        <v>45968</v>
      </c>
      <c r="F1216">
        <v>4</v>
      </c>
      <c r="G1216" t="s">
        <v>2592</v>
      </c>
      <c r="H1216" t="s">
        <v>2564</v>
      </c>
      <c r="I1216" t="s">
        <v>2565</v>
      </c>
      <c r="J1216" t="s">
        <v>2569</v>
      </c>
      <c r="K1216">
        <v>27</v>
      </c>
      <c r="L1216" s="13" t="s">
        <v>257</v>
      </c>
    </row>
    <row r="1217" spans="1:12" x14ac:dyDescent="0.25">
      <c r="A1217" t="s">
        <v>3894</v>
      </c>
      <c r="B1217" t="s">
        <v>67</v>
      </c>
      <c r="C1217" t="str">
        <f>_xlfn.XLOOKUP(Table7[[#This Row],[app_id]],Table5[app_id],Table5[app_name],"",0)</f>
        <v>StyleNow</v>
      </c>
      <c r="D1217" t="s">
        <v>778</v>
      </c>
      <c r="E1217" s="1">
        <v>45998</v>
      </c>
      <c r="F1217">
        <v>4</v>
      </c>
      <c r="G1217" t="s">
        <v>2590</v>
      </c>
      <c r="H1217" t="s">
        <v>2564</v>
      </c>
      <c r="I1217" t="s">
        <v>2575</v>
      </c>
      <c r="J1217" t="s">
        <v>2559</v>
      </c>
      <c r="K1217">
        <v>33</v>
      </c>
      <c r="L1217" s="13" t="s">
        <v>257</v>
      </c>
    </row>
    <row r="1218" spans="1:12" x14ac:dyDescent="0.25">
      <c r="A1218" t="s">
        <v>3895</v>
      </c>
      <c r="B1218" t="s">
        <v>70</v>
      </c>
      <c r="C1218" t="str">
        <f>_xlfn.XLOOKUP(Table7[[#This Row],[app_id]],Table5[app_id],Table5[app_name],"",0)</f>
        <v>DealCloud</v>
      </c>
      <c r="D1218" t="s">
        <v>1287</v>
      </c>
      <c r="E1218" s="1">
        <v>45965</v>
      </c>
      <c r="F1218">
        <v>5</v>
      </c>
      <c r="G1218" t="s">
        <v>2598</v>
      </c>
      <c r="H1218" t="s">
        <v>2564</v>
      </c>
      <c r="I1218" t="s">
        <v>2575</v>
      </c>
      <c r="J1218" t="s">
        <v>2581</v>
      </c>
      <c r="K1218">
        <v>34</v>
      </c>
      <c r="L1218" s="13" t="s">
        <v>258</v>
      </c>
    </row>
    <row r="1219" spans="1:12" x14ac:dyDescent="0.25">
      <c r="A1219" t="s">
        <v>3896</v>
      </c>
      <c r="B1219" t="s">
        <v>72</v>
      </c>
      <c r="C1219" t="str">
        <f>_xlfn.XLOOKUP(Table7[[#This Row],[app_id]],Table5[app_id],Table5[app_name],"",0)</f>
        <v>CartCloud</v>
      </c>
      <c r="D1219" t="s">
        <v>1938</v>
      </c>
      <c r="E1219" s="1">
        <v>45556</v>
      </c>
      <c r="F1219">
        <v>4</v>
      </c>
      <c r="G1219" t="s">
        <v>2592</v>
      </c>
      <c r="H1219" t="s">
        <v>2564</v>
      </c>
      <c r="I1219" t="s">
        <v>2555</v>
      </c>
      <c r="J1219" t="s">
        <v>2596</v>
      </c>
      <c r="K1219">
        <v>33</v>
      </c>
      <c r="L1219" s="13" t="s">
        <v>257</v>
      </c>
    </row>
    <row r="1220" spans="1:12" x14ac:dyDescent="0.25">
      <c r="A1220" t="s">
        <v>3897</v>
      </c>
      <c r="B1220" t="s">
        <v>74</v>
      </c>
      <c r="C1220" t="str">
        <f>_xlfn.XLOOKUP(Table7[[#This Row],[app_id]],Table5[app_id],Table5[app_name],"",0)</f>
        <v>CartMate</v>
      </c>
      <c r="D1220" t="s">
        <v>1954</v>
      </c>
      <c r="E1220" s="1">
        <v>45583</v>
      </c>
      <c r="F1220">
        <v>4</v>
      </c>
      <c r="G1220" t="s">
        <v>2867</v>
      </c>
      <c r="H1220" t="s">
        <v>2564</v>
      </c>
      <c r="I1220" t="s">
        <v>2555</v>
      </c>
      <c r="J1220" t="s">
        <v>2581</v>
      </c>
      <c r="K1220">
        <v>42</v>
      </c>
      <c r="L1220" s="13" t="s">
        <v>257</v>
      </c>
    </row>
    <row r="1221" spans="1:12" x14ac:dyDescent="0.25">
      <c r="A1221" t="s">
        <v>3898</v>
      </c>
      <c r="B1221" t="s">
        <v>76</v>
      </c>
      <c r="C1221" t="str">
        <f>_xlfn.XLOOKUP(Table7[[#This Row],[app_id]],Table5[app_id],Table5[app_name],"",0)</f>
        <v>BazaarOne</v>
      </c>
      <c r="D1221" t="s">
        <v>1038</v>
      </c>
      <c r="E1221" s="1">
        <v>45738</v>
      </c>
      <c r="F1221">
        <v>2</v>
      </c>
      <c r="G1221" t="s">
        <v>2871</v>
      </c>
      <c r="H1221" t="s">
        <v>2587</v>
      </c>
      <c r="I1221" t="s">
        <v>2555</v>
      </c>
      <c r="J1221" t="s">
        <v>2559</v>
      </c>
      <c r="K1221">
        <v>50</v>
      </c>
      <c r="L1221" s="13" t="s">
        <v>257</v>
      </c>
    </row>
    <row r="1222" spans="1:12" x14ac:dyDescent="0.25">
      <c r="A1222" t="s">
        <v>3899</v>
      </c>
      <c r="B1222" t="s">
        <v>78</v>
      </c>
      <c r="C1222" t="str">
        <f>_xlfn.XLOOKUP(Table7[[#This Row],[app_id]],Table5[app_id],Table5[app_name],"",0)</f>
        <v>StyleOne</v>
      </c>
      <c r="D1222" t="s">
        <v>572</v>
      </c>
      <c r="E1222" s="1">
        <v>45385</v>
      </c>
      <c r="F1222">
        <v>2</v>
      </c>
      <c r="G1222" t="s">
        <v>2605</v>
      </c>
      <c r="H1222" t="s">
        <v>2587</v>
      </c>
      <c r="I1222" t="s">
        <v>2555</v>
      </c>
      <c r="J1222" t="s">
        <v>2633</v>
      </c>
      <c r="K1222">
        <v>40</v>
      </c>
      <c r="L1222" s="13" t="s">
        <v>257</v>
      </c>
    </row>
    <row r="1223" spans="1:12" x14ac:dyDescent="0.25">
      <c r="A1223" t="s">
        <v>3900</v>
      </c>
      <c r="B1223" t="s">
        <v>80</v>
      </c>
      <c r="C1223" t="str">
        <f>_xlfn.XLOOKUP(Table7[[#This Row],[app_id]],Table5[app_id],Table5[app_name],"",0)</f>
        <v>Cartly</v>
      </c>
      <c r="D1223" t="s">
        <v>1455</v>
      </c>
      <c r="E1223" s="1">
        <v>45665</v>
      </c>
      <c r="F1223">
        <v>5</v>
      </c>
      <c r="G1223" t="s">
        <v>2592</v>
      </c>
      <c r="H1223" t="s">
        <v>2564</v>
      </c>
      <c r="I1223" t="s">
        <v>2565</v>
      </c>
      <c r="J1223" t="s">
        <v>2566</v>
      </c>
      <c r="K1223">
        <v>24</v>
      </c>
      <c r="L1223" s="13" t="s">
        <v>257</v>
      </c>
    </row>
    <row r="1224" spans="1:12" x14ac:dyDescent="0.25">
      <c r="A1224" t="s">
        <v>3901</v>
      </c>
      <c r="B1224" t="s">
        <v>83</v>
      </c>
      <c r="C1224" t="str">
        <f>_xlfn.XLOOKUP(Table7[[#This Row],[app_id]],Table5[app_id],Table5[app_name],"",0)</f>
        <v>BazaarCloud</v>
      </c>
      <c r="D1224" t="s">
        <v>553</v>
      </c>
      <c r="E1224" s="1">
        <v>45294</v>
      </c>
      <c r="F1224">
        <v>4</v>
      </c>
      <c r="G1224" t="s">
        <v>2592</v>
      </c>
      <c r="H1224" t="s">
        <v>2564</v>
      </c>
      <c r="I1224" t="s">
        <v>2565</v>
      </c>
      <c r="J1224" t="s">
        <v>2600</v>
      </c>
      <c r="K1224">
        <v>10</v>
      </c>
      <c r="L1224" s="13" t="s">
        <v>257</v>
      </c>
    </row>
    <row r="1225" spans="1:12" x14ac:dyDescent="0.25">
      <c r="A1225" t="s">
        <v>3902</v>
      </c>
      <c r="B1225" t="s">
        <v>85</v>
      </c>
      <c r="C1225" t="str">
        <f>_xlfn.XLOOKUP(Table7[[#This Row],[app_id]],Table5[app_id],Table5[app_name],"",0)</f>
        <v>CartPro</v>
      </c>
      <c r="D1225" t="s">
        <v>1794</v>
      </c>
      <c r="E1225" s="1">
        <v>45330</v>
      </c>
      <c r="F1225">
        <v>5</v>
      </c>
      <c r="G1225" t="s">
        <v>2867</v>
      </c>
      <c r="H1225" t="s">
        <v>2564</v>
      </c>
      <c r="I1225" t="s">
        <v>2565</v>
      </c>
      <c r="J1225" t="s">
        <v>2603</v>
      </c>
      <c r="K1225">
        <v>14</v>
      </c>
      <c r="L1225" s="13" t="s">
        <v>257</v>
      </c>
    </row>
    <row r="1226" spans="1:12" x14ac:dyDescent="0.25">
      <c r="A1226" t="s">
        <v>3903</v>
      </c>
      <c r="B1226" t="s">
        <v>87</v>
      </c>
      <c r="C1226" t="str">
        <f>_xlfn.XLOOKUP(Table7[[#This Row],[app_id]],Table5[app_id],Table5[app_name],"",0)</f>
        <v>RunPlus</v>
      </c>
      <c r="D1226" t="s">
        <v>1855</v>
      </c>
      <c r="E1226" s="1">
        <v>45919</v>
      </c>
      <c r="F1226">
        <v>3</v>
      </c>
      <c r="G1226" t="s">
        <v>2620</v>
      </c>
      <c r="H1226" t="s">
        <v>2554</v>
      </c>
      <c r="I1226" t="s">
        <v>2558</v>
      </c>
      <c r="J1226" t="s">
        <v>2559</v>
      </c>
      <c r="K1226">
        <v>44</v>
      </c>
      <c r="L1226" s="13" t="s">
        <v>257</v>
      </c>
    </row>
    <row r="1227" spans="1:12" x14ac:dyDescent="0.25">
      <c r="A1227" t="s">
        <v>3904</v>
      </c>
      <c r="B1227" t="s">
        <v>90</v>
      </c>
      <c r="C1227" t="str">
        <f>_xlfn.XLOOKUP(Table7[[#This Row],[app_id]],Table5[app_id],Table5[app_name],"",0)</f>
        <v>TrainCloud</v>
      </c>
      <c r="D1227" t="s">
        <v>2513</v>
      </c>
      <c r="E1227" s="1">
        <v>46074</v>
      </c>
      <c r="F1227">
        <v>3</v>
      </c>
      <c r="G1227" t="s">
        <v>2770</v>
      </c>
      <c r="H1227" t="s">
        <v>2554</v>
      </c>
      <c r="I1227" t="s">
        <v>2558</v>
      </c>
      <c r="J1227" t="s">
        <v>2556</v>
      </c>
      <c r="K1227">
        <v>17</v>
      </c>
      <c r="L1227" s="13" t="s">
        <v>257</v>
      </c>
    </row>
    <row r="1228" spans="1:12" x14ac:dyDescent="0.25">
      <c r="A1228" t="s">
        <v>3905</v>
      </c>
      <c r="B1228" t="s">
        <v>92</v>
      </c>
      <c r="C1228" t="str">
        <f>_xlfn.XLOOKUP(Table7[[#This Row],[app_id]],Table5[app_id],Table5[app_name],"",0)</f>
        <v>Trainly</v>
      </c>
      <c r="D1228" t="s">
        <v>1592</v>
      </c>
      <c r="E1228" s="1">
        <v>45628</v>
      </c>
      <c r="F1228">
        <v>5</v>
      </c>
      <c r="G1228" t="s">
        <v>2622</v>
      </c>
      <c r="H1228" t="s">
        <v>2564</v>
      </c>
      <c r="I1228" t="s">
        <v>2575</v>
      </c>
      <c r="J1228" t="s">
        <v>2596</v>
      </c>
      <c r="K1228">
        <v>21</v>
      </c>
      <c r="L1228" s="13" t="s">
        <v>257</v>
      </c>
    </row>
    <row r="1229" spans="1:12" x14ac:dyDescent="0.25">
      <c r="A1229" t="s">
        <v>3906</v>
      </c>
      <c r="B1229" t="s">
        <v>94</v>
      </c>
      <c r="C1229" t="str">
        <f>_xlfn.XLOOKUP(Table7[[#This Row],[app_id]],Table5[app_id],Table5[app_name],"",0)</f>
        <v>LiftCloud</v>
      </c>
      <c r="D1229" t="s">
        <v>543</v>
      </c>
      <c r="E1229" s="1">
        <v>45966</v>
      </c>
      <c r="F1229">
        <v>5</v>
      </c>
      <c r="G1229" t="s">
        <v>2622</v>
      </c>
      <c r="H1229" t="s">
        <v>2564</v>
      </c>
      <c r="I1229" t="s">
        <v>2565</v>
      </c>
      <c r="J1229" t="s">
        <v>2633</v>
      </c>
      <c r="K1229">
        <v>48</v>
      </c>
      <c r="L1229" s="13" t="s">
        <v>257</v>
      </c>
    </row>
    <row r="1230" spans="1:12" x14ac:dyDescent="0.25">
      <c r="A1230" t="s">
        <v>3907</v>
      </c>
      <c r="B1230" t="s">
        <v>96</v>
      </c>
      <c r="C1230" t="str">
        <f>_xlfn.XLOOKUP(Table7[[#This Row],[app_id]],Table5[app_id],Table5[app_name],"",0)</f>
        <v>MoveNow</v>
      </c>
      <c r="D1230" t="s">
        <v>676</v>
      </c>
      <c r="E1230" s="1">
        <v>46135</v>
      </c>
      <c r="F1230">
        <v>5</v>
      </c>
      <c r="G1230" t="s">
        <v>2622</v>
      </c>
      <c r="H1230" t="s">
        <v>2564</v>
      </c>
      <c r="I1230" t="s">
        <v>2565</v>
      </c>
      <c r="J1230" t="s">
        <v>2596</v>
      </c>
      <c r="K1230">
        <v>42</v>
      </c>
      <c r="L1230" s="13" t="s">
        <v>258</v>
      </c>
    </row>
    <row r="1231" spans="1:12" x14ac:dyDescent="0.25">
      <c r="A1231" t="s">
        <v>3908</v>
      </c>
      <c r="B1231" t="s">
        <v>98</v>
      </c>
      <c r="C1231" t="str">
        <f>_xlfn.XLOOKUP(Table7[[#This Row],[app_id]],Table5[app_id],Table5[app_name],"",0)</f>
        <v>ActiveMate</v>
      </c>
      <c r="D1231" t="s">
        <v>1940</v>
      </c>
      <c r="E1231" s="1">
        <v>45380</v>
      </c>
      <c r="F1231">
        <v>2</v>
      </c>
      <c r="G1231" t="s">
        <v>2992</v>
      </c>
      <c r="H1231" t="s">
        <v>2587</v>
      </c>
      <c r="I1231" t="s">
        <v>2555</v>
      </c>
      <c r="J1231" t="s">
        <v>2633</v>
      </c>
      <c r="K1231">
        <v>10</v>
      </c>
      <c r="L1231" s="13" t="s">
        <v>257</v>
      </c>
    </row>
    <row r="1232" spans="1:12" x14ac:dyDescent="0.25">
      <c r="A1232" t="s">
        <v>3909</v>
      </c>
      <c r="B1232" t="s">
        <v>100</v>
      </c>
      <c r="C1232" t="str">
        <f>_xlfn.XLOOKUP(Table7[[#This Row],[app_id]],Table5[app_id],Table5[app_name],"",0)</f>
        <v>RunGo</v>
      </c>
      <c r="D1232" t="s">
        <v>2432</v>
      </c>
      <c r="E1232" s="1">
        <v>45318</v>
      </c>
      <c r="F1232">
        <v>4</v>
      </c>
      <c r="G1232" t="s">
        <v>2622</v>
      </c>
      <c r="H1232" t="s">
        <v>2564</v>
      </c>
      <c r="I1232" t="s">
        <v>2555</v>
      </c>
      <c r="J1232" t="s">
        <v>2566</v>
      </c>
      <c r="K1232">
        <v>13</v>
      </c>
      <c r="L1232" s="13" t="s">
        <v>258</v>
      </c>
    </row>
    <row r="1233" spans="1:12" x14ac:dyDescent="0.25">
      <c r="A1233" t="s">
        <v>3910</v>
      </c>
      <c r="B1233" t="s">
        <v>102</v>
      </c>
      <c r="C1233" t="str">
        <f>_xlfn.XLOOKUP(Table7[[#This Row],[app_id]],Table5[app_id],Table5[app_name],"",0)</f>
        <v>LiftPro</v>
      </c>
      <c r="D1233" t="s">
        <v>2456</v>
      </c>
      <c r="E1233" s="1">
        <v>45773</v>
      </c>
      <c r="F1233">
        <v>5</v>
      </c>
      <c r="G1233" t="s">
        <v>2613</v>
      </c>
      <c r="H1233" t="s">
        <v>2564</v>
      </c>
      <c r="I1233" t="s">
        <v>2565</v>
      </c>
      <c r="J1233" t="s">
        <v>2566</v>
      </c>
      <c r="K1233">
        <v>35</v>
      </c>
      <c r="L1233" s="13" t="s">
        <v>257</v>
      </c>
    </row>
    <row r="1234" spans="1:12" x14ac:dyDescent="0.25">
      <c r="A1234" t="s">
        <v>3911</v>
      </c>
      <c r="B1234" t="s">
        <v>104</v>
      </c>
      <c r="C1234" t="str">
        <f>_xlfn.XLOOKUP(Table7[[#This Row],[app_id]],Table5[app_id],Table5[app_name],"",0)</f>
        <v>LiftPro</v>
      </c>
      <c r="D1234" t="s">
        <v>1230</v>
      </c>
      <c r="E1234" s="1">
        <v>45356</v>
      </c>
      <c r="F1234">
        <v>4</v>
      </c>
      <c r="G1234" t="s">
        <v>2625</v>
      </c>
      <c r="H1234" t="s">
        <v>2564</v>
      </c>
      <c r="I1234" t="s">
        <v>2575</v>
      </c>
      <c r="J1234" t="s">
        <v>2556</v>
      </c>
      <c r="K1234">
        <v>23</v>
      </c>
      <c r="L1234" s="13" t="s">
        <v>257</v>
      </c>
    </row>
    <row r="1235" spans="1:12" x14ac:dyDescent="0.25">
      <c r="A1235" t="s">
        <v>3912</v>
      </c>
      <c r="B1235" t="s">
        <v>105</v>
      </c>
      <c r="C1235" t="str">
        <f>_xlfn.XLOOKUP(Table7[[#This Row],[app_id]],Table5[app_id],Table5[app_name],"",0)</f>
        <v>Liftly</v>
      </c>
      <c r="D1235" t="s">
        <v>2221</v>
      </c>
      <c r="E1235" s="1">
        <v>45912</v>
      </c>
      <c r="F1235">
        <v>3</v>
      </c>
      <c r="G1235" t="s">
        <v>2611</v>
      </c>
      <c r="H1235" t="s">
        <v>2554</v>
      </c>
      <c r="I1235" t="s">
        <v>2588</v>
      </c>
      <c r="J1235" t="s">
        <v>2581</v>
      </c>
      <c r="K1235">
        <v>25</v>
      </c>
      <c r="L1235" s="13" t="s">
        <v>257</v>
      </c>
    </row>
    <row r="1236" spans="1:12" x14ac:dyDescent="0.25">
      <c r="A1236" t="s">
        <v>3913</v>
      </c>
      <c r="B1236" t="s">
        <v>107</v>
      </c>
      <c r="C1236" t="str">
        <f>_xlfn.XLOOKUP(Table7[[#This Row],[app_id]],Table5[app_id],Table5[app_name],"",0)</f>
        <v>YogaHub</v>
      </c>
      <c r="D1236" t="s">
        <v>1102</v>
      </c>
      <c r="E1236" s="1">
        <v>45552</v>
      </c>
      <c r="F1236">
        <v>4</v>
      </c>
      <c r="G1236" t="s">
        <v>2617</v>
      </c>
      <c r="H1236" t="s">
        <v>2564</v>
      </c>
      <c r="I1236" t="s">
        <v>2558</v>
      </c>
      <c r="J1236" t="s">
        <v>2561</v>
      </c>
      <c r="K1236">
        <v>47</v>
      </c>
      <c r="L1236" s="13" t="s">
        <v>257</v>
      </c>
    </row>
    <row r="1237" spans="1:12" x14ac:dyDescent="0.25">
      <c r="A1237" t="s">
        <v>3914</v>
      </c>
      <c r="B1237" t="s">
        <v>109</v>
      </c>
      <c r="C1237" t="str">
        <f>_xlfn.XLOOKUP(Table7[[#This Row],[app_id]],Table5[app_id],Table5[app_name],"",0)</f>
        <v>MoveGo</v>
      </c>
      <c r="D1237" t="s">
        <v>2333</v>
      </c>
      <c r="E1237" s="1">
        <v>45756</v>
      </c>
      <c r="F1237">
        <v>4</v>
      </c>
      <c r="G1237" t="s">
        <v>2622</v>
      </c>
      <c r="H1237" t="s">
        <v>2564</v>
      </c>
      <c r="I1237" t="s">
        <v>2571</v>
      </c>
      <c r="J1237" t="s">
        <v>2559</v>
      </c>
      <c r="K1237">
        <v>41</v>
      </c>
      <c r="L1237" s="13" t="s">
        <v>258</v>
      </c>
    </row>
    <row r="1238" spans="1:12" x14ac:dyDescent="0.25">
      <c r="A1238" t="s">
        <v>3915</v>
      </c>
      <c r="B1238" t="s">
        <v>111</v>
      </c>
      <c r="C1238" t="str">
        <f>_xlfn.XLOOKUP(Table7[[#This Row],[app_id]],Table5[app_id],Table5[app_name],"",0)</f>
        <v>BrightNow</v>
      </c>
      <c r="D1238" t="s">
        <v>2372</v>
      </c>
      <c r="E1238" s="1">
        <v>45362</v>
      </c>
      <c r="F1238">
        <v>4</v>
      </c>
      <c r="G1238" t="s">
        <v>2638</v>
      </c>
      <c r="H1238" t="s">
        <v>2564</v>
      </c>
      <c r="I1238" t="s">
        <v>2558</v>
      </c>
      <c r="J1238" t="s">
        <v>2559</v>
      </c>
      <c r="K1238">
        <v>33</v>
      </c>
      <c r="L1238" s="13" t="s">
        <v>257</v>
      </c>
    </row>
    <row r="1239" spans="1:12" x14ac:dyDescent="0.25">
      <c r="A1239" t="s">
        <v>3916</v>
      </c>
      <c r="B1239" t="s">
        <v>114</v>
      </c>
      <c r="C1239" t="str">
        <f>_xlfn.XLOOKUP(Table7[[#This Row],[app_id]],Table5[app_id],Table5[app_name],"",0)</f>
        <v>StudyCloud</v>
      </c>
      <c r="D1239" t="s">
        <v>1499</v>
      </c>
      <c r="E1239" s="1">
        <v>46080</v>
      </c>
      <c r="F1239">
        <v>3</v>
      </c>
      <c r="G1239" t="s">
        <v>2778</v>
      </c>
      <c r="H1239" t="s">
        <v>2554</v>
      </c>
      <c r="I1239" t="s">
        <v>2588</v>
      </c>
      <c r="J1239" t="s">
        <v>2566</v>
      </c>
      <c r="K1239">
        <v>48</v>
      </c>
      <c r="L1239" s="13" t="s">
        <v>257</v>
      </c>
    </row>
    <row r="1240" spans="1:12" x14ac:dyDescent="0.25">
      <c r="A1240" t="s">
        <v>3917</v>
      </c>
      <c r="B1240" t="s">
        <v>116</v>
      </c>
      <c r="C1240" t="str">
        <f>_xlfn.XLOOKUP(Table7[[#This Row],[app_id]],Table5[app_id],Table5[app_name],"",0)</f>
        <v>SkillNow</v>
      </c>
      <c r="D1240" t="s">
        <v>2280</v>
      </c>
      <c r="E1240" s="1">
        <v>45727</v>
      </c>
      <c r="F1240">
        <v>2</v>
      </c>
      <c r="G1240" t="s">
        <v>2630</v>
      </c>
      <c r="H1240" t="s">
        <v>2587</v>
      </c>
      <c r="I1240" t="s">
        <v>2558</v>
      </c>
      <c r="J1240" t="s">
        <v>2569</v>
      </c>
      <c r="K1240">
        <v>66</v>
      </c>
      <c r="L1240" s="13" t="s">
        <v>257</v>
      </c>
    </row>
    <row r="1241" spans="1:12" x14ac:dyDescent="0.25">
      <c r="A1241" t="s">
        <v>3918</v>
      </c>
      <c r="B1241" t="s">
        <v>118</v>
      </c>
      <c r="C1241" t="str">
        <f>_xlfn.XLOOKUP(Table7[[#This Row],[app_id]],Table5[app_id],Table5[app_name],"",0)</f>
        <v>LearnMate</v>
      </c>
      <c r="D1241" t="s">
        <v>649</v>
      </c>
      <c r="E1241" s="1">
        <v>45555</v>
      </c>
      <c r="F1241">
        <v>3</v>
      </c>
      <c r="G1241" t="s">
        <v>2773</v>
      </c>
      <c r="H1241" t="s">
        <v>2554</v>
      </c>
      <c r="I1241" t="s">
        <v>2575</v>
      </c>
      <c r="J1241" t="s">
        <v>2603</v>
      </c>
      <c r="K1241">
        <v>42</v>
      </c>
      <c r="L1241" s="13" t="s">
        <v>257</v>
      </c>
    </row>
    <row r="1242" spans="1:12" x14ac:dyDescent="0.25">
      <c r="A1242" t="s">
        <v>3919</v>
      </c>
      <c r="B1242" t="s">
        <v>120</v>
      </c>
      <c r="C1242" t="str">
        <f>_xlfn.XLOOKUP(Table7[[#This Row],[app_id]],Table5[app_id],Table5[app_name],"",0)</f>
        <v>QuestNow</v>
      </c>
      <c r="D1242" t="s">
        <v>1609</v>
      </c>
      <c r="E1242" s="1">
        <v>45293</v>
      </c>
      <c r="F1242">
        <v>4</v>
      </c>
      <c r="G1242" t="s">
        <v>2780</v>
      </c>
      <c r="H1242" t="s">
        <v>2564</v>
      </c>
      <c r="I1242" t="s">
        <v>2575</v>
      </c>
      <c r="J1242" t="s">
        <v>2559</v>
      </c>
      <c r="K1242">
        <v>6</v>
      </c>
      <c r="L1242" s="13" t="s">
        <v>257</v>
      </c>
    </row>
    <row r="1243" spans="1:12" x14ac:dyDescent="0.25">
      <c r="A1243" t="s">
        <v>3920</v>
      </c>
      <c r="B1243" t="s">
        <v>122</v>
      </c>
      <c r="C1243" t="str">
        <f>_xlfn.XLOOKUP(Table7[[#This Row],[app_id]],Table5[app_id],Table5[app_name],"",0)</f>
        <v>SkillHub</v>
      </c>
      <c r="D1243" t="s">
        <v>1571</v>
      </c>
      <c r="E1243" s="1">
        <v>45476</v>
      </c>
      <c r="F1243">
        <v>4</v>
      </c>
      <c r="G1243" t="s">
        <v>2640</v>
      </c>
      <c r="H1243" t="s">
        <v>2564</v>
      </c>
      <c r="I1243" t="s">
        <v>2575</v>
      </c>
      <c r="J1243" t="s">
        <v>2600</v>
      </c>
      <c r="K1243">
        <v>41</v>
      </c>
      <c r="L1243" s="13" t="s">
        <v>258</v>
      </c>
    </row>
    <row r="1244" spans="1:12" x14ac:dyDescent="0.25">
      <c r="A1244" t="s">
        <v>3921</v>
      </c>
      <c r="B1244" t="s">
        <v>124</v>
      </c>
      <c r="C1244" t="str">
        <f>_xlfn.XLOOKUP(Table7[[#This Row],[app_id]],Table5[app_id],Table5[app_name],"",0)</f>
        <v>TutorCloud</v>
      </c>
      <c r="D1244" t="s">
        <v>1306</v>
      </c>
      <c r="E1244" s="1">
        <v>45997</v>
      </c>
      <c r="F1244">
        <v>4</v>
      </c>
      <c r="G1244" t="s">
        <v>2640</v>
      </c>
      <c r="H1244" t="s">
        <v>2564</v>
      </c>
      <c r="I1244" t="s">
        <v>2571</v>
      </c>
      <c r="J1244" t="s">
        <v>2633</v>
      </c>
      <c r="K1244">
        <v>3</v>
      </c>
      <c r="L1244" s="13" t="s">
        <v>257</v>
      </c>
    </row>
    <row r="1245" spans="1:12" x14ac:dyDescent="0.25">
      <c r="A1245" t="s">
        <v>3922</v>
      </c>
      <c r="B1245" t="s">
        <v>126</v>
      </c>
      <c r="C1245" t="str">
        <f>_xlfn.XLOOKUP(Table7[[#This Row],[app_id]],Table5[app_id],Table5[app_name],"",0)</f>
        <v>SkillOne</v>
      </c>
      <c r="D1245" t="s">
        <v>1529</v>
      </c>
      <c r="E1245" s="1">
        <v>45990</v>
      </c>
      <c r="F1245">
        <v>3</v>
      </c>
      <c r="G1245" t="s">
        <v>2646</v>
      </c>
      <c r="H1245" t="s">
        <v>2554</v>
      </c>
      <c r="I1245" t="s">
        <v>2558</v>
      </c>
      <c r="J1245" t="s">
        <v>2596</v>
      </c>
      <c r="K1245">
        <v>27</v>
      </c>
      <c r="L1245" s="13" t="s">
        <v>257</v>
      </c>
    </row>
    <row r="1246" spans="1:12" x14ac:dyDescent="0.25">
      <c r="A1246" t="s">
        <v>3923</v>
      </c>
      <c r="B1246" t="s">
        <v>128</v>
      </c>
      <c r="C1246" t="str">
        <f>_xlfn.XLOOKUP(Table7[[#This Row],[app_id]],Table5[app_id],Table5[app_name],"",0)</f>
        <v>LearnOne</v>
      </c>
      <c r="D1246" t="s">
        <v>1108</v>
      </c>
      <c r="E1246" s="1">
        <v>45891</v>
      </c>
      <c r="F1246">
        <v>4</v>
      </c>
      <c r="G1246" t="s">
        <v>2638</v>
      </c>
      <c r="H1246" t="s">
        <v>2564</v>
      </c>
      <c r="I1246" t="s">
        <v>2565</v>
      </c>
      <c r="J1246" t="s">
        <v>2556</v>
      </c>
      <c r="K1246">
        <v>8</v>
      </c>
      <c r="L1246" s="13" t="s">
        <v>257</v>
      </c>
    </row>
    <row r="1247" spans="1:12" x14ac:dyDescent="0.25">
      <c r="A1247" t="s">
        <v>3924</v>
      </c>
      <c r="B1247" t="s">
        <v>130</v>
      </c>
      <c r="C1247" t="str">
        <f>_xlfn.XLOOKUP(Table7[[#This Row],[app_id]],Table5[app_id],Table5[app_name],"",0)</f>
        <v>LearnPlus</v>
      </c>
      <c r="D1247" t="s">
        <v>1892</v>
      </c>
      <c r="E1247" s="1">
        <v>45725</v>
      </c>
      <c r="F1247">
        <v>3</v>
      </c>
      <c r="G1247" t="s">
        <v>2773</v>
      </c>
      <c r="H1247" t="s">
        <v>2554</v>
      </c>
      <c r="I1247" t="s">
        <v>2555</v>
      </c>
      <c r="J1247" t="s">
        <v>2569</v>
      </c>
      <c r="K1247">
        <v>32</v>
      </c>
      <c r="L1247" s="13" t="s">
        <v>257</v>
      </c>
    </row>
    <row r="1248" spans="1:12" x14ac:dyDescent="0.25">
      <c r="A1248" t="s">
        <v>3925</v>
      </c>
      <c r="B1248" t="s">
        <v>132</v>
      </c>
      <c r="C1248" t="str">
        <f>_xlfn.XLOOKUP(Table7[[#This Row],[app_id]],Table5[app_id],Table5[app_name],"",0)</f>
        <v>StudyPlus</v>
      </c>
      <c r="D1248" t="s">
        <v>2171</v>
      </c>
      <c r="E1248" s="1">
        <v>45573</v>
      </c>
      <c r="F1248">
        <v>5</v>
      </c>
      <c r="G1248" t="s">
        <v>2638</v>
      </c>
      <c r="H1248" t="s">
        <v>2564</v>
      </c>
      <c r="I1248" t="s">
        <v>2558</v>
      </c>
      <c r="J1248" t="s">
        <v>2566</v>
      </c>
      <c r="K1248">
        <v>29</v>
      </c>
      <c r="L1248" s="13" t="s">
        <v>257</v>
      </c>
    </row>
    <row r="1249" spans="1:12" x14ac:dyDescent="0.25">
      <c r="A1249" t="s">
        <v>3926</v>
      </c>
      <c r="B1249" t="s">
        <v>134</v>
      </c>
      <c r="C1249" t="str">
        <f>_xlfn.XLOOKUP(Table7[[#This Row],[app_id]],Table5[app_id],Table5[app_name],"",0)</f>
        <v>StudyX</v>
      </c>
      <c r="D1249" t="s">
        <v>757</v>
      </c>
      <c r="E1249" s="1">
        <v>45666</v>
      </c>
      <c r="F1249">
        <v>4</v>
      </c>
      <c r="G1249" t="s">
        <v>2640</v>
      </c>
      <c r="H1249" t="s">
        <v>2564</v>
      </c>
      <c r="I1249" t="s">
        <v>2565</v>
      </c>
      <c r="J1249" t="s">
        <v>2600</v>
      </c>
      <c r="K1249">
        <v>39</v>
      </c>
      <c r="L1249" s="13" t="s">
        <v>257</v>
      </c>
    </row>
    <row r="1250" spans="1:12" x14ac:dyDescent="0.25">
      <c r="A1250" t="s">
        <v>3927</v>
      </c>
      <c r="B1250" t="s">
        <v>136</v>
      </c>
      <c r="C1250" t="str">
        <f>_xlfn.XLOOKUP(Table7[[#This Row],[app_id]],Table5[app_id],Table5[app_name],"",0)</f>
        <v>PlayPlus</v>
      </c>
      <c r="D1250" t="s">
        <v>1690</v>
      </c>
      <c r="E1250" s="1">
        <v>46110</v>
      </c>
      <c r="F1250">
        <v>5</v>
      </c>
      <c r="G1250" t="s">
        <v>2789</v>
      </c>
      <c r="H1250" t="s">
        <v>2564</v>
      </c>
      <c r="I1250" t="s">
        <v>2571</v>
      </c>
      <c r="J1250" t="s">
        <v>2559</v>
      </c>
      <c r="K1250">
        <v>41</v>
      </c>
      <c r="L1250" s="13" t="s">
        <v>257</v>
      </c>
    </row>
    <row r="1251" spans="1:12" x14ac:dyDescent="0.25">
      <c r="A1251" t="s">
        <v>3928</v>
      </c>
      <c r="B1251" t="s">
        <v>139</v>
      </c>
      <c r="C1251" t="str">
        <f>_xlfn.XLOOKUP(Table7[[#This Row],[app_id]],Table5[app_id],Table5[app_name],"",0)</f>
        <v>ShowMate</v>
      </c>
      <c r="D1251" t="s">
        <v>1573</v>
      </c>
      <c r="E1251" s="1">
        <v>45384</v>
      </c>
      <c r="F1251">
        <v>3</v>
      </c>
      <c r="G1251" t="s">
        <v>2663</v>
      </c>
      <c r="H1251" t="s">
        <v>2554</v>
      </c>
      <c r="I1251" t="s">
        <v>2571</v>
      </c>
      <c r="J1251" t="s">
        <v>2596</v>
      </c>
      <c r="K1251">
        <v>12</v>
      </c>
      <c r="L1251" s="13" t="s">
        <v>257</v>
      </c>
    </row>
    <row r="1252" spans="1:12" x14ac:dyDescent="0.25">
      <c r="A1252" t="s">
        <v>3929</v>
      </c>
      <c r="B1252" t="s">
        <v>141</v>
      </c>
      <c r="C1252" t="str">
        <f>_xlfn.XLOOKUP(Table7[[#This Row],[app_id]],Table5[app_id],Table5[app_name],"",0)</f>
        <v>VibeX</v>
      </c>
      <c r="D1252" t="s">
        <v>1526</v>
      </c>
      <c r="E1252" s="1">
        <v>46122</v>
      </c>
      <c r="F1252">
        <v>5</v>
      </c>
      <c r="G1252" t="s">
        <v>2652</v>
      </c>
      <c r="H1252" t="s">
        <v>2564</v>
      </c>
      <c r="I1252" t="s">
        <v>2565</v>
      </c>
      <c r="J1252" t="s">
        <v>2603</v>
      </c>
      <c r="K1252">
        <v>23</v>
      </c>
      <c r="L1252" s="13" t="s">
        <v>257</v>
      </c>
    </row>
    <row r="1253" spans="1:12" x14ac:dyDescent="0.25">
      <c r="A1253" t="s">
        <v>3930</v>
      </c>
      <c r="B1253" t="s">
        <v>143</v>
      </c>
      <c r="C1253" t="str">
        <f>_xlfn.XLOOKUP(Table7[[#This Row],[app_id]],Table5[app_id],Table5[app_name],"",0)</f>
        <v>BuzzNow</v>
      </c>
      <c r="D1253" t="s">
        <v>1770</v>
      </c>
      <c r="E1253" s="1">
        <v>46067</v>
      </c>
      <c r="F1253">
        <v>4</v>
      </c>
      <c r="G1253" t="s">
        <v>2905</v>
      </c>
      <c r="H1253" t="s">
        <v>2564</v>
      </c>
      <c r="I1253" t="s">
        <v>2565</v>
      </c>
      <c r="J1253" t="s">
        <v>2561</v>
      </c>
      <c r="K1253">
        <v>38</v>
      </c>
      <c r="L1253" s="13" t="s">
        <v>258</v>
      </c>
    </row>
    <row r="1254" spans="1:12" x14ac:dyDescent="0.25">
      <c r="A1254" t="s">
        <v>3931</v>
      </c>
      <c r="B1254" t="s">
        <v>145</v>
      </c>
      <c r="C1254" t="str">
        <f>_xlfn.XLOOKUP(Table7[[#This Row],[app_id]],Table5[app_id],Table5[app_name],"",0)</f>
        <v>StreamPlus</v>
      </c>
      <c r="D1254" t="s">
        <v>832</v>
      </c>
      <c r="E1254" s="1">
        <v>45657</v>
      </c>
      <c r="F1254">
        <v>3</v>
      </c>
      <c r="G1254" t="s">
        <v>2663</v>
      </c>
      <c r="H1254" t="s">
        <v>2554</v>
      </c>
      <c r="I1254" t="s">
        <v>2578</v>
      </c>
      <c r="J1254" t="s">
        <v>2566</v>
      </c>
      <c r="K1254">
        <v>46</v>
      </c>
      <c r="L1254" s="13" t="s">
        <v>257</v>
      </c>
    </row>
    <row r="1255" spans="1:12" x14ac:dyDescent="0.25">
      <c r="A1255" t="s">
        <v>3932</v>
      </c>
      <c r="B1255" t="s">
        <v>147</v>
      </c>
      <c r="C1255" t="str">
        <f>_xlfn.XLOOKUP(Table7[[#This Row],[app_id]],Table5[app_id],Table5[app_name],"",0)</f>
        <v>Showly</v>
      </c>
      <c r="D1255" t="s">
        <v>1380</v>
      </c>
      <c r="E1255" s="1">
        <v>45892</v>
      </c>
      <c r="F1255">
        <v>3</v>
      </c>
      <c r="G1255" t="s">
        <v>2793</v>
      </c>
      <c r="H1255" t="s">
        <v>2554</v>
      </c>
      <c r="I1255" t="s">
        <v>2584</v>
      </c>
      <c r="J1255" t="s">
        <v>2603</v>
      </c>
      <c r="K1255">
        <v>28</v>
      </c>
      <c r="L1255" s="13" t="s">
        <v>257</v>
      </c>
    </row>
    <row r="1256" spans="1:12" x14ac:dyDescent="0.25">
      <c r="A1256" t="s">
        <v>3933</v>
      </c>
      <c r="B1256" t="s">
        <v>149</v>
      </c>
      <c r="C1256" t="str">
        <f>_xlfn.XLOOKUP(Table7[[#This Row],[app_id]],Table5[app_id],Table5[app_name],"",0)</f>
        <v>BuzzOne</v>
      </c>
      <c r="D1256" t="s">
        <v>677</v>
      </c>
      <c r="E1256" s="1">
        <v>45819</v>
      </c>
      <c r="F1256">
        <v>3</v>
      </c>
      <c r="G1256" t="s">
        <v>2791</v>
      </c>
      <c r="H1256" t="s">
        <v>2554</v>
      </c>
      <c r="I1256" t="s">
        <v>2571</v>
      </c>
      <c r="J1256" t="s">
        <v>2556</v>
      </c>
      <c r="K1256">
        <v>25</v>
      </c>
      <c r="L1256" s="13" t="s">
        <v>257</v>
      </c>
    </row>
    <row r="1257" spans="1:12" x14ac:dyDescent="0.25">
      <c r="A1257" t="s">
        <v>3934</v>
      </c>
      <c r="B1257" t="s">
        <v>151</v>
      </c>
      <c r="C1257" t="str">
        <f>_xlfn.XLOOKUP(Table7[[#This Row],[app_id]],Table5[app_id],Table5[app_name],"",0)</f>
        <v>PlayHub</v>
      </c>
      <c r="D1257" t="s">
        <v>1664</v>
      </c>
      <c r="E1257" s="1">
        <v>45609</v>
      </c>
      <c r="F1257">
        <v>3</v>
      </c>
      <c r="G1257" t="s">
        <v>2663</v>
      </c>
      <c r="H1257" t="s">
        <v>2554</v>
      </c>
      <c r="I1257" t="s">
        <v>2555</v>
      </c>
      <c r="J1257" t="s">
        <v>2600</v>
      </c>
      <c r="K1257">
        <v>41</v>
      </c>
      <c r="L1257" s="13" t="s">
        <v>257</v>
      </c>
    </row>
    <row r="1258" spans="1:12" x14ac:dyDescent="0.25">
      <c r="A1258" t="s">
        <v>3935</v>
      </c>
      <c r="B1258" t="s">
        <v>153</v>
      </c>
      <c r="C1258" t="str">
        <f>_xlfn.XLOOKUP(Table7[[#This Row],[app_id]],Table5[app_id],Table5[app_name],"",0)</f>
        <v>CinemaGo</v>
      </c>
      <c r="D1258" t="s">
        <v>670</v>
      </c>
      <c r="E1258" s="1">
        <v>45849</v>
      </c>
      <c r="F1258">
        <v>5</v>
      </c>
      <c r="G1258" t="s">
        <v>2905</v>
      </c>
      <c r="H1258" t="s">
        <v>2564</v>
      </c>
      <c r="I1258" t="s">
        <v>2565</v>
      </c>
      <c r="J1258" t="s">
        <v>2559</v>
      </c>
      <c r="K1258">
        <v>44</v>
      </c>
      <c r="L1258" s="13" t="s">
        <v>257</v>
      </c>
    </row>
    <row r="1259" spans="1:12" x14ac:dyDescent="0.25">
      <c r="A1259" t="s">
        <v>3936</v>
      </c>
      <c r="B1259" t="s">
        <v>155</v>
      </c>
      <c r="C1259" t="str">
        <f>_xlfn.XLOOKUP(Table7[[#This Row],[app_id]],Table5[app_id],Table5[app_name],"",0)</f>
        <v>LaughX</v>
      </c>
      <c r="D1259" t="s">
        <v>1737</v>
      </c>
      <c r="E1259" s="1">
        <v>45618</v>
      </c>
      <c r="F1259">
        <v>3</v>
      </c>
      <c r="G1259" t="s">
        <v>2655</v>
      </c>
      <c r="H1259" t="s">
        <v>2554</v>
      </c>
      <c r="I1259" t="s">
        <v>2555</v>
      </c>
      <c r="J1259" t="s">
        <v>2633</v>
      </c>
      <c r="K1259">
        <v>41</v>
      </c>
      <c r="L1259" s="13" t="s">
        <v>257</v>
      </c>
    </row>
    <row r="1260" spans="1:12" x14ac:dyDescent="0.25">
      <c r="A1260" t="s">
        <v>3937</v>
      </c>
      <c r="B1260" t="s">
        <v>157</v>
      </c>
      <c r="C1260" t="str">
        <f>_xlfn.XLOOKUP(Table7[[#This Row],[app_id]],Table5[app_id],Table5[app_name],"",0)</f>
        <v>CinemaHub</v>
      </c>
      <c r="D1260" t="s">
        <v>1586</v>
      </c>
      <c r="E1260" s="1">
        <v>45297</v>
      </c>
      <c r="F1260">
        <v>4</v>
      </c>
      <c r="G1260" t="s">
        <v>2652</v>
      </c>
      <c r="H1260" t="s">
        <v>2564</v>
      </c>
      <c r="I1260" t="s">
        <v>2575</v>
      </c>
      <c r="J1260" t="s">
        <v>2556</v>
      </c>
      <c r="K1260">
        <v>14</v>
      </c>
      <c r="L1260" s="13" t="s">
        <v>257</v>
      </c>
    </row>
    <row r="1261" spans="1:12" x14ac:dyDescent="0.25">
      <c r="A1261" t="s">
        <v>3938</v>
      </c>
      <c r="B1261" t="s">
        <v>159</v>
      </c>
      <c r="C1261" t="str">
        <f>_xlfn.XLOOKUP(Table7[[#This Row],[app_id]],Table5[app_id],Table5[app_name],"",0)</f>
        <v>ShowPro</v>
      </c>
      <c r="D1261" t="s">
        <v>1191</v>
      </c>
      <c r="E1261" s="1">
        <v>45593</v>
      </c>
      <c r="F1261">
        <v>4</v>
      </c>
      <c r="G1261" t="s">
        <v>2789</v>
      </c>
      <c r="H1261" t="s">
        <v>2564</v>
      </c>
      <c r="I1261" t="s">
        <v>2555</v>
      </c>
      <c r="J1261" t="s">
        <v>2569</v>
      </c>
      <c r="K1261">
        <v>27</v>
      </c>
      <c r="L1261" s="13" t="s">
        <v>257</v>
      </c>
    </row>
    <row r="1262" spans="1:12" x14ac:dyDescent="0.25">
      <c r="A1262" t="s">
        <v>3939</v>
      </c>
      <c r="B1262" t="s">
        <v>161</v>
      </c>
      <c r="C1262" t="str">
        <f>_xlfn.XLOOKUP(Table7[[#This Row],[app_id]],Table5[app_id],Table5[app_name],"",0)</f>
        <v>FoodPlus</v>
      </c>
      <c r="D1262" t="s">
        <v>1992</v>
      </c>
      <c r="E1262" s="1">
        <v>45357</v>
      </c>
      <c r="F1262">
        <v>3</v>
      </c>
      <c r="G1262" t="s">
        <v>2668</v>
      </c>
      <c r="H1262" t="s">
        <v>2554</v>
      </c>
      <c r="I1262" t="s">
        <v>2588</v>
      </c>
      <c r="J1262" t="s">
        <v>2596</v>
      </c>
      <c r="K1262">
        <v>44</v>
      </c>
      <c r="L1262" s="13" t="s">
        <v>257</v>
      </c>
    </row>
    <row r="1263" spans="1:12" x14ac:dyDescent="0.25">
      <c r="A1263" t="s">
        <v>3940</v>
      </c>
      <c r="B1263" t="s">
        <v>164</v>
      </c>
      <c r="C1263" t="str">
        <f>_xlfn.XLOOKUP(Table7[[#This Row],[app_id]],Table5[app_id],Table5[app_name],"",0)</f>
        <v>BiteGo</v>
      </c>
      <c r="D1263" t="s">
        <v>722</v>
      </c>
      <c r="E1263" s="1">
        <v>45816</v>
      </c>
      <c r="F1263">
        <v>3</v>
      </c>
      <c r="G1263" t="s">
        <v>2672</v>
      </c>
      <c r="H1263" t="s">
        <v>2554</v>
      </c>
      <c r="I1263" t="s">
        <v>2575</v>
      </c>
      <c r="J1263" t="s">
        <v>2581</v>
      </c>
      <c r="K1263">
        <v>24</v>
      </c>
      <c r="L1263" s="13" t="s">
        <v>257</v>
      </c>
    </row>
    <row r="1264" spans="1:12" x14ac:dyDescent="0.25">
      <c r="A1264" t="s">
        <v>3941</v>
      </c>
      <c r="B1264" t="s">
        <v>166</v>
      </c>
      <c r="C1264" t="str">
        <f>_xlfn.XLOOKUP(Table7[[#This Row],[app_id]],Table5[app_id],Table5[app_name],"",0)</f>
        <v>OrderCloud</v>
      </c>
      <c r="D1264" t="s">
        <v>870</v>
      </c>
      <c r="E1264" s="1">
        <v>45943</v>
      </c>
      <c r="F1264">
        <v>4</v>
      </c>
      <c r="G1264" t="s">
        <v>2676</v>
      </c>
      <c r="H1264" t="s">
        <v>2564</v>
      </c>
      <c r="I1264" t="s">
        <v>2555</v>
      </c>
      <c r="J1264" t="s">
        <v>2559</v>
      </c>
      <c r="K1264">
        <v>3</v>
      </c>
      <c r="L1264" s="13" t="s">
        <v>257</v>
      </c>
    </row>
    <row r="1265" spans="1:12" x14ac:dyDescent="0.25">
      <c r="A1265" t="s">
        <v>3942</v>
      </c>
      <c r="B1265" t="s">
        <v>168</v>
      </c>
      <c r="C1265" t="str">
        <f>_xlfn.XLOOKUP(Table7[[#This Row],[app_id]],Table5[app_id],Table5[app_name],"",0)</f>
        <v>DinePlus</v>
      </c>
      <c r="D1265" t="s">
        <v>757</v>
      </c>
      <c r="E1265" s="1">
        <v>45950</v>
      </c>
      <c r="F1265">
        <v>3</v>
      </c>
      <c r="G1265" t="s">
        <v>2668</v>
      </c>
      <c r="H1265" t="s">
        <v>2554</v>
      </c>
      <c r="I1265" t="s">
        <v>2571</v>
      </c>
      <c r="J1265" t="s">
        <v>2566</v>
      </c>
      <c r="K1265">
        <v>30</v>
      </c>
      <c r="L1265" s="13" t="s">
        <v>257</v>
      </c>
    </row>
    <row r="1266" spans="1:12" x14ac:dyDescent="0.25">
      <c r="A1266" t="s">
        <v>3943</v>
      </c>
      <c r="B1266" t="s">
        <v>170</v>
      </c>
      <c r="C1266" t="str">
        <f>_xlfn.XLOOKUP(Table7[[#This Row],[app_id]],Table5[app_id],Table5[app_name],"",0)</f>
        <v>SnackX</v>
      </c>
      <c r="D1266" t="s">
        <v>2245</v>
      </c>
      <c r="E1266" s="1">
        <v>45313</v>
      </c>
      <c r="F1266">
        <v>3</v>
      </c>
      <c r="G1266" t="s">
        <v>2672</v>
      </c>
      <c r="H1266" t="s">
        <v>2554</v>
      </c>
      <c r="I1266" t="s">
        <v>2588</v>
      </c>
      <c r="J1266" t="s">
        <v>2559</v>
      </c>
      <c r="K1266">
        <v>39</v>
      </c>
      <c r="L1266" s="13" t="s">
        <v>257</v>
      </c>
    </row>
    <row r="1267" spans="1:12" x14ac:dyDescent="0.25">
      <c r="A1267" t="s">
        <v>3944</v>
      </c>
      <c r="B1267" t="s">
        <v>172</v>
      </c>
      <c r="C1267" t="str">
        <f>_xlfn.XLOOKUP(Table7[[#This Row],[app_id]],Table5[app_id],Table5[app_name],"",0)</f>
        <v>FoodOne</v>
      </c>
      <c r="D1267" t="s">
        <v>2072</v>
      </c>
      <c r="E1267" s="1">
        <v>45521</v>
      </c>
      <c r="F1267">
        <v>3</v>
      </c>
      <c r="G1267" t="s">
        <v>2666</v>
      </c>
      <c r="H1267" t="s">
        <v>2554</v>
      </c>
      <c r="I1267" t="s">
        <v>2588</v>
      </c>
      <c r="J1267" t="s">
        <v>2633</v>
      </c>
      <c r="K1267">
        <v>4</v>
      </c>
      <c r="L1267" s="13" t="s">
        <v>258</v>
      </c>
    </row>
    <row r="1268" spans="1:12" x14ac:dyDescent="0.25">
      <c r="A1268" t="s">
        <v>3945</v>
      </c>
      <c r="B1268" t="s">
        <v>174</v>
      </c>
      <c r="C1268" t="str">
        <f>_xlfn.XLOOKUP(Table7[[#This Row],[app_id]],Table5[app_id],Table5[app_name],"",0)</f>
        <v>MealMate</v>
      </c>
      <c r="D1268" t="s">
        <v>1806</v>
      </c>
      <c r="E1268" s="1">
        <v>45653</v>
      </c>
      <c r="F1268">
        <v>3</v>
      </c>
      <c r="G1268" t="s">
        <v>2670</v>
      </c>
      <c r="H1268" t="s">
        <v>2554</v>
      </c>
      <c r="I1268" t="s">
        <v>2578</v>
      </c>
      <c r="J1268" t="s">
        <v>2569</v>
      </c>
      <c r="K1268">
        <v>39</v>
      </c>
      <c r="L1268" s="13" t="s">
        <v>257</v>
      </c>
    </row>
    <row r="1269" spans="1:12" x14ac:dyDescent="0.25">
      <c r="A1269" t="s">
        <v>3946</v>
      </c>
      <c r="B1269" t="s">
        <v>176</v>
      </c>
      <c r="C1269" t="str">
        <f>_xlfn.XLOOKUP(Table7[[#This Row],[app_id]],Table5[app_id],Table5[app_name],"",0)</f>
        <v>SnackHub</v>
      </c>
      <c r="D1269" t="s">
        <v>2426</v>
      </c>
      <c r="E1269" s="1">
        <v>46092</v>
      </c>
      <c r="F1269">
        <v>4</v>
      </c>
      <c r="G1269" t="s">
        <v>2679</v>
      </c>
      <c r="H1269" t="s">
        <v>2564</v>
      </c>
      <c r="I1269" t="s">
        <v>2555</v>
      </c>
      <c r="J1269" t="s">
        <v>2569</v>
      </c>
      <c r="K1269">
        <v>2</v>
      </c>
      <c r="L1269" s="13" t="s">
        <v>257</v>
      </c>
    </row>
    <row r="1270" spans="1:12" x14ac:dyDescent="0.25">
      <c r="A1270" t="s">
        <v>3947</v>
      </c>
      <c r="B1270" t="s">
        <v>178</v>
      </c>
      <c r="C1270" t="str">
        <f>_xlfn.XLOOKUP(Table7[[#This Row],[app_id]],Table5[app_id],Table5[app_name],"",0)</f>
        <v>BiteCloud</v>
      </c>
      <c r="D1270" t="s">
        <v>1533</v>
      </c>
      <c r="E1270" s="1">
        <v>45903</v>
      </c>
      <c r="F1270">
        <v>4</v>
      </c>
      <c r="G1270" t="s">
        <v>2676</v>
      </c>
      <c r="H1270" t="s">
        <v>2564</v>
      </c>
      <c r="I1270" t="s">
        <v>2565</v>
      </c>
      <c r="J1270" t="s">
        <v>2603</v>
      </c>
      <c r="K1270">
        <v>8</v>
      </c>
      <c r="L1270" s="13" t="s">
        <v>257</v>
      </c>
    </row>
    <row r="1271" spans="1:12" x14ac:dyDescent="0.25">
      <c r="A1271" t="s">
        <v>3948</v>
      </c>
      <c r="B1271" t="s">
        <v>180</v>
      </c>
      <c r="C1271" t="str">
        <f>_xlfn.XLOOKUP(Table7[[#This Row],[app_id]],Table5[app_id],Table5[app_name],"",0)</f>
        <v>PlatePlus</v>
      </c>
      <c r="D1271" t="s">
        <v>1179</v>
      </c>
      <c r="E1271" s="1">
        <v>45798</v>
      </c>
      <c r="F1271">
        <v>3</v>
      </c>
      <c r="G1271" t="s">
        <v>2666</v>
      </c>
      <c r="H1271" t="s">
        <v>2554</v>
      </c>
      <c r="I1271" t="s">
        <v>2558</v>
      </c>
      <c r="J1271" t="s">
        <v>2561</v>
      </c>
      <c r="K1271">
        <v>22</v>
      </c>
      <c r="L1271" s="13" t="s">
        <v>258</v>
      </c>
    </row>
    <row r="1272" spans="1:12" x14ac:dyDescent="0.25">
      <c r="A1272" t="s">
        <v>3949</v>
      </c>
      <c r="B1272" t="s">
        <v>182</v>
      </c>
      <c r="C1272" t="str">
        <f>_xlfn.XLOOKUP(Table7[[#This Row],[app_id]],Table5[app_id],Table5[app_name],"",0)</f>
        <v>VoyageGo</v>
      </c>
      <c r="D1272" t="s">
        <v>2323</v>
      </c>
      <c r="E1272" s="1">
        <v>45632</v>
      </c>
      <c r="F1272">
        <v>3</v>
      </c>
      <c r="G1272" t="s">
        <v>2815</v>
      </c>
      <c r="H1272" t="s">
        <v>2554</v>
      </c>
      <c r="I1272" t="s">
        <v>2588</v>
      </c>
      <c r="J1272" t="s">
        <v>2603</v>
      </c>
      <c r="K1272">
        <v>10</v>
      </c>
      <c r="L1272" s="13" t="s">
        <v>257</v>
      </c>
    </row>
    <row r="1273" spans="1:12" x14ac:dyDescent="0.25">
      <c r="A1273" t="s">
        <v>3950</v>
      </c>
      <c r="B1273" t="s">
        <v>185</v>
      </c>
      <c r="C1273" t="str">
        <f>_xlfn.XLOOKUP(Table7[[#This Row],[app_id]],Table5[app_id],Table5[app_name],"",0)</f>
        <v>TripOne</v>
      </c>
      <c r="D1273" t="s">
        <v>1919</v>
      </c>
      <c r="E1273" s="1">
        <v>45766</v>
      </c>
      <c r="F1273">
        <v>3</v>
      </c>
      <c r="G1273" t="s">
        <v>2690</v>
      </c>
      <c r="H1273" t="s">
        <v>2554</v>
      </c>
      <c r="I1273" t="s">
        <v>2588</v>
      </c>
      <c r="J1273" t="s">
        <v>2581</v>
      </c>
      <c r="K1273">
        <v>46</v>
      </c>
      <c r="L1273" s="13" t="s">
        <v>257</v>
      </c>
    </row>
    <row r="1274" spans="1:12" x14ac:dyDescent="0.25">
      <c r="A1274" t="s">
        <v>3951</v>
      </c>
      <c r="B1274" t="s">
        <v>187</v>
      </c>
      <c r="C1274" t="str">
        <f>_xlfn.XLOOKUP(Table7[[#This Row],[app_id]],Table5[app_id],Table5[app_name],"",0)</f>
        <v>FlyGo</v>
      </c>
      <c r="D1274" t="s">
        <v>613</v>
      </c>
      <c r="E1274" s="1">
        <v>45520</v>
      </c>
      <c r="F1274">
        <v>4</v>
      </c>
      <c r="G1274" t="s">
        <v>2929</v>
      </c>
      <c r="H1274" t="s">
        <v>2564</v>
      </c>
      <c r="I1274" t="s">
        <v>2571</v>
      </c>
      <c r="J1274" t="s">
        <v>2566</v>
      </c>
      <c r="K1274">
        <v>14</v>
      </c>
      <c r="L1274" s="13" t="s">
        <v>257</v>
      </c>
    </row>
    <row r="1275" spans="1:12" x14ac:dyDescent="0.25">
      <c r="A1275" t="s">
        <v>3952</v>
      </c>
      <c r="B1275" t="s">
        <v>189</v>
      </c>
      <c r="C1275" t="str">
        <f>_xlfn.XLOOKUP(Table7[[#This Row],[app_id]],Table5[app_id],Table5[app_name],"",0)</f>
        <v>MapX</v>
      </c>
      <c r="D1275" t="s">
        <v>1089</v>
      </c>
      <c r="E1275" s="1">
        <v>45498</v>
      </c>
      <c r="F1275">
        <v>3</v>
      </c>
      <c r="G1275" t="s">
        <v>2695</v>
      </c>
      <c r="H1275" t="s">
        <v>2554</v>
      </c>
      <c r="I1275" t="s">
        <v>2578</v>
      </c>
      <c r="J1275" t="s">
        <v>2561</v>
      </c>
      <c r="K1275">
        <v>29</v>
      </c>
      <c r="L1275" s="13" t="s">
        <v>257</v>
      </c>
    </row>
    <row r="1276" spans="1:12" x14ac:dyDescent="0.25">
      <c r="A1276" t="s">
        <v>3953</v>
      </c>
      <c r="B1276" t="s">
        <v>191</v>
      </c>
      <c r="C1276" t="str">
        <f>_xlfn.XLOOKUP(Table7[[#This Row],[app_id]],Table5[app_id],Table5[app_name],"",0)</f>
        <v>StayX</v>
      </c>
      <c r="D1276" t="s">
        <v>1010</v>
      </c>
      <c r="E1276" s="1">
        <v>46137</v>
      </c>
      <c r="F1276">
        <v>4</v>
      </c>
      <c r="G1276" t="s">
        <v>2931</v>
      </c>
      <c r="H1276" t="s">
        <v>2564</v>
      </c>
      <c r="I1276" t="s">
        <v>2558</v>
      </c>
      <c r="J1276" t="s">
        <v>2561</v>
      </c>
      <c r="K1276">
        <v>30</v>
      </c>
      <c r="L1276" s="13" t="s">
        <v>257</v>
      </c>
    </row>
    <row r="1277" spans="1:12" x14ac:dyDescent="0.25">
      <c r="A1277" t="s">
        <v>3954</v>
      </c>
      <c r="B1277" t="s">
        <v>193</v>
      </c>
      <c r="C1277" t="str">
        <f>_xlfn.XLOOKUP(Table7[[#This Row],[app_id]],Table5[app_id],Table5[app_name],"",0)</f>
        <v>GoNow</v>
      </c>
      <c r="D1277" t="s">
        <v>610</v>
      </c>
      <c r="E1277" s="1">
        <v>45898</v>
      </c>
      <c r="F1277">
        <v>4</v>
      </c>
      <c r="G1277" t="s">
        <v>2687</v>
      </c>
      <c r="H1277" t="s">
        <v>2564</v>
      </c>
      <c r="I1277" t="s">
        <v>2555</v>
      </c>
      <c r="J1277" t="s">
        <v>2600</v>
      </c>
      <c r="K1277">
        <v>35</v>
      </c>
      <c r="L1277" s="13" t="s">
        <v>257</v>
      </c>
    </row>
    <row r="1278" spans="1:12" x14ac:dyDescent="0.25">
      <c r="A1278" t="s">
        <v>3955</v>
      </c>
      <c r="B1278" t="s">
        <v>195</v>
      </c>
      <c r="C1278" t="str">
        <f>_xlfn.XLOOKUP(Table7[[#This Row],[app_id]],Table5[app_id],Table5[app_name],"",0)</f>
        <v>RouteGo</v>
      </c>
      <c r="D1278" t="s">
        <v>904</v>
      </c>
      <c r="E1278" s="1">
        <v>45867</v>
      </c>
      <c r="F1278">
        <v>3</v>
      </c>
      <c r="G1278" t="s">
        <v>2697</v>
      </c>
      <c r="H1278" t="s">
        <v>2554</v>
      </c>
      <c r="I1278" t="s">
        <v>2588</v>
      </c>
      <c r="J1278" t="s">
        <v>2596</v>
      </c>
      <c r="K1278">
        <v>5</v>
      </c>
      <c r="L1278" s="13" t="s">
        <v>257</v>
      </c>
    </row>
    <row r="1279" spans="1:12" x14ac:dyDescent="0.25">
      <c r="A1279" t="s">
        <v>3956</v>
      </c>
      <c r="B1279" t="s">
        <v>197</v>
      </c>
      <c r="C1279" t="str">
        <f>_xlfn.XLOOKUP(Table7[[#This Row],[app_id]],Table5[app_id],Table5[app_name],"",0)</f>
        <v>TripGo</v>
      </c>
      <c r="D1279" t="s">
        <v>2508</v>
      </c>
      <c r="E1279" s="1">
        <v>45500</v>
      </c>
      <c r="F1279">
        <v>2</v>
      </c>
      <c r="G1279" t="s">
        <v>3148</v>
      </c>
      <c r="H1279" t="s">
        <v>2587</v>
      </c>
      <c r="I1279" t="s">
        <v>2575</v>
      </c>
      <c r="J1279" t="s">
        <v>2633</v>
      </c>
      <c r="K1279">
        <v>72</v>
      </c>
      <c r="L1279" s="13" t="s">
        <v>257</v>
      </c>
    </row>
    <row r="1280" spans="1:12" x14ac:dyDescent="0.25">
      <c r="A1280" t="s">
        <v>3957</v>
      </c>
      <c r="B1280" t="s">
        <v>199</v>
      </c>
      <c r="C1280" t="str">
        <f>_xlfn.XLOOKUP(Table7[[#This Row],[app_id]],Table5[app_id],Table5[app_name],"",0)</f>
        <v>Flyly</v>
      </c>
      <c r="D1280" t="s">
        <v>1108</v>
      </c>
      <c r="E1280" s="1">
        <v>45637</v>
      </c>
      <c r="F1280">
        <v>3</v>
      </c>
      <c r="G1280" t="s">
        <v>2697</v>
      </c>
      <c r="H1280" t="s">
        <v>2554</v>
      </c>
      <c r="I1280" t="s">
        <v>2584</v>
      </c>
      <c r="J1280" t="s">
        <v>2556</v>
      </c>
      <c r="K1280">
        <v>6</v>
      </c>
      <c r="L1280" s="13" t="s">
        <v>257</v>
      </c>
    </row>
    <row r="1281" spans="1:12" x14ac:dyDescent="0.25">
      <c r="A1281" t="s">
        <v>3958</v>
      </c>
      <c r="B1281" t="s">
        <v>201</v>
      </c>
      <c r="C1281" t="str">
        <f>_xlfn.XLOOKUP(Table7[[#This Row],[app_id]],Table5[app_id],Table5[app_name],"",0)</f>
        <v>TripPro</v>
      </c>
      <c r="D1281" t="s">
        <v>1535</v>
      </c>
      <c r="E1281" s="1">
        <v>46047</v>
      </c>
      <c r="F1281">
        <v>4</v>
      </c>
      <c r="G1281" t="s">
        <v>2683</v>
      </c>
      <c r="H1281" t="s">
        <v>2564</v>
      </c>
      <c r="I1281" t="s">
        <v>2555</v>
      </c>
      <c r="J1281" t="s">
        <v>2581</v>
      </c>
      <c r="K1281">
        <v>44</v>
      </c>
      <c r="L1281" s="13" t="s">
        <v>257</v>
      </c>
    </row>
    <row r="1282" spans="1:12" x14ac:dyDescent="0.25">
      <c r="A1282" t="s">
        <v>3959</v>
      </c>
      <c r="B1282" t="s">
        <v>203</v>
      </c>
      <c r="C1282" t="str">
        <f>_xlfn.XLOOKUP(Table7[[#This Row],[app_id]],Table5[app_id],Table5[app_name],"",0)</f>
        <v>Focusly</v>
      </c>
      <c r="D1282" t="s">
        <v>2474</v>
      </c>
      <c r="E1282" s="1">
        <v>46000</v>
      </c>
      <c r="F1282">
        <v>2</v>
      </c>
      <c r="G1282" t="s">
        <v>2943</v>
      </c>
      <c r="H1282" t="s">
        <v>2587</v>
      </c>
      <c r="I1282" t="s">
        <v>2578</v>
      </c>
      <c r="J1282" t="s">
        <v>2596</v>
      </c>
      <c r="K1282">
        <v>35</v>
      </c>
      <c r="L1282" s="13" t="s">
        <v>258</v>
      </c>
    </row>
    <row r="1283" spans="1:12" x14ac:dyDescent="0.25">
      <c r="A1283" t="s">
        <v>3960</v>
      </c>
      <c r="B1283" t="s">
        <v>206</v>
      </c>
      <c r="C1283" t="str">
        <f>_xlfn.XLOOKUP(Table7[[#This Row],[app_id]],Table5[app_id],Table5[app_name],"",0)</f>
        <v>DeskX</v>
      </c>
      <c r="D1283" t="s">
        <v>1797</v>
      </c>
      <c r="E1283" s="1">
        <v>45318</v>
      </c>
      <c r="F1283">
        <v>4</v>
      </c>
      <c r="G1283" t="s">
        <v>2708</v>
      </c>
      <c r="H1283" t="s">
        <v>2564</v>
      </c>
      <c r="I1283" t="s">
        <v>2565</v>
      </c>
      <c r="J1283" t="s">
        <v>2581</v>
      </c>
      <c r="K1283">
        <v>13</v>
      </c>
      <c r="L1283" s="13" t="s">
        <v>257</v>
      </c>
    </row>
    <row r="1284" spans="1:12" x14ac:dyDescent="0.25">
      <c r="A1284" t="s">
        <v>3961</v>
      </c>
      <c r="B1284" t="s">
        <v>208</v>
      </c>
      <c r="C1284" t="str">
        <f>_xlfn.XLOOKUP(Table7[[#This Row],[app_id]],Table5[app_id],Table5[app_name],"",0)</f>
        <v>DonePro</v>
      </c>
      <c r="D1284" t="s">
        <v>2519</v>
      </c>
      <c r="E1284" s="1">
        <v>45906</v>
      </c>
      <c r="F1284">
        <v>5</v>
      </c>
      <c r="G1284" t="s">
        <v>2708</v>
      </c>
      <c r="H1284" t="s">
        <v>2564</v>
      </c>
      <c r="I1284" t="s">
        <v>2571</v>
      </c>
      <c r="J1284" t="s">
        <v>2566</v>
      </c>
      <c r="K1284">
        <v>24</v>
      </c>
      <c r="L1284" s="13" t="s">
        <v>257</v>
      </c>
    </row>
    <row r="1285" spans="1:12" x14ac:dyDescent="0.25">
      <c r="A1285" t="s">
        <v>3962</v>
      </c>
      <c r="B1285" t="s">
        <v>210</v>
      </c>
      <c r="C1285" t="str">
        <f>_xlfn.XLOOKUP(Table7[[#This Row],[app_id]],Table5[app_id],Table5[app_name],"",0)</f>
        <v>NotePlus</v>
      </c>
      <c r="D1285" t="s">
        <v>1380</v>
      </c>
      <c r="E1285" s="1">
        <v>46106</v>
      </c>
      <c r="F1285">
        <v>3</v>
      </c>
      <c r="G1285" t="s">
        <v>3254</v>
      </c>
      <c r="H1285" t="s">
        <v>2554</v>
      </c>
      <c r="I1285" t="s">
        <v>2575</v>
      </c>
      <c r="J1285" t="s">
        <v>2596</v>
      </c>
      <c r="K1285">
        <v>15</v>
      </c>
      <c r="L1285" s="13" t="s">
        <v>257</v>
      </c>
    </row>
    <row r="1286" spans="1:12" x14ac:dyDescent="0.25">
      <c r="A1286" t="s">
        <v>3963</v>
      </c>
      <c r="B1286" t="s">
        <v>212</v>
      </c>
      <c r="C1286" t="str">
        <f>_xlfn.XLOOKUP(Table7[[#This Row],[app_id]],Table5[app_id],Table5[app_name],"",0)</f>
        <v>SyncPlus</v>
      </c>
      <c r="D1286" t="s">
        <v>2052</v>
      </c>
      <c r="E1286" s="1">
        <v>45735</v>
      </c>
      <c r="F1286">
        <v>4</v>
      </c>
      <c r="G1286" t="s">
        <v>2700</v>
      </c>
      <c r="H1286" t="s">
        <v>2564</v>
      </c>
      <c r="I1286" t="s">
        <v>2575</v>
      </c>
      <c r="J1286" t="s">
        <v>2581</v>
      </c>
      <c r="K1286">
        <v>16</v>
      </c>
      <c r="L1286" s="13" t="s">
        <v>257</v>
      </c>
    </row>
    <row r="1287" spans="1:12" x14ac:dyDescent="0.25">
      <c r="A1287" t="s">
        <v>3964</v>
      </c>
      <c r="B1287" t="s">
        <v>214</v>
      </c>
      <c r="C1287" t="str">
        <f>_xlfn.XLOOKUP(Table7[[#This Row],[app_id]],Table5[app_id],Table5[app_name],"",0)</f>
        <v>NoteOne</v>
      </c>
      <c r="D1287" t="s">
        <v>972</v>
      </c>
      <c r="E1287" s="1">
        <v>45646</v>
      </c>
      <c r="F1287">
        <v>3</v>
      </c>
      <c r="G1287" t="s">
        <v>2713</v>
      </c>
      <c r="H1287" t="s">
        <v>2554</v>
      </c>
      <c r="I1287" t="s">
        <v>2558</v>
      </c>
      <c r="J1287" t="s">
        <v>2633</v>
      </c>
      <c r="K1287">
        <v>41</v>
      </c>
      <c r="L1287" s="13" t="s">
        <v>257</v>
      </c>
    </row>
    <row r="1288" spans="1:12" x14ac:dyDescent="0.25">
      <c r="A1288" t="s">
        <v>3965</v>
      </c>
      <c r="B1288" t="s">
        <v>216</v>
      </c>
      <c r="C1288" t="str">
        <f>_xlfn.XLOOKUP(Table7[[#This Row],[app_id]],Table5[app_id],Table5[app_name],"",0)</f>
        <v>NoteMate</v>
      </c>
      <c r="D1288" t="s">
        <v>1797</v>
      </c>
      <c r="E1288" s="1">
        <v>46074</v>
      </c>
      <c r="F1288">
        <v>4</v>
      </c>
      <c r="G1288" t="s">
        <v>2708</v>
      </c>
      <c r="H1288" t="s">
        <v>2564</v>
      </c>
      <c r="I1288" t="s">
        <v>2575</v>
      </c>
      <c r="J1288" t="s">
        <v>2569</v>
      </c>
      <c r="K1288">
        <v>11</v>
      </c>
      <c r="L1288" s="13" t="s">
        <v>257</v>
      </c>
    </row>
    <row r="1289" spans="1:12" x14ac:dyDescent="0.25">
      <c r="A1289" t="s">
        <v>3966</v>
      </c>
      <c r="B1289" t="s">
        <v>218</v>
      </c>
      <c r="C1289" t="str">
        <f>_xlfn.XLOOKUP(Table7[[#This Row],[app_id]],Table5[app_id],Table5[app_name],"",0)</f>
        <v>PlanPlus</v>
      </c>
      <c r="D1289" t="s">
        <v>2490</v>
      </c>
      <c r="E1289" s="1">
        <v>45447</v>
      </c>
      <c r="F1289">
        <v>3</v>
      </c>
      <c r="G1289" t="s">
        <v>2710</v>
      </c>
      <c r="H1289" t="s">
        <v>2554</v>
      </c>
      <c r="I1289" t="s">
        <v>2571</v>
      </c>
      <c r="J1289" t="s">
        <v>2556</v>
      </c>
      <c r="K1289">
        <v>42</v>
      </c>
      <c r="L1289" s="13" t="s">
        <v>258</v>
      </c>
    </row>
    <row r="1290" spans="1:12" x14ac:dyDescent="0.25">
      <c r="A1290" t="s">
        <v>3967</v>
      </c>
      <c r="B1290" t="s">
        <v>220</v>
      </c>
      <c r="C1290" t="str">
        <f>_xlfn.XLOOKUP(Table7[[#This Row],[app_id]],Table5[app_id],Table5[app_name],"",0)</f>
        <v>PlanMate</v>
      </c>
      <c r="D1290" t="s">
        <v>1022</v>
      </c>
      <c r="E1290" s="1">
        <v>45643</v>
      </c>
      <c r="F1290">
        <v>4</v>
      </c>
      <c r="G1290" t="s">
        <v>2836</v>
      </c>
      <c r="H1290" t="s">
        <v>2564</v>
      </c>
      <c r="I1290" t="s">
        <v>2558</v>
      </c>
      <c r="J1290" t="s">
        <v>2581</v>
      </c>
      <c r="K1290">
        <v>9</v>
      </c>
      <c r="L1290" s="13" t="s">
        <v>257</v>
      </c>
    </row>
    <row r="1291" spans="1:12" x14ac:dyDescent="0.25">
      <c r="A1291" t="s">
        <v>3968</v>
      </c>
      <c r="B1291" t="s">
        <v>222</v>
      </c>
      <c r="C1291" t="str">
        <f>_xlfn.XLOOKUP(Table7[[#This Row],[app_id]],Table5[app_id],Table5[app_name],"",0)</f>
        <v>SyncPlus</v>
      </c>
      <c r="D1291" t="s">
        <v>1706</v>
      </c>
      <c r="E1291" s="1">
        <v>45812</v>
      </c>
      <c r="F1291">
        <v>5</v>
      </c>
      <c r="G1291" t="s">
        <v>2708</v>
      </c>
      <c r="H1291" t="s">
        <v>2564</v>
      </c>
      <c r="I1291" t="s">
        <v>2555</v>
      </c>
      <c r="J1291" t="s">
        <v>2603</v>
      </c>
      <c r="K1291">
        <v>14</v>
      </c>
      <c r="L1291" s="13" t="s">
        <v>257</v>
      </c>
    </row>
    <row r="1292" spans="1:12" x14ac:dyDescent="0.25">
      <c r="A1292" t="s">
        <v>3969</v>
      </c>
      <c r="B1292" t="s">
        <v>223</v>
      </c>
      <c r="C1292" t="str">
        <f>_xlfn.XLOOKUP(Table7[[#This Row],[app_id]],Table5[app_id],Table5[app_name],"",0)</f>
        <v>ClinicPro</v>
      </c>
      <c r="D1292" t="s">
        <v>2156</v>
      </c>
      <c r="E1292" s="1">
        <v>46029</v>
      </c>
      <c r="F1292">
        <v>4</v>
      </c>
      <c r="G1292" t="s">
        <v>2722</v>
      </c>
      <c r="H1292" t="s">
        <v>2564</v>
      </c>
      <c r="I1292" t="s">
        <v>2575</v>
      </c>
      <c r="J1292" t="s">
        <v>2569</v>
      </c>
      <c r="K1292">
        <v>25</v>
      </c>
      <c r="L1292" s="13" t="s">
        <v>257</v>
      </c>
    </row>
    <row r="1293" spans="1:12" x14ac:dyDescent="0.25">
      <c r="A1293" t="s">
        <v>3970</v>
      </c>
      <c r="B1293" t="s">
        <v>226</v>
      </c>
      <c r="C1293" t="str">
        <f>_xlfn.XLOOKUP(Table7[[#This Row],[app_id]],Table5[app_id],Table5[app_name],"",0)</f>
        <v>MindMate</v>
      </c>
      <c r="D1293" t="s">
        <v>867</v>
      </c>
      <c r="E1293" s="1">
        <v>45476</v>
      </c>
      <c r="F1293">
        <v>4</v>
      </c>
      <c r="G1293" t="s">
        <v>2728</v>
      </c>
      <c r="H1293" t="s">
        <v>2564</v>
      </c>
      <c r="I1293" t="s">
        <v>2565</v>
      </c>
      <c r="J1293" t="s">
        <v>2603</v>
      </c>
      <c r="K1293">
        <v>37</v>
      </c>
      <c r="L1293" s="13" t="s">
        <v>258</v>
      </c>
    </row>
    <row r="1294" spans="1:12" x14ac:dyDescent="0.25">
      <c r="A1294" t="s">
        <v>3971</v>
      </c>
      <c r="B1294" t="s">
        <v>228</v>
      </c>
      <c r="C1294" t="str">
        <f>_xlfn.XLOOKUP(Table7[[#This Row],[app_id]],Table5[app_id],Table5[app_name],"",0)</f>
        <v>ClinicOne</v>
      </c>
      <c r="D1294" t="s">
        <v>1424</v>
      </c>
      <c r="E1294" s="1">
        <v>45355</v>
      </c>
      <c r="F1294">
        <v>4</v>
      </c>
      <c r="G1294" t="s">
        <v>2716</v>
      </c>
      <c r="H1294" t="s">
        <v>2564</v>
      </c>
      <c r="I1294" t="s">
        <v>2575</v>
      </c>
      <c r="J1294" t="s">
        <v>2596</v>
      </c>
      <c r="K1294">
        <v>34</v>
      </c>
      <c r="L1294" s="13" t="s">
        <v>258</v>
      </c>
    </row>
    <row r="1295" spans="1:12" x14ac:dyDescent="0.25">
      <c r="A1295" t="s">
        <v>3972</v>
      </c>
      <c r="B1295" t="s">
        <v>230</v>
      </c>
      <c r="C1295" t="str">
        <f>_xlfn.XLOOKUP(Table7[[#This Row],[app_id]],Table5[app_id],Table5[app_name],"",0)</f>
        <v>WellMate</v>
      </c>
      <c r="D1295" t="s">
        <v>1328</v>
      </c>
      <c r="E1295" s="1">
        <v>45475</v>
      </c>
      <c r="F1295">
        <v>4</v>
      </c>
      <c r="G1295" t="s">
        <v>2954</v>
      </c>
      <c r="H1295" t="s">
        <v>2564</v>
      </c>
      <c r="I1295" t="s">
        <v>2565</v>
      </c>
      <c r="J1295" t="s">
        <v>2581</v>
      </c>
      <c r="K1295">
        <v>29</v>
      </c>
      <c r="L1295" s="13" t="s">
        <v>257</v>
      </c>
    </row>
    <row r="1296" spans="1:12" x14ac:dyDescent="0.25">
      <c r="A1296" t="s">
        <v>3973</v>
      </c>
      <c r="B1296" t="s">
        <v>232</v>
      </c>
      <c r="C1296" t="str">
        <f>_xlfn.XLOOKUP(Table7[[#This Row],[app_id]],Table5[app_id],Table5[app_name],"",0)</f>
        <v>MediMate</v>
      </c>
      <c r="D1296" t="s">
        <v>1463</v>
      </c>
      <c r="E1296" s="1">
        <v>45566</v>
      </c>
      <c r="F1296">
        <v>3</v>
      </c>
      <c r="G1296" t="s">
        <v>2718</v>
      </c>
      <c r="H1296" t="s">
        <v>2554</v>
      </c>
      <c r="I1296" t="s">
        <v>2555</v>
      </c>
      <c r="J1296" t="s">
        <v>2556</v>
      </c>
      <c r="K1296">
        <v>11</v>
      </c>
      <c r="L1296" s="13" t="s">
        <v>258</v>
      </c>
    </row>
    <row r="1297" spans="1:12" x14ac:dyDescent="0.25">
      <c r="A1297" t="s">
        <v>3974</v>
      </c>
      <c r="B1297" t="s">
        <v>234</v>
      </c>
      <c r="C1297" t="str">
        <f>_xlfn.XLOOKUP(Table7[[#This Row],[app_id]],Table5[app_id],Table5[app_name],"",0)</f>
        <v>WellNow</v>
      </c>
      <c r="D1297" t="s">
        <v>2169</v>
      </c>
      <c r="E1297" s="1">
        <v>45380</v>
      </c>
      <c r="F1297">
        <v>4</v>
      </c>
      <c r="G1297" t="s">
        <v>2716</v>
      </c>
      <c r="H1297" t="s">
        <v>2564</v>
      </c>
      <c r="I1297" t="s">
        <v>2558</v>
      </c>
      <c r="J1297" t="s">
        <v>2633</v>
      </c>
      <c r="K1297">
        <v>20</v>
      </c>
      <c r="L1297" s="13" t="s">
        <v>257</v>
      </c>
    </row>
    <row r="1298" spans="1:12" x14ac:dyDescent="0.25">
      <c r="A1298" t="s">
        <v>3975</v>
      </c>
      <c r="B1298" t="s">
        <v>236</v>
      </c>
      <c r="C1298" t="str">
        <f>_xlfn.XLOOKUP(Table7[[#This Row],[app_id]],Table5[app_id],Table5[app_name],"",0)</f>
        <v>CareCloud</v>
      </c>
      <c r="D1298" t="s">
        <v>1954</v>
      </c>
      <c r="E1298" s="1">
        <v>46105</v>
      </c>
      <c r="F1298">
        <v>3</v>
      </c>
      <c r="G1298" t="s">
        <v>2720</v>
      </c>
      <c r="H1298" t="s">
        <v>2554</v>
      </c>
      <c r="I1298" t="s">
        <v>2578</v>
      </c>
      <c r="J1298" t="s">
        <v>2556</v>
      </c>
      <c r="K1298">
        <v>18</v>
      </c>
      <c r="L1298" s="13" t="s">
        <v>257</v>
      </c>
    </row>
    <row r="1299" spans="1:12" x14ac:dyDescent="0.25">
      <c r="A1299" t="s">
        <v>3976</v>
      </c>
      <c r="B1299" t="s">
        <v>238</v>
      </c>
      <c r="C1299" t="str">
        <f>_xlfn.XLOOKUP(Table7[[#This Row],[app_id]],Table5[app_id],Table5[app_name],"",0)</f>
        <v>MediNow</v>
      </c>
      <c r="D1299" t="s">
        <v>825</v>
      </c>
      <c r="E1299" s="1">
        <v>45474</v>
      </c>
      <c r="F1299">
        <v>5</v>
      </c>
      <c r="G1299" t="s">
        <v>2722</v>
      </c>
      <c r="H1299" t="s">
        <v>2564</v>
      </c>
      <c r="I1299" t="s">
        <v>2571</v>
      </c>
      <c r="J1299" t="s">
        <v>2556</v>
      </c>
      <c r="K1299">
        <v>2</v>
      </c>
      <c r="L1299" s="13" t="s">
        <v>257</v>
      </c>
    </row>
    <row r="1300" spans="1:12" x14ac:dyDescent="0.25">
      <c r="A1300" t="s">
        <v>3977</v>
      </c>
      <c r="B1300" t="s">
        <v>240</v>
      </c>
      <c r="C1300" t="str">
        <f>_xlfn.XLOOKUP(Table7[[#This Row],[app_id]],Table5[app_id],Table5[app_name],"",0)</f>
        <v>MindPlus</v>
      </c>
      <c r="D1300" t="s">
        <v>2243</v>
      </c>
      <c r="E1300" s="1">
        <v>46089</v>
      </c>
      <c r="F1300">
        <v>4</v>
      </c>
      <c r="G1300" t="s">
        <v>2728</v>
      </c>
      <c r="H1300" t="s">
        <v>2564</v>
      </c>
      <c r="I1300" t="s">
        <v>2558</v>
      </c>
      <c r="J1300" t="s">
        <v>2566</v>
      </c>
      <c r="K1300">
        <v>47</v>
      </c>
      <c r="L1300" s="13" t="s">
        <v>257</v>
      </c>
    </row>
    <row r="1301" spans="1:12" x14ac:dyDescent="0.25">
      <c r="A1301" t="s">
        <v>3978</v>
      </c>
      <c r="B1301" t="s">
        <v>242</v>
      </c>
      <c r="C1301" t="str">
        <f>_xlfn.XLOOKUP(Table7[[#This Row],[app_id]],Table5[app_id],Table5[app_name],"",0)</f>
        <v>MediCloud</v>
      </c>
      <c r="D1301" t="s">
        <v>1709</v>
      </c>
      <c r="E1301" s="1">
        <v>45529</v>
      </c>
      <c r="F1301">
        <v>5</v>
      </c>
      <c r="G1301" t="s">
        <v>2716</v>
      </c>
      <c r="H1301" t="s">
        <v>2564</v>
      </c>
      <c r="I1301" t="s">
        <v>2575</v>
      </c>
      <c r="J1301" t="s">
        <v>2561</v>
      </c>
      <c r="K1301">
        <v>16</v>
      </c>
      <c r="L1301" s="13" t="s">
        <v>257</v>
      </c>
    </row>
    <row r="1302" spans="1:12" x14ac:dyDescent="0.25">
      <c r="A1302" t="s">
        <v>3979</v>
      </c>
      <c r="B1302" t="s">
        <v>12</v>
      </c>
      <c r="C1302" t="str">
        <f>_xlfn.XLOOKUP(Table7[[#This Row],[app_id]],Table5[app_id],Table5[app_name],"",0)</f>
        <v>InvestPro</v>
      </c>
      <c r="D1302" t="s">
        <v>1967</v>
      </c>
      <c r="E1302" s="1">
        <v>45638</v>
      </c>
      <c r="F1302">
        <v>2</v>
      </c>
      <c r="G1302" t="s">
        <v>3276</v>
      </c>
      <c r="H1302" t="s">
        <v>2587</v>
      </c>
      <c r="I1302" t="s">
        <v>2588</v>
      </c>
      <c r="J1302" t="s">
        <v>2633</v>
      </c>
      <c r="K1302">
        <v>40</v>
      </c>
      <c r="L1302" s="13" t="s">
        <v>257</v>
      </c>
    </row>
    <row r="1303" spans="1:12" x14ac:dyDescent="0.25">
      <c r="A1303" t="s">
        <v>3980</v>
      </c>
      <c r="B1303" t="s">
        <v>19</v>
      </c>
      <c r="C1303" t="str">
        <f>_xlfn.XLOOKUP(Table7[[#This Row],[app_id]],Table5[app_id],Table5[app_name],"",0)</f>
        <v>BankPro</v>
      </c>
      <c r="D1303" t="s">
        <v>838</v>
      </c>
      <c r="E1303" s="1">
        <v>46134</v>
      </c>
      <c r="F1303">
        <v>3</v>
      </c>
      <c r="G1303" t="s">
        <v>2583</v>
      </c>
      <c r="H1303" t="s">
        <v>2554</v>
      </c>
      <c r="I1303" t="s">
        <v>2588</v>
      </c>
      <c r="J1303" t="s">
        <v>2603</v>
      </c>
      <c r="K1303">
        <v>48</v>
      </c>
      <c r="L1303" s="13" t="s">
        <v>257</v>
      </c>
    </row>
    <row r="1304" spans="1:12" x14ac:dyDescent="0.25">
      <c r="A1304" t="s">
        <v>3981</v>
      </c>
      <c r="B1304" t="s">
        <v>24</v>
      </c>
      <c r="C1304" t="str">
        <f>_xlfn.XLOOKUP(Table7[[#This Row],[app_id]],Table5[app_id],Table5[app_name],"",0)</f>
        <v>BankX</v>
      </c>
      <c r="D1304" t="s">
        <v>1677</v>
      </c>
      <c r="E1304" s="1">
        <v>45505</v>
      </c>
      <c r="F1304">
        <v>4</v>
      </c>
      <c r="G1304" t="s">
        <v>2568</v>
      </c>
      <c r="H1304" t="s">
        <v>2564</v>
      </c>
      <c r="I1304" t="s">
        <v>2575</v>
      </c>
      <c r="J1304" t="s">
        <v>2603</v>
      </c>
      <c r="K1304">
        <v>3</v>
      </c>
      <c r="L1304" s="13" t="s">
        <v>257</v>
      </c>
    </row>
    <row r="1305" spans="1:12" x14ac:dyDescent="0.25">
      <c r="A1305" t="s">
        <v>3982</v>
      </c>
      <c r="B1305" t="s">
        <v>27</v>
      </c>
      <c r="C1305" t="str">
        <f>_xlfn.XLOOKUP(Table7[[#This Row],[app_id]],Table5[app_id],Table5[app_name],"",0)</f>
        <v>BankNow</v>
      </c>
      <c r="D1305" t="s">
        <v>2457</v>
      </c>
      <c r="E1305" s="1">
        <v>45774</v>
      </c>
      <c r="F1305">
        <v>3</v>
      </c>
      <c r="G1305" t="s">
        <v>2583</v>
      </c>
      <c r="H1305" t="s">
        <v>2554</v>
      </c>
      <c r="I1305" t="s">
        <v>2588</v>
      </c>
      <c r="J1305" t="s">
        <v>2559</v>
      </c>
      <c r="K1305">
        <v>17</v>
      </c>
      <c r="L1305" s="13" t="s">
        <v>257</v>
      </c>
    </row>
    <row r="1306" spans="1:12" x14ac:dyDescent="0.25">
      <c r="A1306" t="s">
        <v>3983</v>
      </c>
      <c r="B1306" t="s">
        <v>31</v>
      </c>
      <c r="C1306" t="str">
        <f>_xlfn.XLOOKUP(Table7[[#This Row],[app_id]],Table5[app_id],Table5[app_name],"",0)</f>
        <v>CreditHub</v>
      </c>
      <c r="D1306" t="s">
        <v>1470</v>
      </c>
      <c r="E1306" s="1">
        <v>45852</v>
      </c>
      <c r="F1306">
        <v>4</v>
      </c>
      <c r="G1306" t="s">
        <v>2580</v>
      </c>
      <c r="H1306" t="s">
        <v>2564</v>
      </c>
      <c r="I1306" t="s">
        <v>2571</v>
      </c>
      <c r="J1306" t="s">
        <v>2581</v>
      </c>
      <c r="K1306">
        <v>30</v>
      </c>
      <c r="L1306" s="13" t="s">
        <v>257</v>
      </c>
    </row>
    <row r="1307" spans="1:12" x14ac:dyDescent="0.25">
      <c r="A1307" t="s">
        <v>3984</v>
      </c>
      <c r="B1307" t="s">
        <v>36</v>
      </c>
      <c r="C1307" t="str">
        <f>_xlfn.XLOOKUP(Table7[[#This Row],[app_id]],Table5[app_id],Table5[app_name],"",0)</f>
        <v>PayPlus</v>
      </c>
      <c r="D1307" t="s">
        <v>1665</v>
      </c>
      <c r="E1307" s="1">
        <v>45559</v>
      </c>
      <c r="F1307">
        <v>3</v>
      </c>
      <c r="G1307" t="s">
        <v>2553</v>
      </c>
      <c r="H1307" t="s">
        <v>2554</v>
      </c>
      <c r="I1307" t="s">
        <v>2588</v>
      </c>
      <c r="J1307" t="s">
        <v>2633</v>
      </c>
      <c r="K1307">
        <v>8</v>
      </c>
      <c r="L1307" s="13" t="s">
        <v>257</v>
      </c>
    </row>
    <row r="1308" spans="1:12" x14ac:dyDescent="0.25">
      <c r="A1308" t="s">
        <v>3985</v>
      </c>
      <c r="B1308" t="s">
        <v>39</v>
      </c>
      <c r="C1308" t="str">
        <f>_xlfn.XLOOKUP(Table7[[#This Row],[app_id]],Table5[app_id],Table5[app_name],"",0)</f>
        <v>BankPlus</v>
      </c>
      <c r="D1308" t="s">
        <v>1603</v>
      </c>
      <c r="E1308" s="1">
        <v>45881</v>
      </c>
      <c r="F1308">
        <v>5</v>
      </c>
      <c r="G1308" t="s">
        <v>2573</v>
      </c>
      <c r="H1308" t="s">
        <v>2564</v>
      </c>
      <c r="I1308" t="s">
        <v>2555</v>
      </c>
      <c r="J1308" t="s">
        <v>2596</v>
      </c>
      <c r="K1308">
        <v>22</v>
      </c>
      <c r="L1308" s="13" t="s">
        <v>257</v>
      </c>
    </row>
    <row r="1309" spans="1:12" x14ac:dyDescent="0.25">
      <c r="A1309" t="s">
        <v>3986</v>
      </c>
      <c r="B1309" t="s">
        <v>42</v>
      </c>
      <c r="C1309" t="str">
        <f>_xlfn.XLOOKUP(Table7[[#This Row],[app_id]],Table5[app_id],Table5[app_name],"",0)</f>
        <v>CoinPlus</v>
      </c>
      <c r="D1309" t="s">
        <v>1039</v>
      </c>
      <c r="E1309" s="1">
        <v>45449</v>
      </c>
      <c r="F1309">
        <v>4</v>
      </c>
      <c r="G1309" t="s">
        <v>2568</v>
      </c>
      <c r="H1309" t="s">
        <v>2564</v>
      </c>
      <c r="I1309" t="s">
        <v>2555</v>
      </c>
      <c r="J1309" t="s">
        <v>2569</v>
      </c>
      <c r="K1309">
        <v>22</v>
      </c>
      <c r="L1309" s="13" t="s">
        <v>257</v>
      </c>
    </row>
    <row r="1310" spans="1:12" x14ac:dyDescent="0.25">
      <c r="A1310" t="s">
        <v>3987</v>
      </c>
      <c r="B1310" t="s">
        <v>47</v>
      </c>
      <c r="C1310" t="str">
        <f>_xlfn.XLOOKUP(Table7[[#This Row],[app_id]],Table5[app_id],Table5[app_name],"",0)</f>
        <v>CreditOne</v>
      </c>
      <c r="D1310" t="s">
        <v>1128</v>
      </c>
      <c r="E1310" s="1">
        <v>46006</v>
      </c>
      <c r="F1310">
        <v>2</v>
      </c>
      <c r="G1310" t="s">
        <v>2740</v>
      </c>
      <c r="H1310" t="s">
        <v>2587</v>
      </c>
      <c r="I1310" t="s">
        <v>2571</v>
      </c>
      <c r="J1310" t="s">
        <v>2566</v>
      </c>
      <c r="K1310">
        <v>69</v>
      </c>
      <c r="L1310" s="13" t="s">
        <v>258</v>
      </c>
    </row>
    <row r="1311" spans="1:12" x14ac:dyDescent="0.25">
      <c r="A1311" t="s">
        <v>3988</v>
      </c>
      <c r="B1311" t="s">
        <v>49</v>
      </c>
      <c r="C1311" t="str">
        <f>_xlfn.XLOOKUP(Table7[[#This Row],[app_id]],Table5[app_id],Table5[app_name],"",0)</f>
        <v>PayPro</v>
      </c>
      <c r="D1311" t="s">
        <v>1260</v>
      </c>
      <c r="E1311" s="1">
        <v>45587</v>
      </c>
      <c r="F1311">
        <v>3</v>
      </c>
      <c r="G1311" t="s">
        <v>2583</v>
      </c>
      <c r="H1311" t="s">
        <v>2554</v>
      </c>
      <c r="I1311" t="s">
        <v>2578</v>
      </c>
      <c r="J1311" t="s">
        <v>2600</v>
      </c>
      <c r="K1311">
        <v>16</v>
      </c>
      <c r="L1311" s="13" t="s">
        <v>257</v>
      </c>
    </row>
    <row r="1312" spans="1:12" x14ac:dyDescent="0.25">
      <c r="A1312" t="s">
        <v>3989</v>
      </c>
      <c r="B1312" t="s">
        <v>51</v>
      </c>
      <c r="C1312" t="str">
        <f>_xlfn.XLOOKUP(Table7[[#This Row],[app_id]],Table5[app_id],Table5[app_name],"",0)</f>
        <v>Creditly</v>
      </c>
      <c r="D1312" t="s">
        <v>2513</v>
      </c>
      <c r="E1312" s="1">
        <v>45790</v>
      </c>
      <c r="F1312">
        <v>4</v>
      </c>
      <c r="G1312" t="s">
        <v>2568</v>
      </c>
      <c r="H1312" t="s">
        <v>2564</v>
      </c>
      <c r="I1312" t="s">
        <v>2565</v>
      </c>
      <c r="J1312" t="s">
        <v>2559</v>
      </c>
      <c r="K1312">
        <v>43</v>
      </c>
      <c r="L1312" s="13" t="s">
        <v>258</v>
      </c>
    </row>
    <row r="1313" spans="1:12" x14ac:dyDescent="0.25">
      <c r="A1313" t="s">
        <v>3990</v>
      </c>
      <c r="B1313" t="s">
        <v>53</v>
      </c>
      <c r="C1313" t="str">
        <f>_xlfn.XLOOKUP(Table7[[#This Row],[app_id]],Table5[app_id],Table5[app_name],"",0)</f>
        <v>PayX</v>
      </c>
      <c r="D1313" t="s">
        <v>1738</v>
      </c>
      <c r="E1313" s="1">
        <v>45920</v>
      </c>
      <c r="F1313">
        <v>4</v>
      </c>
      <c r="G1313" t="s">
        <v>2573</v>
      </c>
      <c r="H1313" t="s">
        <v>2564</v>
      </c>
      <c r="I1313" t="s">
        <v>2565</v>
      </c>
      <c r="J1313" t="s">
        <v>2633</v>
      </c>
      <c r="K1313">
        <v>39</v>
      </c>
      <c r="L1313" s="13" t="s">
        <v>258</v>
      </c>
    </row>
    <row r="1314" spans="1:12" x14ac:dyDescent="0.25">
      <c r="A1314" t="s">
        <v>3991</v>
      </c>
      <c r="B1314" t="s">
        <v>56</v>
      </c>
      <c r="C1314" t="str">
        <f>_xlfn.XLOOKUP(Table7[[#This Row],[app_id]],Table5[app_id],Table5[app_name],"",0)</f>
        <v>DealGo</v>
      </c>
      <c r="D1314" t="s">
        <v>2264</v>
      </c>
      <c r="E1314" s="1">
        <v>46114</v>
      </c>
      <c r="F1314">
        <v>2</v>
      </c>
      <c r="G1314" t="s">
        <v>2586</v>
      </c>
      <c r="H1314" t="s">
        <v>2587</v>
      </c>
      <c r="I1314" t="s">
        <v>2558</v>
      </c>
      <c r="J1314" t="s">
        <v>2633</v>
      </c>
      <c r="K1314">
        <v>89</v>
      </c>
      <c r="L1314" s="13" t="s">
        <v>257</v>
      </c>
    </row>
    <row r="1315" spans="1:12" x14ac:dyDescent="0.25">
      <c r="A1315" t="s">
        <v>3992</v>
      </c>
      <c r="B1315" t="s">
        <v>62</v>
      </c>
      <c r="C1315" t="str">
        <f>_xlfn.XLOOKUP(Table7[[#This Row],[app_id]],Table5[app_id],Table5[app_name],"",0)</f>
        <v>MallNow</v>
      </c>
      <c r="D1315" t="s">
        <v>1234</v>
      </c>
      <c r="E1315" s="1">
        <v>45836</v>
      </c>
      <c r="F1315">
        <v>4</v>
      </c>
      <c r="G1315" t="s">
        <v>2590</v>
      </c>
      <c r="H1315" t="s">
        <v>2564</v>
      </c>
      <c r="I1315" t="s">
        <v>2565</v>
      </c>
      <c r="J1315" t="s">
        <v>2581</v>
      </c>
      <c r="K1315">
        <v>28</v>
      </c>
      <c r="L1315" s="13" t="s">
        <v>258</v>
      </c>
    </row>
    <row r="1316" spans="1:12" x14ac:dyDescent="0.25">
      <c r="A1316" t="s">
        <v>3993</v>
      </c>
      <c r="B1316" t="s">
        <v>65</v>
      </c>
      <c r="C1316" t="str">
        <f>_xlfn.XLOOKUP(Table7[[#This Row],[app_id]],Table5[app_id],Table5[app_name],"",0)</f>
        <v>DealPro</v>
      </c>
      <c r="D1316" t="s">
        <v>1557</v>
      </c>
      <c r="E1316" s="1">
        <v>45412</v>
      </c>
      <c r="F1316">
        <v>4</v>
      </c>
      <c r="G1316" t="s">
        <v>2598</v>
      </c>
      <c r="H1316" t="s">
        <v>2564</v>
      </c>
      <c r="I1316" t="s">
        <v>2558</v>
      </c>
      <c r="J1316" t="s">
        <v>2569</v>
      </c>
      <c r="K1316">
        <v>37</v>
      </c>
      <c r="L1316" s="13" t="s">
        <v>257</v>
      </c>
    </row>
    <row r="1317" spans="1:12" x14ac:dyDescent="0.25">
      <c r="A1317" t="s">
        <v>3994</v>
      </c>
      <c r="B1317" t="s">
        <v>67</v>
      </c>
      <c r="C1317" t="str">
        <f>_xlfn.XLOOKUP(Table7[[#This Row],[app_id]],Table5[app_id],Table5[app_name],"",0)</f>
        <v>StyleNow</v>
      </c>
      <c r="D1317" t="s">
        <v>2492</v>
      </c>
      <c r="E1317" s="1">
        <v>45484</v>
      </c>
      <c r="F1317">
        <v>2</v>
      </c>
      <c r="G1317" t="s">
        <v>3078</v>
      </c>
      <c r="H1317" t="s">
        <v>2587</v>
      </c>
      <c r="I1317" t="s">
        <v>2571</v>
      </c>
      <c r="J1317" t="s">
        <v>2561</v>
      </c>
      <c r="K1317">
        <v>82</v>
      </c>
      <c r="L1317" s="13" t="s">
        <v>257</v>
      </c>
    </row>
    <row r="1318" spans="1:12" x14ac:dyDescent="0.25">
      <c r="A1318" t="s">
        <v>3995</v>
      </c>
      <c r="B1318" t="s">
        <v>70</v>
      </c>
      <c r="C1318" t="str">
        <f>_xlfn.XLOOKUP(Table7[[#This Row],[app_id]],Table5[app_id],Table5[app_name],"",0)</f>
        <v>DealCloud</v>
      </c>
      <c r="D1318" t="s">
        <v>856</v>
      </c>
      <c r="E1318" s="1">
        <v>46096</v>
      </c>
      <c r="F1318">
        <v>4</v>
      </c>
      <c r="G1318" t="s">
        <v>2867</v>
      </c>
      <c r="H1318" t="s">
        <v>2564</v>
      </c>
      <c r="I1318" t="s">
        <v>2565</v>
      </c>
      <c r="J1318" t="s">
        <v>2556</v>
      </c>
      <c r="K1318">
        <v>14</v>
      </c>
      <c r="L1318" s="13" t="s">
        <v>257</v>
      </c>
    </row>
    <row r="1319" spans="1:12" x14ac:dyDescent="0.25">
      <c r="A1319" t="s">
        <v>3996</v>
      </c>
      <c r="B1319" t="s">
        <v>72</v>
      </c>
      <c r="C1319" t="str">
        <f>_xlfn.XLOOKUP(Table7[[#This Row],[app_id]],Table5[app_id],Table5[app_name],"",0)</f>
        <v>CartCloud</v>
      </c>
      <c r="D1319" t="s">
        <v>855</v>
      </c>
      <c r="E1319" s="1">
        <v>45408</v>
      </c>
      <c r="F1319">
        <v>4</v>
      </c>
      <c r="G1319" t="s">
        <v>2867</v>
      </c>
      <c r="H1319" t="s">
        <v>2564</v>
      </c>
      <c r="I1319" t="s">
        <v>2558</v>
      </c>
      <c r="J1319" t="s">
        <v>2556</v>
      </c>
      <c r="K1319">
        <v>7</v>
      </c>
      <c r="L1319" s="13" t="s">
        <v>257</v>
      </c>
    </row>
    <row r="1320" spans="1:12" x14ac:dyDescent="0.25">
      <c r="A1320" t="s">
        <v>3997</v>
      </c>
      <c r="B1320" t="s">
        <v>74</v>
      </c>
      <c r="C1320" t="str">
        <f>_xlfn.XLOOKUP(Table7[[#This Row],[app_id]],Table5[app_id],Table5[app_name],"",0)</f>
        <v>CartMate</v>
      </c>
      <c r="D1320" t="s">
        <v>2542</v>
      </c>
      <c r="E1320" s="1">
        <v>45685</v>
      </c>
      <c r="F1320">
        <v>3</v>
      </c>
      <c r="G1320" t="s">
        <v>2602</v>
      </c>
      <c r="H1320" t="s">
        <v>2554</v>
      </c>
      <c r="I1320" t="s">
        <v>2578</v>
      </c>
      <c r="J1320" t="s">
        <v>2569</v>
      </c>
      <c r="K1320">
        <v>8</v>
      </c>
      <c r="L1320" s="13" t="s">
        <v>257</v>
      </c>
    </row>
    <row r="1321" spans="1:12" x14ac:dyDescent="0.25">
      <c r="A1321" t="s">
        <v>3998</v>
      </c>
      <c r="B1321" t="s">
        <v>76</v>
      </c>
      <c r="C1321" t="str">
        <f>_xlfn.XLOOKUP(Table7[[#This Row],[app_id]],Table5[app_id],Table5[app_name],"",0)</f>
        <v>BazaarOne</v>
      </c>
      <c r="D1321" t="s">
        <v>897</v>
      </c>
      <c r="E1321" s="1">
        <v>45321</v>
      </c>
      <c r="F1321">
        <v>4</v>
      </c>
      <c r="G1321" t="s">
        <v>2592</v>
      </c>
      <c r="H1321" t="s">
        <v>2564</v>
      </c>
      <c r="I1321" t="s">
        <v>2575</v>
      </c>
      <c r="J1321" t="s">
        <v>2633</v>
      </c>
      <c r="K1321">
        <v>6</v>
      </c>
      <c r="L1321" s="13" t="s">
        <v>257</v>
      </c>
    </row>
    <row r="1322" spans="1:12" x14ac:dyDescent="0.25">
      <c r="A1322" t="s">
        <v>3999</v>
      </c>
      <c r="B1322" t="s">
        <v>78</v>
      </c>
      <c r="C1322" t="str">
        <f>_xlfn.XLOOKUP(Table7[[#This Row],[app_id]],Table5[app_id],Table5[app_name],"",0)</f>
        <v>StyleOne</v>
      </c>
      <c r="D1322" t="s">
        <v>1536</v>
      </c>
      <c r="E1322" s="1">
        <v>45782</v>
      </c>
      <c r="F1322">
        <v>4</v>
      </c>
      <c r="G1322" t="s">
        <v>2598</v>
      </c>
      <c r="H1322" t="s">
        <v>2564</v>
      </c>
      <c r="I1322" t="s">
        <v>2565</v>
      </c>
      <c r="J1322" t="s">
        <v>2633</v>
      </c>
      <c r="K1322">
        <v>26</v>
      </c>
      <c r="L1322" s="13" t="s">
        <v>258</v>
      </c>
    </row>
    <row r="1323" spans="1:12" x14ac:dyDescent="0.25">
      <c r="A1323" t="s">
        <v>4000</v>
      </c>
      <c r="B1323" t="s">
        <v>80</v>
      </c>
      <c r="C1323" t="str">
        <f>_xlfn.XLOOKUP(Table7[[#This Row],[app_id]],Table5[app_id],Table5[app_name],"",0)</f>
        <v>Cartly</v>
      </c>
      <c r="D1323" t="s">
        <v>1044</v>
      </c>
      <c r="E1323" s="1">
        <v>45435</v>
      </c>
      <c r="F1323">
        <v>5</v>
      </c>
      <c r="G1323" t="s">
        <v>2867</v>
      </c>
      <c r="H1323" t="s">
        <v>2564</v>
      </c>
      <c r="I1323" t="s">
        <v>2565</v>
      </c>
      <c r="J1323" t="s">
        <v>2633</v>
      </c>
      <c r="K1323">
        <v>22</v>
      </c>
      <c r="L1323" s="13" t="s">
        <v>258</v>
      </c>
    </row>
    <row r="1324" spans="1:12" x14ac:dyDescent="0.25">
      <c r="A1324" t="s">
        <v>4001</v>
      </c>
      <c r="B1324" t="s">
        <v>83</v>
      </c>
      <c r="C1324" t="str">
        <f>_xlfn.XLOOKUP(Table7[[#This Row],[app_id]],Table5[app_id],Table5[app_name],"",0)</f>
        <v>BazaarCloud</v>
      </c>
      <c r="D1324" t="s">
        <v>1928</v>
      </c>
      <c r="E1324" s="1">
        <v>45753</v>
      </c>
      <c r="F1324">
        <v>4</v>
      </c>
      <c r="G1324" t="s">
        <v>2867</v>
      </c>
      <c r="H1324" t="s">
        <v>2564</v>
      </c>
      <c r="I1324" t="s">
        <v>2565</v>
      </c>
      <c r="J1324" t="s">
        <v>2561</v>
      </c>
      <c r="K1324">
        <v>45</v>
      </c>
      <c r="L1324" s="13" t="s">
        <v>257</v>
      </c>
    </row>
    <row r="1325" spans="1:12" x14ac:dyDescent="0.25">
      <c r="A1325" t="s">
        <v>4002</v>
      </c>
      <c r="B1325" t="s">
        <v>85</v>
      </c>
      <c r="C1325" t="str">
        <f>_xlfn.XLOOKUP(Table7[[#This Row],[app_id]],Table5[app_id],Table5[app_name],"",0)</f>
        <v>CartPro</v>
      </c>
      <c r="D1325" t="s">
        <v>2203</v>
      </c>
      <c r="E1325" s="1">
        <v>46091</v>
      </c>
      <c r="F1325">
        <v>4</v>
      </c>
      <c r="G1325" t="s">
        <v>2590</v>
      </c>
      <c r="H1325" t="s">
        <v>2564</v>
      </c>
      <c r="I1325" t="s">
        <v>2555</v>
      </c>
      <c r="J1325" t="s">
        <v>2581</v>
      </c>
      <c r="K1325">
        <v>23</v>
      </c>
      <c r="L1325" s="13" t="s">
        <v>257</v>
      </c>
    </row>
    <row r="1326" spans="1:12" x14ac:dyDescent="0.25">
      <c r="A1326" t="s">
        <v>4003</v>
      </c>
      <c r="B1326" t="s">
        <v>87</v>
      </c>
      <c r="C1326" t="str">
        <f>_xlfn.XLOOKUP(Table7[[#This Row],[app_id]],Table5[app_id],Table5[app_name],"",0)</f>
        <v>RunPlus</v>
      </c>
      <c r="D1326" t="s">
        <v>1596</v>
      </c>
      <c r="E1326" s="1">
        <v>45756</v>
      </c>
      <c r="F1326">
        <v>4</v>
      </c>
      <c r="G1326" t="s">
        <v>2617</v>
      </c>
      <c r="H1326" t="s">
        <v>2564</v>
      </c>
      <c r="I1326" t="s">
        <v>2571</v>
      </c>
      <c r="J1326" t="s">
        <v>2596</v>
      </c>
      <c r="K1326">
        <v>3</v>
      </c>
      <c r="L1326" s="13" t="s">
        <v>257</v>
      </c>
    </row>
    <row r="1327" spans="1:12" x14ac:dyDescent="0.25">
      <c r="A1327" t="s">
        <v>4004</v>
      </c>
      <c r="B1327" t="s">
        <v>90</v>
      </c>
      <c r="C1327" t="str">
        <f>_xlfn.XLOOKUP(Table7[[#This Row],[app_id]],Table5[app_id],Table5[app_name],"",0)</f>
        <v>TrainCloud</v>
      </c>
      <c r="D1327" t="s">
        <v>2382</v>
      </c>
      <c r="E1327" s="1">
        <v>45684</v>
      </c>
      <c r="F1327">
        <v>3</v>
      </c>
      <c r="G1327" t="s">
        <v>2770</v>
      </c>
      <c r="H1327" t="s">
        <v>2554</v>
      </c>
      <c r="I1327" t="s">
        <v>2571</v>
      </c>
      <c r="J1327" t="s">
        <v>2600</v>
      </c>
      <c r="K1327">
        <v>8</v>
      </c>
      <c r="L1327" s="13" t="s">
        <v>257</v>
      </c>
    </row>
    <row r="1328" spans="1:12" x14ac:dyDescent="0.25">
      <c r="A1328" t="s">
        <v>4005</v>
      </c>
      <c r="B1328" t="s">
        <v>92</v>
      </c>
      <c r="C1328" t="str">
        <f>_xlfn.XLOOKUP(Table7[[#This Row],[app_id]],Table5[app_id],Table5[app_name],"",0)</f>
        <v>Trainly</v>
      </c>
      <c r="D1328" t="s">
        <v>836</v>
      </c>
      <c r="E1328" s="1">
        <v>45517</v>
      </c>
      <c r="F1328">
        <v>3</v>
      </c>
      <c r="G1328" t="s">
        <v>2620</v>
      </c>
      <c r="H1328" t="s">
        <v>2554</v>
      </c>
      <c r="I1328" t="s">
        <v>2578</v>
      </c>
      <c r="J1328" t="s">
        <v>2603</v>
      </c>
      <c r="K1328">
        <v>28</v>
      </c>
      <c r="L1328" s="13" t="s">
        <v>257</v>
      </c>
    </row>
    <row r="1329" spans="1:12" x14ac:dyDescent="0.25">
      <c r="A1329" t="s">
        <v>4006</v>
      </c>
      <c r="B1329" t="s">
        <v>94</v>
      </c>
      <c r="C1329" t="str">
        <f>_xlfn.XLOOKUP(Table7[[#This Row],[app_id]],Table5[app_id],Table5[app_name],"",0)</f>
        <v>LiftCloud</v>
      </c>
      <c r="D1329" t="s">
        <v>1318</v>
      </c>
      <c r="E1329" s="1">
        <v>45390</v>
      </c>
      <c r="F1329">
        <v>4</v>
      </c>
      <c r="G1329" t="s">
        <v>2622</v>
      </c>
      <c r="H1329" t="s">
        <v>2564</v>
      </c>
      <c r="I1329" t="s">
        <v>2571</v>
      </c>
      <c r="J1329" t="s">
        <v>2566</v>
      </c>
      <c r="K1329">
        <v>42</v>
      </c>
      <c r="L1329" s="13" t="s">
        <v>257</v>
      </c>
    </row>
    <row r="1330" spans="1:12" x14ac:dyDescent="0.25">
      <c r="A1330" t="s">
        <v>4007</v>
      </c>
      <c r="B1330" t="s">
        <v>96</v>
      </c>
      <c r="C1330" t="str">
        <f>_xlfn.XLOOKUP(Table7[[#This Row],[app_id]],Table5[app_id],Table5[app_name],"",0)</f>
        <v>MoveNow</v>
      </c>
      <c r="D1330" t="s">
        <v>982</v>
      </c>
      <c r="E1330" s="1">
        <v>45660</v>
      </c>
      <c r="F1330">
        <v>5</v>
      </c>
      <c r="G1330" t="s">
        <v>2617</v>
      </c>
      <c r="H1330" t="s">
        <v>2564</v>
      </c>
      <c r="I1330" t="s">
        <v>2558</v>
      </c>
      <c r="J1330" t="s">
        <v>2603</v>
      </c>
      <c r="K1330">
        <v>46</v>
      </c>
      <c r="L1330" s="13" t="s">
        <v>257</v>
      </c>
    </row>
    <row r="1331" spans="1:12" x14ac:dyDescent="0.25">
      <c r="A1331" t="s">
        <v>4008</v>
      </c>
      <c r="B1331" t="s">
        <v>98</v>
      </c>
      <c r="C1331" t="str">
        <f>_xlfn.XLOOKUP(Table7[[#This Row],[app_id]],Table5[app_id],Table5[app_name],"",0)</f>
        <v>ActiveMate</v>
      </c>
      <c r="D1331" t="s">
        <v>1104</v>
      </c>
      <c r="E1331" s="1">
        <v>45401</v>
      </c>
      <c r="F1331">
        <v>3</v>
      </c>
      <c r="G1331" t="s">
        <v>2611</v>
      </c>
      <c r="H1331" t="s">
        <v>2554</v>
      </c>
      <c r="I1331" t="s">
        <v>2571</v>
      </c>
      <c r="J1331" t="s">
        <v>2559</v>
      </c>
      <c r="K1331">
        <v>8</v>
      </c>
      <c r="L1331" s="13" t="s">
        <v>257</v>
      </c>
    </row>
    <row r="1332" spans="1:12" x14ac:dyDescent="0.25">
      <c r="A1332" t="s">
        <v>4009</v>
      </c>
      <c r="B1332" t="s">
        <v>100</v>
      </c>
      <c r="C1332" t="str">
        <f>_xlfn.XLOOKUP(Table7[[#This Row],[app_id]],Table5[app_id],Table5[app_name],"",0)</f>
        <v>RunGo</v>
      </c>
      <c r="D1332" t="s">
        <v>1039</v>
      </c>
      <c r="E1332" s="1">
        <v>45635</v>
      </c>
      <c r="F1332">
        <v>3</v>
      </c>
      <c r="G1332" t="s">
        <v>2770</v>
      </c>
      <c r="H1332" t="s">
        <v>2554</v>
      </c>
      <c r="I1332" t="s">
        <v>2578</v>
      </c>
      <c r="J1332" t="s">
        <v>2569</v>
      </c>
      <c r="K1332">
        <v>14</v>
      </c>
      <c r="L1332" s="13" t="s">
        <v>257</v>
      </c>
    </row>
    <row r="1333" spans="1:12" x14ac:dyDescent="0.25">
      <c r="A1333" t="s">
        <v>4010</v>
      </c>
      <c r="B1333" t="s">
        <v>102</v>
      </c>
      <c r="C1333" t="str">
        <f>_xlfn.XLOOKUP(Table7[[#This Row],[app_id]],Table5[app_id],Table5[app_name],"",0)</f>
        <v>LiftPro</v>
      </c>
      <c r="D1333" t="s">
        <v>807</v>
      </c>
      <c r="E1333" s="1">
        <v>45393</v>
      </c>
      <c r="F1333">
        <v>4</v>
      </c>
      <c r="G1333" t="s">
        <v>2622</v>
      </c>
      <c r="H1333" t="s">
        <v>2564</v>
      </c>
      <c r="I1333" t="s">
        <v>2558</v>
      </c>
      <c r="J1333" t="s">
        <v>2581</v>
      </c>
      <c r="K1333">
        <v>27</v>
      </c>
      <c r="L1333" s="13" t="s">
        <v>257</v>
      </c>
    </row>
    <row r="1334" spans="1:12" x14ac:dyDescent="0.25">
      <c r="A1334" t="s">
        <v>4011</v>
      </c>
      <c r="B1334" t="s">
        <v>104</v>
      </c>
      <c r="C1334" t="str">
        <f>_xlfn.XLOOKUP(Table7[[#This Row],[app_id]],Table5[app_id],Table5[app_name],"",0)</f>
        <v>LiftPro</v>
      </c>
      <c r="D1334" t="s">
        <v>2297</v>
      </c>
      <c r="E1334" s="1">
        <v>45895</v>
      </c>
      <c r="F1334">
        <v>4</v>
      </c>
      <c r="G1334" t="s">
        <v>2622</v>
      </c>
      <c r="H1334" t="s">
        <v>2564</v>
      </c>
      <c r="I1334" t="s">
        <v>2575</v>
      </c>
      <c r="J1334" t="s">
        <v>2581</v>
      </c>
      <c r="K1334">
        <v>4</v>
      </c>
      <c r="L1334" s="13" t="s">
        <v>257</v>
      </c>
    </row>
    <row r="1335" spans="1:12" x14ac:dyDescent="0.25">
      <c r="A1335" t="s">
        <v>4012</v>
      </c>
      <c r="B1335" t="s">
        <v>105</v>
      </c>
      <c r="C1335" t="str">
        <f>_xlfn.XLOOKUP(Table7[[#This Row],[app_id]],Table5[app_id],Table5[app_name],"",0)</f>
        <v>Liftly</v>
      </c>
      <c r="D1335" t="s">
        <v>1101</v>
      </c>
      <c r="E1335" s="1">
        <v>45865</v>
      </c>
      <c r="F1335">
        <v>5</v>
      </c>
      <c r="G1335" t="s">
        <v>2625</v>
      </c>
      <c r="H1335" t="s">
        <v>2564</v>
      </c>
      <c r="I1335" t="s">
        <v>2575</v>
      </c>
      <c r="J1335" t="s">
        <v>2561</v>
      </c>
      <c r="K1335">
        <v>23</v>
      </c>
      <c r="L1335" s="13" t="s">
        <v>258</v>
      </c>
    </row>
    <row r="1336" spans="1:12" x14ac:dyDescent="0.25">
      <c r="A1336" t="s">
        <v>4013</v>
      </c>
      <c r="B1336" t="s">
        <v>107</v>
      </c>
      <c r="C1336" t="str">
        <f>_xlfn.XLOOKUP(Table7[[#This Row],[app_id]],Table5[app_id],Table5[app_name],"",0)</f>
        <v>YogaHub</v>
      </c>
      <c r="D1336" t="s">
        <v>968</v>
      </c>
      <c r="E1336" s="1">
        <v>45824</v>
      </c>
      <c r="F1336">
        <v>4</v>
      </c>
      <c r="G1336" t="s">
        <v>2622</v>
      </c>
      <c r="H1336" t="s">
        <v>2564</v>
      </c>
      <c r="I1336" t="s">
        <v>2565</v>
      </c>
      <c r="J1336" t="s">
        <v>2633</v>
      </c>
      <c r="K1336">
        <v>2</v>
      </c>
      <c r="L1336" s="13" t="s">
        <v>257</v>
      </c>
    </row>
    <row r="1337" spans="1:12" x14ac:dyDescent="0.25">
      <c r="A1337" t="s">
        <v>4014</v>
      </c>
      <c r="B1337" t="s">
        <v>109</v>
      </c>
      <c r="C1337" t="str">
        <f>_xlfn.XLOOKUP(Table7[[#This Row],[app_id]],Table5[app_id],Table5[app_name],"",0)</f>
        <v>MoveGo</v>
      </c>
      <c r="D1337" t="s">
        <v>888</v>
      </c>
      <c r="E1337" s="1">
        <v>46058</v>
      </c>
      <c r="F1337">
        <v>3</v>
      </c>
      <c r="G1337" t="s">
        <v>2611</v>
      </c>
      <c r="H1337" t="s">
        <v>2554</v>
      </c>
      <c r="I1337" t="s">
        <v>2578</v>
      </c>
      <c r="J1337" t="s">
        <v>2569</v>
      </c>
      <c r="K1337">
        <v>44</v>
      </c>
      <c r="L1337" s="13" t="s">
        <v>257</v>
      </c>
    </row>
    <row r="1338" spans="1:12" x14ac:dyDescent="0.25">
      <c r="A1338" t="s">
        <v>4015</v>
      </c>
      <c r="B1338" t="s">
        <v>111</v>
      </c>
      <c r="C1338" t="str">
        <f>_xlfn.XLOOKUP(Table7[[#This Row],[app_id]],Table5[app_id],Table5[app_name],"",0)</f>
        <v>BrightNow</v>
      </c>
      <c r="D1338" t="s">
        <v>800</v>
      </c>
      <c r="E1338" s="1">
        <v>45916</v>
      </c>
      <c r="F1338">
        <v>3</v>
      </c>
      <c r="G1338" t="s">
        <v>2889</v>
      </c>
      <c r="H1338" t="s">
        <v>2554</v>
      </c>
      <c r="I1338" t="s">
        <v>2555</v>
      </c>
      <c r="J1338" t="s">
        <v>2561</v>
      </c>
      <c r="K1338">
        <v>45</v>
      </c>
      <c r="L1338" s="13" t="s">
        <v>258</v>
      </c>
    </row>
    <row r="1339" spans="1:12" x14ac:dyDescent="0.25">
      <c r="A1339" t="s">
        <v>4016</v>
      </c>
      <c r="B1339" t="s">
        <v>114</v>
      </c>
      <c r="C1339" t="str">
        <f>_xlfn.XLOOKUP(Table7[[#This Row],[app_id]],Table5[app_id],Table5[app_name],"",0)</f>
        <v>StudyCloud</v>
      </c>
      <c r="D1339" t="s">
        <v>1922</v>
      </c>
      <c r="E1339" s="1">
        <v>46138</v>
      </c>
      <c r="F1339">
        <v>4</v>
      </c>
      <c r="G1339" t="s">
        <v>2780</v>
      </c>
      <c r="H1339" t="s">
        <v>2564</v>
      </c>
      <c r="I1339" t="s">
        <v>2571</v>
      </c>
      <c r="J1339" t="s">
        <v>2566</v>
      </c>
      <c r="K1339">
        <v>18</v>
      </c>
      <c r="L1339" s="13" t="s">
        <v>257</v>
      </c>
    </row>
    <row r="1340" spans="1:12" x14ac:dyDescent="0.25">
      <c r="A1340" t="s">
        <v>4017</v>
      </c>
      <c r="B1340" t="s">
        <v>116</v>
      </c>
      <c r="C1340" t="str">
        <f>_xlfn.XLOOKUP(Table7[[#This Row],[app_id]],Table5[app_id],Table5[app_name],"",0)</f>
        <v>SkillNow</v>
      </c>
      <c r="D1340" t="s">
        <v>1710</v>
      </c>
      <c r="E1340" s="1">
        <v>45705</v>
      </c>
      <c r="F1340">
        <v>3</v>
      </c>
      <c r="G1340" t="s">
        <v>2773</v>
      </c>
      <c r="H1340" t="s">
        <v>2554</v>
      </c>
      <c r="I1340" t="s">
        <v>2558</v>
      </c>
      <c r="J1340" t="s">
        <v>2569</v>
      </c>
      <c r="K1340">
        <v>20</v>
      </c>
      <c r="L1340" s="13" t="s">
        <v>258</v>
      </c>
    </row>
    <row r="1341" spans="1:12" x14ac:dyDescent="0.25">
      <c r="A1341" t="s">
        <v>4018</v>
      </c>
      <c r="B1341" t="s">
        <v>118</v>
      </c>
      <c r="C1341" t="str">
        <f>_xlfn.XLOOKUP(Table7[[#This Row],[app_id]],Table5[app_id],Table5[app_name],"",0)</f>
        <v>LearnMate</v>
      </c>
      <c r="D1341" t="s">
        <v>1438</v>
      </c>
      <c r="E1341" s="1">
        <v>45974</v>
      </c>
      <c r="F1341">
        <v>2</v>
      </c>
      <c r="G1341" t="s">
        <v>2630</v>
      </c>
      <c r="H1341" t="s">
        <v>2587</v>
      </c>
      <c r="I1341" t="s">
        <v>2571</v>
      </c>
      <c r="J1341" t="s">
        <v>2556</v>
      </c>
      <c r="K1341">
        <v>57</v>
      </c>
      <c r="L1341" s="13" t="s">
        <v>257</v>
      </c>
    </row>
    <row r="1342" spans="1:12" x14ac:dyDescent="0.25">
      <c r="A1342" t="s">
        <v>4019</v>
      </c>
      <c r="B1342" t="s">
        <v>120</v>
      </c>
      <c r="C1342" t="str">
        <f>_xlfn.XLOOKUP(Table7[[#This Row],[app_id]],Table5[app_id],Table5[app_name],"",0)</f>
        <v>QuestNow</v>
      </c>
      <c r="D1342" t="s">
        <v>2406</v>
      </c>
      <c r="E1342" s="1">
        <v>45938</v>
      </c>
      <c r="F1342">
        <v>2</v>
      </c>
      <c r="G1342" t="s">
        <v>2630</v>
      </c>
      <c r="H1342" t="s">
        <v>2587</v>
      </c>
      <c r="I1342" t="s">
        <v>2555</v>
      </c>
      <c r="J1342" t="s">
        <v>2559</v>
      </c>
      <c r="K1342">
        <v>74</v>
      </c>
      <c r="L1342" s="13" t="s">
        <v>257</v>
      </c>
    </row>
    <row r="1343" spans="1:12" x14ac:dyDescent="0.25">
      <c r="A1343" t="s">
        <v>4020</v>
      </c>
      <c r="B1343" t="s">
        <v>122</v>
      </c>
      <c r="C1343" t="str">
        <f>_xlfn.XLOOKUP(Table7[[#This Row],[app_id]],Table5[app_id],Table5[app_name],"",0)</f>
        <v>SkillHub</v>
      </c>
      <c r="D1343" t="s">
        <v>772</v>
      </c>
      <c r="E1343" s="1">
        <v>45613</v>
      </c>
      <c r="F1343">
        <v>4</v>
      </c>
      <c r="G1343" t="s">
        <v>2635</v>
      </c>
      <c r="H1343" t="s">
        <v>2564</v>
      </c>
      <c r="I1343" t="s">
        <v>2555</v>
      </c>
      <c r="J1343" t="s">
        <v>2561</v>
      </c>
      <c r="K1343">
        <v>15</v>
      </c>
      <c r="L1343" s="13" t="s">
        <v>257</v>
      </c>
    </row>
    <row r="1344" spans="1:12" x14ac:dyDescent="0.25">
      <c r="A1344" t="s">
        <v>4021</v>
      </c>
      <c r="B1344" t="s">
        <v>124</v>
      </c>
      <c r="C1344" t="str">
        <f>_xlfn.XLOOKUP(Table7[[#This Row],[app_id]],Table5[app_id],Table5[app_name],"",0)</f>
        <v>TutorCloud</v>
      </c>
      <c r="D1344" t="s">
        <v>1010</v>
      </c>
      <c r="E1344" s="1">
        <v>45658</v>
      </c>
      <c r="F1344">
        <v>2</v>
      </c>
      <c r="G1344" t="s">
        <v>2630</v>
      </c>
      <c r="H1344" t="s">
        <v>2587</v>
      </c>
      <c r="I1344" t="s">
        <v>2578</v>
      </c>
      <c r="J1344" t="s">
        <v>2559</v>
      </c>
      <c r="K1344">
        <v>73</v>
      </c>
      <c r="L1344" s="13" t="s">
        <v>257</v>
      </c>
    </row>
    <row r="1345" spans="1:12" x14ac:dyDescent="0.25">
      <c r="A1345" t="s">
        <v>4022</v>
      </c>
      <c r="B1345" t="s">
        <v>126</v>
      </c>
      <c r="C1345" t="str">
        <f>_xlfn.XLOOKUP(Table7[[#This Row],[app_id]],Table5[app_id],Table5[app_name],"",0)</f>
        <v>SkillOne</v>
      </c>
      <c r="D1345" t="s">
        <v>1990</v>
      </c>
      <c r="E1345" s="1">
        <v>45763</v>
      </c>
      <c r="F1345">
        <v>3</v>
      </c>
      <c r="G1345" t="s">
        <v>2646</v>
      </c>
      <c r="H1345" t="s">
        <v>2554</v>
      </c>
      <c r="I1345" t="s">
        <v>2565</v>
      </c>
      <c r="J1345" t="s">
        <v>2603</v>
      </c>
      <c r="K1345">
        <v>16</v>
      </c>
      <c r="L1345" s="13" t="s">
        <v>257</v>
      </c>
    </row>
    <row r="1346" spans="1:12" x14ac:dyDescent="0.25">
      <c r="A1346" t="s">
        <v>4023</v>
      </c>
      <c r="B1346" t="s">
        <v>128</v>
      </c>
      <c r="C1346" t="str">
        <f>_xlfn.XLOOKUP(Table7[[#This Row],[app_id]],Table5[app_id],Table5[app_name],"",0)</f>
        <v>LearnOne</v>
      </c>
      <c r="D1346" t="s">
        <v>1686</v>
      </c>
      <c r="E1346" s="1">
        <v>46079</v>
      </c>
      <c r="F1346">
        <v>3</v>
      </c>
      <c r="G1346" t="s">
        <v>2773</v>
      </c>
      <c r="H1346" t="s">
        <v>2554</v>
      </c>
      <c r="I1346" t="s">
        <v>2575</v>
      </c>
      <c r="J1346" t="s">
        <v>2600</v>
      </c>
      <c r="K1346">
        <v>22</v>
      </c>
      <c r="L1346" s="13" t="s">
        <v>258</v>
      </c>
    </row>
    <row r="1347" spans="1:12" x14ac:dyDescent="0.25">
      <c r="A1347" t="s">
        <v>4024</v>
      </c>
      <c r="B1347" t="s">
        <v>130</v>
      </c>
      <c r="C1347" t="str">
        <f>_xlfn.XLOOKUP(Table7[[#This Row],[app_id]],Table5[app_id],Table5[app_name],"",0)</f>
        <v>LearnPlus</v>
      </c>
      <c r="D1347" t="s">
        <v>2510</v>
      </c>
      <c r="E1347" s="1">
        <v>45716</v>
      </c>
      <c r="F1347">
        <v>3</v>
      </c>
      <c r="G1347" t="s">
        <v>2778</v>
      </c>
      <c r="H1347" t="s">
        <v>2554</v>
      </c>
      <c r="I1347" t="s">
        <v>2584</v>
      </c>
      <c r="J1347" t="s">
        <v>2569</v>
      </c>
      <c r="K1347">
        <v>47</v>
      </c>
      <c r="L1347" s="13" t="s">
        <v>258</v>
      </c>
    </row>
    <row r="1348" spans="1:12" x14ac:dyDescent="0.25">
      <c r="A1348" t="s">
        <v>4025</v>
      </c>
      <c r="B1348" t="s">
        <v>132</v>
      </c>
      <c r="C1348" t="str">
        <f>_xlfn.XLOOKUP(Table7[[#This Row],[app_id]],Table5[app_id],Table5[app_name],"",0)</f>
        <v>StudyPlus</v>
      </c>
      <c r="D1348" t="s">
        <v>1266</v>
      </c>
      <c r="E1348" s="1">
        <v>45969</v>
      </c>
      <c r="F1348">
        <v>3</v>
      </c>
      <c r="G1348" t="s">
        <v>2889</v>
      </c>
      <c r="H1348" t="s">
        <v>2554</v>
      </c>
      <c r="I1348" t="s">
        <v>2575</v>
      </c>
      <c r="J1348" t="s">
        <v>2566</v>
      </c>
      <c r="K1348">
        <v>4</v>
      </c>
      <c r="L1348" s="13" t="s">
        <v>257</v>
      </c>
    </row>
    <row r="1349" spans="1:12" x14ac:dyDescent="0.25">
      <c r="A1349" t="s">
        <v>4026</v>
      </c>
      <c r="B1349" t="s">
        <v>134</v>
      </c>
      <c r="C1349" t="str">
        <f>_xlfn.XLOOKUP(Table7[[#This Row],[app_id]],Table5[app_id],Table5[app_name],"",0)</f>
        <v>StudyX</v>
      </c>
      <c r="D1349" t="s">
        <v>1732</v>
      </c>
      <c r="E1349" s="1">
        <v>45529</v>
      </c>
      <c r="F1349">
        <v>4</v>
      </c>
      <c r="G1349" t="s">
        <v>2640</v>
      </c>
      <c r="H1349" t="s">
        <v>2564</v>
      </c>
      <c r="I1349" t="s">
        <v>2555</v>
      </c>
      <c r="J1349" t="s">
        <v>2596</v>
      </c>
      <c r="K1349">
        <v>10</v>
      </c>
      <c r="L1349" s="13" t="s">
        <v>257</v>
      </c>
    </row>
    <row r="1350" spans="1:12" x14ac:dyDescent="0.25">
      <c r="A1350" t="s">
        <v>4027</v>
      </c>
      <c r="B1350" t="s">
        <v>136</v>
      </c>
      <c r="C1350" t="str">
        <f>_xlfn.XLOOKUP(Table7[[#This Row],[app_id]],Table5[app_id],Table5[app_name],"",0)</f>
        <v>PlayPlus</v>
      </c>
      <c r="D1350" t="s">
        <v>1869</v>
      </c>
      <c r="E1350" s="1">
        <v>45519</v>
      </c>
      <c r="F1350">
        <v>5</v>
      </c>
      <c r="G1350" t="s">
        <v>2905</v>
      </c>
      <c r="H1350" t="s">
        <v>2564</v>
      </c>
      <c r="I1350" t="s">
        <v>2555</v>
      </c>
      <c r="J1350" t="s">
        <v>2596</v>
      </c>
      <c r="K1350">
        <v>34</v>
      </c>
      <c r="L1350" s="13" t="s">
        <v>257</v>
      </c>
    </row>
    <row r="1351" spans="1:12" x14ac:dyDescent="0.25">
      <c r="A1351" t="s">
        <v>4028</v>
      </c>
      <c r="B1351" t="s">
        <v>139</v>
      </c>
      <c r="C1351" t="str">
        <f>_xlfn.XLOOKUP(Table7[[#This Row],[app_id]],Table5[app_id],Table5[app_name],"",0)</f>
        <v>ShowMate</v>
      </c>
      <c r="D1351" t="s">
        <v>1655</v>
      </c>
      <c r="E1351" s="1">
        <v>45653</v>
      </c>
      <c r="F1351">
        <v>4</v>
      </c>
      <c r="G1351" t="s">
        <v>2650</v>
      </c>
      <c r="H1351" t="s">
        <v>2564</v>
      </c>
      <c r="I1351" t="s">
        <v>2571</v>
      </c>
      <c r="J1351" t="s">
        <v>2633</v>
      </c>
      <c r="K1351">
        <v>11</v>
      </c>
      <c r="L1351" s="13" t="s">
        <v>257</v>
      </c>
    </row>
    <row r="1352" spans="1:12" x14ac:dyDescent="0.25">
      <c r="A1352" t="s">
        <v>4029</v>
      </c>
      <c r="B1352" t="s">
        <v>141</v>
      </c>
      <c r="C1352" t="str">
        <f>_xlfn.XLOOKUP(Table7[[#This Row],[app_id]],Table5[app_id],Table5[app_name],"",0)</f>
        <v>VibeX</v>
      </c>
      <c r="D1352" t="s">
        <v>1534</v>
      </c>
      <c r="E1352" s="1">
        <v>45981</v>
      </c>
      <c r="F1352">
        <v>4</v>
      </c>
      <c r="G1352" t="s">
        <v>2650</v>
      </c>
      <c r="H1352" t="s">
        <v>2564</v>
      </c>
      <c r="I1352" t="s">
        <v>2575</v>
      </c>
      <c r="J1352" t="s">
        <v>2633</v>
      </c>
      <c r="K1352">
        <v>7</v>
      </c>
      <c r="L1352" s="13" t="s">
        <v>257</v>
      </c>
    </row>
    <row r="1353" spans="1:12" x14ac:dyDescent="0.25">
      <c r="A1353" t="s">
        <v>4030</v>
      </c>
      <c r="B1353" t="s">
        <v>143</v>
      </c>
      <c r="C1353" t="str">
        <f>_xlfn.XLOOKUP(Table7[[#This Row],[app_id]],Table5[app_id],Table5[app_name],"",0)</f>
        <v>BuzzNow</v>
      </c>
      <c r="D1353" t="s">
        <v>1509</v>
      </c>
      <c r="E1353" s="1">
        <v>45708</v>
      </c>
      <c r="F1353">
        <v>4</v>
      </c>
      <c r="G1353" t="s">
        <v>2905</v>
      </c>
      <c r="H1353" t="s">
        <v>2564</v>
      </c>
      <c r="I1353" t="s">
        <v>2555</v>
      </c>
      <c r="J1353" t="s">
        <v>2600</v>
      </c>
      <c r="K1353">
        <v>21</v>
      </c>
      <c r="L1353" s="13" t="s">
        <v>258</v>
      </c>
    </row>
    <row r="1354" spans="1:12" x14ac:dyDescent="0.25">
      <c r="A1354" t="s">
        <v>4031</v>
      </c>
      <c r="B1354" t="s">
        <v>145</v>
      </c>
      <c r="C1354" t="str">
        <f>_xlfn.XLOOKUP(Table7[[#This Row],[app_id]],Table5[app_id],Table5[app_name],"",0)</f>
        <v>StreamPlus</v>
      </c>
      <c r="D1354" t="s">
        <v>839</v>
      </c>
      <c r="E1354" s="1">
        <v>45891</v>
      </c>
      <c r="F1354">
        <v>4</v>
      </c>
      <c r="G1354" t="s">
        <v>2650</v>
      </c>
      <c r="H1354" t="s">
        <v>2564</v>
      </c>
      <c r="I1354" t="s">
        <v>2565</v>
      </c>
      <c r="J1354" t="s">
        <v>2581</v>
      </c>
      <c r="K1354">
        <v>38</v>
      </c>
      <c r="L1354" s="13" t="s">
        <v>257</v>
      </c>
    </row>
    <row r="1355" spans="1:12" x14ac:dyDescent="0.25">
      <c r="A1355" t="s">
        <v>4032</v>
      </c>
      <c r="B1355" t="s">
        <v>147</v>
      </c>
      <c r="C1355" t="str">
        <f>_xlfn.XLOOKUP(Table7[[#This Row],[app_id]],Table5[app_id],Table5[app_name],"",0)</f>
        <v>Showly</v>
      </c>
      <c r="D1355" t="s">
        <v>2377</v>
      </c>
      <c r="E1355" s="1">
        <v>45815</v>
      </c>
      <c r="F1355">
        <v>4</v>
      </c>
      <c r="G1355" t="s">
        <v>2789</v>
      </c>
      <c r="H1355" t="s">
        <v>2564</v>
      </c>
      <c r="I1355" t="s">
        <v>2575</v>
      </c>
      <c r="J1355" t="s">
        <v>2633</v>
      </c>
      <c r="K1355">
        <v>7</v>
      </c>
      <c r="L1355" s="13" t="s">
        <v>257</v>
      </c>
    </row>
    <row r="1356" spans="1:12" x14ac:dyDescent="0.25">
      <c r="A1356" t="s">
        <v>4033</v>
      </c>
      <c r="B1356" t="s">
        <v>149</v>
      </c>
      <c r="C1356" t="str">
        <f>_xlfn.XLOOKUP(Table7[[#This Row],[app_id]],Table5[app_id],Table5[app_name],"",0)</f>
        <v>BuzzOne</v>
      </c>
      <c r="D1356" t="s">
        <v>1527</v>
      </c>
      <c r="E1356" s="1">
        <v>45797</v>
      </c>
      <c r="F1356">
        <v>2</v>
      </c>
      <c r="G1356" t="s">
        <v>2907</v>
      </c>
      <c r="H1356" t="s">
        <v>2587</v>
      </c>
      <c r="I1356" t="s">
        <v>2565</v>
      </c>
      <c r="J1356" t="s">
        <v>2600</v>
      </c>
      <c r="K1356">
        <v>39</v>
      </c>
      <c r="L1356" s="13" t="s">
        <v>257</v>
      </c>
    </row>
    <row r="1357" spans="1:12" x14ac:dyDescent="0.25">
      <c r="A1357" t="s">
        <v>4034</v>
      </c>
      <c r="B1357" t="s">
        <v>151</v>
      </c>
      <c r="C1357" t="str">
        <f>_xlfn.XLOOKUP(Table7[[#This Row],[app_id]],Table5[app_id],Table5[app_name],"",0)</f>
        <v>PlayHub</v>
      </c>
      <c r="D1357" t="s">
        <v>1822</v>
      </c>
      <c r="E1357" s="1">
        <v>45369</v>
      </c>
      <c r="F1357">
        <v>4</v>
      </c>
      <c r="G1357" t="s">
        <v>2650</v>
      </c>
      <c r="H1357" t="s">
        <v>2564</v>
      </c>
      <c r="I1357" t="s">
        <v>2555</v>
      </c>
      <c r="J1357" t="s">
        <v>2566</v>
      </c>
      <c r="K1357">
        <v>22</v>
      </c>
      <c r="L1357" s="13" t="s">
        <v>257</v>
      </c>
    </row>
    <row r="1358" spans="1:12" x14ac:dyDescent="0.25">
      <c r="A1358" t="s">
        <v>4035</v>
      </c>
      <c r="B1358" t="s">
        <v>153</v>
      </c>
      <c r="C1358" t="str">
        <f>_xlfn.XLOOKUP(Table7[[#This Row],[app_id]],Table5[app_id],Table5[app_name],"",0)</f>
        <v>CinemaGo</v>
      </c>
      <c r="D1358" t="s">
        <v>1135</v>
      </c>
      <c r="E1358" s="1">
        <v>45337</v>
      </c>
      <c r="F1358">
        <v>5</v>
      </c>
      <c r="G1358" t="s">
        <v>2789</v>
      </c>
      <c r="H1358" t="s">
        <v>2564</v>
      </c>
      <c r="I1358" t="s">
        <v>2571</v>
      </c>
      <c r="J1358" t="s">
        <v>2566</v>
      </c>
      <c r="K1358">
        <v>37</v>
      </c>
      <c r="L1358" s="13" t="s">
        <v>257</v>
      </c>
    </row>
    <row r="1359" spans="1:12" x14ac:dyDescent="0.25">
      <c r="A1359" t="s">
        <v>4036</v>
      </c>
      <c r="B1359" t="s">
        <v>155</v>
      </c>
      <c r="C1359" t="str">
        <f>_xlfn.XLOOKUP(Table7[[#This Row],[app_id]],Table5[app_id],Table5[app_name],"",0)</f>
        <v>LaughX</v>
      </c>
      <c r="D1359" t="s">
        <v>2508</v>
      </c>
      <c r="E1359" s="1">
        <v>46072</v>
      </c>
      <c r="F1359">
        <v>3</v>
      </c>
      <c r="G1359" t="s">
        <v>2793</v>
      </c>
      <c r="H1359" t="s">
        <v>2554</v>
      </c>
      <c r="I1359" t="s">
        <v>2571</v>
      </c>
      <c r="J1359" t="s">
        <v>2633</v>
      </c>
      <c r="K1359">
        <v>48</v>
      </c>
      <c r="L1359" s="13" t="s">
        <v>257</v>
      </c>
    </row>
    <row r="1360" spans="1:12" x14ac:dyDescent="0.25">
      <c r="A1360" t="s">
        <v>4037</v>
      </c>
      <c r="B1360" t="s">
        <v>157</v>
      </c>
      <c r="C1360" t="str">
        <f>_xlfn.XLOOKUP(Table7[[#This Row],[app_id]],Table5[app_id],Table5[app_name],"",0)</f>
        <v>CinemaHub</v>
      </c>
      <c r="D1360" t="s">
        <v>1613</v>
      </c>
      <c r="E1360" s="1">
        <v>45422</v>
      </c>
      <c r="F1360">
        <v>3</v>
      </c>
      <c r="G1360" t="s">
        <v>2791</v>
      </c>
      <c r="H1360" t="s">
        <v>2554</v>
      </c>
      <c r="I1360" t="s">
        <v>2575</v>
      </c>
      <c r="J1360" t="s">
        <v>2581</v>
      </c>
      <c r="K1360">
        <v>43</v>
      </c>
      <c r="L1360" s="13" t="s">
        <v>258</v>
      </c>
    </row>
    <row r="1361" spans="1:12" x14ac:dyDescent="0.25">
      <c r="A1361" t="s">
        <v>4038</v>
      </c>
      <c r="B1361" t="s">
        <v>159</v>
      </c>
      <c r="C1361" t="str">
        <f>_xlfn.XLOOKUP(Table7[[#This Row],[app_id]],Table5[app_id],Table5[app_name],"",0)</f>
        <v>ShowPro</v>
      </c>
      <c r="D1361" t="s">
        <v>830</v>
      </c>
      <c r="E1361" s="1">
        <v>45610</v>
      </c>
      <c r="F1361">
        <v>3</v>
      </c>
      <c r="G1361" t="s">
        <v>2655</v>
      </c>
      <c r="H1361" t="s">
        <v>2554</v>
      </c>
      <c r="I1361" t="s">
        <v>2558</v>
      </c>
      <c r="J1361" t="s">
        <v>2569</v>
      </c>
      <c r="K1361">
        <v>42</v>
      </c>
      <c r="L1361" s="13" t="s">
        <v>257</v>
      </c>
    </row>
    <row r="1362" spans="1:12" x14ac:dyDescent="0.25">
      <c r="A1362" t="s">
        <v>4039</v>
      </c>
      <c r="B1362" t="s">
        <v>161</v>
      </c>
      <c r="C1362" t="str">
        <f>_xlfn.XLOOKUP(Table7[[#This Row],[app_id]],Table5[app_id],Table5[app_name],"",0)</f>
        <v>FoodPlus</v>
      </c>
      <c r="D1362" t="s">
        <v>1954</v>
      </c>
      <c r="E1362" s="1">
        <v>45306</v>
      </c>
      <c r="F1362">
        <v>4</v>
      </c>
      <c r="G1362" t="s">
        <v>2676</v>
      </c>
      <c r="H1362" t="s">
        <v>2564</v>
      </c>
      <c r="I1362" t="s">
        <v>2555</v>
      </c>
      <c r="J1362" t="s">
        <v>2566</v>
      </c>
      <c r="K1362">
        <v>20</v>
      </c>
      <c r="L1362" s="13" t="s">
        <v>258</v>
      </c>
    </row>
    <row r="1363" spans="1:12" x14ac:dyDescent="0.25">
      <c r="A1363" t="s">
        <v>4040</v>
      </c>
      <c r="B1363" t="s">
        <v>164</v>
      </c>
      <c r="C1363" t="str">
        <f>_xlfn.XLOOKUP(Table7[[#This Row],[app_id]],Table5[app_id],Table5[app_name],"",0)</f>
        <v>BiteGo</v>
      </c>
      <c r="D1363" t="s">
        <v>1533</v>
      </c>
      <c r="E1363" s="1">
        <v>45778</v>
      </c>
      <c r="F1363">
        <v>4</v>
      </c>
      <c r="G1363" t="s">
        <v>2679</v>
      </c>
      <c r="H1363" t="s">
        <v>2564</v>
      </c>
      <c r="I1363" t="s">
        <v>2555</v>
      </c>
      <c r="J1363" t="s">
        <v>2581</v>
      </c>
      <c r="K1363">
        <v>14</v>
      </c>
      <c r="L1363" s="13" t="s">
        <v>257</v>
      </c>
    </row>
    <row r="1364" spans="1:12" x14ac:dyDescent="0.25">
      <c r="A1364" t="s">
        <v>4041</v>
      </c>
      <c r="B1364" t="s">
        <v>166</v>
      </c>
      <c r="C1364" t="str">
        <f>_xlfn.XLOOKUP(Table7[[#This Row],[app_id]],Table5[app_id],Table5[app_name],"",0)</f>
        <v>OrderCloud</v>
      </c>
      <c r="D1364" t="s">
        <v>817</v>
      </c>
      <c r="E1364" s="1">
        <v>45622</v>
      </c>
      <c r="F1364">
        <v>3</v>
      </c>
      <c r="G1364" t="s">
        <v>2668</v>
      </c>
      <c r="H1364" t="s">
        <v>2554</v>
      </c>
      <c r="I1364" t="s">
        <v>2555</v>
      </c>
      <c r="J1364" t="s">
        <v>2561</v>
      </c>
      <c r="K1364">
        <v>28</v>
      </c>
      <c r="L1364" s="13" t="s">
        <v>258</v>
      </c>
    </row>
    <row r="1365" spans="1:12" x14ac:dyDescent="0.25">
      <c r="A1365" t="s">
        <v>4042</v>
      </c>
      <c r="B1365" t="s">
        <v>168</v>
      </c>
      <c r="C1365" t="str">
        <f>_xlfn.XLOOKUP(Table7[[#This Row],[app_id]],Table5[app_id],Table5[app_name],"",0)</f>
        <v>DinePlus</v>
      </c>
      <c r="D1365" t="s">
        <v>2345</v>
      </c>
      <c r="E1365" s="1">
        <v>45314</v>
      </c>
      <c r="F1365">
        <v>3</v>
      </c>
      <c r="G1365" t="s">
        <v>2668</v>
      </c>
      <c r="H1365" t="s">
        <v>2554</v>
      </c>
      <c r="I1365" t="s">
        <v>2584</v>
      </c>
      <c r="J1365" t="s">
        <v>2600</v>
      </c>
      <c r="K1365">
        <v>25</v>
      </c>
      <c r="L1365" s="13" t="s">
        <v>257</v>
      </c>
    </row>
    <row r="1366" spans="1:12" x14ac:dyDescent="0.25">
      <c r="A1366" t="s">
        <v>4043</v>
      </c>
      <c r="B1366" t="s">
        <v>170</v>
      </c>
      <c r="C1366" t="str">
        <f>_xlfn.XLOOKUP(Table7[[#This Row],[app_id]],Table5[app_id],Table5[app_name],"",0)</f>
        <v>SnackX</v>
      </c>
      <c r="D1366" t="s">
        <v>1150</v>
      </c>
      <c r="E1366" s="1">
        <v>45453</v>
      </c>
      <c r="F1366">
        <v>4</v>
      </c>
      <c r="G1366" t="s">
        <v>2676</v>
      </c>
      <c r="H1366" t="s">
        <v>2564</v>
      </c>
      <c r="I1366" t="s">
        <v>2558</v>
      </c>
      <c r="J1366" t="s">
        <v>2633</v>
      </c>
      <c r="K1366">
        <v>6</v>
      </c>
      <c r="L1366" s="13" t="s">
        <v>257</v>
      </c>
    </row>
    <row r="1367" spans="1:12" x14ac:dyDescent="0.25">
      <c r="A1367" t="s">
        <v>4044</v>
      </c>
      <c r="B1367" t="s">
        <v>172</v>
      </c>
      <c r="C1367" t="str">
        <f>_xlfn.XLOOKUP(Table7[[#This Row],[app_id]],Table5[app_id],Table5[app_name],"",0)</f>
        <v>FoodOne</v>
      </c>
      <c r="D1367" t="s">
        <v>592</v>
      </c>
      <c r="E1367" s="1">
        <v>45469</v>
      </c>
      <c r="F1367">
        <v>4</v>
      </c>
      <c r="G1367" t="s">
        <v>2676</v>
      </c>
      <c r="H1367" t="s">
        <v>2564</v>
      </c>
      <c r="I1367" t="s">
        <v>2575</v>
      </c>
      <c r="J1367" t="s">
        <v>2556</v>
      </c>
      <c r="K1367">
        <v>32</v>
      </c>
      <c r="L1367" s="13" t="s">
        <v>257</v>
      </c>
    </row>
    <row r="1368" spans="1:12" x14ac:dyDescent="0.25">
      <c r="A1368" t="s">
        <v>4045</v>
      </c>
      <c r="B1368" t="s">
        <v>174</v>
      </c>
      <c r="C1368" t="str">
        <f>_xlfn.XLOOKUP(Table7[[#This Row],[app_id]],Table5[app_id],Table5[app_name],"",0)</f>
        <v>MealMate</v>
      </c>
      <c r="D1368" t="s">
        <v>819</v>
      </c>
      <c r="E1368" s="1">
        <v>45367</v>
      </c>
      <c r="F1368">
        <v>4</v>
      </c>
      <c r="G1368" t="s">
        <v>2674</v>
      </c>
      <c r="H1368" t="s">
        <v>2564</v>
      </c>
      <c r="I1368" t="s">
        <v>2575</v>
      </c>
      <c r="J1368" t="s">
        <v>2596</v>
      </c>
      <c r="K1368">
        <v>46</v>
      </c>
      <c r="L1368" s="13" t="s">
        <v>257</v>
      </c>
    </row>
    <row r="1369" spans="1:12" x14ac:dyDescent="0.25">
      <c r="A1369" t="s">
        <v>4046</v>
      </c>
      <c r="B1369" t="s">
        <v>176</v>
      </c>
      <c r="C1369" t="str">
        <f>_xlfn.XLOOKUP(Table7[[#This Row],[app_id]],Table5[app_id],Table5[app_name],"",0)</f>
        <v>SnackHub</v>
      </c>
      <c r="D1369" t="s">
        <v>1837</v>
      </c>
      <c r="E1369" s="1">
        <v>45395</v>
      </c>
      <c r="F1369">
        <v>3</v>
      </c>
      <c r="G1369" t="s">
        <v>2666</v>
      </c>
      <c r="H1369" t="s">
        <v>2554</v>
      </c>
      <c r="I1369" t="s">
        <v>2578</v>
      </c>
      <c r="J1369" t="s">
        <v>2633</v>
      </c>
      <c r="K1369">
        <v>21</v>
      </c>
      <c r="L1369" s="13" t="s">
        <v>257</v>
      </c>
    </row>
    <row r="1370" spans="1:12" x14ac:dyDescent="0.25">
      <c r="A1370" t="s">
        <v>4047</v>
      </c>
      <c r="B1370" t="s">
        <v>178</v>
      </c>
      <c r="C1370" t="str">
        <f>_xlfn.XLOOKUP(Table7[[#This Row],[app_id]],Table5[app_id],Table5[app_name],"",0)</f>
        <v>BiteCloud</v>
      </c>
      <c r="D1370" t="s">
        <v>1231</v>
      </c>
      <c r="E1370" s="1">
        <v>45341</v>
      </c>
      <c r="F1370">
        <v>5</v>
      </c>
      <c r="G1370" t="s">
        <v>2674</v>
      </c>
      <c r="H1370" t="s">
        <v>2564</v>
      </c>
      <c r="I1370" t="s">
        <v>2555</v>
      </c>
      <c r="J1370" t="s">
        <v>2581</v>
      </c>
      <c r="K1370">
        <v>3</v>
      </c>
      <c r="L1370" s="13" t="s">
        <v>257</v>
      </c>
    </row>
    <row r="1371" spans="1:12" x14ac:dyDescent="0.25">
      <c r="A1371" t="s">
        <v>4048</v>
      </c>
      <c r="B1371" t="s">
        <v>180</v>
      </c>
      <c r="C1371" t="str">
        <f>_xlfn.XLOOKUP(Table7[[#This Row],[app_id]],Table5[app_id],Table5[app_name],"",0)</f>
        <v>PlatePlus</v>
      </c>
      <c r="D1371" t="s">
        <v>2487</v>
      </c>
      <c r="E1371" s="1">
        <v>46013</v>
      </c>
      <c r="F1371">
        <v>4</v>
      </c>
      <c r="G1371" t="s">
        <v>2679</v>
      </c>
      <c r="H1371" t="s">
        <v>2564</v>
      </c>
      <c r="I1371" t="s">
        <v>2565</v>
      </c>
      <c r="J1371" t="s">
        <v>2603</v>
      </c>
      <c r="K1371">
        <v>1</v>
      </c>
      <c r="L1371" s="13" t="s">
        <v>257</v>
      </c>
    </row>
    <row r="1372" spans="1:12" x14ac:dyDescent="0.25">
      <c r="A1372" t="s">
        <v>4049</v>
      </c>
      <c r="B1372" t="s">
        <v>182</v>
      </c>
      <c r="C1372" t="str">
        <f>_xlfn.XLOOKUP(Table7[[#This Row],[app_id]],Table5[app_id],Table5[app_name],"",0)</f>
        <v>VoyageGo</v>
      </c>
      <c r="D1372" t="s">
        <v>1957</v>
      </c>
      <c r="E1372" s="1">
        <v>46088</v>
      </c>
      <c r="F1372">
        <v>3</v>
      </c>
      <c r="G1372" t="s">
        <v>2690</v>
      </c>
      <c r="H1372" t="s">
        <v>2554</v>
      </c>
      <c r="I1372" t="s">
        <v>2584</v>
      </c>
      <c r="J1372" t="s">
        <v>2561</v>
      </c>
      <c r="K1372">
        <v>13</v>
      </c>
      <c r="L1372" s="13" t="s">
        <v>257</v>
      </c>
    </row>
    <row r="1373" spans="1:12" x14ac:dyDescent="0.25">
      <c r="A1373" t="s">
        <v>4050</v>
      </c>
      <c r="B1373" t="s">
        <v>185</v>
      </c>
      <c r="C1373" t="str">
        <f>_xlfn.XLOOKUP(Table7[[#This Row],[app_id]],Table5[app_id],Table5[app_name],"",0)</f>
        <v>TripOne</v>
      </c>
      <c r="D1373" t="s">
        <v>2434</v>
      </c>
      <c r="E1373" s="1">
        <v>45399</v>
      </c>
      <c r="F1373">
        <v>4</v>
      </c>
      <c r="G1373" t="s">
        <v>2931</v>
      </c>
      <c r="H1373" t="s">
        <v>2564</v>
      </c>
      <c r="I1373" t="s">
        <v>2555</v>
      </c>
      <c r="J1373" t="s">
        <v>2603</v>
      </c>
      <c r="K1373">
        <v>42</v>
      </c>
      <c r="L1373" s="13" t="s">
        <v>257</v>
      </c>
    </row>
    <row r="1374" spans="1:12" x14ac:dyDescent="0.25">
      <c r="A1374" t="s">
        <v>4051</v>
      </c>
      <c r="B1374" t="s">
        <v>187</v>
      </c>
      <c r="C1374" t="str">
        <f>_xlfn.XLOOKUP(Table7[[#This Row],[app_id]],Table5[app_id],Table5[app_name],"",0)</f>
        <v>FlyGo</v>
      </c>
      <c r="D1374" t="s">
        <v>1362</v>
      </c>
      <c r="E1374" s="1">
        <v>46139</v>
      </c>
      <c r="F1374">
        <v>4</v>
      </c>
      <c r="G1374" t="s">
        <v>2683</v>
      </c>
      <c r="H1374" t="s">
        <v>2564</v>
      </c>
      <c r="I1374" t="s">
        <v>2565</v>
      </c>
      <c r="J1374" t="s">
        <v>2569</v>
      </c>
      <c r="K1374">
        <v>5</v>
      </c>
      <c r="L1374" s="13" t="s">
        <v>258</v>
      </c>
    </row>
    <row r="1375" spans="1:12" x14ac:dyDescent="0.25">
      <c r="A1375" t="s">
        <v>4052</v>
      </c>
      <c r="B1375" t="s">
        <v>189</v>
      </c>
      <c r="C1375" t="str">
        <f>_xlfn.XLOOKUP(Table7[[#This Row],[app_id]],Table5[app_id],Table5[app_name],"",0)</f>
        <v>MapX</v>
      </c>
      <c r="D1375" t="s">
        <v>1669</v>
      </c>
      <c r="E1375" s="1">
        <v>46058</v>
      </c>
      <c r="F1375">
        <v>4</v>
      </c>
      <c r="G1375" t="s">
        <v>2929</v>
      </c>
      <c r="H1375" t="s">
        <v>2564</v>
      </c>
      <c r="I1375" t="s">
        <v>2571</v>
      </c>
      <c r="J1375" t="s">
        <v>2603</v>
      </c>
      <c r="K1375">
        <v>23</v>
      </c>
      <c r="L1375" s="13" t="s">
        <v>257</v>
      </c>
    </row>
    <row r="1376" spans="1:12" x14ac:dyDescent="0.25">
      <c r="A1376" t="s">
        <v>4053</v>
      </c>
      <c r="B1376" t="s">
        <v>191</v>
      </c>
      <c r="C1376" t="str">
        <f>_xlfn.XLOOKUP(Table7[[#This Row],[app_id]],Table5[app_id],Table5[app_name],"",0)</f>
        <v>StayX</v>
      </c>
      <c r="D1376" t="s">
        <v>1224</v>
      </c>
      <c r="E1376" s="1">
        <v>45719</v>
      </c>
      <c r="F1376">
        <v>4</v>
      </c>
      <c r="G1376" t="s">
        <v>2929</v>
      </c>
      <c r="H1376" t="s">
        <v>2564</v>
      </c>
      <c r="I1376" t="s">
        <v>2555</v>
      </c>
      <c r="J1376" t="s">
        <v>2569</v>
      </c>
      <c r="K1376">
        <v>24</v>
      </c>
      <c r="L1376" s="13" t="s">
        <v>257</v>
      </c>
    </row>
    <row r="1377" spans="1:12" x14ac:dyDescent="0.25">
      <c r="A1377" t="s">
        <v>4054</v>
      </c>
      <c r="B1377" t="s">
        <v>193</v>
      </c>
      <c r="C1377" t="str">
        <f>_xlfn.XLOOKUP(Table7[[#This Row],[app_id]],Table5[app_id],Table5[app_name],"",0)</f>
        <v>GoNow</v>
      </c>
      <c r="D1377" t="s">
        <v>916</v>
      </c>
      <c r="E1377" s="1">
        <v>46053</v>
      </c>
      <c r="F1377">
        <v>3</v>
      </c>
      <c r="G1377" t="s">
        <v>2690</v>
      </c>
      <c r="H1377" t="s">
        <v>2554</v>
      </c>
      <c r="I1377" t="s">
        <v>2575</v>
      </c>
      <c r="J1377" t="s">
        <v>2581</v>
      </c>
      <c r="K1377">
        <v>12</v>
      </c>
      <c r="L1377" s="13" t="s">
        <v>257</v>
      </c>
    </row>
    <row r="1378" spans="1:12" x14ac:dyDescent="0.25">
      <c r="A1378" t="s">
        <v>4055</v>
      </c>
      <c r="B1378" t="s">
        <v>195</v>
      </c>
      <c r="C1378" t="str">
        <f>_xlfn.XLOOKUP(Table7[[#This Row],[app_id]],Table5[app_id],Table5[app_name],"",0)</f>
        <v>RouteGo</v>
      </c>
      <c r="D1378" t="s">
        <v>1365</v>
      </c>
      <c r="E1378" s="1">
        <v>45525</v>
      </c>
      <c r="F1378">
        <v>4</v>
      </c>
      <c r="G1378" t="s">
        <v>2683</v>
      </c>
      <c r="H1378" t="s">
        <v>2564</v>
      </c>
      <c r="I1378" t="s">
        <v>2565</v>
      </c>
      <c r="J1378" t="s">
        <v>2581</v>
      </c>
      <c r="K1378">
        <v>37</v>
      </c>
      <c r="L1378" s="13" t="s">
        <v>257</v>
      </c>
    </row>
    <row r="1379" spans="1:12" x14ac:dyDescent="0.25">
      <c r="A1379" t="s">
        <v>4056</v>
      </c>
      <c r="B1379" t="s">
        <v>197</v>
      </c>
      <c r="C1379" t="str">
        <f>_xlfn.XLOOKUP(Table7[[#This Row],[app_id]],Table5[app_id],Table5[app_name],"",0)</f>
        <v>TripGo</v>
      </c>
      <c r="D1379" t="s">
        <v>2250</v>
      </c>
      <c r="E1379" s="1">
        <v>45436</v>
      </c>
      <c r="F1379">
        <v>4</v>
      </c>
      <c r="G1379" t="s">
        <v>2931</v>
      </c>
      <c r="H1379" t="s">
        <v>2564</v>
      </c>
      <c r="I1379" t="s">
        <v>2565</v>
      </c>
      <c r="J1379" t="s">
        <v>2561</v>
      </c>
      <c r="K1379">
        <v>14</v>
      </c>
      <c r="L1379" s="13" t="s">
        <v>257</v>
      </c>
    </row>
    <row r="1380" spans="1:12" x14ac:dyDescent="0.25">
      <c r="A1380" t="s">
        <v>4057</v>
      </c>
      <c r="B1380" t="s">
        <v>199</v>
      </c>
      <c r="C1380" t="str">
        <f>_xlfn.XLOOKUP(Table7[[#This Row],[app_id]],Table5[app_id],Table5[app_name],"",0)</f>
        <v>Flyly</v>
      </c>
      <c r="D1380" t="s">
        <v>2270</v>
      </c>
      <c r="E1380" s="1">
        <v>45504</v>
      </c>
      <c r="F1380">
        <v>4</v>
      </c>
      <c r="G1380" t="s">
        <v>2687</v>
      </c>
      <c r="H1380" t="s">
        <v>2564</v>
      </c>
      <c r="I1380" t="s">
        <v>2575</v>
      </c>
      <c r="J1380" t="s">
        <v>2559</v>
      </c>
      <c r="K1380">
        <v>13</v>
      </c>
      <c r="L1380" s="13" t="s">
        <v>257</v>
      </c>
    </row>
    <row r="1381" spans="1:12" x14ac:dyDescent="0.25">
      <c r="A1381" t="s">
        <v>4058</v>
      </c>
      <c r="B1381" t="s">
        <v>201</v>
      </c>
      <c r="C1381" t="str">
        <f>_xlfn.XLOOKUP(Table7[[#This Row],[app_id]],Table5[app_id],Table5[app_name],"",0)</f>
        <v>TripPro</v>
      </c>
      <c r="D1381" t="s">
        <v>1724</v>
      </c>
      <c r="E1381" s="1">
        <v>45870</v>
      </c>
      <c r="F1381">
        <v>5</v>
      </c>
      <c r="G1381" t="s">
        <v>2687</v>
      </c>
      <c r="H1381" t="s">
        <v>2564</v>
      </c>
      <c r="I1381" t="s">
        <v>2555</v>
      </c>
      <c r="J1381" t="s">
        <v>2559</v>
      </c>
      <c r="K1381">
        <v>10</v>
      </c>
      <c r="L1381" s="13" t="s">
        <v>257</v>
      </c>
    </row>
    <row r="1382" spans="1:12" x14ac:dyDescent="0.25">
      <c r="A1382" t="s">
        <v>4059</v>
      </c>
      <c r="B1382" t="s">
        <v>203</v>
      </c>
      <c r="C1382" t="str">
        <f>_xlfn.XLOOKUP(Table7[[#This Row],[app_id]],Table5[app_id],Table5[app_name],"",0)</f>
        <v>Focusly</v>
      </c>
      <c r="D1382" t="s">
        <v>1718</v>
      </c>
      <c r="E1382" s="1">
        <v>45332</v>
      </c>
      <c r="F1382">
        <v>2</v>
      </c>
      <c r="G1382" t="s">
        <v>2827</v>
      </c>
      <c r="H1382" t="s">
        <v>2587</v>
      </c>
      <c r="I1382" t="s">
        <v>2555</v>
      </c>
      <c r="J1382" t="s">
        <v>2596</v>
      </c>
      <c r="K1382">
        <v>36</v>
      </c>
      <c r="L1382" s="13" t="s">
        <v>258</v>
      </c>
    </row>
    <row r="1383" spans="1:12" x14ac:dyDescent="0.25">
      <c r="A1383" t="s">
        <v>4060</v>
      </c>
      <c r="B1383" t="s">
        <v>206</v>
      </c>
      <c r="C1383" t="str">
        <f>_xlfn.XLOOKUP(Table7[[#This Row],[app_id]],Table5[app_id],Table5[app_name],"",0)</f>
        <v>DeskX</v>
      </c>
      <c r="D1383" t="s">
        <v>1996</v>
      </c>
      <c r="E1383" s="1">
        <v>46011</v>
      </c>
      <c r="F1383">
        <v>2</v>
      </c>
      <c r="G1383" t="s">
        <v>2827</v>
      </c>
      <c r="H1383" t="s">
        <v>2587</v>
      </c>
      <c r="I1383" t="s">
        <v>2588</v>
      </c>
      <c r="J1383" t="s">
        <v>2559</v>
      </c>
      <c r="K1383">
        <v>93</v>
      </c>
      <c r="L1383" s="13" t="s">
        <v>257</v>
      </c>
    </row>
    <row r="1384" spans="1:12" x14ac:dyDescent="0.25">
      <c r="A1384" t="s">
        <v>4061</v>
      </c>
      <c r="B1384" t="s">
        <v>208</v>
      </c>
      <c r="C1384" t="str">
        <f>_xlfn.XLOOKUP(Table7[[#This Row],[app_id]],Table5[app_id],Table5[app_name],"",0)</f>
        <v>DonePro</v>
      </c>
      <c r="D1384" t="s">
        <v>1401</v>
      </c>
      <c r="E1384" s="1">
        <v>45741</v>
      </c>
      <c r="F1384">
        <v>3</v>
      </c>
      <c r="G1384" t="s">
        <v>2710</v>
      </c>
      <c r="H1384" t="s">
        <v>2554</v>
      </c>
      <c r="I1384" t="s">
        <v>2558</v>
      </c>
      <c r="J1384" t="s">
        <v>2559</v>
      </c>
      <c r="K1384">
        <v>46</v>
      </c>
      <c r="L1384" s="13" t="s">
        <v>258</v>
      </c>
    </row>
    <row r="1385" spans="1:12" x14ac:dyDescent="0.25">
      <c r="A1385" t="s">
        <v>4062</v>
      </c>
      <c r="B1385" t="s">
        <v>210</v>
      </c>
      <c r="C1385" t="str">
        <f>_xlfn.XLOOKUP(Table7[[#This Row],[app_id]],Table5[app_id],Table5[app_name],"",0)</f>
        <v>NotePlus</v>
      </c>
      <c r="D1385" t="s">
        <v>952</v>
      </c>
      <c r="E1385" s="1">
        <v>45389</v>
      </c>
      <c r="F1385">
        <v>5</v>
      </c>
      <c r="G1385" t="s">
        <v>2700</v>
      </c>
      <c r="H1385" t="s">
        <v>2564</v>
      </c>
      <c r="I1385" t="s">
        <v>2555</v>
      </c>
      <c r="J1385" t="s">
        <v>2581</v>
      </c>
      <c r="K1385">
        <v>30</v>
      </c>
      <c r="L1385" s="13" t="s">
        <v>257</v>
      </c>
    </row>
    <row r="1386" spans="1:12" x14ac:dyDescent="0.25">
      <c r="A1386" t="s">
        <v>4063</v>
      </c>
      <c r="B1386" t="s">
        <v>212</v>
      </c>
      <c r="C1386" t="str">
        <f>_xlfn.XLOOKUP(Table7[[#This Row],[app_id]],Table5[app_id],Table5[app_name],"",0)</f>
        <v>SyncPlus</v>
      </c>
      <c r="D1386" t="s">
        <v>1554</v>
      </c>
      <c r="E1386" s="1">
        <v>45600</v>
      </c>
      <c r="F1386">
        <v>4</v>
      </c>
      <c r="G1386" t="s">
        <v>2836</v>
      </c>
      <c r="H1386" t="s">
        <v>2564</v>
      </c>
      <c r="I1386" t="s">
        <v>2555</v>
      </c>
      <c r="J1386" t="s">
        <v>2596</v>
      </c>
      <c r="K1386">
        <v>36</v>
      </c>
      <c r="L1386" s="13" t="s">
        <v>257</v>
      </c>
    </row>
    <row r="1387" spans="1:12" x14ac:dyDescent="0.25">
      <c r="A1387" t="s">
        <v>4064</v>
      </c>
      <c r="B1387" t="s">
        <v>214</v>
      </c>
      <c r="C1387" t="str">
        <f>_xlfn.XLOOKUP(Table7[[#This Row],[app_id]],Table5[app_id],Table5[app_name],"",0)</f>
        <v>NoteOne</v>
      </c>
      <c r="D1387" t="s">
        <v>2330</v>
      </c>
      <c r="E1387" s="1">
        <v>45729</v>
      </c>
      <c r="F1387">
        <v>5</v>
      </c>
      <c r="G1387" t="s">
        <v>2708</v>
      </c>
      <c r="H1387" t="s">
        <v>2564</v>
      </c>
      <c r="I1387" t="s">
        <v>2565</v>
      </c>
      <c r="J1387" t="s">
        <v>2559</v>
      </c>
      <c r="K1387">
        <v>10</v>
      </c>
      <c r="L1387" s="13" t="s">
        <v>257</v>
      </c>
    </row>
    <row r="1388" spans="1:12" x14ac:dyDescent="0.25">
      <c r="A1388" t="s">
        <v>4065</v>
      </c>
      <c r="B1388" t="s">
        <v>216</v>
      </c>
      <c r="C1388" t="str">
        <f>_xlfn.XLOOKUP(Table7[[#This Row],[app_id]],Table5[app_id],Table5[app_name],"",0)</f>
        <v>NoteMate</v>
      </c>
      <c r="D1388" t="s">
        <v>1578</v>
      </c>
      <c r="E1388" s="1">
        <v>45789</v>
      </c>
      <c r="F1388">
        <v>4</v>
      </c>
      <c r="G1388" t="s">
        <v>2700</v>
      </c>
      <c r="H1388" t="s">
        <v>2564</v>
      </c>
      <c r="I1388" t="s">
        <v>2565</v>
      </c>
      <c r="J1388" t="s">
        <v>2566</v>
      </c>
      <c r="K1388">
        <v>30</v>
      </c>
      <c r="L1388" s="13" t="s">
        <v>257</v>
      </c>
    </row>
    <row r="1389" spans="1:12" x14ac:dyDescent="0.25">
      <c r="A1389" t="s">
        <v>4066</v>
      </c>
      <c r="B1389" t="s">
        <v>218</v>
      </c>
      <c r="C1389" t="str">
        <f>_xlfn.XLOOKUP(Table7[[#This Row],[app_id]],Table5[app_id],Table5[app_name],"",0)</f>
        <v>PlanPlus</v>
      </c>
      <c r="D1389" t="s">
        <v>2350</v>
      </c>
      <c r="E1389" s="1">
        <v>45486</v>
      </c>
      <c r="F1389">
        <v>5</v>
      </c>
      <c r="G1389" t="s">
        <v>2836</v>
      </c>
      <c r="H1389" t="s">
        <v>2564</v>
      </c>
      <c r="I1389" t="s">
        <v>2558</v>
      </c>
      <c r="J1389" t="s">
        <v>2566</v>
      </c>
      <c r="K1389">
        <v>25</v>
      </c>
      <c r="L1389" s="13" t="s">
        <v>258</v>
      </c>
    </row>
    <row r="1390" spans="1:12" x14ac:dyDescent="0.25">
      <c r="A1390" t="s">
        <v>4067</v>
      </c>
      <c r="B1390" t="s">
        <v>220</v>
      </c>
      <c r="C1390" t="str">
        <f>_xlfn.XLOOKUP(Table7[[#This Row],[app_id]],Table5[app_id],Table5[app_name],"",0)</f>
        <v>PlanMate</v>
      </c>
      <c r="D1390" t="s">
        <v>664</v>
      </c>
      <c r="E1390" s="1">
        <v>45428</v>
      </c>
      <c r="F1390">
        <v>2</v>
      </c>
      <c r="G1390" t="s">
        <v>3051</v>
      </c>
      <c r="H1390" t="s">
        <v>2587</v>
      </c>
      <c r="I1390" t="s">
        <v>2571</v>
      </c>
      <c r="J1390" t="s">
        <v>2600</v>
      </c>
      <c r="K1390">
        <v>68</v>
      </c>
      <c r="L1390" s="13" t="s">
        <v>257</v>
      </c>
    </row>
    <row r="1391" spans="1:12" x14ac:dyDescent="0.25">
      <c r="A1391" t="s">
        <v>4068</v>
      </c>
      <c r="B1391" t="s">
        <v>222</v>
      </c>
      <c r="C1391" t="str">
        <f>_xlfn.XLOOKUP(Table7[[#This Row],[app_id]],Table5[app_id],Table5[app_name],"",0)</f>
        <v>SyncPlus</v>
      </c>
      <c r="D1391" t="s">
        <v>2333</v>
      </c>
      <c r="E1391" s="1">
        <v>45417</v>
      </c>
      <c r="F1391">
        <v>5</v>
      </c>
      <c r="G1391" t="s">
        <v>2703</v>
      </c>
      <c r="H1391" t="s">
        <v>2564</v>
      </c>
      <c r="I1391" t="s">
        <v>2565</v>
      </c>
      <c r="J1391" t="s">
        <v>2581</v>
      </c>
      <c r="K1391">
        <v>45</v>
      </c>
      <c r="L1391" s="13" t="s">
        <v>257</v>
      </c>
    </row>
    <row r="1392" spans="1:12" x14ac:dyDescent="0.25">
      <c r="A1392" t="s">
        <v>4069</v>
      </c>
      <c r="B1392" t="s">
        <v>223</v>
      </c>
      <c r="C1392" t="str">
        <f>_xlfn.XLOOKUP(Table7[[#This Row],[app_id]],Table5[app_id],Table5[app_name],"",0)</f>
        <v>ClinicPro</v>
      </c>
      <c r="D1392" t="s">
        <v>2421</v>
      </c>
      <c r="E1392" s="1">
        <v>45760</v>
      </c>
      <c r="F1392">
        <v>4</v>
      </c>
      <c r="G1392" t="s">
        <v>2954</v>
      </c>
      <c r="H1392" t="s">
        <v>2564</v>
      </c>
      <c r="I1392" t="s">
        <v>2575</v>
      </c>
      <c r="J1392" t="s">
        <v>2633</v>
      </c>
      <c r="K1392">
        <v>1</v>
      </c>
      <c r="L1392" s="13" t="s">
        <v>257</v>
      </c>
    </row>
    <row r="1393" spans="1:12" x14ac:dyDescent="0.25">
      <c r="A1393" t="s">
        <v>4070</v>
      </c>
      <c r="B1393" t="s">
        <v>226</v>
      </c>
      <c r="C1393" t="str">
        <f>_xlfn.XLOOKUP(Table7[[#This Row],[app_id]],Table5[app_id],Table5[app_name],"",0)</f>
        <v>MindMate</v>
      </c>
      <c r="D1393" t="s">
        <v>1328</v>
      </c>
      <c r="E1393" s="1">
        <v>45666</v>
      </c>
      <c r="F1393">
        <v>4</v>
      </c>
      <c r="G1393" t="s">
        <v>2954</v>
      </c>
      <c r="H1393" t="s">
        <v>2564</v>
      </c>
      <c r="I1393" t="s">
        <v>2575</v>
      </c>
      <c r="J1393" t="s">
        <v>2596</v>
      </c>
      <c r="K1393">
        <v>9</v>
      </c>
      <c r="L1393" s="13" t="s">
        <v>258</v>
      </c>
    </row>
    <row r="1394" spans="1:12" x14ac:dyDescent="0.25">
      <c r="A1394" t="s">
        <v>4071</v>
      </c>
      <c r="B1394" t="s">
        <v>228</v>
      </c>
      <c r="C1394" t="str">
        <f>_xlfn.XLOOKUP(Table7[[#This Row],[app_id]],Table5[app_id],Table5[app_name],"",0)</f>
        <v>ClinicOne</v>
      </c>
      <c r="D1394" t="s">
        <v>1496</v>
      </c>
      <c r="E1394" s="1">
        <v>45521</v>
      </c>
      <c r="F1394">
        <v>3</v>
      </c>
      <c r="G1394" t="s">
        <v>2720</v>
      </c>
      <c r="H1394" t="s">
        <v>2554</v>
      </c>
      <c r="I1394" t="s">
        <v>2555</v>
      </c>
      <c r="J1394" t="s">
        <v>2561</v>
      </c>
      <c r="K1394">
        <v>25</v>
      </c>
      <c r="L1394" s="13" t="s">
        <v>257</v>
      </c>
    </row>
    <row r="1395" spans="1:12" x14ac:dyDescent="0.25">
      <c r="A1395" t="s">
        <v>4072</v>
      </c>
      <c r="B1395" t="s">
        <v>230</v>
      </c>
      <c r="C1395" t="str">
        <f>_xlfn.XLOOKUP(Table7[[#This Row],[app_id]],Table5[app_id],Table5[app_name],"",0)</f>
        <v>WellMate</v>
      </c>
      <c r="D1395" t="s">
        <v>739</v>
      </c>
      <c r="E1395" s="1">
        <v>45386</v>
      </c>
      <c r="F1395">
        <v>4</v>
      </c>
      <c r="G1395" t="s">
        <v>2954</v>
      </c>
      <c r="H1395" t="s">
        <v>2564</v>
      </c>
      <c r="I1395" t="s">
        <v>2571</v>
      </c>
      <c r="J1395" t="s">
        <v>2559</v>
      </c>
      <c r="K1395">
        <v>11</v>
      </c>
      <c r="L1395" s="13" t="s">
        <v>257</v>
      </c>
    </row>
    <row r="1396" spans="1:12" x14ac:dyDescent="0.25">
      <c r="A1396" t="s">
        <v>4073</v>
      </c>
      <c r="B1396" t="s">
        <v>232</v>
      </c>
      <c r="C1396" t="str">
        <f>_xlfn.XLOOKUP(Table7[[#This Row],[app_id]],Table5[app_id],Table5[app_name],"",0)</f>
        <v>MediMate</v>
      </c>
      <c r="D1396" t="s">
        <v>2203</v>
      </c>
      <c r="E1396" s="1">
        <v>45675</v>
      </c>
      <c r="F1396">
        <v>4</v>
      </c>
      <c r="G1396" t="s">
        <v>2954</v>
      </c>
      <c r="H1396" t="s">
        <v>2564</v>
      </c>
      <c r="I1396" t="s">
        <v>2571</v>
      </c>
      <c r="J1396" t="s">
        <v>2600</v>
      </c>
      <c r="K1396">
        <v>30</v>
      </c>
      <c r="L1396" s="13" t="s">
        <v>257</v>
      </c>
    </row>
    <row r="1397" spans="1:12" x14ac:dyDescent="0.25">
      <c r="A1397" t="s">
        <v>4074</v>
      </c>
      <c r="B1397" t="s">
        <v>234</v>
      </c>
      <c r="C1397" t="str">
        <f>_xlfn.XLOOKUP(Table7[[#This Row],[app_id]],Table5[app_id],Table5[app_name],"",0)</f>
        <v>WellNow</v>
      </c>
      <c r="D1397" t="s">
        <v>948</v>
      </c>
      <c r="E1397" s="1">
        <v>45769</v>
      </c>
      <c r="F1397">
        <v>4</v>
      </c>
      <c r="G1397" t="s">
        <v>2722</v>
      </c>
      <c r="H1397" t="s">
        <v>2564</v>
      </c>
      <c r="I1397" t="s">
        <v>2555</v>
      </c>
      <c r="J1397" t="s">
        <v>2566</v>
      </c>
      <c r="K1397">
        <v>1</v>
      </c>
      <c r="L1397" s="13" t="s">
        <v>257</v>
      </c>
    </row>
    <row r="1398" spans="1:12" x14ac:dyDescent="0.25">
      <c r="A1398" t="s">
        <v>4075</v>
      </c>
      <c r="B1398" t="s">
        <v>236</v>
      </c>
      <c r="C1398" t="str">
        <f>_xlfn.XLOOKUP(Table7[[#This Row],[app_id]],Table5[app_id],Table5[app_name],"",0)</f>
        <v>CareCloud</v>
      </c>
      <c r="D1398" t="s">
        <v>1150</v>
      </c>
      <c r="E1398" s="1">
        <v>45640</v>
      </c>
      <c r="F1398">
        <v>4</v>
      </c>
      <c r="G1398" t="s">
        <v>2716</v>
      </c>
      <c r="H1398" t="s">
        <v>2564</v>
      </c>
      <c r="I1398" t="s">
        <v>2571</v>
      </c>
      <c r="J1398" t="s">
        <v>2559</v>
      </c>
      <c r="K1398">
        <v>14</v>
      </c>
      <c r="L1398" s="13" t="s">
        <v>258</v>
      </c>
    </row>
    <row r="1399" spans="1:12" x14ac:dyDescent="0.25">
      <c r="A1399" t="s">
        <v>4076</v>
      </c>
      <c r="B1399" t="s">
        <v>238</v>
      </c>
      <c r="C1399" t="str">
        <f>_xlfn.XLOOKUP(Table7[[#This Row],[app_id]],Table5[app_id],Table5[app_name],"",0)</f>
        <v>MediNow</v>
      </c>
      <c r="D1399" t="s">
        <v>1940</v>
      </c>
      <c r="E1399" s="1">
        <v>45426</v>
      </c>
      <c r="F1399">
        <v>5</v>
      </c>
      <c r="G1399" t="s">
        <v>2728</v>
      </c>
      <c r="H1399" t="s">
        <v>2564</v>
      </c>
      <c r="I1399" t="s">
        <v>2565</v>
      </c>
      <c r="J1399" t="s">
        <v>2559</v>
      </c>
      <c r="K1399">
        <v>19</v>
      </c>
      <c r="L1399" s="13" t="s">
        <v>257</v>
      </c>
    </row>
    <row r="1400" spans="1:12" x14ac:dyDescent="0.25">
      <c r="A1400" t="s">
        <v>4077</v>
      </c>
      <c r="B1400" t="s">
        <v>240</v>
      </c>
      <c r="C1400" t="str">
        <f>_xlfn.XLOOKUP(Table7[[#This Row],[app_id]],Table5[app_id],Table5[app_name],"",0)</f>
        <v>MindPlus</v>
      </c>
      <c r="D1400" t="s">
        <v>1857</v>
      </c>
      <c r="E1400" s="1">
        <v>45463</v>
      </c>
      <c r="F1400">
        <v>3</v>
      </c>
      <c r="G1400" t="s">
        <v>2720</v>
      </c>
      <c r="H1400" t="s">
        <v>2554</v>
      </c>
      <c r="I1400" t="s">
        <v>2558</v>
      </c>
      <c r="J1400" t="s">
        <v>2566</v>
      </c>
      <c r="K1400">
        <v>30</v>
      </c>
      <c r="L1400" s="13" t="s">
        <v>257</v>
      </c>
    </row>
    <row r="1401" spans="1:12" x14ac:dyDescent="0.25">
      <c r="A1401" t="s">
        <v>4078</v>
      </c>
      <c r="B1401" t="s">
        <v>242</v>
      </c>
      <c r="C1401" t="str">
        <f>_xlfn.XLOOKUP(Table7[[#This Row],[app_id]],Table5[app_id],Table5[app_name],"",0)</f>
        <v>MediCloud</v>
      </c>
      <c r="D1401" t="s">
        <v>1930</v>
      </c>
      <c r="E1401" s="1">
        <v>45963</v>
      </c>
      <c r="F1401">
        <v>5</v>
      </c>
      <c r="G1401" t="s">
        <v>2722</v>
      </c>
      <c r="H1401" t="s">
        <v>2564</v>
      </c>
      <c r="I1401" t="s">
        <v>2555</v>
      </c>
      <c r="J1401" t="s">
        <v>2633</v>
      </c>
      <c r="K1401">
        <v>35</v>
      </c>
      <c r="L1401" s="13" t="s">
        <v>257</v>
      </c>
    </row>
    <row r="1402" spans="1:12" x14ac:dyDescent="0.25">
      <c r="A1402" t="s">
        <v>4079</v>
      </c>
      <c r="B1402" t="s">
        <v>12</v>
      </c>
      <c r="C1402" t="str">
        <f>_xlfn.XLOOKUP(Table7[[#This Row],[app_id]],Table5[app_id],Table5[app_name],"",0)</f>
        <v>InvestPro</v>
      </c>
      <c r="D1402" t="s">
        <v>1387</v>
      </c>
      <c r="E1402" s="1">
        <v>45454</v>
      </c>
      <c r="F1402">
        <v>4</v>
      </c>
      <c r="G1402" t="s">
        <v>2573</v>
      </c>
      <c r="H1402" t="s">
        <v>2564</v>
      </c>
      <c r="I1402" t="s">
        <v>2575</v>
      </c>
      <c r="J1402" t="s">
        <v>2569</v>
      </c>
      <c r="K1402">
        <v>39</v>
      </c>
      <c r="L1402" s="13" t="s">
        <v>257</v>
      </c>
    </row>
    <row r="1403" spans="1:12" x14ac:dyDescent="0.25">
      <c r="A1403" t="s">
        <v>4080</v>
      </c>
      <c r="B1403" t="s">
        <v>19</v>
      </c>
      <c r="C1403" t="str">
        <f>_xlfn.XLOOKUP(Table7[[#This Row],[app_id]],Table5[app_id],Table5[app_name],"",0)</f>
        <v>BankPro</v>
      </c>
      <c r="D1403" t="s">
        <v>1985</v>
      </c>
      <c r="E1403" s="1">
        <v>45661</v>
      </c>
      <c r="F1403">
        <v>3</v>
      </c>
      <c r="G1403" t="s">
        <v>2735</v>
      </c>
      <c r="H1403" t="s">
        <v>2554</v>
      </c>
      <c r="I1403" t="s">
        <v>2565</v>
      </c>
      <c r="J1403" t="s">
        <v>2556</v>
      </c>
      <c r="K1403">
        <v>46</v>
      </c>
      <c r="L1403" s="13" t="s">
        <v>257</v>
      </c>
    </row>
    <row r="1404" spans="1:12" x14ac:dyDescent="0.25">
      <c r="A1404" t="s">
        <v>4081</v>
      </c>
      <c r="B1404" t="s">
        <v>24</v>
      </c>
      <c r="C1404" t="str">
        <f>_xlfn.XLOOKUP(Table7[[#This Row],[app_id]],Table5[app_id],Table5[app_name],"",0)</f>
        <v>BankX</v>
      </c>
      <c r="D1404" t="s">
        <v>968</v>
      </c>
      <c r="E1404" s="1">
        <v>45809</v>
      </c>
      <c r="F1404">
        <v>4</v>
      </c>
      <c r="G1404" t="s">
        <v>2568</v>
      </c>
      <c r="H1404" t="s">
        <v>2564</v>
      </c>
      <c r="I1404" t="s">
        <v>2571</v>
      </c>
      <c r="J1404" t="s">
        <v>2566</v>
      </c>
      <c r="K1404">
        <v>42</v>
      </c>
      <c r="L1404" s="13" t="s">
        <v>257</v>
      </c>
    </row>
    <row r="1405" spans="1:12" x14ac:dyDescent="0.25">
      <c r="A1405" t="s">
        <v>4082</v>
      </c>
      <c r="B1405" t="s">
        <v>27</v>
      </c>
      <c r="C1405" t="str">
        <f>_xlfn.XLOOKUP(Table7[[#This Row],[app_id]],Table5[app_id],Table5[app_name],"",0)</f>
        <v>BankNow</v>
      </c>
      <c r="D1405" t="s">
        <v>651</v>
      </c>
      <c r="E1405" s="1">
        <v>45902</v>
      </c>
      <c r="F1405">
        <v>4</v>
      </c>
      <c r="G1405" t="s">
        <v>2563</v>
      </c>
      <c r="H1405" t="s">
        <v>2564</v>
      </c>
      <c r="I1405" t="s">
        <v>2575</v>
      </c>
      <c r="J1405" t="s">
        <v>2600</v>
      </c>
      <c r="K1405">
        <v>8</v>
      </c>
      <c r="L1405" s="13" t="s">
        <v>257</v>
      </c>
    </row>
    <row r="1406" spans="1:12" x14ac:dyDescent="0.25">
      <c r="A1406" t="s">
        <v>4083</v>
      </c>
      <c r="B1406" t="s">
        <v>31</v>
      </c>
      <c r="C1406" t="str">
        <f>_xlfn.XLOOKUP(Table7[[#This Row],[app_id]],Table5[app_id],Table5[app_name],"",0)</f>
        <v>CreditHub</v>
      </c>
      <c r="D1406" t="s">
        <v>620</v>
      </c>
      <c r="E1406" s="1">
        <v>45389</v>
      </c>
      <c r="F1406">
        <v>4</v>
      </c>
      <c r="G1406" t="s">
        <v>2580</v>
      </c>
      <c r="H1406" t="s">
        <v>2564</v>
      </c>
      <c r="I1406" t="s">
        <v>2565</v>
      </c>
      <c r="J1406" t="s">
        <v>2556</v>
      </c>
      <c r="K1406">
        <v>25</v>
      </c>
      <c r="L1406" s="13" t="s">
        <v>257</v>
      </c>
    </row>
    <row r="1407" spans="1:12" x14ac:dyDescent="0.25">
      <c r="A1407" t="s">
        <v>4084</v>
      </c>
      <c r="B1407" t="s">
        <v>36</v>
      </c>
      <c r="C1407" t="str">
        <f>_xlfn.XLOOKUP(Table7[[#This Row],[app_id]],Table5[app_id],Table5[app_name],"",0)</f>
        <v>PayPlus</v>
      </c>
      <c r="D1407" t="s">
        <v>576</v>
      </c>
      <c r="E1407" s="1">
        <v>45698</v>
      </c>
      <c r="F1407">
        <v>5</v>
      </c>
      <c r="G1407" t="s">
        <v>2573</v>
      </c>
      <c r="H1407" t="s">
        <v>2564</v>
      </c>
      <c r="I1407" t="s">
        <v>2565</v>
      </c>
      <c r="J1407" t="s">
        <v>2596</v>
      </c>
      <c r="K1407">
        <v>30</v>
      </c>
      <c r="L1407" s="13" t="s">
        <v>257</v>
      </c>
    </row>
    <row r="1408" spans="1:12" x14ac:dyDescent="0.25">
      <c r="A1408" t="s">
        <v>4085</v>
      </c>
      <c r="B1408" t="s">
        <v>39</v>
      </c>
      <c r="C1408" t="str">
        <f>_xlfn.XLOOKUP(Table7[[#This Row],[app_id]],Table5[app_id],Table5[app_name],"",0)</f>
        <v>BankPlus</v>
      </c>
      <c r="D1408" t="s">
        <v>1781</v>
      </c>
      <c r="E1408" s="1">
        <v>45603</v>
      </c>
      <c r="F1408">
        <v>3</v>
      </c>
      <c r="G1408" t="s">
        <v>2553</v>
      </c>
      <c r="H1408" t="s">
        <v>2554</v>
      </c>
      <c r="I1408" t="s">
        <v>2578</v>
      </c>
      <c r="J1408" t="s">
        <v>2569</v>
      </c>
      <c r="K1408">
        <v>46</v>
      </c>
      <c r="L1408" s="13" t="s">
        <v>257</v>
      </c>
    </row>
    <row r="1409" spans="1:12" x14ac:dyDescent="0.25">
      <c r="A1409" t="s">
        <v>4086</v>
      </c>
      <c r="B1409" t="s">
        <v>42</v>
      </c>
      <c r="C1409" t="str">
        <f>_xlfn.XLOOKUP(Table7[[#This Row],[app_id]],Table5[app_id],Table5[app_name],"",0)</f>
        <v>CoinPlus</v>
      </c>
      <c r="D1409" t="s">
        <v>1142</v>
      </c>
      <c r="E1409" s="1">
        <v>45570</v>
      </c>
      <c r="F1409">
        <v>4</v>
      </c>
      <c r="G1409" t="s">
        <v>2563</v>
      </c>
      <c r="H1409" t="s">
        <v>2564</v>
      </c>
      <c r="I1409" t="s">
        <v>2571</v>
      </c>
      <c r="J1409" t="s">
        <v>2556</v>
      </c>
      <c r="K1409">
        <v>19</v>
      </c>
      <c r="L1409" s="13" t="s">
        <v>257</v>
      </c>
    </row>
    <row r="1410" spans="1:12" x14ac:dyDescent="0.25">
      <c r="A1410" t="s">
        <v>4087</v>
      </c>
      <c r="B1410" t="s">
        <v>47</v>
      </c>
      <c r="C1410" t="str">
        <f>_xlfn.XLOOKUP(Table7[[#This Row],[app_id]],Table5[app_id],Table5[app_name],"",0)</f>
        <v>CreditOne</v>
      </c>
      <c r="D1410" t="s">
        <v>1925</v>
      </c>
      <c r="E1410" s="1">
        <v>45779</v>
      </c>
      <c r="F1410">
        <v>3</v>
      </c>
      <c r="G1410" t="s">
        <v>2583</v>
      </c>
      <c r="H1410" t="s">
        <v>2554</v>
      </c>
      <c r="I1410" t="s">
        <v>2578</v>
      </c>
      <c r="J1410" t="s">
        <v>2569</v>
      </c>
      <c r="K1410">
        <v>30</v>
      </c>
      <c r="L1410" s="13" t="s">
        <v>257</v>
      </c>
    </row>
    <row r="1411" spans="1:12" x14ac:dyDescent="0.25">
      <c r="A1411" t="s">
        <v>4088</v>
      </c>
      <c r="B1411" t="s">
        <v>49</v>
      </c>
      <c r="C1411" t="str">
        <f>_xlfn.XLOOKUP(Table7[[#This Row],[app_id]],Table5[app_id],Table5[app_name],"",0)</f>
        <v>PayPro</v>
      </c>
      <c r="D1411" t="s">
        <v>1078</v>
      </c>
      <c r="E1411" s="1">
        <v>45475</v>
      </c>
      <c r="F1411">
        <v>3</v>
      </c>
      <c r="G1411" t="s">
        <v>2553</v>
      </c>
      <c r="H1411" t="s">
        <v>2554</v>
      </c>
      <c r="I1411" t="s">
        <v>2565</v>
      </c>
      <c r="J1411" t="s">
        <v>2569</v>
      </c>
      <c r="K1411">
        <v>15</v>
      </c>
      <c r="L1411" s="13" t="s">
        <v>257</v>
      </c>
    </row>
    <row r="1412" spans="1:12" x14ac:dyDescent="0.25">
      <c r="A1412" t="s">
        <v>4089</v>
      </c>
      <c r="B1412" t="s">
        <v>51</v>
      </c>
      <c r="C1412" t="str">
        <f>_xlfn.XLOOKUP(Table7[[#This Row],[app_id]],Table5[app_id],Table5[app_name],"",0)</f>
        <v>Creditly</v>
      </c>
      <c r="D1412" t="s">
        <v>1195</v>
      </c>
      <c r="E1412" s="1">
        <v>45346</v>
      </c>
      <c r="F1412">
        <v>3</v>
      </c>
      <c r="G1412" t="s">
        <v>2968</v>
      </c>
      <c r="H1412" t="s">
        <v>2554</v>
      </c>
      <c r="I1412" t="s">
        <v>2558</v>
      </c>
      <c r="J1412" t="s">
        <v>2600</v>
      </c>
      <c r="K1412">
        <v>7</v>
      </c>
      <c r="L1412" s="13" t="s">
        <v>257</v>
      </c>
    </row>
    <row r="1413" spans="1:12" x14ac:dyDescent="0.25">
      <c r="A1413" t="s">
        <v>4090</v>
      </c>
      <c r="B1413" t="s">
        <v>53</v>
      </c>
      <c r="C1413" t="str">
        <f>_xlfn.XLOOKUP(Table7[[#This Row],[app_id]],Table5[app_id],Table5[app_name],"",0)</f>
        <v>PayX</v>
      </c>
      <c r="D1413" t="s">
        <v>1094</v>
      </c>
      <c r="E1413" s="1">
        <v>46133</v>
      </c>
      <c r="F1413">
        <v>4</v>
      </c>
      <c r="G1413" t="s">
        <v>2580</v>
      </c>
      <c r="H1413" t="s">
        <v>2564</v>
      </c>
      <c r="I1413" t="s">
        <v>2575</v>
      </c>
      <c r="J1413" t="s">
        <v>2633</v>
      </c>
      <c r="K1413">
        <v>33</v>
      </c>
      <c r="L1413" s="13" t="s">
        <v>257</v>
      </c>
    </row>
    <row r="1414" spans="1:12" x14ac:dyDescent="0.25">
      <c r="A1414" t="s">
        <v>4091</v>
      </c>
      <c r="B1414" t="s">
        <v>56</v>
      </c>
      <c r="C1414" t="str">
        <f>_xlfn.XLOOKUP(Table7[[#This Row],[app_id]],Table5[app_id],Table5[app_name],"",0)</f>
        <v>DealGo</v>
      </c>
      <c r="D1414" t="s">
        <v>1025</v>
      </c>
      <c r="E1414" s="1">
        <v>46012</v>
      </c>
      <c r="F1414">
        <v>3</v>
      </c>
      <c r="G1414" t="s">
        <v>2609</v>
      </c>
      <c r="H1414" t="s">
        <v>2554</v>
      </c>
      <c r="I1414" t="s">
        <v>2575</v>
      </c>
      <c r="J1414" t="s">
        <v>2600</v>
      </c>
      <c r="K1414">
        <v>48</v>
      </c>
      <c r="L1414" s="13" t="s">
        <v>257</v>
      </c>
    </row>
    <row r="1415" spans="1:12" x14ac:dyDescent="0.25">
      <c r="A1415" t="s">
        <v>4092</v>
      </c>
      <c r="B1415" t="s">
        <v>62</v>
      </c>
      <c r="C1415" t="str">
        <f>_xlfn.XLOOKUP(Table7[[#This Row],[app_id]],Table5[app_id],Table5[app_name],"",0)</f>
        <v>MallNow</v>
      </c>
      <c r="D1415" t="s">
        <v>2504</v>
      </c>
      <c r="E1415" s="1">
        <v>46110</v>
      </c>
      <c r="F1415">
        <v>5</v>
      </c>
      <c r="G1415" t="s">
        <v>2598</v>
      </c>
      <c r="H1415" t="s">
        <v>2564</v>
      </c>
      <c r="I1415" t="s">
        <v>2555</v>
      </c>
      <c r="J1415" t="s">
        <v>2603</v>
      </c>
      <c r="K1415">
        <v>7</v>
      </c>
      <c r="L1415" s="13" t="s">
        <v>257</v>
      </c>
    </row>
    <row r="1416" spans="1:12" x14ac:dyDescent="0.25">
      <c r="A1416" t="s">
        <v>4093</v>
      </c>
      <c r="B1416" t="s">
        <v>65</v>
      </c>
      <c r="C1416" t="str">
        <f>_xlfn.XLOOKUP(Table7[[#This Row],[app_id]],Table5[app_id],Table5[app_name],"",0)</f>
        <v>DealPro</v>
      </c>
      <c r="D1416" t="s">
        <v>766</v>
      </c>
      <c r="E1416" s="1">
        <v>45443</v>
      </c>
      <c r="F1416">
        <v>4</v>
      </c>
      <c r="G1416" t="s">
        <v>2592</v>
      </c>
      <c r="H1416" t="s">
        <v>2564</v>
      </c>
      <c r="I1416" t="s">
        <v>2565</v>
      </c>
      <c r="J1416" t="s">
        <v>2600</v>
      </c>
      <c r="K1416">
        <v>21</v>
      </c>
      <c r="L1416" s="13" t="s">
        <v>258</v>
      </c>
    </row>
    <row r="1417" spans="1:12" x14ac:dyDescent="0.25">
      <c r="A1417" t="s">
        <v>4094</v>
      </c>
      <c r="B1417" t="s">
        <v>67</v>
      </c>
      <c r="C1417" t="str">
        <f>_xlfn.XLOOKUP(Table7[[#This Row],[app_id]],Table5[app_id],Table5[app_name],"",0)</f>
        <v>StyleNow</v>
      </c>
      <c r="D1417" t="s">
        <v>1850</v>
      </c>
      <c r="E1417" s="1">
        <v>45690</v>
      </c>
      <c r="F1417">
        <v>3</v>
      </c>
      <c r="G1417" t="s">
        <v>2609</v>
      </c>
      <c r="H1417" t="s">
        <v>2554</v>
      </c>
      <c r="I1417" t="s">
        <v>2578</v>
      </c>
      <c r="J1417" t="s">
        <v>2559</v>
      </c>
      <c r="K1417">
        <v>24</v>
      </c>
      <c r="L1417" s="13" t="s">
        <v>257</v>
      </c>
    </row>
    <row r="1418" spans="1:12" x14ac:dyDescent="0.25">
      <c r="A1418" t="s">
        <v>4095</v>
      </c>
      <c r="B1418" t="s">
        <v>70</v>
      </c>
      <c r="C1418" t="str">
        <f>_xlfn.XLOOKUP(Table7[[#This Row],[app_id]],Table5[app_id],Table5[app_name],"",0)</f>
        <v>DealCloud</v>
      </c>
      <c r="D1418" t="s">
        <v>2307</v>
      </c>
      <c r="E1418" s="1">
        <v>45387</v>
      </c>
      <c r="F1418">
        <v>5</v>
      </c>
      <c r="G1418" t="s">
        <v>2590</v>
      </c>
      <c r="H1418" t="s">
        <v>2564</v>
      </c>
      <c r="I1418" t="s">
        <v>2555</v>
      </c>
      <c r="J1418" t="s">
        <v>2556</v>
      </c>
      <c r="K1418">
        <v>11</v>
      </c>
      <c r="L1418" s="13" t="s">
        <v>257</v>
      </c>
    </row>
    <row r="1419" spans="1:12" x14ac:dyDescent="0.25">
      <c r="A1419" t="s">
        <v>4096</v>
      </c>
      <c r="B1419" t="s">
        <v>72</v>
      </c>
      <c r="C1419" t="str">
        <f>_xlfn.XLOOKUP(Table7[[#This Row],[app_id]],Table5[app_id],Table5[app_name],"",0)</f>
        <v>CartCloud</v>
      </c>
      <c r="D1419" t="s">
        <v>1528</v>
      </c>
      <c r="E1419" s="1">
        <v>45656</v>
      </c>
      <c r="F1419">
        <v>3</v>
      </c>
      <c r="G1419" t="s">
        <v>2609</v>
      </c>
      <c r="H1419" t="s">
        <v>2554</v>
      </c>
      <c r="I1419" t="s">
        <v>2575</v>
      </c>
      <c r="J1419" t="s">
        <v>2559</v>
      </c>
      <c r="K1419">
        <v>22</v>
      </c>
      <c r="L1419" s="13" t="s">
        <v>257</v>
      </c>
    </row>
    <row r="1420" spans="1:12" x14ac:dyDescent="0.25">
      <c r="A1420" t="s">
        <v>4097</v>
      </c>
      <c r="B1420" t="s">
        <v>74</v>
      </c>
      <c r="C1420" t="str">
        <f>_xlfn.XLOOKUP(Table7[[#This Row],[app_id]],Table5[app_id],Table5[app_name],"",0)</f>
        <v>CartMate</v>
      </c>
      <c r="D1420" t="s">
        <v>706</v>
      </c>
      <c r="E1420" s="1">
        <v>45357</v>
      </c>
      <c r="F1420">
        <v>3</v>
      </c>
      <c r="G1420" t="s">
        <v>2602</v>
      </c>
      <c r="H1420" t="s">
        <v>2554</v>
      </c>
      <c r="I1420" t="s">
        <v>2584</v>
      </c>
      <c r="J1420" t="s">
        <v>2633</v>
      </c>
      <c r="K1420">
        <v>24</v>
      </c>
      <c r="L1420" s="13" t="s">
        <v>257</v>
      </c>
    </row>
    <row r="1421" spans="1:12" x14ac:dyDescent="0.25">
      <c r="A1421" t="s">
        <v>4098</v>
      </c>
      <c r="B1421" t="s">
        <v>76</v>
      </c>
      <c r="C1421" t="str">
        <f>_xlfn.XLOOKUP(Table7[[#This Row],[app_id]],Table5[app_id],Table5[app_name],"",0)</f>
        <v>BazaarOne</v>
      </c>
      <c r="D1421" t="s">
        <v>2412</v>
      </c>
      <c r="E1421" s="1">
        <v>46070</v>
      </c>
      <c r="F1421">
        <v>4</v>
      </c>
      <c r="G1421" t="s">
        <v>2598</v>
      </c>
      <c r="H1421" t="s">
        <v>2564</v>
      </c>
      <c r="I1421" t="s">
        <v>2565</v>
      </c>
      <c r="J1421" t="s">
        <v>2566</v>
      </c>
      <c r="K1421">
        <v>25</v>
      </c>
      <c r="L1421" s="13" t="s">
        <v>257</v>
      </c>
    </row>
    <row r="1422" spans="1:12" x14ac:dyDescent="0.25">
      <c r="A1422" t="s">
        <v>4099</v>
      </c>
      <c r="B1422" t="s">
        <v>78</v>
      </c>
      <c r="C1422" t="str">
        <f>_xlfn.XLOOKUP(Table7[[#This Row],[app_id]],Table5[app_id],Table5[app_name],"",0)</f>
        <v>StyleOne</v>
      </c>
      <c r="D1422" t="s">
        <v>810</v>
      </c>
      <c r="E1422" s="1">
        <v>45657</v>
      </c>
      <c r="F1422">
        <v>4</v>
      </c>
      <c r="G1422" t="s">
        <v>2590</v>
      </c>
      <c r="H1422" t="s">
        <v>2564</v>
      </c>
      <c r="I1422" t="s">
        <v>2565</v>
      </c>
      <c r="J1422" t="s">
        <v>2566</v>
      </c>
      <c r="K1422">
        <v>28</v>
      </c>
      <c r="L1422" s="13" t="s">
        <v>257</v>
      </c>
    </row>
    <row r="1423" spans="1:12" x14ac:dyDescent="0.25">
      <c r="A1423" t="s">
        <v>4100</v>
      </c>
      <c r="B1423" t="s">
        <v>80</v>
      </c>
      <c r="C1423" t="str">
        <f>_xlfn.XLOOKUP(Table7[[#This Row],[app_id]],Table5[app_id],Table5[app_name],"",0)</f>
        <v>Cartly</v>
      </c>
      <c r="D1423" t="s">
        <v>2480</v>
      </c>
      <c r="E1423" s="1">
        <v>45898</v>
      </c>
      <c r="F1423">
        <v>4</v>
      </c>
      <c r="G1423" t="s">
        <v>2598</v>
      </c>
      <c r="H1423" t="s">
        <v>2564</v>
      </c>
      <c r="I1423" t="s">
        <v>2565</v>
      </c>
      <c r="J1423" t="s">
        <v>2569</v>
      </c>
      <c r="K1423">
        <v>36</v>
      </c>
      <c r="L1423" s="13" t="s">
        <v>257</v>
      </c>
    </row>
    <row r="1424" spans="1:12" x14ac:dyDescent="0.25">
      <c r="A1424" t="s">
        <v>4101</v>
      </c>
      <c r="B1424" t="s">
        <v>83</v>
      </c>
      <c r="C1424" t="str">
        <f>_xlfn.XLOOKUP(Table7[[#This Row],[app_id]],Table5[app_id],Table5[app_name],"",0)</f>
        <v>BazaarCloud</v>
      </c>
      <c r="D1424" t="s">
        <v>1883</v>
      </c>
      <c r="E1424" s="1">
        <v>45309</v>
      </c>
      <c r="F1424">
        <v>4</v>
      </c>
      <c r="G1424" t="s">
        <v>2592</v>
      </c>
      <c r="H1424" t="s">
        <v>2564</v>
      </c>
      <c r="I1424" t="s">
        <v>2571</v>
      </c>
      <c r="J1424" t="s">
        <v>2559</v>
      </c>
      <c r="K1424">
        <v>36</v>
      </c>
      <c r="L1424" s="13" t="s">
        <v>257</v>
      </c>
    </row>
    <row r="1425" spans="1:12" x14ac:dyDescent="0.25">
      <c r="A1425" t="s">
        <v>4102</v>
      </c>
      <c r="B1425" t="s">
        <v>85</v>
      </c>
      <c r="C1425" t="str">
        <f>_xlfn.XLOOKUP(Table7[[#This Row],[app_id]],Table5[app_id],Table5[app_name],"",0)</f>
        <v>CartPro</v>
      </c>
      <c r="D1425" t="s">
        <v>1438</v>
      </c>
      <c r="E1425" s="1">
        <v>46038</v>
      </c>
      <c r="F1425">
        <v>4</v>
      </c>
      <c r="G1425" t="s">
        <v>2867</v>
      </c>
      <c r="H1425" t="s">
        <v>2564</v>
      </c>
      <c r="I1425" t="s">
        <v>2575</v>
      </c>
      <c r="J1425" t="s">
        <v>2569</v>
      </c>
      <c r="K1425">
        <v>30</v>
      </c>
      <c r="L1425" s="13" t="s">
        <v>257</v>
      </c>
    </row>
    <row r="1426" spans="1:12" x14ac:dyDescent="0.25">
      <c r="A1426" t="s">
        <v>4103</v>
      </c>
      <c r="B1426" t="s">
        <v>87</v>
      </c>
      <c r="C1426" t="str">
        <f>_xlfn.XLOOKUP(Table7[[#This Row],[app_id]],Table5[app_id],Table5[app_name],"",0)</f>
        <v>RunPlus</v>
      </c>
      <c r="D1426" t="s">
        <v>2231</v>
      </c>
      <c r="E1426" s="1">
        <v>45933</v>
      </c>
      <c r="F1426">
        <v>2</v>
      </c>
      <c r="G1426" t="s">
        <v>2992</v>
      </c>
      <c r="H1426" t="s">
        <v>2587</v>
      </c>
      <c r="I1426" t="s">
        <v>2558</v>
      </c>
      <c r="J1426" t="s">
        <v>2569</v>
      </c>
      <c r="K1426">
        <v>14</v>
      </c>
      <c r="L1426" s="13" t="s">
        <v>258</v>
      </c>
    </row>
    <row r="1427" spans="1:12" x14ac:dyDescent="0.25">
      <c r="A1427" t="s">
        <v>4104</v>
      </c>
      <c r="B1427" t="s">
        <v>90</v>
      </c>
      <c r="C1427" t="str">
        <f>_xlfn.XLOOKUP(Table7[[#This Row],[app_id]],Table5[app_id],Table5[app_name],"",0)</f>
        <v>TrainCloud</v>
      </c>
      <c r="D1427" t="s">
        <v>1345</v>
      </c>
      <c r="E1427" s="1">
        <v>45550</v>
      </c>
      <c r="F1427">
        <v>5</v>
      </c>
      <c r="G1427" t="s">
        <v>2625</v>
      </c>
      <c r="H1427" t="s">
        <v>2564</v>
      </c>
      <c r="I1427" t="s">
        <v>2558</v>
      </c>
      <c r="J1427" t="s">
        <v>2600</v>
      </c>
      <c r="K1427">
        <v>38</v>
      </c>
      <c r="L1427" s="13" t="s">
        <v>257</v>
      </c>
    </row>
    <row r="1428" spans="1:12" x14ac:dyDescent="0.25">
      <c r="A1428" t="s">
        <v>4105</v>
      </c>
      <c r="B1428" t="s">
        <v>92</v>
      </c>
      <c r="C1428" t="str">
        <f>_xlfn.XLOOKUP(Table7[[#This Row],[app_id]],Table5[app_id],Table5[app_name],"",0)</f>
        <v>Trainly</v>
      </c>
      <c r="D1428" t="s">
        <v>1823</v>
      </c>
      <c r="E1428" s="1">
        <v>45425</v>
      </c>
      <c r="F1428">
        <v>4</v>
      </c>
      <c r="G1428" t="s">
        <v>2617</v>
      </c>
      <c r="H1428" t="s">
        <v>2564</v>
      </c>
      <c r="I1428" t="s">
        <v>2575</v>
      </c>
      <c r="J1428" t="s">
        <v>2559</v>
      </c>
      <c r="K1428">
        <v>13</v>
      </c>
      <c r="L1428" s="13" t="s">
        <v>257</v>
      </c>
    </row>
    <row r="1429" spans="1:12" x14ac:dyDescent="0.25">
      <c r="A1429" t="s">
        <v>4106</v>
      </c>
      <c r="B1429" t="s">
        <v>94</v>
      </c>
      <c r="C1429" t="str">
        <f>_xlfn.XLOOKUP(Table7[[#This Row],[app_id]],Table5[app_id],Table5[app_name],"",0)</f>
        <v>LiftCloud</v>
      </c>
      <c r="D1429" t="s">
        <v>1241</v>
      </c>
      <c r="E1429" s="1">
        <v>45536</v>
      </c>
      <c r="F1429">
        <v>4</v>
      </c>
      <c r="G1429" t="s">
        <v>2617</v>
      </c>
      <c r="H1429" t="s">
        <v>2564</v>
      </c>
      <c r="I1429" t="s">
        <v>2575</v>
      </c>
      <c r="J1429" t="s">
        <v>2596</v>
      </c>
      <c r="K1429">
        <v>43</v>
      </c>
      <c r="L1429" s="13" t="s">
        <v>257</v>
      </c>
    </row>
    <row r="1430" spans="1:12" x14ac:dyDescent="0.25">
      <c r="A1430" t="s">
        <v>4107</v>
      </c>
      <c r="B1430" t="s">
        <v>96</v>
      </c>
      <c r="C1430" t="str">
        <f>_xlfn.XLOOKUP(Table7[[#This Row],[app_id]],Table5[app_id],Table5[app_name],"",0)</f>
        <v>MoveNow</v>
      </c>
      <c r="D1430" t="s">
        <v>922</v>
      </c>
      <c r="E1430" s="1">
        <v>46084</v>
      </c>
      <c r="F1430">
        <v>3</v>
      </c>
      <c r="G1430" t="s">
        <v>2615</v>
      </c>
      <c r="H1430" t="s">
        <v>2554</v>
      </c>
      <c r="I1430" t="s">
        <v>2575</v>
      </c>
      <c r="J1430" t="s">
        <v>2556</v>
      </c>
      <c r="K1430">
        <v>20</v>
      </c>
      <c r="L1430" s="13" t="s">
        <v>257</v>
      </c>
    </row>
    <row r="1431" spans="1:12" x14ac:dyDescent="0.25">
      <c r="A1431" t="s">
        <v>4108</v>
      </c>
      <c r="B1431" t="s">
        <v>98</v>
      </c>
      <c r="C1431" t="str">
        <f>_xlfn.XLOOKUP(Table7[[#This Row],[app_id]],Table5[app_id],Table5[app_name],"",0)</f>
        <v>ActiveMate</v>
      </c>
      <c r="D1431" t="s">
        <v>1766</v>
      </c>
      <c r="E1431" s="1">
        <v>45361</v>
      </c>
      <c r="F1431">
        <v>4</v>
      </c>
      <c r="G1431" t="s">
        <v>2625</v>
      </c>
      <c r="H1431" t="s">
        <v>2564</v>
      </c>
      <c r="I1431" t="s">
        <v>2555</v>
      </c>
      <c r="J1431" t="s">
        <v>2569</v>
      </c>
      <c r="K1431">
        <v>22</v>
      </c>
      <c r="L1431" s="13" t="s">
        <v>258</v>
      </c>
    </row>
    <row r="1432" spans="1:12" x14ac:dyDescent="0.25">
      <c r="A1432" t="s">
        <v>4109</v>
      </c>
      <c r="B1432" t="s">
        <v>100</v>
      </c>
      <c r="C1432" t="str">
        <f>_xlfn.XLOOKUP(Table7[[#This Row],[app_id]],Table5[app_id],Table5[app_name],"",0)</f>
        <v>RunGo</v>
      </c>
      <c r="D1432" t="s">
        <v>706</v>
      </c>
      <c r="E1432" s="1">
        <v>45740</v>
      </c>
      <c r="F1432">
        <v>5</v>
      </c>
      <c r="G1432" t="s">
        <v>2625</v>
      </c>
      <c r="H1432" t="s">
        <v>2564</v>
      </c>
      <c r="I1432" t="s">
        <v>2555</v>
      </c>
      <c r="J1432" t="s">
        <v>2566</v>
      </c>
      <c r="K1432">
        <v>41</v>
      </c>
      <c r="L1432" s="13" t="s">
        <v>257</v>
      </c>
    </row>
    <row r="1433" spans="1:12" x14ac:dyDescent="0.25">
      <c r="A1433" t="s">
        <v>4110</v>
      </c>
      <c r="B1433" t="s">
        <v>102</v>
      </c>
      <c r="C1433" t="str">
        <f>_xlfn.XLOOKUP(Table7[[#This Row],[app_id]],Table5[app_id],Table5[app_name],"",0)</f>
        <v>LiftPro</v>
      </c>
      <c r="D1433" t="s">
        <v>1791</v>
      </c>
      <c r="E1433" s="1">
        <v>45691</v>
      </c>
      <c r="F1433">
        <v>3</v>
      </c>
      <c r="G1433" t="s">
        <v>2770</v>
      </c>
      <c r="H1433" t="s">
        <v>2554</v>
      </c>
      <c r="I1433" t="s">
        <v>2575</v>
      </c>
      <c r="J1433" t="s">
        <v>2569</v>
      </c>
      <c r="K1433">
        <v>30</v>
      </c>
      <c r="L1433" s="13" t="s">
        <v>257</v>
      </c>
    </row>
    <row r="1434" spans="1:12" x14ac:dyDescent="0.25">
      <c r="A1434" t="s">
        <v>4111</v>
      </c>
      <c r="B1434" t="s">
        <v>104</v>
      </c>
      <c r="C1434" t="str">
        <f>_xlfn.XLOOKUP(Table7[[#This Row],[app_id]],Table5[app_id],Table5[app_name],"",0)</f>
        <v>LiftPro</v>
      </c>
      <c r="D1434" t="s">
        <v>1893</v>
      </c>
      <c r="E1434" s="1">
        <v>45884</v>
      </c>
      <c r="F1434">
        <v>3</v>
      </c>
      <c r="G1434" t="s">
        <v>2620</v>
      </c>
      <c r="H1434" t="s">
        <v>2554</v>
      </c>
      <c r="I1434" t="s">
        <v>2588</v>
      </c>
      <c r="J1434" t="s">
        <v>2633</v>
      </c>
      <c r="K1434">
        <v>47</v>
      </c>
      <c r="L1434" s="13" t="s">
        <v>257</v>
      </c>
    </row>
    <row r="1435" spans="1:12" x14ac:dyDescent="0.25">
      <c r="A1435" t="s">
        <v>4112</v>
      </c>
      <c r="B1435" t="s">
        <v>105</v>
      </c>
      <c r="C1435" t="str">
        <f>_xlfn.XLOOKUP(Table7[[#This Row],[app_id]],Table5[app_id],Table5[app_name],"",0)</f>
        <v>Liftly</v>
      </c>
      <c r="D1435" t="s">
        <v>1039</v>
      </c>
      <c r="E1435" s="1">
        <v>45562</v>
      </c>
      <c r="F1435">
        <v>4</v>
      </c>
      <c r="G1435" t="s">
        <v>2625</v>
      </c>
      <c r="H1435" t="s">
        <v>2564</v>
      </c>
      <c r="I1435" t="s">
        <v>2558</v>
      </c>
      <c r="J1435" t="s">
        <v>2596</v>
      </c>
      <c r="K1435">
        <v>46</v>
      </c>
      <c r="L1435" s="13" t="s">
        <v>257</v>
      </c>
    </row>
    <row r="1436" spans="1:12" x14ac:dyDescent="0.25">
      <c r="A1436" t="s">
        <v>4113</v>
      </c>
      <c r="B1436" t="s">
        <v>107</v>
      </c>
      <c r="C1436" t="str">
        <f>_xlfn.XLOOKUP(Table7[[#This Row],[app_id]],Table5[app_id],Table5[app_name],"",0)</f>
        <v>YogaHub</v>
      </c>
      <c r="D1436" t="s">
        <v>1369</v>
      </c>
      <c r="E1436" s="1">
        <v>45345</v>
      </c>
      <c r="F1436">
        <v>4</v>
      </c>
      <c r="G1436" t="s">
        <v>2617</v>
      </c>
      <c r="H1436" t="s">
        <v>2564</v>
      </c>
      <c r="I1436" t="s">
        <v>2575</v>
      </c>
      <c r="J1436" t="s">
        <v>2596</v>
      </c>
      <c r="K1436">
        <v>48</v>
      </c>
      <c r="L1436" s="13" t="s">
        <v>257</v>
      </c>
    </row>
    <row r="1437" spans="1:12" x14ac:dyDescent="0.25">
      <c r="A1437" t="s">
        <v>4114</v>
      </c>
      <c r="B1437" t="s">
        <v>109</v>
      </c>
      <c r="C1437" t="str">
        <f>_xlfn.XLOOKUP(Table7[[#This Row],[app_id]],Table5[app_id],Table5[app_name],"",0)</f>
        <v>MoveGo</v>
      </c>
      <c r="D1437" t="s">
        <v>714</v>
      </c>
      <c r="E1437" s="1">
        <v>45413</v>
      </c>
      <c r="F1437">
        <v>4</v>
      </c>
      <c r="G1437" t="s">
        <v>2613</v>
      </c>
      <c r="H1437" t="s">
        <v>2564</v>
      </c>
      <c r="I1437" t="s">
        <v>2565</v>
      </c>
      <c r="J1437" t="s">
        <v>2559</v>
      </c>
      <c r="K1437">
        <v>14</v>
      </c>
      <c r="L1437" s="13" t="s">
        <v>257</v>
      </c>
    </row>
    <row r="1438" spans="1:12" x14ac:dyDescent="0.25">
      <c r="A1438" t="s">
        <v>4115</v>
      </c>
      <c r="B1438" t="s">
        <v>111</v>
      </c>
      <c r="C1438" t="str">
        <f>_xlfn.XLOOKUP(Table7[[#This Row],[app_id]],Table5[app_id],Table5[app_name],"",0)</f>
        <v>BrightNow</v>
      </c>
      <c r="D1438" t="s">
        <v>809</v>
      </c>
      <c r="E1438" s="1">
        <v>45866</v>
      </c>
      <c r="F1438">
        <v>3</v>
      </c>
      <c r="G1438" t="s">
        <v>2778</v>
      </c>
      <c r="H1438" t="s">
        <v>2554</v>
      </c>
      <c r="I1438" t="s">
        <v>2571</v>
      </c>
      <c r="J1438" t="s">
        <v>2556</v>
      </c>
      <c r="K1438">
        <v>41</v>
      </c>
      <c r="L1438" s="13" t="s">
        <v>257</v>
      </c>
    </row>
    <row r="1439" spans="1:12" x14ac:dyDescent="0.25">
      <c r="A1439" t="s">
        <v>4116</v>
      </c>
      <c r="B1439" t="s">
        <v>114</v>
      </c>
      <c r="C1439" t="str">
        <f>_xlfn.XLOOKUP(Table7[[#This Row],[app_id]],Table5[app_id],Table5[app_name],"",0)</f>
        <v>StudyCloud</v>
      </c>
      <c r="D1439" t="s">
        <v>2120</v>
      </c>
      <c r="E1439" s="1">
        <v>45863</v>
      </c>
      <c r="F1439">
        <v>4</v>
      </c>
      <c r="G1439" t="s">
        <v>2638</v>
      </c>
      <c r="H1439" t="s">
        <v>2564</v>
      </c>
      <c r="I1439" t="s">
        <v>2575</v>
      </c>
      <c r="J1439" t="s">
        <v>2633</v>
      </c>
      <c r="K1439">
        <v>27</v>
      </c>
      <c r="L1439" s="13" t="s">
        <v>257</v>
      </c>
    </row>
    <row r="1440" spans="1:12" x14ac:dyDescent="0.25">
      <c r="A1440" t="s">
        <v>4117</v>
      </c>
      <c r="B1440" t="s">
        <v>116</v>
      </c>
      <c r="C1440" t="str">
        <f>_xlfn.XLOOKUP(Table7[[#This Row],[app_id]],Table5[app_id],Table5[app_name],"",0)</f>
        <v>SkillNow</v>
      </c>
      <c r="D1440" t="s">
        <v>1305</v>
      </c>
      <c r="E1440" s="1">
        <v>45787</v>
      </c>
      <c r="F1440">
        <v>2</v>
      </c>
      <c r="G1440" t="s">
        <v>2644</v>
      </c>
      <c r="H1440" t="s">
        <v>2587</v>
      </c>
      <c r="I1440" t="s">
        <v>2578</v>
      </c>
      <c r="J1440" t="s">
        <v>2596</v>
      </c>
      <c r="K1440">
        <v>88</v>
      </c>
      <c r="L1440" s="13" t="s">
        <v>258</v>
      </c>
    </row>
    <row r="1441" spans="1:12" x14ac:dyDescent="0.25">
      <c r="A1441" t="s">
        <v>4118</v>
      </c>
      <c r="B1441" t="s">
        <v>118</v>
      </c>
      <c r="C1441" t="str">
        <f>_xlfn.XLOOKUP(Table7[[#This Row],[app_id]],Table5[app_id],Table5[app_name],"",0)</f>
        <v>LearnMate</v>
      </c>
      <c r="D1441" t="s">
        <v>1293</v>
      </c>
      <c r="E1441" s="1">
        <v>45641</v>
      </c>
      <c r="F1441">
        <v>3</v>
      </c>
      <c r="G1441" t="s">
        <v>2773</v>
      </c>
      <c r="H1441" t="s">
        <v>2554</v>
      </c>
      <c r="I1441" t="s">
        <v>2571</v>
      </c>
      <c r="J1441" t="s">
        <v>2603</v>
      </c>
      <c r="K1441">
        <v>28</v>
      </c>
      <c r="L1441" s="13" t="s">
        <v>257</v>
      </c>
    </row>
    <row r="1442" spans="1:12" x14ac:dyDescent="0.25">
      <c r="A1442" t="s">
        <v>4119</v>
      </c>
      <c r="B1442" t="s">
        <v>120</v>
      </c>
      <c r="C1442" t="str">
        <f>_xlfn.XLOOKUP(Table7[[#This Row],[app_id]],Table5[app_id],Table5[app_name],"",0)</f>
        <v>QuestNow</v>
      </c>
      <c r="D1442" t="s">
        <v>1991</v>
      </c>
      <c r="E1442" s="1">
        <v>45619</v>
      </c>
      <c r="F1442">
        <v>3</v>
      </c>
      <c r="G1442" t="s">
        <v>2889</v>
      </c>
      <c r="H1442" t="s">
        <v>2554</v>
      </c>
      <c r="I1442" t="s">
        <v>2558</v>
      </c>
      <c r="J1442" t="s">
        <v>2566</v>
      </c>
      <c r="K1442">
        <v>42</v>
      </c>
      <c r="L1442" s="13" t="s">
        <v>257</v>
      </c>
    </row>
    <row r="1443" spans="1:12" x14ac:dyDescent="0.25">
      <c r="A1443" t="s">
        <v>4120</v>
      </c>
      <c r="B1443" t="s">
        <v>122</v>
      </c>
      <c r="C1443" t="str">
        <f>_xlfn.XLOOKUP(Table7[[#This Row],[app_id]],Table5[app_id],Table5[app_name],"",0)</f>
        <v>SkillHub</v>
      </c>
      <c r="D1443" t="s">
        <v>1619</v>
      </c>
      <c r="E1443" s="1">
        <v>45460</v>
      </c>
      <c r="F1443">
        <v>5</v>
      </c>
      <c r="G1443" t="s">
        <v>2635</v>
      </c>
      <c r="H1443" t="s">
        <v>2564</v>
      </c>
      <c r="I1443" t="s">
        <v>2555</v>
      </c>
      <c r="J1443" t="s">
        <v>2566</v>
      </c>
      <c r="K1443">
        <v>41</v>
      </c>
      <c r="L1443" s="13" t="s">
        <v>257</v>
      </c>
    </row>
    <row r="1444" spans="1:12" x14ac:dyDescent="0.25">
      <c r="A1444" t="s">
        <v>4121</v>
      </c>
      <c r="B1444" t="s">
        <v>124</v>
      </c>
      <c r="C1444" t="str">
        <f>_xlfn.XLOOKUP(Table7[[#This Row],[app_id]],Table5[app_id],Table5[app_name],"",0)</f>
        <v>TutorCloud</v>
      </c>
      <c r="D1444" t="s">
        <v>665</v>
      </c>
      <c r="E1444" s="1">
        <v>45973</v>
      </c>
      <c r="F1444">
        <v>3</v>
      </c>
      <c r="G1444" t="s">
        <v>2889</v>
      </c>
      <c r="H1444" t="s">
        <v>2554</v>
      </c>
      <c r="I1444" t="s">
        <v>2558</v>
      </c>
      <c r="J1444" t="s">
        <v>2569</v>
      </c>
      <c r="K1444">
        <v>24</v>
      </c>
      <c r="L1444" s="13" t="s">
        <v>258</v>
      </c>
    </row>
    <row r="1445" spans="1:12" x14ac:dyDescent="0.25">
      <c r="A1445" t="s">
        <v>4122</v>
      </c>
      <c r="B1445" t="s">
        <v>126</v>
      </c>
      <c r="C1445" t="str">
        <f>_xlfn.XLOOKUP(Table7[[#This Row],[app_id]],Table5[app_id],Table5[app_name],"",0)</f>
        <v>SkillOne</v>
      </c>
      <c r="D1445" t="s">
        <v>2466</v>
      </c>
      <c r="E1445" s="1">
        <v>45948</v>
      </c>
      <c r="F1445">
        <v>2</v>
      </c>
      <c r="G1445" t="s">
        <v>2644</v>
      </c>
      <c r="H1445" t="s">
        <v>2587</v>
      </c>
      <c r="I1445" t="s">
        <v>2571</v>
      </c>
      <c r="J1445" t="s">
        <v>2559</v>
      </c>
      <c r="K1445">
        <v>43</v>
      </c>
      <c r="L1445" s="13" t="s">
        <v>258</v>
      </c>
    </row>
    <row r="1446" spans="1:12" x14ac:dyDescent="0.25">
      <c r="A1446" t="s">
        <v>4123</v>
      </c>
      <c r="B1446" t="s">
        <v>128</v>
      </c>
      <c r="C1446" t="str">
        <f>_xlfn.XLOOKUP(Table7[[#This Row],[app_id]],Table5[app_id],Table5[app_name],"",0)</f>
        <v>LearnOne</v>
      </c>
      <c r="D1446" t="s">
        <v>2418</v>
      </c>
      <c r="E1446" s="1">
        <v>45489</v>
      </c>
      <c r="F1446">
        <v>3</v>
      </c>
      <c r="G1446" t="s">
        <v>2646</v>
      </c>
      <c r="H1446" t="s">
        <v>2554</v>
      </c>
      <c r="I1446" t="s">
        <v>2571</v>
      </c>
      <c r="J1446" t="s">
        <v>2561</v>
      </c>
      <c r="K1446">
        <v>25</v>
      </c>
      <c r="L1446" s="13" t="s">
        <v>257</v>
      </c>
    </row>
    <row r="1447" spans="1:12" x14ac:dyDescent="0.25">
      <c r="A1447" t="s">
        <v>4124</v>
      </c>
      <c r="B1447" t="s">
        <v>130</v>
      </c>
      <c r="C1447" t="str">
        <f>_xlfn.XLOOKUP(Table7[[#This Row],[app_id]],Table5[app_id],Table5[app_name],"",0)</f>
        <v>LearnPlus</v>
      </c>
      <c r="D1447" t="s">
        <v>1804</v>
      </c>
      <c r="E1447" s="1">
        <v>45577</v>
      </c>
      <c r="F1447">
        <v>4</v>
      </c>
      <c r="G1447" t="s">
        <v>2780</v>
      </c>
      <c r="H1447" t="s">
        <v>2564</v>
      </c>
      <c r="I1447" t="s">
        <v>2571</v>
      </c>
      <c r="J1447" t="s">
        <v>2596</v>
      </c>
      <c r="K1447">
        <v>28</v>
      </c>
      <c r="L1447" s="13" t="s">
        <v>257</v>
      </c>
    </row>
    <row r="1448" spans="1:12" x14ac:dyDescent="0.25">
      <c r="A1448" t="s">
        <v>4125</v>
      </c>
      <c r="B1448" t="s">
        <v>132</v>
      </c>
      <c r="C1448" t="str">
        <f>_xlfn.XLOOKUP(Table7[[#This Row],[app_id]],Table5[app_id],Table5[app_name],"",0)</f>
        <v>StudyPlus</v>
      </c>
      <c r="D1448" t="s">
        <v>2254</v>
      </c>
      <c r="E1448" s="1">
        <v>45564</v>
      </c>
      <c r="F1448">
        <v>3</v>
      </c>
      <c r="G1448" t="s">
        <v>2778</v>
      </c>
      <c r="H1448" t="s">
        <v>2554</v>
      </c>
      <c r="I1448" t="s">
        <v>2555</v>
      </c>
      <c r="J1448" t="s">
        <v>2603</v>
      </c>
      <c r="K1448">
        <v>18</v>
      </c>
      <c r="L1448" s="13" t="s">
        <v>257</v>
      </c>
    </row>
    <row r="1449" spans="1:12" x14ac:dyDescent="0.25">
      <c r="A1449" t="s">
        <v>4126</v>
      </c>
      <c r="B1449" t="s">
        <v>134</v>
      </c>
      <c r="C1449" t="str">
        <f>_xlfn.XLOOKUP(Table7[[#This Row],[app_id]],Table5[app_id],Table5[app_name],"",0)</f>
        <v>StudyX</v>
      </c>
      <c r="D1449" t="s">
        <v>829</v>
      </c>
      <c r="E1449" s="1">
        <v>45389</v>
      </c>
      <c r="F1449">
        <v>5</v>
      </c>
      <c r="G1449" t="s">
        <v>2638</v>
      </c>
      <c r="H1449" t="s">
        <v>2564</v>
      </c>
      <c r="I1449" t="s">
        <v>2555</v>
      </c>
      <c r="J1449" t="s">
        <v>2596</v>
      </c>
      <c r="K1449">
        <v>41</v>
      </c>
      <c r="L1449" s="13" t="s">
        <v>257</v>
      </c>
    </row>
    <row r="1450" spans="1:12" x14ac:dyDescent="0.25">
      <c r="A1450" t="s">
        <v>4127</v>
      </c>
      <c r="B1450" t="s">
        <v>136</v>
      </c>
      <c r="C1450" t="str">
        <f>_xlfn.XLOOKUP(Table7[[#This Row],[app_id]],Table5[app_id],Table5[app_name],"",0)</f>
        <v>PlayPlus</v>
      </c>
      <c r="D1450" t="s">
        <v>1723</v>
      </c>
      <c r="E1450" s="1">
        <v>45730</v>
      </c>
      <c r="F1450">
        <v>4</v>
      </c>
      <c r="G1450" t="s">
        <v>2905</v>
      </c>
      <c r="H1450" t="s">
        <v>2564</v>
      </c>
      <c r="I1450" t="s">
        <v>2565</v>
      </c>
      <c r="J1450" t="s">
        <v>2581</v>
      </c>
      <c r="K1450">
        <v>1</v>
      </c>
      <c r="L1450" s="13" t="s">
        <v>257</v>
      </c>
    </row>
    <row r="1451" spans="1:12" x14ac:dyDescent="0.25">
      <c r="A1451" t="s">
        <v>4128</v>
      </c>
      <c r="B1451" t="s">
        <v>139</v>
      </c>
      <c r="C1451" t="str">
        <f>_xlfn.XLOOKUP(Table7[[#This Row],[app_id]],Table5[app_id],Table5[app_name],"",0)</f>
        <v>ShowMate</v>
      </c>
      <c r="D1451" t="s">
        <v>595</v>
      </c>
      <c r="E1451" s="1">
        <v>46075</v>
      </c>
      <c r="F1451">
        <v>5</v>
      </c>
      <c r="G1451" t="s">
        <v>2652</v>
      </c>
      <c r="H1451" t="s">
        <v>2564</v>
      </c>
      <c r="I1451" t="s">
        <v>2575</v>
      </c>
      <c r="J1451" t="s">
        <v>2556</v>
      </c>
      <c r="K1451">
        <v>32</v>
      </c>
      <c r="L1451" s="13" t="s">
        <v>257</v>
      </c>
    </row>
    <row r="1452" spans="1:12" x14ac:dyDescent="0.25">
      <c r="A1452" t="s">
        <v>4129</v>
      </c>
      <c r="B1452" t="s">
        <v>141</v>
      </c>
      <c r="C1452" t="str">
        <f>_xlfn.XLOOKUP(Table7[[#This Row],[app_id]],Table5[app_id],Table5[app_name],"",0)</f>
        <v>VibeX</v>
      </c>
      <c r="D1452" t="s">
        <v>1535</v>
      </c>
      <c r="E1452" s="1">
        <v>45830</v>
      </c>
      <c r="F1452">
        <v>3</v>
      </c>
      <c r="G1452" t="s">
        <v>2663</v>
      </c>
      <c r="H1452" t="s">
        <v>2554</v>
      </c>
      <c r="I1452" t="s">
        <v>2578</v>
      </c>
      <c r="J1452" t="s">
        <v>2600</v>
      </c>
      <c r="K1452">
        <v>40</v>
      </c>
      <c r="L1452" s="13" t="s">
        <v>257</v>
      </c>
    </row>
    <row r="1453" spans="1:12" x14ac:dyDescent="0.25">
      <c r="A1453" t="s">
        <v>4130</v>
      </c>
      <c r="B1453" t="s">
        <v>143</v>
      </c>
      <c r="C1453" t="str">
        <f>_xlfn.XLOOKUP(Table7[[#This Row],[app_id]],Table5[app_id],Table5[app_name],"",0)</f>
        <v>BuzzNow</v>
      </c>
      <c r="D1453" t="s">
        <v>633</v>
      </c>
      <c r="E1453" s="1">
        <v>45901</v>
      </c>
      <c r="F1453">
        <v>3</v>
      </c>
      <c r="G1453" t="s">
        <v>2655</v>
      </c>
      <c r="H1453" t="s">
        <v>2554</v>
      </c>
      <c r="I1453" t="s">
        <v>2571</v>
      </c>
      <c r="J1453" t="s">
        <v>2581</v>
      </c>
      <c r="K1453">
        <v>11</v>
      </c>
      <c r="L1453" s="13" t="s">
        <v>257</v>
      </c>
    </row>
    <row r="1454" spans="1:12" x14ac:dyDescent="0.25">
      <c r="A1454" t="s">
        <v>4131</v>
      </c>
      <c r="B1454" t="s">
        <v>145</v>
      </c>
      <c r="C1454" t="str">
        <f>_xlfn.XLOOKUP(Table7[[#This Row],[app_id]],Table5[app_id],Table5[app_name],"",0)</f>
        <v>StreamPlus</v>
      </c>
      <c r="D1454" t="s">
        <v>2196</v>
      </c>
      <c r="E1454" s="1">
        <v>45651</v>
      </c>
      <c r="F1454">
        <v>3</v>
      </c>
      <c r="G1454" t="s">
        <v>2791</v>
      </c>
      <c r="H1454" t="s">
        <v>2554</v>
      </c>
      <c r="I1454" t="s">
        <v>2558</v>
      </c>
      <c r="J1454" t="s">
        <v>2566</v>
      </c>
      <c r="K1454">
        <v>14</v>
      </c>
      <c r="L1454" s="13" t="s">
        <v>257</v>
      </c>
    </row>
    <row r="1455" spans="1:12" x14ac:dyDescent="0.25">
      <c r="A1455" t="s">
        <v>4132</v>
      </c>
      <c r="B1455" t="s">
        <v>147</v>
      </c>
      <c r="C1455" t="str">
        <f>_xlfn.XLOOKUP(Table7[[#This Row],[app_id]],Table5[app_id],Table5[app_name],"",0)</f>
        <v>Showly</v>
      </c>
      <c r="D1455" t="s">
        <v>1575</v>
      </c>
      <c r="E1455" s="1">
        <v>45442</v>
      </c>
      <c r="F1455">
        <v>4</v>
      </c>
      <c r="G1455" t="s">
        <v>2789</v>
      </c>
      <c r="H1455" t="s">
        <v>2564</v>
      </c>
      <c r="I1455" t="s">
        <v>2575</v>
      </c>
      <c r="J1455" t="s">
        <v>2566</v>
      </c>
      <c r="K1455">
        <v>14</v>
      </c>
      <c r="L1455" s="13" t="s">
        <v>257</v>
      </c>
    </row>
    <row r="1456" spans="1:12" x14ac:dyDescent="0.25">
      <c r="A1456" t="s">
        <v>4133</v>
      </c>
      <c r="B1456" t="s">
        <v>149</v>
      </c>
      <c r="C1456" t="str">
        <f>_xlfn.XLOOKUP(Table7[[#This Row],[app_id]],Table5[app_id],Table5[app_name],"",0)</f>
        <v>BuzzOne</v>
      </c>
      <c r="D1456" t="s">
        <v>624</v>
      </c>
      <c r="E1456" s="1">
        <v>45397</v>
      </c>
      <c r="F1456">
        <v>3</v>
      </c>
      <c r="G1456" t="s">
        <v>2655</v>
      </c>
      <c r="H1456" t="s">
        <v>2554</v>
      </c>
      <c r="I1456" t="s">
        <v>2558</v>
      </c>
      <c r="J1456" t="s">
        <v>2633</v>
      </c>
      <c r="K1456">
        <v>44</v>
      </c>
      <c r="L1456" s="13" t="s">
        <v>257</v>
      </c>
    </row>
    <row r="1457" spans="1:12" x14ac:dyDescent="0.25">
      <c r="A1457" t="s">
        <v>4134</v>
      </c>
      <c r="B1457" t="s">
        <v>151</v>
      </c>
      <c r="C1457" t="str">
        <f>_xlfn.XLOOKUP(Table7[[#This Row],[app_id]],Table5[app_id],Table5[app_name],"",0)</f>
        <v>PlayHub</v>
      </c>
      <c r="D1457" t="s">
        <v>1785</v>
      </c>
      <c r="E1457" s="1">
        <v>45502</v>
      </c>
      <c r="F1457">
        <v>3</v>
      </c>
      <c r="G1457" t="s">
        <v>2791</v>
      </c>
      <c r="H1457" t="s">
        <v>2554</v>
      </c>
      <c r="I1457" t="s">
        <v>2588</v>
      </c>
      <c r="J1457" t="s">
        <v>2566</v>
      </c>
      <c r="K1457">
        <v>1</v>
      </c>
      <c r="L1457" s="13" t="s">
        <v>257</v>
      </c>
    </row>
    <row r="1458" spans="1:12" x14ac:dyDescent="0.25">
      <c r="A1458" t="s">
        <v>4135</v>
      </c>
      <c r="B1458" t="s">
        <v>153</v>
      </c>
      <c r="C1458" t="str">
        <f>_xlfn.XLOOKUP(Table7[[#This Row],[app_id]],Table5[app_id],Table5[app_name],"",0)</f>
        <v>CinemaGo</v>
      </c>
      <c r="D1458" t="s">
        <v>784</v>
      </c>
      <c r="E1458" s="1">
        <v>45321</v>
      </c>
      <c r="F1458">
        <v>4</v>
      </c>
      <c r="G1458" t="s">
        <v>2652</v>
      </c>
      <c r="H1458" t="s">
        <v>2564</v>
      </c>
      <c r="I1458" t="s">
        <v>2575</v>
      </c>
      <c r="J1458" t="s">
        <v>2566</v>
      </c>
      <c r="K1458">
        <v>46</v>
      </c>
      <c r="L1458" s="13" t="s">
        <v>257</v>
      </c>
    </row>
    <row r="1459" spans="1:12" x14ac:dyDescent="0.25">
      <c r="A1459" t="s">
        <v>4136</v>
      </c>
      <c r="B1459" t="s">
        <v>155</v>
      </c>
      <c r="C1459" t="str">
        <f>_xlfn.XLOOKUP(Table7[[#This Row],[app_id]],Table5[app_id],Table5[app_name],"",0)</f>
        <v>LaughX</v>
      </c>
      <c r="D1459" t="s">
        <v>1978</v>
      </c>
      <c r="E1459" s="1">
        <v>45900</v>
      </c>
      <c r="F1459">
        <v>5</v>
      </c>
      <c r="G1459" t="s">
        <v>2652</v>
      </c>
      <c r="H1459" t="s">
        <v>2564</v>
      </c>
      <c r="I1459" t="s">
        <v>2555</v>
      </c>
      <c r="J1459" t="s">
        <v>2596</v>
      </c>
      <c r="K1459">
        <v>37</v>
      </c>
      <c r="L1459" s="13" t="s">
        <v>257</v>
      </c>
    </row>
    <row r="1460" spans="1:12" x14ac:dyDescent="0.25">
      <c r="A1460" t="s">
        <v>4137</v>
      </c>
      <c r="B1460" t="s">
        <v>157</v>
      </c>
      <c r="C1460" t="str">
        <f>_xlfn.XLOOKUP(Table7[[#This Row],[app_id]],Table5[app_id],Table5[app_name],"",0)</f>
        <v>CinemaHub</v>
      </c>
      <c r="D1460" t="s">
        <v>2300</v>
      </c>
      <c r="E1460" s="1">
        <v>45349</v>
      </c>
      <c r="F1460">
        <v>5</v>
      </c>
      <c r="G1460" t="s">
        <v>2652</v>
      </c>
      <c r="H1460" t="s">
        <v>2564</v>
      </c>
      <c r="I1460" t="s">
        <v>2575</v>
      </c>
      <c r="J1460" t="s">
        <v>2561</v>
      </c>
      <c r="K1460">
        <v>15</v>
      </c>
      <c r="L1460" s="13" t="s">
        <v>257</v>
      </c>
    </row>
    <row r="1461" spans="1:12" x14ac:dyDescent="0.25">
      <c r="A1461" t="s">
        <v>4138</v>
      </c>
      <c r="B1461" t="s">
        <v>159</v>
      </c>
      <c r="C1461" t="str">
        <f>_xlfn.XLOOKUP(Table7[[#This Row],[app_id]],Table5[app_id],Table5[app_name],"",0)</f>
        <v>ShowPro</v>
      </c>
      <c r="D1461" t="s">
        <v>1849</v>
      </c>
      <c r="E1461" s="1">
        <v>45943</v>
      </c>
      <c r="F1461">
        <v>4</v>
      </c>
      <c r="G1461" t="s">
        <v>2789</v>
      </c>
      <c r="H1461" t="s">
        <v>2564</v>
      </c>
      <c r="I1461" t="s">
        <v>2565</v>
      </c>
      <c r="J1461" t="s">
        <v>2566</v>
      </c>
      <c r="K1461">
        <v>45</v>
      </c>
      <c r="L1461" s="13" t="s">
        <v>257</v>
      </c>
    </row>
    <row r="1462" spans="1:12" x14ac:dyDescent="0.25">
      <c r="A1462" t="s">
        <v>4139</v>
      </c>
      <c r="B1462" t="s">
        <v>161</v>
      </c>
      <c r="C1462" t="str">
        <f>_xlfn.XLOOKUP(Table7[[#This Row],[app_id]],Table5[app_id],Table5[app_name],"",0)</f>
        <v>FoodPlus</v>
      </c>
      <c r="D1462" t="s">
        <v>1091</v>
      </c>
      <c r="E1462" s="1">
        <v>45563</v>
      </c>
      <c r="F1462">
        <v>5</v>
      </c>
      <c r="G1462" t="s">
        <v>2806</v>
      </c>
      <c r="H1462" t="s">
        <v>2564</v>
      </c>
      <c r="I1462" t="s">
        <v>2565</v>
      </c>
      <c r="J1462" t="s">
        <v>2559</v>
      </c>
      <c r="K1462">
        <v>14</v>
      </c>
      <c r="L1462" s="13" t="s">
        <v>257</v>
      </c>
    </row>
    <row r="1463" spans="1:12" x14ac:dyDescent="0.25">
      <c r="A1463" t="s">
        <v>4140</v>
      </c>
      <c r="B1463" t="s">
        <v>164</v>
      </c>
      <c r="C1463" t="str">
        <f>_xlfn.XLOOKUP(Table7[[#This Row],[app_id]],Table5[app_id],Table5[app_name],"",0)</f>
        <v>BiteGo</v>
      </c>
      <c r="D1463" t="s">
        <v>695</v>
      </c>
      <c r="E1463" s="1">
        <v>45755</v>
      </c>
      <c r="F1463">
        <v>3</v>
      </c>
      <c r="G1463" t="s">
        <v>2668</v>
      </c>
      <c r="H1463" t="s">
        <v>2554</v>
      </c>
      <c r="I1463" t="s">
        <v>2588</v>
      </c>
      <c r="J1463" t="s">
        <v>2600</v>
      </c>
      <c r="K1463">
        <v>34</v>
      </c>
      <c r="L1463" s="13" t="s">
        <v>257</v>
      </c>
    </row>
    <row r="1464" spans="1:12" x14ac:dyDescent="0.25">
      <c r="A1464" t="s">
        <v>4141</v>
      </c>
      <c r="B1464" t="s">
        <v>166</v>
      </c>
      <c r="C1464" t="str">
        <f>_xlfn.XLOOKUP(Table7[[#This Row],[app_id]],Table5[app_id],Table5[app_name],"",0)</f>
        <v>OrderCloud</v>
      </c>
      <c r="D1464" t="s">
        <v>1990</v>
      </c>
      <c r="E1464" s="1">
        <v>45825</v>
      </c>
      <c r="F1464">
        <v>4</v>
      </c>
      <c r="G1464" t="s">
        <v>2806</v>
      </c>
      <c r="H1464" t="s">
        <v>2564</v>
      </c>
      <c r="I1464" t="s">
        <v>2558</v>
      </c>
      <c r="J1464" t="s">
        <v>2566</v>
      </c>
      <c r="K1464">
        <v>22</v>
      </c>
      <c r="L1464" s="13" t="s">
        <v>257</v>
      </c>
    </row>
    <row r="1465" spans="1:12" x14ac:dyDescent="0.25">
      <c r="A1465" t="s">
        <v>4142</v>
      </c>
      <c r="B1465" t="s">
        <v>168</v>
      </c>
      <c r="C1465" t="str">
        <f>_xlfn.XLOOKUP(Table7[[#This Row],[app_id]],Table5[app_id],Table5[app_name],"",0)</f>
        <v>DinePlus</v>
      </c>
      <c r="D1465" t="s">
        <v>2045</v>
      </c>
      <c r="E1465" s="1">
        <v>45907</v>
      </c>
      <c r="F1465">
        <v>4</v>
      </c>
      <c r="G1465" t="s">
        <v>2679</v>
      </c>
      <c r="H1465" t="s">
        <v>2564</v>
      </c>
      <c r="I1465" t="s">
        <v>2565</v>
      </c>
      <c r="J1465" t="s">
        <v>2596</v>
      </c>
      <c r="K1465">
        <v>44</v>
      </c>
      <c r="L1465" s="13" t="s">
        <v>257</v>
      </c>
    </row>
    <row r="1466" spans="1:12" x14ac:dyDescent="0.25">
      <c r="A1466" t="s">
        <v>4143</v>
      </c>
      <c r="B1466" t="s">
        <v>170</v>
      </c>
      <c r="C1466" t="str">
        <f>_xlfn.XLOOKUP(Table7[[#This Row],[app_id]],Table5[app_id],Table5[app_name],"",0)</f>
        <v>SnackX</v>
      </c>
      <c r="D1466" t="s">
        <v>1374</v>
      </c>
      <c r="E1466" s="1">
        <v>45409</v>
      </c>
      <c r="F1466">
        <v>5</v>
      </c>
      <c r="G1466" t="s">
        <v>2806</v>
      </c>
      <c r="H1466" t="s">
        <v>2564</v>
      </c>
      <c r="I1466" t="s">
        <v>2575</v>
      </c>
      <c r="J1466" t="s">
        <v>2600</v>
      </c>
      <c r="K1466">
        <v>18</v>
      </c>
      <c r="L1466" s="13" t="s">
        <v>257</v>
      </c>
    </row>
    <row r="1467" spans="1:12" x14ac:dyDescent="0.25">
      <c r="A1467" t="s">
        <v>4144</v>
      </c>
      <c r="B1467" t="s">
        <v>172</v>
      </c>
      <c r="C1467" t="str">
        <f>_xlfn.XLOOKUP(Table7[[#This Row],[app_id]],Table5[app_id],Table5[app_name],"",0)</f>
        <v>FoodOne</v>
      </c>
      <c r="D1467" t="s">
        <v>2276</v>
      </c>
      <c r="E1467" s="1">
        <v>45342</v>
      </c>
      <c r="F1467">
        <v>3</v>
      </c>
      <c r="G1467" t="s">
        <v>2668</v>
      </c>
      <c r="H1467" t="s">
        <v>2554</v>
      </c>
      <c r="I1467" t="s">
        <v>2571</v>
      </c>
      <c r="J1467" t="s">
        <v>2561</v>
      </c>
      <c r="K1467">
        <v>40</v>
      </c>
      <c r="L1467" s="13" t="s">
        <v>257</v>
      </c>
    </row>
    <row r="1468" spans="1:12" x14ac:dyDescent="0.25">
      <c r="A1468" t="s">
        <v>4145</v>
      </c>
      <c r="B1468" t="s">
        <v>174</v>
      </c>
      <c r="C1468" t="str">
        <f>_xlfn.XLOOKUP(Table7[[#This Row],[app_id]],Table5[app_id],Table5[app_name],"",0)</f>
        <v>MealMate</v>
      </c>
      <c r="D1468" t="s">
        <v>1783</v>
      </c>
      <c r="E1468" s="1">
        <v>46024</v>
      </c>
      <c r="F1468">
        <v>5</v>
      </c>
      <c r="G1468" t="s">
        <v>2674</v>
      </c>
      <c r="H1468" t="s">
        <v>2564</v>
      </c>
      <c r="I1468" t="s">
        <v>2565</v>
      </c>
      <c r="J1468" t="s">
        <v>2581</v>
      </c>
      <c r="K1468">
        <v>23</v>
      </c>
      <c r="L1468" s="13" t="s">
        <v>257</v>
      </c>
    </row>
    <row r="1469" spans="1:12" x14ac:dyDescent="0.25">
      <c r="A1469" t="s">
        <v>4146</v>
      </c>
      <c r="B1469" t="s">
        <v>176</v>
      </c>
      <c r="C1469" t="str">
        <f>_xlfn.XLOOKUP(Table7[[#This Row],[app_id]],Table5[app_id],Table5[app_name],"",0)</f>
        <v>SnackHub</v>
      </c>
      <c r="D1469" t="s">
        <v>1248</v>
      </c>
      <c r="E1469" s="1">
        <v>46108</v>
      </c>
      <c r="F1469">
        <v>4</v>
      </c>
      <c r="G1469" t="s">
        <v>2679</v>
      </c>
      <c r="H1469" t="s">
        <v>2564</v>
      </c>
      <c r="I1469" t="s">
        <v>2565</v>
      </c>
      <c r="J1469" t="s">
        <v>2603</v>
      </c>
      <c r="K1469">
        <v>2</v>
      </c>
      <c r="L1469" s="13" t="s">
        <v>257</v>
      </c>
    </row>
    <row r="1470" spans="1:12" x14ac:dyDescent="0.25">
      <c r="A1470" t="s">
        <v>4147</v>
      </c>
      <c r="B1470" t="s">
        <v>178</v>
      </c>
      <c r="C1470" t="str">
        <f>_xlfn.XLOOKUP(Table7[[#This Row],[app_id]],Table5[app_id],Table5[app_name],"",0)</f>
        <v>BiteCloud</v>
      </c>
      <c r="D1470" t="s">
        <v>545</v>
      </c>
      <c r="E1470" s="1">
        <v>45497</v>
      </c>
      <c r="F1470">
        <v>4</v>
      </c>
      <c r="G1470" t="s">
        <v>2806</v>
      </c>
      <c r="H1470" t="s">
        <v>2564</v>
      </c>
      <c r="I1470" t="s">
        <v>2565</v>
      </c>
      <c r="J1470" t="s">
        <v>2581</v>
      </c>
      <c r="K1470">
        <v>43</v>
      </c>
      <c r="L1470" s="13" t="s">
        <v>257</v>
      </c>
    </row>
    <row r="1471" spans="1:12" x14ac:dyDescent="0.25">
      <c r="A1471" t="s">
        <v>4148</v>
      </c>
      <c r="B1471" t="s">
        <v>180</v>
      </c>
      <c r="C1471" t="str">
        <f>_xlfn.XLOOKUP(Table7[[#This Row],[app_id]],Table5[app_id],Table5[app_name],"",0)</f>
        <v>PlatePlus</v>
      </c>
      <c r="D1471" t="s">
        <v>924</v>
      </c>
      <c r="E1471" s="1">
        <v>45330</v>
      </c>
      <c r="F1471">
        <v>3</v>
      </c>
      <c r="G1471" t="s">
        <v>2668</v>
      </c>
      <c r="H1471" t="s">
        <v>2554</v>
      </c>
      <c r="I1471" t="s">
        <v>2575</v>
      </c>
      <c r="J1471" t="s">
        <v>2581</v>
      </c>
      <c r="K1471">
        <v>6</v>
      </c>
      <c r="L1471" s="13" t="s">
        <v>257</v>
      </c>
    </row>
    <row r="1472" spans="1:12" x14ac:dyDescent="0.25">
      <c r="A1472" t="s">
        <v>4149</v>
      </c>
      <c r="B1472" t="s">
        <v>182</v>
      </c>
      <c r="C1472" t="str">
        <f>_xlfn.XLOOKUP(Table7[[#This Row],[app_id]],Table5[app_id],Table5[app_name],"",0)</f>
        <v>VoyageGo</v>
      </c>
      <c r="D1472" t="s">
        <v>2422</v>
      </c>
      <c r="E1472" s="1">
        <v>45899</v>
      </c>
      <c r="F1472">
        <v>4</v>
      </c>
      <c r="G1472" t="s">
        <v>2931</v>
      </c>
      <c r="H1472" t="s">
        <v>2564</v>
      </c>
      <c r="I1472" t="s">
        <v>2575</v>
      </c>
      <c r="J1472" t="s">
        <v>2569</v>
      </c>
      <c r="K1472">
        <v>10</v>
      </c>
      <c r="L1472" s="13" t="s">
        <v>257</v>
      </c>
    </row>
    <row r="1473" spans="1:12" x14ac:dyDescent="0.25">
      <c r="A1473" t="s">
        <v>4150</v>
      </c>
      <c r="B1473" t="s">
        <v>185</v>
      </c>
      <c r="C1473" t="str">
        <f>_xlfn.XLOOKUP(Table7[[#This Row],[app_id]],Table5[app_id],Table5[app_name],"",0)</f>
        <v>TripOne</v>
      </c>
      <c r="D1473" t="s">
        <v>1993</v>
      </c>
      <c r="E1473" s="1">
        <v>45894</v>
      </c>
      <c r="F1473">
        <v>2</v>
      </c>
      <c r="G1473" t="s">
        <v>2693</v>
      </c>
      <c r="H1473" t="s">
        <v>2587</v>
      </c>
      <c r="I1473" t="s">
        <v>2571</v>
      </c>
      <c r="J1473" t="s">
        <v>2556</v>
      </c>
      <c r="K1473">
        <v>63</v>
      </c>
      <c r="L1473" s="13" t="s">
        <v>257</v>
      </c>
    </row>
    <row r="1474" spans="1:12" x14ac:dyDescent="0.25">
      <c r="A1474" t="s">
        <v>4151</v>
      </c>
      <c r="B1474" t="s">
        <v>187</v>
      </c>
      <c r="C1474" t="str">
        <f>_xlfn.XLOOKUP(Table7[[#This Row],[app_id]],Table5[app_id],Table5[app_name],"",0)</f>
        <v>FlyGo</v>
      </c>
      <c r="D1474" t="s">
        <v>2189</v>
      </c>
      <c r="E1474" s="1">
        <v>45523</v>
      </c>
      <c r="F1474">
        <v>4</v>
      </c>
      <c r="G1474" t="s">
        <v>2683</v>
      </c>
      <c r="H1474" t="s">
        <v>2564</v>
      </c>
      <c r="I1474" t="s">
        <v>2575</v>
      </c>
      <c r="J1474" t="s">
        <v>2603</v>
      </c>
      <c r="K1474">
        <v>15</v>
      </c>
      <c r="L1474" s="13" t="s">
        <v>257</v>
      </c>
    </row>
    <row r="1475" spans="1:12" x14ac:dyDescent="0.25">
      <c r="A1475" t="s">
        <v>4152</v>
      </c>
      <c r="B1475" t="s">
        <v>189</v>
      </c>
      <c r="C1475" t="str">
        <f>_xlfn.XLOOKUP(Table7[[#This Row],[app_id]],Table5[app_id],Table5[app_name],"",0)</f>
        <v>MapX</v>
      </c>
      <c r="D1475" t="s">
        <v>2499</v>
      </c>
      <c r="E1475" s="1">
        <v>45869</v>
      </c>
      <c r="F1475">
        <v>3</v>
      </c>
      <c r="G1475" t="s">
        <v>2815</v>
      </c>
      <c r="H1475" t="s">
        <v>2554</v>
      </c>
      <c r="I1475" t="s">
        <v>2558</v>
      </c>
      <c r="J1475" t="s">
        <v>2633</v>
      </c>
      <c r="K1475">
        <v>36</v>
      </c>
      <c r="L1475" s="13" t="s">
        <v>257</v>
      </c>
    </row>
    <row r="1476" spans="1:12" x14ac:dyDescent="0.25">
      <c r="A1476" t="s">
        <v>4153</v>
      </c>
      <c r="B1476" t="s">
        <v>191</v>
      </c>
      <c r="C1476" t="str">
        <f>_xlfn.XLOOKUP(Table7[[#This Row],[app_id]],Table5[app_id],Table5[app_name],"",0)</f>
        <v>StayX</v>
      </c>
      <c r="D1476" t="s">
        <v>1306</v>
      </c>
      <c r="E1476" s="1">
        <v>45313</v>
      </c>
      <c r="F1476">
        <v>5</v>
      </c>
      <c r="G1476" t="s">
        <v>2931</v>
      </c>
      <c r="H1476" t="s">
        <v>2564</v>
      </c>
      <c r="I1476" t="s">
        <v>2571</v>
      </c>
      <c r="J1476" t="s">
        <v>2581</v>
      </c>
      <c r="K1476">
        <v>8</v>
      </c>
      <c r="L1476" s="13" t="s">
        <v>257</v>
      </c>
    </row>
    <row r="1477" spans="1:12" x14ac:dyDescent="0.25">
      <c r="A1477" t="s">
        <v>4154</v>
      </c>
      <c r="B1477" t="s">
        <v>193</v>
      </c>
      <c r="C1477" t="str">
        <f>_xlfn.XLOOKUP(Table7[[#This Row],[app_id]],Table5[app_id],Table5[app_name],"",0)</f>
        <v>GoNow</v>
      </c>
      <c r="D1477" t="s">
        <v>2466</v>
      </c>
      <c r="E1477" s="1">
        <v>45793</v>
      </c>
      <c r="F1477">
        <v>3</v>
      </c>
      <c r="G1477" t="s">
        <v>2690</v>
      </c>
      <c r="H1477" t="s">
        <v>2554</v>
      </c>
      <c r="I1477" t="s">
        <v>2588</v>
      </c>
      <c r="J1477" t="s">
        <v>2596</v>
      </c>
      <c r="K1477">
        <v>11</v>
      </c>
      <c r="L1477" s="13" t="s">
        <v>257</v>
      </c>
    </row>
    <row r="1478" spans="1:12" x14ac:dyDescent="0.25">
      <c r="A1478" t="s">
        <v>4155</v>
      </c>
      <c r="B1478" t="s">
        <v>195</v>
      </c>
      <c r="C1478" t="str">
        <f>_xlfn.XLOOKUP(Table7[[#This Row],[app_id]],Table5[app_id],Table5[app_name],"",0)</f>
        <v>RouteGo</v>
      </c>
      <c r="D1478" t="s">
        <v>2520</v>
      </c>
      <c r="E1478" s="1">
        <v>45940</v>
      </c>
      <c r="F1478">
        <v>2</v>
      </c>
      <c r="G1478" t="s">
        <v>2693</v>
      </c>
      <c r="H1478" t="s">
        <v>2587</v>
      </c>
      <c r="I1478" t="s">
        <v>2578</v>
      </c>
      <c r="J1478" t="s">
        <v>2556</v>
      </c>
      <c r="K1478">
        <v>71</v>
      </c>
      <c r="L1478" s="13" t="s">
        <v>258</v>
      </c>
    </row>
    <row r="1479" spans="1:12" x14ac:dyDescent="0.25">
      <c r="A1479" t="s">
        <v>4156</v>
      </c>
      <c r="B1479" t="s">
        <v>197</v>
      </c>
      <c r="C1479" t="str">
        <f>_xlfn.XLOOKUP(Table7[[#This Row],[app_id]],Table5[app_id],Table5[app_name],"",0)</f>
        <v>TripGo</v>
      </c>
      <c r="D1479" t="s">
        <v>2520</v>
      </c>
      <c r="E1479" s="1">
        <v>45742</v>
      </c>
      <c r="F1479">
        <v>4</v>
      </c>
      <c r="G1479" t="s">
        <v>2683</v>
      </c>
      <c r="H1479" t="s">
        <v>2564</v>
      </c>
      <c r="I1479" t="s">
        <v>2571</v>
      </c>
      <c r="J1479" t="s">
        <v>2561</v>
      </c>
      <c r="K1479">
        <v>4</v>
      </c>
      <c r="L1479" s="13" t="s">
        <v>258</v>
      </c>
    </row>
    <row r="1480" spans="1:12" x14ac:dyDescent="0.25">
      <c r="A1480" t="s">
        <v>4157</v>
      </c>
      <c r="B1480" t="s">
        <v>199</v>
      </c>
      <c r="C1480" t="str">
        <f>_xlfn.XLOOKUP(Table7[[#This Row],[app_id]],Table5[app_id],Table5[app_name],"",0)</f>
        <v>Flyly</v>
      </c>
      <c r="D1480" t="s">
        <v>2492</v>
      </c>
      <c r="E1480" s="1">
        <v>45733</v>
      </c>
      <c r="F1480">
        <v>3</v>
      </c>
      <c r="G1480" t="s">
        <v>2690</v>
      </c>
      <c r="H1480" t="s">
        <v>2554</v>
      </c>
      <c r="I1480" t="s">
        <v>2578</v>
      </c>
      <c r="J1480" t="s">
        <v>2569</v>
      </c>
      <c r="K1480">
        <v>29</v>
      </c>
      <c r="L1480" s="13" t="s">
        <v>257</v>
      </c>
    </row>
    <row r="1481" spans="1:12" x14ac:dyDescent="0.25">
      <c r="A1481" t="s">
        <v>4158</v>
      </c>
      <c r="B1481" t="s">
        <v>201</v>
      </c>
      <c r="C1481" t="str">
        <f>_xlfn.XLOOKUP(Table7[[#This Row],[app_id]],Table5[app_id],Table5[app_name],"",0)</f>
        <v>TripPro</v>
      </c>
      <c r="D1481" t="s">
        <v>2514</v>
      </c>
      <c r="E1481" s="1">
        <v>45816</v>
      </c>
      <c r="F1481">
        <v>3</v>
      </c>
      <c r="G1481" t="s">
        <v>2695</v>
      </c>
      <c r="H1481" t="s">
        <v>2554</v>
      </c>
      <c r="I1481" t="s">
        <v>2578</v>
      </c>
      <c r="J1481" t="s">
        <v>2600</v>
      </c>
      <c r="K1481">
        <v>25</v>
      </c>
      <c r="L1481" s="13" t="s">
        <v>258</v>
      </c>
    </row>
    <row r="1482" spans="1:12" x14ac:dyDescent="0.25">
      <c r="A1482" t="s">
        <v>4159</v>
      </c>
      <c r="B1482" t="s">
        <v>203</v>
      </c>
      <c r="C1482" t="str">
        <f>_xlfn.XLOOKUP(Table7[[#This Row],[app_id]],Table5[app_id],Table5[app_name],"",0)</f>
        <v>Focusly</v>
      </c>
      <c r="D1482" t="s">
        <v>2426</v>
      </c>
      <c r="E1482" s="1">
        <v>45406</v>
      </c>
      <c r="F1482">
        <v>4</v>
      </c>
      <c r="G1482" t="s">
        <v>2700</v>
      </c>
      <c r="H1482" t="s">
        <v>2564</v>
      </c>
      <c r="I1482" t="s">
        <v>2575</v>
      </c>
      <c r="J1482" t="s">
        <v>2556</v>
      </c>
      <c r="K1482">
        <v>47</v>
      </c>
      <c r="L1482" s="13" t="s">
        <v>257</v>
      </c>
    </row>
    <row r="1483" spans="1:12" x14ac:dyDescent="0.25">
      <c r="A1483" t="s">
        <v>4160</v>
      </c>
      <c r="B1483" t="s">
        <v>206</v>
      </c>
      <c r="C1483" t="str">
        <f>_xlfn.XLOOKUP(Table7[[#This Row],[app_id]],Table5[app_id],Table5[app_name],"",0)</f>
        <v>DeskX</v>
      </c>
      <c r="D1483" t="s">
        <v>2158</v>
      </c>
      <c r="E1483" s="1">
        <v>45762</v>
      </c>
      <c r="F1483">
        <v>4</v>
      </c>
      <c r="G1483" t="s">
        <v>2836</v>
      </c>
      <c r="H1483" t="s">
        <v>2564</v>
      </c>
      <c r="I1483" t="s">
        <v>2555</v>
      </c>
      <c r="J1483" t="s">
        <v>2600</v>
      </c>
      <c r="K1483">
        <v>33</v>
      </c>
      <c r="L1483" s="13" t="s">
        <v>257</v>
      </c>
    </row>
    <row r="1484" spans="1:12" x14ac:dyDescent="0.25">
      <c r="A1484" t="s">
        <v>4161</v>
      </c>
      <c r="B1484" t="s">
        <v>208</v>
      </c>
      <c r="C1484" t="str">
        <f>_xlfn.XLOOKUP(Table7[[#This Row],[app_id]],Table5[app_id],Table5[app_name],"",0)</f>
        <v>DonePro</v>
      </c>
      <c r="D1484" t="s">
        <v>691</v>
      </c>
      <c r="E1484" s="1">
        <v>45986</v>
      </c>
      <c r="F1484">
        <v>4</v>
      </c>
      <c r="G1484" t="s">
        <v>2703</v>
      </c>
      <c r="H1484" t="s">
        <v>2564</v>
      </c>
      <c r="I1484" t="s">
        <v>2575</v>
      </c>
      <c r="J1484" t="s">
        <v>2556</v>
      </c>
      <c r="K1484">
        <v>20</v>
      </c>
      <c r="L1484" s="13" t="s">
        <v>258</v>
      </c>
    </row>
    <row r="1485" spans="1:12" x14ac:dyDescent="0.25">
      <c r="A1485" t="s">
        <v>4162</v>
      </c>
      <c r="B1485" t="s">
        <v>210</v>
      </c>
      <c r="C1485" t="str">
        <f>_xlfn.XLOOKUP(Table7[[#This Row],[app_id]],Table5[app_id],Table5[app_name],"",0)</f>
        <v>NotePlus</v>
      </c>
      <c r="D1485" t="s">
        <v>1638</v>
      </c>
      <c r="E1485" s="1">
        <v>45456</v>
      </c>
      <c r="F1485">
        <v>3</v>
      </c>
      <c r="G1485" t="s">
        <v>2706</v>
      </c>
      <c r="H1485" t="s">
        <v>2554</v>
      </c>
      <c r="I1485" t="s">
        <v>2575</v>
      </c>
      <c r="J1485" t="s">
        <v>2581</v>
      </c>
      <c r="K1485">
        <v>22</v>
      </c>
      <c r="L1485" s="13" t="s">
        <v>257</v>
      </c>
    </row>
    <row r="1486" spans="1:12" x14ac:dyDescent="0.25">
      <c r="A1486" t="s">
        <v>4163</v>
      </c>
      <c r="B1486" t="s">
        <v>212</v>
      </c>
      <c r="C1486" t="str">
        <f>_xlfn.XLOOKUP(Table7[[#This Row],[app_id]],Table5[app_id],Table5[app_name],"",0)</f>
        <v>SyncPlus</v>
      </c>
      <c r="D1486" t="s">
        <v>1448</v>
      </c>
      <c r="E1486" s="1">
        <v>45889</v>
      </c>
      <c r="F1486">
        <v>3</v>
      </c>
      <c r="G1486" t="s">
        <v>3254</v>
      </c>
      <c r="H1486" t="s">
        <v>2554</v>
      </c>
      <c r="I1486" t="s">
        <v>2565</v>
      </c>
      <c r="J1486" t="s">
        <v>2600</v>
      </c>
      <c r="K1486">
        <v>30</v>
      </c>
      <c r="L1486" s="13" t="s">
        <v>257</v>
      </c>
    </row>
    <row r="1487" spans="1:12" x14ac:dyDescent="0.25">
      <c r="A1487" t="s">
        <v>4164</v>
      </c>
      <c r="B1487" t="s">
        <v>214</v>
      </c>
      <c r="C1487" t="str">
        <f>_xlfn.XLOOKUP(Table7[[#This Row],[app_id]],Table5[app_id],Table5[app_name],"",0)</f>
        <v>NoteOne</v>
      </c>
      <c r="D1487" t="s">
        <v>2243</v>
      </c>
      <c r="E1487" s="1">
        <v>45377</v>
      </c>
      <c r="F1487">
        <v>4</v>
      </c>
      <c r="G1487" t="s">
        <v>2700</v>
      </c>
      <c r="H1487" t="s">
        <v>2564</v>
      </c>
      <c r="I1487" t="s">
        <v>2565</v>
      </c>
      <c r="J1487" t="s">
        <v>2559</v>
      </c>
      <c r="K1487">
        <v>16</v>
      </c>
      <c r="L1487" s="13" t="s">
        <v>257</v>
      </c>
    </row>
    <row r="1488" spans="1:12" x14ac:dyDescent="0.25">
      <c r="A1488" t="s">
        <v>4165</v>
      </c>
      <c r="B1488" t="s">
        <v>216</v>
      </c>
      <c r="C1488" t="str">
        <f>_xlfn.XLOOKUP(Table7[[#This Row],[app_id]],Table5[app_id],Table5[app_name],"",0)</f>
        <v>NoteMate</v>
      </c>
      <c r="D1488" t="s">
        <v>1273</v>
      </c>
      <c r="E1488" s="1">
        <v>45653</v>
      </c>
      <c r="F1488">
        <v>3</v>
      </c>
      <c r="G1488" t="s">
        <v>2713</v>
      </c>
      <c r="H1488" t="s">
        <v>2554</v>
      </c>
      <c r="I1488" t="s">
        <v>2584</v>
      </c>
      <c r="J1488" t="s">
        <v>2566</v>
      </c>
      <c r="K1488">
        <v>14</v>
      </c>
      <c r="L1488" s="13" t="s">
        <v>257</v>
      </c>
    </row>
    <row r="1489" spans="1:12" x14ac:dyDescent="0.25">
      <c r="A1489" t="s">
        <v>4166</v>
      </c>
      <c r="B1489" t="s">
        <v>218</v>
      </c>
      <c r="C1489" t="str">
        <f>_xlfn.XLOOKUP(Table7[[#This Row],[app_id]],Table5[app_id],Table5[app_name],"",0)</f>
        <v>PlanPlus</v>
      </c>
      <c r="D1489" t="s">
        <v>994</v>
      </c>
      <c r="E1489" s="1">
        <v>45388</v>
      </c>
      <c r="F1489">
        <v>4</v>
      </c>
      <c r="G1489" t="s">
        <v>2836</v>
      </c>
      <c r="H1489" t="s">
        <v>2564</v>
      </c>
      <c r="I1489" t="s">
        <v>2571</v>
      </c>
      <c r="J1489" t="s">
        <v>2603</v>
      </c>
      <c r="K1489">
        <v>8</v>
      </c>
      <c r="L1489" s="13" t="s">
        <v>257</v>
      </c>
    </row>
    <row r="1490" spans="1:12" x14ac:dyDescent="0.25">
      <c r="A1490" t="s">
        <v>4167</v>
      </c>
      <c r="B1490" t="s">
        <v>220</v>
      </c>
      <c r="C1490" t="str">
        <f>_xlfn.XLOOKUP(Table7[[#This Row],[app_id]],Table5[app_id],Table5[app_name],"",0)</f>
        <v>PlanMate</v>
      </c>
      <c r="D1490" t="s">
        <v>1782</v>
      </c>
      <c r="E1490" s="1">
        <v>45862</v>
      </c>
      <c r="F1490">
        <v>4</v>
      </c>
      <c r="G1490" t="s">
        <v>2708</v>
      </c>
      <c r="H1490" t="s">
        <v>2564</v>
      </c>
      <c r="I1490" t="s">
        <v>2558</v>
      </c>
      <c r="J1490" t="s">
        <v>2569</v>
      </c>
      <c r="K1490">
        <v>44</v>
      </c>
      <c r="L1490" s="13" t="s">
        <v>257</v>
      </c>
    </row>
    <row r="1491" spans="1:12" x14ac:dyDescent="0.25">
      <c r="A1491" t="s">
        <v>4168</v>
      </c>
      <c r="B1491" t="s">
        <v>222</v>
      </c>
      <c r="C1491" t="str">
        <f>_xlfn.XLOOKUP(Table7[[#This Row],[app_id]],Table5[app_id],Table5[app_name],"",0)</f>
        <v>SyncPlus</v>
      </c>
      <c r="D1491" t="s">
        <v>1262</v>
      </c>
      <c r="E1491" s="1">
        <v>46064</v>
      </c>
      <c r="F1491">
        <v>4</v>
      </c>
      <c r="G1491" t="s">
        <v>2700</v>
      </c>
      <c r="H1491" t="s">
        <v>2564</v>
      </c>
      <c r="I1491" t="s">
        <v>2571</v>
      </c>
      <c r="J1491" t="s">
        <v>2556</v>
      </c>
      <c r="K1491">
        <v>1</v>
      </c>
      <c r="L1491" s="13" t="s">
        <v>257</v>
      </c>
    </row>
    <row r="1492" spans="1:12" x14ac:dyDescent="0.25">
      <c r="A1492" t="s">
        <v>4169</v>
      </c>
      <c r="B1492" t="s">
        <v>223</v>
      </c>
      <c r="C1492" t="str">
        <f>_xlfn.XLOOKUP(Table7[[#This Row],[app_id]],Table5[app_id],Table5[app_name],"",0)</f>
        <v>ClinicPro</v>
      </c>
      <c r="D1492" t="s">
        <v>2261</v>
      </c>
      <c r="E1492" s="1">
        <v>45925</v>
      </c>
      <c r="F1492">
        <v>3</v>
      </c>
      <c r="G1492" t="s">
        <v>2720</v>
      </c>
      <c r="H1492" t="s">
        <v>2554</v>
      </c>
      <c r="I1492" t="s">
        <v>2575</v>
      </c>
      <c r="J1492" t="s">
        <v>2566</v>
      </c>
      <c r="K1492">
        <v>27</v>
      </c>
      <c r="L1492" s="13" t="s">
        <v>257</v>
      </c>
    </row>
    <row r="1493" spans="1:12" x14ac:dyDescent="0.25">
      <c r="A1493" t="s">
        <v>4170</v>
      </c>
      <c r="B1493" t="s">
        <v>226</v>
      </c>
      <c r="C1493" t="str">
        <f>_xlfn.XLOOKUP(Table7[[#This Row],[app_id]],Table5[app_id],Table5[app_name],"",0)</f>
        <v>MindMate</v>
      </c>
      <c r="D1493" t="s">
        <v>1397</v>
      </c>
      <c r="E1493" s="1">
        <v>45769</v>
      </c>
      <c r="F1493">
        <v>3</v>
      </c>
      <c r="G1493" t="s">
        <v>2718</v>
      </c>
      <c r="H1493" t="s">
        <v>2554</v>
      </c>
      <c r="I1493" t="s">
        <v>2575</v>
      </c>
      <c r="J1493" t="s">
        <v>2600</v>
      </c>
      <c r="K1493">
        <v>47</v>
      </c>
      <c r="L1493" s="13" t="s">
        <v>258</v>
      </c>
    </row>
    <row r="1494" spans="1:12" x14ac:dyDescent="0.25">
      <c r="A1494" t="s">
        <v>4171</v>
      </c>
      <c r="B1494" t="s">
        <v>228</v>
      </c>
      <c r="C1494" t="str">
        <f>_xlfn.XLOOKUP(Table7[[#This Row],[app_id]],Table5[app_id],Table5[app_name],"",0)</f>
        <v>ClinicOne</v>
      </c>
      <c r="D1494" t="s">
        <v>2282</v>
      </c>
      <c r="E1494" s="1">
        <v>45405</v>
      </c>
      <c r="F1494">
        <v>4</v>
      </c>
      <c r="G1494" t="s">
        <v>2728</v>
      </c>
      <c r="H1494" t="s">
        <v>2564</v>
      </c>
      <c r="I1494" t="s">
        <v>2558</v>
      </c>
      <c r="J1494" t="s">
        <v>2600</v>
      </c>
      <c r="K1494">
        <v>37</v>
      </c>
      <c r="L1494" s="13" t="s">
        <v>257</v>
      </c>
    </row>
    <row r="1495" spans="1:12" x14ac:dyDescent="0.25">
      <c r="A1495" t="s">
        <v>4172</v>
      </c>
      <c r="B1495" t="s">
        <v>230</v>
      </c>
      <c r="C1495" t="str">
        <f>_xlfn.XLOOKUP(Table7[[#This Row],[app_id]],Table5[app_id],Table5[app_name],"",0)</f>
        <v>WellMate</v>
      </c>
      <c r="D1495" t="s">
        <v>1354</v>
      </c>
      <c r="E1495" s="1">
        <v>45385</v>
      </c>
      <c r="F1495">
        <v>4</v>
      </c>
      <c r="G1495" t="s">
        <v>2716</v>
      </c>
      <c r="H1495" t="s">
        <v>2564</v>
      </c>
      <c r="I1495" t="s">
        <v>2565</v>
      </c>
      <c r="J1495" t="s">
        <v>2596</v>
      </c>
      <c r="K1495">
        <v>44</v>
      </c>
      <c r="L1495" s="13" t="s">
        <v>258</v>
      </c>
    </row>
    <row r="1496" spans="1:12" x14ac:dyDescent="0.25">
      <c r="A1496" t="s">
        <v>4173</v>
      </c>
      <c r="B1496" t="s">
        <v>232</v>
      </c>
      <c r="C1496" t="str">
        <f>_xlfn.XLOOKUP(Table7[[#This Row],[app_id]],Table5[app_id],Table5[app_name],"",0)</f>
        <v>MediMate</v>
      </c>
      <c r="D1496" t="s">
        <v>2337</v>
      </c>
      <c r="E1496" s="1">
        <v>45347</v>
      </c>
      <c r="F1496">
        <v>3</v>
      </c>
      <c r="G1496" t="s">
        <v>2720</v>
      </c>
      <c r="H1496" t="s">
        <v>2554</v>
      </c>
      <c r="I1496" t="s">
        <v>2571</v>
      </c>
      <c r="J1496" t="s">
        <v>2581</v>
      </c>
      <c r="K1496">
        <v>12</v>
      </c>
      <c r="L1496" s="13" t="s">
        <v>258</v>
      </c>
    </row>
    <row r="1497" spans="1:12" x14ac:dyDescent="0.25">
      <c r="A1497" t="s">
        <v>4174</v>
      </c>
      <c r="B1497" t="s">
        <v>234</v>
      </c>
      <c r="C1497" t="str">
        <f>_xlfn.XLOOKUP(Table7[[#This Row],[app_id]],Table5[app_id],Table5[app_name],"",0)</f>
        <v>WellNow</v>
      </c>
      <c r="D1497" t="s">
        <v>1317</v>
      </c>
      <c r="E1497" s="1">
        <v>45388</v>
      </c>
      <c r="F1497">
        <v>3</v>
      </c>
      <c r="G1497" t="s">
        <v>2718</v>
      </c>
      <c r="H1497" t="s">
        <v>2554</v>
      </c>
      <c r="I1497" t="s">
        <v>2575</v>
      </c>
      <c r="J1497" t="s">
        <v>2561</v>
      </c>
      <c r="K1497">
        <v>20</v>
      </c>
      <c r="L1497" s="13" t="s">
        <v>257</v>
      </c>
    </row>
    <row r="1498" spans="1:12" x14ac:dyDescent="0.25">
      <c r="A1498" t="s">
        <v>4175</v>
      </c>
      <c r="B1498" t="s">
        <v>236</v>
      </c>
      <c r="C1498" t="str">
        <f>_xlfn.XLOOKUP(Table7[[#This Row],[app_id]],Table5[app_id],Table5[app_name],"",0)</f>
        <v>CareCloud</v>
      </c>
      <c r="D1498" t="s">
        <v>2456</v>
      </c>
      <c r="E1498" s="1">
        <v>45357</v>
      </c>
      <c r="F1498">
        <v>4</v>
      </c>
      <c r="G1498" t="s">
        <v>2722</v>
      </c>
      <c r="H1498" t="s">
        <v>2564</v>
      </c>
      <c r="I1498" t="s">
        <v>2555</v>
      </c>
      <c r="J1498" t="s">
        <v>2603</v>
      </c>
      <c r="K1498">
        <v>40</v>
      </c>
      <c r="L1498" s="13" t="s">
        <v>258</v>
      </c>
    </row>
    <row r="1499" spans="1:12" x14ac:dyDescent="0.25">
      <c r="A1499" t="s">
        <v>4176</v>
      </c>
      <c r="B1499" t="s">
        <v>238</v>
      </c>
      <c r="C1499" t="str">
        <f>_xlfn.XLOOKUP(Table7[[#This Row],[app_id]],Table5[app_id],Table5[app_name],"",0)</f>
        <v>MediNow</v>
      </c>
      <c r="D1499" t="s">
        <v>2320</v>
      </c>
      <c r="E1499" s="1">
        <v>45481</v>
      </c>
      <c r="F1499">
        <v>5</v>
      </c>
      <c r="G1499" t="s">
        <v>2716</v>
      </c>
      <c r="H1499" t="s">
        <v>2564</v>
      </c>
      <c r="I1499" t="s">
        <v>2575</v>
      </c>
      <c r="J1499" t="s">
        <v>2600</v>
      </c>
      <c r="K1499">
        <v>21</v>
      </c>
      <c r="L1499" s="13" t="s">
        <v>258</v>
      </c>
    </row>
    <row r="1500" spans="1:12" x14ac:dyDescent="0.25">
      <c r="A1500" t="s">
        <v>4177</v>
      </c>
      <c r="B1500" t="s">
        <v>240</v>
      </c>
      <c r="C1500" t="str">
        <f>_xlfn.XLOOKUP(Table7[[#This Row],[app_id]],Table5[app_id],Table5[app_name],"",0)</f>
        <v>MindPlus</v>
      </c>
      <c r="D1500" t="s">
        <v>837</v>
      </c>
      <c r="E1500" s="1">
        <v>45775</v>
      </c>
      <c r="F1500">
        <v>4</v>
      </c>
      <c r="G1500" t="s">
        <v>2954</v>
      </c>
      <c r="H1500" t="s">
        <v>2564</v>
      </c>
      <c r="I1500" t="s">
        <v>2575</v>
      </c>
      <c r="J1500" t="s">
        <v>2633</v>
      </c>
      <c r="K1500">
        <v>6</v>
      </c>
      <c r="L1500" s="13" t="s">
        <v>258</v>
      </c>
    </row>
    <row r="1501" spans="1:12" x14ac:dyDescent="0.25">
      <c r="A1501" t="s">
        <v>4178</v>
      </c>
      <c r="B1501" t="s">
        <v>242</v>
      </c>
      <c r="C1501" t="str">
        <f>_xlfn.XLOOKUP(Table7[[#This Row],[app_id]],Table5[app_id],Table5[app_name],"",0)</f>
        <v>MediCloud</v>
      </c>
      <c r="D1501" t="s">
        <v>879</v>
      </c>
      <c r="E1501" s="1">
        <v>45917</v>
      </c>
      <c r="F1501">
        <v>4</v>
      </c>
      <c r="G1501" t="s">
        <v>2728</v>
      </c>
      <c r="H1501" t="s">
        <v>2564</v>
      </c>
      <c r="I1501" t="s">
        <v>2555</v>
      </c>
      <c r="J1501" t="s">
        <v>2566</v>
      </c>
      <c r="K1501">
        <v>11</v>
      </c>
      <c r="L1501" s="13" t="s">
        <v>257</v>
      </c>
    </row>
    <row r="1502" spans="1:12" x14ac:dyDescent="0.25">
      <c r="A1502" t="s">
        <v>4179</v>
      </c>
      <c r="B1502" t="s">
        <v>12</v>
      </c>
      <c r="C1502" t="str">
        <f>_xlfn.XLOOKUP(Table7[[#This Row],[app_id]],Table5[app_id],Table5[app_name],"",0)</f>
        <v>InvestPro</v>
      </c>
      <c r="D1502" t="s">
        <v>2469</v>
      </c>
      <c r="E1502" s="1">
        <v>45611</v>
      </c>
      <c r="F1502">
        <v>4</v>
      </c>
      <c r="G1502" t="s">
        <v>2568</v>
      </c>
      <c r="H1502" t="s">
        <v>2564</v>
      </c>
      <c r="I1502" t="s">
        <v>2575</v>
      </c>
      <c r="J1502" t="s">
        <v>2603</v>
      </c>
      <c r="K1502">
        <v>23</v>
      </c>
      <c r="L1502" s="13" t="s">
        <v>258</v>
      </c>
    </row>
    <row r="1503" spans="1:12" x14ac:dyDescent="0.25">
      <c r="A1503" t="s">
        <v>4180</v>
      </c>
      <c r="B1503" t="s">
        <v>19</v>
      </c>
      <c r="C1503" t="str">
        <f>_xlfn.XLOOKUP(Table7[[#This Row],[app_id]],Table5[app_id],Table5[app_name],"",0)</f>
        <v>BankPro</v>
      </c>
      <c r="D1503" t="s">
        <v>1613</v>
      </c>
      <c r="E1503" s="1">
        <v>45428</v>
      </c>
      <c r="F1503">
        <v>4</v>
      </c>
      <c r="G1503" t="s">
        <v>2568</v>
      </c>
      <c r="H1503" t="s">
        <v>2564</v>
      </c>
      <c r="I1503" t="s">
        <v>2558</v>
      </c>
      <c r="J1503" t="s">
        <v>2581</v>
      </c>
      <c r="K1503">
        <v>6</v>
      </c>
      <c r="L1503" s="13" t="s">
        <v>257</v>
      </c>
    </row>
    <row r="1504" spans="1:12" x14ac:dyDescent="0.25">
      <c r="A1504" t="s">
        <v>4181</v>
      </c>
      <c r="B1504" t="s">
        <v>24</v>
      </c>
      <c r="C1504" t="str">
        <f>_xlfn.XLOOKUP(Table7[[#This Row],[app_id]],Table5[app_id],Table5[app_name],"",0)</f>
        <v>BankX</v>
      </c>
      <c r="D1504" t="s">
        <v>1756</v>
      </c>
      <c r="E1504" s="1">
        <v>45568</v>
      </c>
      <c r="F1504">
        <v>5</v>
      </c>
      <c r="G1504" t="s">
        <v>2563</v>
      </c>
      <c r="H1504" t="s">
        <v>2564</v>
      </c>
      <c r="I1504" t="s">
        <v>2555</v>
      </c>
      <c r="J1504" t="s">
        <v>2569</v>
      </c>
      <c r="K1504">
        <v>31</v>
      </c>
      <c r="L1504" s="13" t="s">
        <v>257</v>
      </c>
    </row>
    <row r="1505" spans="1:12" x14ac:dyDescent="0.25">
      <c r="A1505" t="s">
        <v>4182</v>
      </c>
      <c r="B1505" t="s">
        <v>27</v>
      </c>
      <c r="C1505" t="str">
        <f>_xlfn.XLOOKUP(Table7[[#This Row],[app_id]],Table5[app_id],Table5[app_name],"",0)</f>
        <v>BankNow</v>
      </c>
      <c r="D1505" t="s">
        <v>1867</v>
      </c>
      <c r="E1505" s="1">
        <v>45957</v>
      </c>
      <c r="F1505">
        <v>4</v>
      </c>
      <c r="G1505" t="s">
        <v>2563</v>
      </c>
      <c r="H1505" t="s">
        <v>2564</v>
      </c>
      <c r="I1505" t="s">
        <v>2565</v>
      </c>
      <c r="J1505" t="s">
        <v>2569</v>
      </c>
      <c r="K1505">
        <v>17</v>
      </c>
      <c r="L1505" s="13" t="s">
        <v>258</v>
      </c>
    </row>
    <row r="1506" spans="1:12" x14ac:dyDescent="0.25">
      <c r="A1506" t="s">
        <v>4183</v>
      </c>
      <c r="B1506" t="s">
        <v>31</v>
      </c>
      <c r="C1506" t="str">
        <f>_xlfn.XLOOKUP(Table7[[#This Row],[app_id]],Table5[app_id],Table5[app_name],"",0)</f>
        <v>CreditHub</v>
      </c>
      <c r="D1506" t="s">
        <v>1143</v>
      </c>
      <c r="E1506" s="1">
        <v>45970</v>
      </c>
      <c r="F1506">
        <v>5</v>
      </c>
      <c r="G1506" t="s">
        <v>2568</v>
      </c>
      <c r="H1506" t="s">
        <v>2564</v>
      </c>
      <c r="I1506" t="s">
        <v>2565</v>
      </c>
      <c r="J1506" t="s">
        <v>2566</v>
      </c>
      <c r="K1506">
        <v>36</v>
      </c>
      <c r="L1506" s="13" t="s">
        <v>257</v>
      </c>
    </row>
    <row r="1507" spans="1:12" x14ac:dyDescent="0.25">
      <c r="A1507" t="s">
        <v>4184</v>
      </c>
      <c r="B1507" t="s">
        <v>36</v>
      </c>
      <c r="C1507" t="str">
        <f>_xlfn.XLOOKUP(Table7[[#This Row],[app_id]],Table5[app_id],Table5[app_name],"",0)</f>
        <v>PayPlus</v>
      </c>
      <c r="D1507" t="s">
        <v>2343</v>
      </c>
      <c r="E1507" s="1">
        <v>45482</v>
      </c>
      <c r="F1507">
        <v>3</v>
      </c>
      <c r="G1507" t="s">
        <v>2968</v>
      </c>
      <c r="H1507" t="s">
        <v>2554</v>
      </c>
      <c r="I1507" t="s">
        <v>2565</v>
      </c>
      <c r="J1507" t="s">
        <v>2566</v>
      </c>
      <c r="K1507">
        <v>39</v>
      </c>
      <c r="L1507" s="13" t="s">
        <v>257</v>
      </c>
    </row>
    <row r="1508" spans="1:12" x14ac:dyDescent="0.25">
      <c r="A1508" t="s">
        <v>4185</v>
      </c>
      <c r="B1508" t="s">
        <v>39</v>
      </c>
      <c r="C1508" t="str">
        <f>_xlfn.XLOOKUP(Table7[[#This Row],[app_id]],Table5[app_id],Table5[app_name],"",0)</f>
        <v>BankPlus</v>
      </c>
      <c r="D1508" t="s">
        <v>1742</v>
      </c>
      <c r="E1508" s="1">
        <v>45544</v>
      </c>
      <c r="F1508">
        <v>4</v>
      </c>
      <c r="G1508" t="s">
        <v>2568</v>
      </c>
      <c r="H1508" t="s">
        <v>2564</v>
      </c>
      <c r="I1508" t="s">
        <v>2555</v>
      </c>
      <c r="J1508" t="s">
        <v>2559</v>
      </c>
      <c r="K1508">
        <v>46</v>
      </c>
      <c r="L1508" s="13" t="s">
        <v>257</v>
      </c>
    </row>
    <row r="1509" spans="1:12" x14ac:dyDescent="0.25">
      <c r="A1509" t="s">
        <v>4186</v>
      </c>
      <c r="B1509" t="s">
        <v>42</v>
      </c>
      <c r="C1509" t="str">
        <f>_xlfn.XLOOKUP(Table7[[#This Row],[app_id]],Table5[app_id],Table5[app_name],"",0)</f>
        <v>CoinPlus</v>
      </c>
      <c r="D1509" t="s">
        <v>1719</v>
      </c>
      <c r="E1509" s="1">
        <v>45295</v>
      </c>
      <c r="F1509">
        <v>4</v>
      </c>
      <c r="G1509" t="s">
        <v>2568</v>
      </c>
      <c r="H1509" t="s">
        <v>2564</v>
      </c>
      <c r="I1509" t="s">
        <v>2555</v>
      </c>
      <c r="J1509" t="s">
        <v>2596</v>
      </c>
      <c r="K1509">
        <v>45</v>
      </c>
      <c r="L1509" s="13" t="s">
        <v>257</v>
      </c>
    </row>
    <row r="1510" spans="1:12" x14ac:dyDescent="0.25">
      <c r="A1510" t="s">
        <v>4187</v>
      </c>
      <c r="B1510" t="s">
        <v>47</v>
      </c>
      <c r="C1510" t="str">
        <f>_xlfn.XLOOKUP(Table7[[#This Row],[app_id]],Table5[app_id],Table5[app_name],"",0)</f>
        <v>CreditOne</v>
      </c>
      <c r="D1510" t="s">
        <v>1956</v>
      </c>
      <c r="E1510" s="1">
        <v>45293</v>
      </c>
      <c r="F1510">
        <v>4</v>
      </c>
      <c r="G1510" t="s">
        <v>2568</v>
      </c>
      <c r="H1510" t="s">
        <v>2564</v>
      </c>
      <c r="I1510" t="s">
        <v>2565</v>
      </c>
      <c r="J1510" t="s">
        <v>2603</v>
      </c>
      <c r="K1510">
        <v>19</v>
      </c>
      <c r="L1510" s="13" t="s">
        <v>257</v>
      </c>
    </row>
    <row r="1511" spans="1:12" x14ac:dyDescent="0.25">
      <c r="A1511" t="s">
        <v>4188</v>
      </c>
      <c r="B1511" t="s">
        <v>49</v>
      </c>
      <c r="C1511" t="str">
        <f>_xlfn.XLOOKUP(Table7[[#This Row],[app_id]],Table5[app_id],Table5[app_name],"",0)</f>
        <v>PayPro</v>
      </c>
      <c r="D1511" t="s">
        <v>1278</v>
      </c>
      <c r="E1511" s="1">
        <v>45381</v>
      </c>
      <c r="F1511">
        <v>4</v>
      </c>
      <c r="G1511" t="s">
        <v>2563</v>
      </c>
      <c r="H1511" t="s">
        <v>2564</v>
      </c>
      <c r="I1511" t="s">
        <v>2558</v>
      </c>
      <c r="J1511" t="s">
        <v>2596</v>
      </c>
      <c r="K1511">
        <v>22</v>
      </c>
      <c r="L1511" s="13" t="s">
        <v>257</v>
      </c>
    </row>
    <row r="1512" spans="1:12" x14ac:dyDescent="0.25">
      <c r="A1512" t="s">
        <v>4189</v>
      </c>
      <c r="B1512" t="s">
        <v>51</v>
      </c>
      <c r="C1512" t="str">
        <f>_xlfn.XLOOKUP(Table7[[#This Row],[app_id]],Table5[app_id],Table5[app_name],"",0)</f>
        <v>Creditly</v>
      </c>
      <c r="D1512" t="s">
        <v>2103</v>
      </c>
      <c r="E1512" s="1">
        <v>45578</v>
      </c>
      <c r="F1512">
        <v>3</v>
      </c>
      <c r="G1512" t="s">
        <v>2583</v>
      </c>
      <c r="H1512" t="s">
        <v>2554</v>
      </c>
      <c r="I1512" t="s">
        <v>2571</v>
      </c>
      <c r="J1512" t="s">
        <v>2556</v>
      </c>
      <c r="K1512">
        <v>44</v>
      </c>
      <c r="L1512" s="13" t="s">
        <v>257</v>
      </c>
    </row>
    <row r="1513" spans="1:12" x14ac:dyDescent="0.25">
      <c r="A1513" t="s">
        <v>4190</v>
      </c>
      <c r="B1513" t="s">
        <v>53</v>
      </c>
      <c r="C1513" t="str">
        <f>_xlfn.XLOOKUP(Table7[[#This Row],[app_id]],Table5[app_id],Table5[app_name],"",0)</f>
        <v>PayX</v>
      </c>
      <c r="D1513" t="s">
        <v>1530</v>
      </c>
      <c r="E1513" s="1">
        <v>45747</v>
      </c>
      <c r="F1513">
        <v>3</v>
      </c>
      <c r="G1513" t="s">
        <v>2735</v>
      </c>
      <c r="H1513" t="s">
        <v>2554</v>
      </c>
      <c r="I1513" t="s">
        <v>2555</v>
      </c>
      <c r="J1513" t="s">
        <v>2600</v>
      </c>
      <c r="K1513">
        <v>15</v>
      </c>
      <c r="L1513" s="13" t="s">
        <v>257</v>
      </c>
    </row>
    <row r="1514" spans="1:12" x14ac:dyDescent="0.25">
      <c r="A1514" t="s">
        <v>4191</v>
      </c>
      <c r="B1514" t="s">
        <v>56</v>
      </c>
      <c r="C1514" t="str">
        <f>_xlfn.XLOOKUP(Table7[[#This Row],[app_id]],Table5[app_id],Table5[app_name],"",0)</f>
        <v>DealGo</v>
      </c>
      <c r="D1514" t="s">
        <v>1042</v>
      </c>
      <c r="E1514" s="1">
        <v>45745</v>
      </c>
      <c r="F1514">
        <v>3</v>
      </c>
      <c r="G1514" t="s">
        <v>2748</v>
      </c>
      <c r="H1514" t="s">
        <v>2554</v>
      </c>
      <c r="I1514" t="s">
        <v>2555</v>
      </c>
      <c r="J1514" t="s">
        <v>2566</v>
      </c>
      <c r="K1514">
        <v>43</v>
      </c>
      <c r="L1514" s="13" t="s">
        <v>258</v>
      </c>
    </row>
    <row r="1515" spans="1:12" x14ac:dyDescent="0.25">
      <c r="A1515" t="s">
        <v>4192</v>
      </c>
      <c r="B1515" t="s">
        <v>62</v>
      </c>
      <c r="C1515" t="str">
        <f>_xlfn.XLOOKUP(Table7[[#This Row],[app_id]],Table5[app_id],Table5[app_name],"",0)</f>
        <v>MallNow</v>
      </c>
      <c r="D1515" t="s">
        <v>840</v>
      </c>
      <c r="E1515" s="1">
        <v>46047</v>
      </c>
      <c r="F1515">
        <v>3</v>
      </c>
      <c r="G1515" t="s">
        <v>2602</v>
      </c>
      <c r="H1515" t="s">
        <v>2554</v>
      </c>
      <c r="I1515" t="s">
        <v>2558</v>
      </c>
      <c r="J1515" t="s">
        <v>2556</v>
      </c>
      <c r="K1515">
        <v>15</v>
      </c>
      <c r="L1515" s="13" t="s">
        <v>257</v>
      </c>
    </row>
    <row r="1516" spans="1:12" x14ac:dyDescent="0.25">
      <c r="A1516" t="s">
        <v>4193</v>
      </c>
      <c r="B1516" t="s">
        <v>65</v>
      </c>
      <c r="C1516" t="str">
        <f>_xlfn.XLOOKUP(Table7[[#This Row],[app_id]],Table5[app_id],Table5[app_name],"",0)</f>
        <v>DealPro</v>
      </c>
      <c r="D1516" t="s">
        <v>799</v>
      </c>
      <c r="E1516" s="1">
        <v>45452</v>
      </c>
      <c r="F1516">
        <v>4</v>
      </c>
      <c r="G1516" t="s">
        <v>2592</v>
      </c>
      <c r="H1516" t="s">
        <v>2564</v>
      </c>
      <c r="I1516" t="s">
        <v>2555</v>
      </c>
      <c r="J1516" t="s">
        <v>2566</v>
      </c>
      <c r="K1516">
        <v>4</v>
      </c>
      <c r="L1516" s="13" t="s">
        <v>257</v>
      </c>
    </row>
    <row r="1517" spans="1:12" x14ac:dyDescent="0.25">
      <c r="A1517" t="s">
        <v>4194</v>
      </c>
      <c r="B1517" t="s">
        <v>67</v>
      </c>
      <c r="C1517" t="str">
        <f>_xlfn.XLOOKUP(Table7[[#This Row],[app_id]],Table5[app_id],Table5[app_name],"",0)</f>
        <v>StyleNow</v>
      </c>
      <c r="D1517" t="s">
        <v>2051</v>
      </c>
      <c r="E1517" s="1">
        <v>46063</v>
      </c>
      <c r="F1517">
        <v>3</v>
      </c>
      <c r="G1517" t="s">
        <v>2594</v>
      </c>
      <c r="H1517" t="s">
        <v>2554</v>
      </c>
      <c r="I1517" t="s">
        <v>2584</v>
      </c>
      <c r="J1517" t="s">
        <v>2569</v>
      </c>
      <c r="K1517">
        <v>2</v>
      </c>
      <c r="L1517" s="13" t="s">
        <v>257</v>
      </c>
    </row>
    <row r="1518" spans="1:12" x14ac:dyDescent="0.25">
      <c r="A1518" t="s">
        <v>4195</v>
      </c>
      <c r="B1518" t="s">
        <v>70</v>
      </c>
      <c r="C1518" t="str">
        <f>_xlfn.XLOOKUP(Table7[[#This Row],[app_id]],Table5[app_id],Table5[app_name],"",0)</f>
        <v>DealCloud</v>
      </c>
      <c r="D1518" t="s">
        <v>1191</v>
      </c>
      <c r="E1518" s="1">
        <v>45999</v>
      </c>
      <c r="F1518">
        <v>5</v>
      </c>
      <c r="G1518" t="s">
        <v>2867</v>
      </c>
      <c r="H1518" t="s">
        <v>2564</v>
      </c>
      <c r="I1518" t="s">
        <v>2555</v>
      </c>
      <c r="J1518" t="s">
        <v>2556</v>
      </c>
      <c r="K1518">
        <v>19</v>
      </c>
      <c r="L1518" s="13" t="s">
        <v>258</v>
      </c>
    </row>
    <row r="1519" spans="1:12" x14ac:dyDescent="0.25">
      <c r="A1519" t="s">
        <v>4196</v>
      </c>
      <c r="B1519" t="s">
        <v>72</v>
      </c>
      <c r="C1519" t="str">
        <f>_xlfn.XLOOKUP(Table7[[#This Row],[app_id]],Table5[app_id],Table5[app_name],"",0)</f>
        <v>CartCloud</v>
      </c>
      <c r="D1519" t="s">
        <v>1109</v>
      </c>
      <c r="E1519" s="1">
        <v>45332</v>
      </c>
      <c r="F1519">
        <v>5</v>
      </c>
      <c r="G1519" t="s">
        <v>2590</v>
      </c>
      <c r="H1519" t="s">
        <v>2564</v>
      </c>
      <c r="I1519" t="s">
        <v>2575</v>
      </c>
      <c r="J1519" t="s">
        <v>2569</v>
      </c>
      <c r="K1519">
        <v>35</v>
      </c>
      <c r="L1519" s="13" t="s">
        <v>257</v>
      </c>
    </row>
    <row r="1520" spans="1:12" x14ac:dyDescent="0.25">
      <c r="A1520" t="s">
        <v>4197</v>
      </c>
      <c r="B1520" t="s">
        <v>74</v>
      </c>
      <c r="C1520" t="str">
        <f>_xlfn.XLOOKUP(Table7[[#This Row],[app_id]],Table5[app_id],Table5[app_name],"",0)</f>
        <v>CartMate</v>
      </c>
      <c r="D1520" t="s">
        <v>2450</v>
      </c>
      <c r="E1520" s="1">
        <v>45704</v>
      </c>
      <c r="F1520">
        <v>5</v>
      </c>
      <c r="G1520" t="s">
        <v>2598</v>
      </c>
      <c r="H1520" t="s">
        <v>2564</v>
      </c>
      <c r="I1520" t="s">
        <v>2565</v>
      </c>
      <c r="J1520" t="s">
        <v>2569</v>
      </c>
      <c r="K1520">
        <v>35</v>
      </c>
      <c r="L1520" s="13" t="s">
        <v>258</v>
      </c>
    </row>
    <row r="1521" spans="1:12" x14ac:dyDescent="0.25">
      <c r="A1521" t="s">
        <v>4198</v>
      </c>
      <c r="B1521" t="s">
        <v>76</v>
      </c>
      <c r="C1521" t="str">
        <f>_xlfn.XLOOKUP(Table7[[#This Row],[app_id]],Table5[app_id],Table5[app_name],"",0)</f>
        <v>BazaarOne</v>
      </c>
      <c r="D1521" t="s">
        <v>1690</v>
      </c>
      <c r="E1521" s="1">
        <v>45323</v>
      </c>
      <c r="F1521">
        <v>3</v>
      </c>
      <c r="G1521" t="s">
        <v>2594</v>
      </c>
      <c r="H1521" t="s">
        <v>2554</v>
      </c>
      <c r="I1521" t="s">
        <v>2558</v>
      </c>
      <c r="J1521" t="s">
        <v>2566</v>
      </c>
      <c r="K1521">
        <v>43</v>
      </c>
      <c r="L1521" s="13" t="s">
        <v>257</v>
      </c>
    </row>
    <row r="1522" spans="1:12" x14ac:dyDescent="0.25">
      <c r="A1522" t="s">
        <v>4199</v>
      </c>
      <c r="B1522" t="s">
        <v>78</v>
      </c>
      <c r="C1522" t="str">
        <f>_xlfn.XLOOKUP(Table7[[#This Row],[app_id]],Table5[app_id],Table5[app_name],"",0)</f>
        <v>StyleOne</v>
      </c>
      <c r="D1522" t="s">
        <v>1849</v>
      </c>
      <c r="E1522" s="1">
        <v>45484</v>
      </c>
      <c r="F1522">
        <v>4</v>
      </c>
      <c r="G1522" t="s">
        <v>2590</v>
      </c>
      <c r="H1522" t="s">
        <v>2564</v>
      </c>
      <c r="I1522" t="s">
        <v>2565</v>
      </c>
      <c r="J1522" t="s">
        <v>2603</v>
      </c>
      <c r="K1522">
        <v>38</v>
      </c>
      <c r="L1522" s="13" t="s">
        <v>257</v>
      </c>
    </row>
    <row r="1523" spans="1:12" x14ac:dyDescent="0.25">
      <c r="A1523" t="s">
        <v>4200</v>
      </c>
      <c r="B1523" t="s">
        <v>80</v>
      </c>
      <c r="C1523" t="str">
        <f>_xlfn.XLOOKUP(Table7[[#This Row],[app_id]],Table5[app_id],Table5[app_name],"",0)</f>
        <v>Cartly</v>
      </c>
      <c r="D1523" t="s">
        <v>1821</v>
      </c>
      <c r="E1523" s="1">
        <v>45670</v>
      </c>
      <c r="F1523">
        <v>3</v>
      </c>
      <c r="G1523" t="s">
        <v>2594</v>
      </c>
      <c r="H1523" t="s">
        <v>2554</v>
      </c>
      <c r="I1523" t="s">
        <v>2555</v>
      </c>
      <c r="J1523" t="s">
        <v>2561</v>
      </c>
      <c r="K1523">
        <v>16</v>
      </c>
      <c r="L1523" s="13" t="s">
        <v>257</v>
      </c>
    </row>
    <row r="1524" spans="1:12" x14ac:dyDescent="0.25">
      <c r="A1524" t="s">
        <v>4201</v>
      </c>
      <c r="B1524" t="s">
        <v>83</v>
      </c>
      <c r="C1524" t="str">
        <f>_xlfn.XLOOKUP(Table7[[#This Row],[app_id]],Table5[app_id],Table5[app_name],"",0)</f>
        <v>BazaarCloud</v>
      </c>
      <c r="D1524" t="s">
        <v>2329</v>
      </c>
      <c r="E1524" s="1">
        <v>45931</v>
      </c>
      <c r="F1524">
        <v>4</v>
      </c>
      <c r="G1524" t="s">
        <v>2867</v>
      </c>
      <c r="H1524" t="s">
        <v>2564</v>
      </c>
      <c r="I1524" t="s">
        <v>2565</v>
      </c>
      <c r="J1524" t="s">
        <v>2566</v>
      </c>
      <c r="K1524">
        <v>40</v>
      </c>
      <c r="L1524" s="13" t="s">
        <v>257</v>
      </c>
    </row>
    <row r="1525" spans="1:12" x14ac:dyDescent="0.25">
      <c r="A1525" t="s">
        <v>4202</v>
      </c>
      <c r="B1525" t="s">
        <v>85</v>
      </c>
      <c r="C1525" t="str">
        <f>_xlfn.XLOOKUP(Table7[[#This Row],[app_id]],Table5[app_id],Table5[app_name],"",0)</f>
        <v>CartPro</v>
      </c>
      <c r="D1525" t="s">
        <v>2510</v>
      </c>
      <c r="E1525" s="1">
        <v>45492</v>
      </c>
      <c r="F1525">
        <v>5</v>
      </c>
      <c r="G1525" t="s">
        <v>2590</v>
      </c>
      <c r="H1525" t="s">
        <v>2564</v>
      </c>
      <c r="I1525" t="s">
        <v>2555</v>
      </c>
      <c r="J1525" t="s">
        <v>2633</v>
      </c>
      <c r="K1525">
        <v>39</v>
      </c>
      <c r="L1525" s="13" t="s">
        <v>257</v>
      </c>
    </row>
    <row r="1526" spans="1:12" x14ac:dyDescent="0.25">
      <c r="A1526" t="s">
        <v>4203</v>
      </c>
      <c r="B1526" t="s">
        <v>87</v>
      </c>
      <c r="C1526" t="str">
        <f>_xlfn.XLOOKUP(Table7[[#This Row],[app_id]],Table5[app_id],Table5[app_name],"",0)</f>
        <v>RunPlus</v>
      </c>
      <c r="D1526" t="s">
        <v>1120</v>
      </c>
      <c r="E1526" s="1">
        <v>46089</v>
      </c>
      <c r="F1526">
        <v>3</v>
      </c>
      <c r="G1526" t="s">
        <v>2620</v>
      </c>
      <c r="H1526" t="s">
        <v>2554</v>
      </c>
      <c r="I1526" t="s">
        <v>2565</v>
      </c>
      <c r="J1526" t="s">
        <v>2633</v>
      </c>
      <c r="K1526">
        <v>29</v>
      </c>
      <c r="L1526" s="13" t="s">
        <v>257</v>
      </c>
    </row>
    <row r="1527" spans="1:12" x14ac:dyDescent="0.25">
      <c r="A1527" t="s">
        <v>4204</v>
      </c>
      <c r="B1527" t="s">
        <v>90</v>
      </c>
      <c r="C1527" t="str">
        <f>_xlfn.XLOOKUP(Table7[[#This Row],[app_id]],Table5[app_id],Table5[app_name],"",0)</f>
        <v>TrainCloud</v>
      </c>
      <c r="D1527" t="s">
        <v>2367</v>
      </c>
      <c r="E1527" s="1">
        <v>45579</v>
      </c>
      <c r="F1527">
        <v>4</v>
      </c>
      <c r="G1527" t="s">
        <v>2625</v>
      </c>
      <c r="H1527" t="s">
        <v>2564</v>
      </c>
      <c r="I1527" t="s">
        <v>2575</v>
      </c>
      <c r="J1527" t="s">
        <v>2633</v>
      </c>
      <c r="K1527">
        <v>45</v>
      </c>
      <c r="L1527" s="13" t="s">
        <v>257</v>
      </c>
    </row>
    <row r="1528" spans="1:12" x14ac:dyDescent="0.25">
      <c r="A1528" t="s">
        <v>4205</v>
      </c>
      <c r="B1528" t="s">
        <v>92</v>
      </c>
      <c r="C1528" t="str">
        <f>_xlfn.XLOOKUP(Table7[[#This Row],[app_id]],Table5[app_id],Table5[app_name],"",0)</f>
        <v>Trainly</v>
      </c>
      <c r="D1528" t="s">
        <v>2369</v>
      </c>
      <c r="E1528" s="1">
        <v>45635</v>
      </c>
      <c r="F1528">
        <v>3</v>
      </c>
      <c r="G1528" t="s">
        <v>2620</v>
      </c>
      <c r="H1528" t="s">
        <v>2554</v>
      </c>
      <c r="I1528" t="s">
        <v>2578</v>
      </c>
      <c r="J1528" t="s">
        <v>2581</v>
      </c>
      <c r="K1528">
        <v>3</v>
      </c>
      <c r="L1528" s="13" t="s">
        <v>257</v>
      </c>
    </row>
    <row r="1529" spans="1:12" x14ac:dyDescent="0.25">
      <c r="A1529" t="s">
        <v>4206</v>
      </c>
      <c r="B1529" t="s">
        <v>94</v>
      </c>
      <c r="C1529" t="str">
        <f>_xlfn.XLOOKUP(Table7[[#This Row],[app_id]],Table5[app_id],Table5[app_name],"",0)</f>
        <v>LiftCloud</v>
      </c>
      <c r="D1529" t="s">
        <v>2232</v>
      </c>
      <c r="E1529" s="1">
        <v>45464</v>
      </c>
      <c r="F1529">
        <v>4</v>
      </c>
      <c r="G1529" t="s">
        <v>2617</v>
      </c>
      <c r="H1529" t="s">
        <v>2564</v>
      </c>
      <c r="I1529" t="s">
        <v>2565</v>
      </c>
      <c r="J1529" t="s">
        <v>2633</v>
      </c>
      <c r="K1529">
        <v>45</v>
      </c>
      <c r="L1529" s="13" t="s">
        <v>257</v>
      </c>
    </row>
    <row r="1530" spans="1:12" x14ac:dyDescent="0.25">
      <c r="A1530" t="s">
        <v>4207</v>
      </c>
      <c r="B1530" t="s">
        <v>96</v>
      </c>
      <c r="C1530" t="str">
        <f>_xlfn.XLOOKUP(Table7[[#This Row],[app_id]],Table5[app_id],Table5[app_name],"",0)</f>
        <v>MoveNow</v>
      </c>
      <c r="D1530" t="s">
        <v>1763</v>
      </c>
      <c r="E1530" s="1">
        <v>45355</v>
      </c>
      <c r="F1530">
        <v>3</v>
      </c>
      <c r="G1530" t="s">
        <v>2615</v>
      </c>
      <c r="H1530" t="s">
        <v>2554</v>
      </c>
      <c r="I1530" t="s">
        <v>2555</v>
      </c>
      <c r="J1530" t="s">
        <v>2581</v>
      </c>
      <c r="K1530">
        <v>7</v>
      </c>
      <c r="L1530" s="13" t="s">
        <v>257</v>
      </c>
    </row>
    <row r="1531" spans="1:12" x14ac:dyDescent="0.25">
      <c r="A1531" t="s">
        <v>4208</v>
      </c>
      <c r="B1531" t="s">
        <v>98</v>
      </c>
      <c r="C1531" t="str">
        <f>_xlfn.XLOOKUP(Table7[[#This Row],[app_id]],Table5[app_id],Table5[app_name],"",0)</f>
        <v>ActiveMate</v>
      </c>
      <c r="D1531" t="s">
        <v>1796</v>
      </c>
      <c r="E1531" s="1">
        <v>45606</v>
      </c>
      <c r="F1531">
        <v>4</v>
      </c>
      <c r="G1531" t="s">
        <v>2613</v>
      </c>
      <c r="H1531" t="s">
        <v>2564</v>
      </c>
      <c r="I1531" t="s">
        <v>2555</v>
      </c>
      <c r="J1531" t="s">
        <v>2561</v>
      </c>
      <c r="K1531">
        <v>26</v>
      </c>
      <c r="L1531" s="13" t="s">
        <v>258</v>
      </c>
    </row>
    <row r="1532" spans="1:12" x14ac:dyDescent="0.25">
      <c r="A1532" t="s">
        <v>4209</v>
      </c>
      <c r="B1532" t="s">
        <v>100</v>
      </c>
      <c r="C1532" t="str">
        <f>_xlfn.XLOOKUP(Table7[[#This Row],[app_id]],Table5[app_id],Table5[app_name],"",0)</f>
        <v>RunGo</v>
      </c>
      <c r="D1532" t="s">
        <v>1155</v>
      </c>
      <c r="E1532" s="1">
        <v>45926</v>
      </c>
      <c r="F1532">
        <v>4</v>
      </c>
      <c r="G1532" t="s">
        <v>2613</v>
      </c>
      <c r="H1532" t="s">
        <v>2564</v>
      </c>
      <c r="I1532" t="s">
        <v>2575</v>
      </c>
      <c r="J1532" t="s">
        <v>2569</v>
      </c>
      <c r="K1532">
        <v>37</v>
      </c>
      <c r="L1532" s="13" t="s">
        <v>257</v>
      </c>
    </row>
    <row r="1533" spans="1:12" x14ac:dyDescent="0.25">
      <c r="A1533" t="s">
        <v>4210</v>
      </c>
      <c r="B1533" t="s">
        <v>102</v>
      </c>
      <c r="C1533" t="str">
        <f>_xlfn.XLOOKUP(Table7[[#This Row],[app_id]],Table5[app_id],Table5[app_name],"",0)</f>
        <v>LiftPro</v>
      </c>
      <c r="D1533" t="s">
        <v>2231</v>
      </c>
      <c r="E1533" s="1">
        <v>45316</v>
      </c>
      <c r="F1533">
        <v>4</v>
      </c>
      <c r="G1533" t="s">
        <v>2622</v>
      </c>
      <c r="H1533" t="s">
        <v>2564</v>
      </c>
      <c r="I1533" t="s">
        <v>2565</v>
      </c>
      <c r="J1533" t="s">
        <v>2556</v>
      </c>
      <c r="K1533">
        <v>32</v>
      </c>
      <c r="L1533" s="13" t="s">
        <v>257</v>
      </c>
    </row>
    <row r="1534" spans="1:12" x14ac:dyDescent="0.25">
      <c r="A1534" t="s">
        <v>4211</v>
      </c>
      <c r="B1534" t="s">
        <v>104</v>
      </c>
      <c r="C1534" t="str">
        <f>_xlfn.XLOOKUP(Table7[[#This Row],[app_id]],Table5[app_id],Table5[app_name],"",0)</f>
        <v>LiftPro</v>
      </c>
      <c r="D1534" t="s">
        <v>1192</v>
      </c>
      <c r="E1534" s="1">
        <v>45836</v>
      </c>
      <c r="F1534">
        <v>3</v>
      </c>
      <c r="G1534" t="s">
        <v>2615</v>
      </c>
      <c r="H1534" t="s">
        <v>2554</v>
      </c>
      <c r="I1534" t="s">
        <v>2565</v>
      </c>
      <c r="J1534" t="s">
        <v>2633</v>
      </c>
      <c r="K1534">
        <v>19</v>
      </c>
      <c r="L1534" s="13" t="s">
        <v>257</v>
      </c>
    </row>
    <row r="1535" spans="1:12" x14ac:dyDescent="0.25">
      <c r="A1535" t="s">
        <v>4212</v>
      </c>
      <c r="B1535" t="s">
        <v>105</v>
      </c>
      <c r="C1535" t="str">
        <f>_xlfn.XLOOKUP(Table7[[#This Row],[app_id]],Table5[app_id],Table5[app_name],"",0)</f>
        <v>Liftly</v>
      </c>
      <c r="D1535" t="s">
        <v>812</v>
      </c>
      <c r="E1535" s="1">
        <v>45784</v>
      </c>
      <c r="F1535">
        <v>5</v>
      </c>
      <c r="G1535" t="s">
        <v>2625</v>
      </c>
      <c r="H1535" t="s">
        <v>2564</v>
      </c>
      <c r="I1535" t="s">
        <v>2565</v>
      </c>
      <c r="J1535" t="s">
        <v>2569</v>
      </c>
      <c r="K1535">
        <v>17</v>
      </c>
      <c r="L1535" s="13" t="s">
        <v>257</v>
      </c>
    </row>
    <row r="1536" spans="1:12" x14ac:dyDescent="0.25">
      <c r="A1536" t="s">
        <v>4213</v>
      </c>
      <c r="B1536" t="s">
        <v>107</v>
      </c>
      <c r="C1536" t="str">
        <f>_xlfn.XLOOKUP(Table7[[#This Row],[app_id]],Table5[app_id],Table5[app_name],"",0)</f>
        <v>YogaHub</v>
      </c>
      <c r="D1536" t="s">
        <v>1932</v>
      </c>
      <c r="E1536" s="1">
        <v>46121</v>
      </c>
      <c r="F1536">
        <v>4</v>
      </c>
      <c r="G1536" t="s">
        <v>2617</v>
      </c>
      <c r="H1536" t="s">
        <v>2564</v>
      </c>
      <c r="I1536" t="s">
        <v>2575</v>
      </c>
      <c r="J1536" t="s">
        <v>2581</v>
      </c>
      <c r="K1536">
        <v>2</v>
      </c>
      <c r="L1536" s="13" t="s">
        <v>257</v>
      </c>
    </row>
    <row r="1537" spans="1:12" x14ac:dyDescent="0.25">
      <c r="A1537" t="s">
        <v>4214</v>
      </c>
      <c r="B1537" t="s">
        <v>109</v>
      </c>
      <c r="C1537" t="str">
        <f>_xlfn.XLOOKUP(Table7[[#This Row],[app_id]],Table5[app_id],Table5[app_name],"",0)</f>
        <v>MoveGo</v>
      </c>
      <c r="D1537" t="s">
        <v>1541</v>
      </c>
      <c r="E1537" s="1">
        <v>45459</v>
      </c>
      <c r="F1537">
        <v>5</v>
      </c>
      <c r="G1537" t="s">
        <v>2625</v>
      </c>
      <c r="H1537" t="s">
        <v>2564</v>
      </c>
      <c r="I1537" t="s">
        <v>2555</v>
      </c>
      <c r="J1537" t="s">
        <v>2633</v>
      </c>
      <c r="K1537">
        <v>26</v>
      </c>
      <c r="L1537" s="13" t="s">
        <v>257</v>
      </c>
    </row>
    <row r="1538" spans="1:12" x14ac:dyDescent="0.25">
      <c r="A1538" t="s">
        <v>4215</v>
      </c>
      <c r="B1538" t="s">
        <v>111</v>
      </c>
      <c r="C1538" t="str">
        <f>_xlfn.XLOOKUP(Table7[[#This Row],[app_id]],Table5[app_id],Table5[app_name],"",0)</f>
        <v>BrightNow</v>
      </c>
      <c r="D1538" t="s">
        <v>1479</v>
      </c>
      <c r="E1538" s="1">
        <v>45738</v>
      </c>
      <c r="F1538">
        <v>4</v>
      </c>
      <c r="G1538" t="s">
        <v>2640</v>
      </c>
      <c r="H1538" t="s">
        <v>2564</v>
      </c>
      <c r="I1538" t="s">
        <v>2575</v>
      </c>
      <c r="J1538" t="s">
        <v>2633</v>
      </c>
      <c r="K1538">
        <v>48</v>
      </c>
      <c r="L1538" s="13" t="s">
        <v>257</v>
      </c>
    </row>
    <row r="1539" spans="1:12" x14ac:dyDescent="0.25">
      <c r="A1539" t="s">
        <v>4216</v>
      </c>
      <c r="B1539" t="s">
        <v>114</v>
      </c>
      <c r="C1539" t="str">
        <f>_xlfn.XLOOKUP(Table7[[#This Row],[app_id]],Table5[app_id],Table5[app_name],"",0)</f>
        <v>StudyCloud</v>
      </c>
      <c r="D1539" t="s">
        <v>1775</v>
      </c>
      <c r="E1539" s="1">
        <v>45625</v>
      </c>
      <c r="F1539">
        <v>4</v>
      </c>
      <c r="G1539" t="s">
        <v>2640</v>
      </c>
      <c r="H1539" t="s">
        <v>2564</v>
      </c>
      <c r="I1539" t="s">
        <v>2558</v>
      </c>
      <c r="J1539" t="s">
        <v>2556</v>
      </c>
      <c r="K1539">
        <v>40</v>
      </c>
      <c r="L1539" s="13" t="s">
        <v>258</v>
      </c>
    </row>
    <row r="1540" spans="1:12" x14ac:dyDescent="0.25">
      <c r="A1540" t="s">
        <v>4217</v>
      </c>
      <c r="B1540" t="s">
        <v>116</v>
      </c>
      <c r="C1540" t="str">
        <f>_xlfn.XLOOKUP(Table7[[#This Row],[app_id]],Table5[app_id],Table5[app_name],"",0)</f>
        <v>SkillNow</v>
      </c>
      <c r="D1540" t="s">
        <v>598</v>
      </c>
      <c r="E1540" s="1">
        <v>45444</v>
      </c>
      <c r="F1540">
        <v>3</v>
      </c>
      <c r="G1540" t="s">
        <v>2646</v>
      </c>
      <c r="H1540" t="s">
        <v>2554</v>
      </c>
      <c r="I1540" t="s">
        <v>2565</v>
      </c>
      <c r="J1540" t="s">
        <v>2596</v>
      </c>
      <c r="K1540">
        <v>32</v>
      </c>
      <c r="L1540" s="13" t="s">
        <v>257</v>
      </c>
    </row>
    <row r="1541" spans="1:12" x14ac:dyDescent="0.25">
      <c r="A1541" t="s">
        <v>4218</v>
      </c>
      <c r="B1541" t="s">
        <v>118</v>
      </c>
      <c r="C1541" t="str">
        <f>_xlfn.XLOOKUP(Table7[[#This Row],[app_id]],Table5[app_id],Table5[app_name],"",0)</f>
        <v>LearnMate</v>
      </c>
      <c r="D1541" t="s">
        <v>849</v>
      </c>
      <c r="E1541" s="1">
        <v>45783</v>
      </c>
      <c r="F1541">
        <v>3</v>
      </c>
      <c r="G1541" t="s">
        <v>2889</v>
      </c>
      <c r="H1541" t="s">
        <v>2554</v>
      </c>
      <c r="I1541" t="s">
        <v>2584</v>
      </c>
      <c r="J1541" t="s">
        <v>2596</v>
      </c>
      <c r="K1541">
        <v>16</v>
      </c>
      <c r="L1541" s="13" t="s">
        <v>258</v>
      </c>
    </row>
    <row r="1542" spans="1:12" x14ac:dyDescent="0.25">
      <c r="A1542" t="s">
        <v>4219</v>
      </c>
      <c r="B1542" t="s">
        <v>120</v>
      </c>
      <c r="C1542" t="str">
        <f>_xlfn.XLOOKUP(Table7[[#This Row],[app_id]],Table5[app_id],Table5[app_name],"",0)</f>
        <v>QuestNow</v>
      </c>
      <c r="D1542" t="s">
        <v>1352</v>
      </c>
      <c r="E1542" s="1">
        <v>45726</v>
      </c>
      <c r="F1542">
        <v>3</v>
      </c>
      <c r="G1542" t="s">
        <v>2646</v>
      </c>
      <c r="H1542" t="s">
        <v>2554</v>
      </c>
      <c r="I1542" t="s">
        <v>2555</v>
      </c>
      <c r="J1542" t="s">
        <v>2596</v>
      </c>
      <c r="K1542">
        <v>18</v>
      </c>
      <c r="L1542" s="13" t="s">
        <v>257</v>
      </c>
    </row>
    <row r="1543" spans="1:12" x14ac:dyDescent="0.25">
      <c r="A1543" t="s">
        <v>4220</v>
      </c>
      <c r="B1543" t="s">
        <v>122</v>
      </c>
      <c r="C1543" t="str">
        <f>_xlfn.XLOOKUP(Table7[[#This Row],[app_id]],Table5[app_id],Table5[app_name],"",0)</f>
        <v>SkillHub</v>
      </c>
      <c r="D1543" t="s">
        <v>702</v>
      </c>
      <c r="E1543" s="1">
        <v>45824</v>
      </c>
      <c r="F1543">
        <v>3</v>
      </c>
      <c r="G1543" t="s">
        <v>2773</v>
      </c>
      <c r="H1543" t="s">
        <v>2554</v>
      </c>
      <c r="I1543" t="s">
        <v>2558</v>
      </c>
      <c r="J1543" t="s">
        <v>2596</v>
      </c>
      <c r="K1543">
        <v>26</v>
      </c>
      <c r="L1543" s="13" t="s">
        <v>257</v>
      </c>
    </row>
    <row r="1544" spans="1:12" x14ac:dyDescent="0.25">
      <c r="A1544" t="s">
        <v>4221</v>
      </c>
      <c r="B1544" t="s">
        <v>124</v>
      </c>
      <c r="C1544" t="str">
        <f>_xlfn.XLOOKUP(Table7[[#This Row],[app_id]],Table5[app_id],Table5[app_name],"",0)</f>
        <v>TutorCloud</v>
      </c>
      <c r="D1544" t="s">
        <v>1713</v>
      </c>
      <c r="E1544" s="1">
        <v>45577</v>
      </c>
      <c r="F1544">
        <v>4</v>
      </c>
      <c r="G1544" t="s">
        <v>2640</v>
      </c>
      <c r="H1544" t="s">
        <v>2564</v>
      </c>
      <c r="I1544" t="s">
        <v>2565</v>
      </c>
      <c r="J1544" t="s">
        <v>2596</v>
      </c>
      <c r="K1544">
        <v>7</v>
      </c>
      <c r="L1544" s="13" t="s">
        <v>257</v>
      </c>
    </row>
    <row r="1545" spans="1:12" x14ac:dyDescent="0.25">
      <c r="A1545" t="s">
        <v>4222</v>
      </c>
      <c r="B1545" t="s">
        <v>126</v>
      </c>
      <c r="C1545" t="str">
        <f>_xlfn.XLOOKUP(Table7[[#This Row],[app_id]],Table5[app_id],Table5[app_name],"",0)</f>
        <v>SkillOne</v>
      </c>
      <c r="D1545" t="s">
        <v>2501</v>
      </c>
      <c r="E1545" s="1">
        <v>45661</v>
      </c>
      <c r="F1545">
        <v>2</v>
      </c>
      <c r="G1545" t="s">
        <v>2632</v>
      </c>
      <c r="H1545" t="s">
        <v>2587</v>
      </c>
      <c r="I1545" t="s">
        <v>2575</v>
      </c>
      <c r="J1545" t="s">
        <v>2569</v>
      </c>
      <c r="K1545">
        <v>10</v>
      </c>
      <c r="L1545" s="13" t="s">
        <v>258</v>
      </c>
    </row>
    <row r="1546" spans="1:12" x14ac:dyDescent="0.25">
      <c r="A1546" t="s">
        <v>4223</v>
      </c>
      <c r="B1546" t="s">
        <v>128</v>
      </c>
      <c r="C1546" t="str">
        <f>_xlfn.XLOOKUP(Table7[[#This Row],[app_id]],Table5[app_id],Table5[app_name],"",0)</f>
        <v>LearnOne</v>
      </c>
      <c r="D1546" t="s">
        <v>2196</v>
      </c>
      <c r="E1546" s="1">
        <v>45523</v>
      </c>
      <c r="F1546">
        <v>4</v>
      </c>
      <c r="G1546" t="s">
        <v>2780</v>
      </c>
      <c r="H1546" t="s">
        <v>2564</v>
      </c>
      <c r="I1546" t="s">
        <v>2565</v>
      </c>
      <c r="J1546" t="s">
        <v>2561</v>
      </c>
      <c r="K1546">
        <v>28</v>
      </c>
      <c r="L1546" s="13" t="s">
        <v>257</v>
      </c>
    </row>
    <row r="1547" spans="1:12" x14ac:dyDescent="0.25">
      <c r="A1547" t="s">
        <v>4224</v>
      </c>
      <c r="B1547" t="s">
        <v>130</v>
      </c>
      <c r="C1547" t="str">
        <f>_xlfn.XLOOKUP(Table7[[#This Row],[app_id]],Table5[app_id],Table5[app_name],"",0)</f>
        <v>LearnPlus</v>
      </c>
      <c r="D1547" t="s">
        <v>1267</v>
      </c>
      <c r="E1547" s="1">
        <v>45707</v>
      </c>
      <c r="F1547">
        <v>3</v>
      </c>
      <c r="G1547" t="s">
        <v>2889</v>
      </c>
      <c r="H1547" t="s">
        <v>2554</v>
      </c>
      <c r="I1547" t="s">
        <v>2565</v>
      </c>
      <c r="J1547" t="s">
        <v>2581</v>
      </c>
      <c r="K1547">
        <v>17</v>
      </c>
      <c r="L1547" s="13" t="s">
        <v>257</v>
      </c>
    </row>
    <row r="1548" spans="1:12" x14ac:dyDescent="0.25">
      <c r="A1548" t="s">
        <v>4225</v>
      </c>
      <c r="B1548" t="s">
        <v>132</v>
      </c>
      <c r="C1548" t="str">
        <f>_xlfn.XLOOKUP(Table7[[#This Row],[app_id]],Table5[app_id],Table5[app_name],"",0)</f>
        <v>StudyPlus</v>
      </c>
      <c r="D1548" t="s">
        <v>2484</v>
      </c>
      <c r="E1548" s="1">
        <v>45557</v>
      </c>
      <c r="F1548">
        <v>4</v>
      </c>
      <c r="G1548" t="s">
        <v>2780</v>
      </c>
      <c r="H1548" t="s">
        <v>2564</v>
      </c>
      <c r="I1548" t="s">
        <v>2575</v>
      </c>
      <c r="J1548" t="s">
        <v>2559</v>
      </c>
      <c r="K1548">
        <v>30</v>
      </c>
      <c r="L1548" s="13" t="s">
        <v>257</v>
      </c>
    </row>
    <row r="1549" spans="1:12" x14ac:dyDescent="0.25">
      <c r="A1549" t="s">
        <v>4226</v>
      </c>
      <c r="B1549" t="s">
        <v>134</v>
      </c>
      <c r="C1549" t="str">
        <f>_xlfn.XLOOKUP(Table7[[#This Row],[app_id]],Table5[app_id],Table5[app_name],"",0)</f>
        <v>StudyX</v>
      </c>
      <c r="D1549" t="s">
        <v>2498</v>
      </c>
      <c r="E1549" s="1">
        <v>45650</v>
      </c>
      <c r="F1549">
        <v>5</v>
      </c>
      <c r="G1549" t="s">
        <v>2635</v>
      </c>
      <c r="H1549" t="s">
        <v>2564</v>
      </c>
      <c r="I1549" t="s">
        <v>2571</v>
      </c>
      <c r="J1549" t="s">
        <v>2600</v>
      </c>
      <c r="K1549">
        <v>38</v>
      </c>
      <c r="L1549" s="13" t="s">
        <v>257</v>
      </c>
    </row>
    <row r="1550" spans="1:12" x14ac:dyDescent="0.25">
      <c r="A1550" t="s">
        <v>4227</v>
      </c>
      <c r="B1550" t="s">
        <v>136</v>
      </c>
      <c r="C1550" t="str">
        <f>_xlfn.XLOOKUP(Table7[[#This Row],[app_id]],Table5[app_id],Table5[app_name],"",0)</f>
        <v>PlayPlus</v>
      </c>
      <c r="D1550" t="s">
        <v>2050</v>
      </c>
      <c r="E1550" s="1">
        <v>45608</v>
      </c>
      <c r="F1550">
        <v>3</v>
      </c>
      <c r="G1550" t="s">
        <v>2791</v>
      </c>
      <c r="H1550" t="s">
        <v>2554</v>
      </c>
      <c r="I1550" t="s">
        <v>2565</v>
      </c>
      <c r="J1550" t="s">
        <v>2561</v>
      </c>
      <c r="K1550">
        <v>20</v>
      </c>
      <c r="L1550" s="13" t="s">
        <v>257</v>
      </c>
    </row>
    <row r="1551" spans="1:12" x14ac:dyDescent="0.25">
      <c r="A1551" t="s">
        <v>4228</v>
      </c>
      <c r="B1551" t="s">
        <v>139</v>
      </c>
      <c r="C1551" t="str">
        <f>_xlfn.XLOOKUP(Table7[[#This Row],[app_id]],Table5[app_id],Table5[app_name],"",0)</f>
        <v>ShowMate</v>
      </c>
      <c r="D1551" t="s">
        <v>798</v>
      </c>
      <c r="E1551" s="1">
        <v>45784</v>
      </c>
      <c r="F1551">
        <v>4</v>
      </c>
      <c r="G1551" t="s">
        <v>2650</v>
      </c>
      <c r="H1551" t="s">
        <v>2564</v>
      </c>
      <c r="I1551" t="s">
        <v>2558</v>
      </c>
      <c r="J1551" t="s">
        <v>2561</v>
      </c>
      <c r="K1551">
        <v>12</v>
      </c>
      <c r="L1551" s="13" t="s">
        <v>257</v>
      </c>
    </row>
    <row r="1552" spans="1:12" x14ac:dyDescent="0.25">
      <c r="A1552" t="s">
        <v>4229</v>
      </c>
      <c r="B1552" t="s">
        <v>141</v>
      </c>
      <c r="C1552" t="str">
        <f>_xlfn.XLOOKUP(Table7[[#This Row],[app_id]],Table5[app_id],Table5[app_name],"",0)</f>
        <v>VibeX</v>
      </c>
      <c r="D1552" t="s">
        <v>782</v>
      </c>
      <c r="E1552" s="1">
        <v>46029</v>
      </c>
      <c r="F1552">
        <v>3</v>
      </c>
      <c r="G1552" t="s">
        <v>2791</v>
      </c>
      <c r="H1552" t="s">
        <v>2554</v>
      </c>
      <c r="I1552" t="s">
        <v>2584</v>
      </c>
      <c r="J1552" t="s">
        <v>2600</v>
      </c>
      <c r="K1552">
        <v>2</v>
      </c>
      <c r="L1552" s="13" t="s">
        <v>257</v>
      </c>
    </row>
    <row r="1553" spans="1:12" x14ac:dyDescent="0.25">
      <c r="A1553" t="s">
        <v>4230</v>
      </c>
      <c r="B1553" t="s">
        <v>143</v>
      </c>
      <c r="C1553" t="str">
        <f>_xlfn.XLOOKUP(Table7[[#This Row],[app_id]],Table5[app_id],Table5[app_name],"",0)</f>
        <v>BuzzNow</v>
      </c>
      <c r="D1553" t="s">
        <v>2498</v>
      </c>
      <c r="E1553" s="1">
        <v>45786</v>
      </c>
      <c r="F1553">
        <v>4</v>
      </c>
      <c r="G1553" t="s">
        <v>2652</v>
      </c>
      <c r="H1553" t="s">
        <v>2564</v>
      </c>
      <c r="I1553" t="s">
        <v>2558</v>
      </c>
      <c r="J1553" t="s">
        <v>2556</v>
      </c>
      <c r="K1553">
        <v>48</v>
      </c>
      <c r="L1553" s="13" t="s">
        <v>257</v>
      </c>
    </row>
    <row r="1554" spans="1:12" x14ac:dyDescent="0.25">
      <c r="A1554" t="s">
        <v>4231</v>
      </c>
      <c r="B1554" t="s">
        <v>145</v>
      </c>
      <c r="C1554" t="str">
        <f>_xlfn.XLOOKUP(Table7[[#This Row],[app_id]],Table5[app_id],Table5[app_name],"",0)</f>
        <v>StreamPlus</v>
      </c>
      <c r="D1554" t="s">
        <v>1610</v>
      </c>
      <c r="E1554" s="1">
        <v>45516</v>
      </c>
      <c r="F1554">
        <v>4</v>
      </c>
      <c r="G1554" t="s">
        <v>2789</v>
      </c>
      <c r="H1554" t="s">
        <v>2564</v>
      </c>
      <c r="I1554" t="s">
        <v>2565</v>
      </c>
      <c r="J1554" t="s">
        <v>2600</v>
      </c>
      <c r="K1554">
        <v>18</v>
      </c>
      <c r="L1554" s="13" t="s">
        <v>257</v>
      </c>
    </row>
    <row r="1555" spans="1:12" x14ac:dyDescent="0.25">
      <c r="A1555" t="s">
        <v>4232</v>
      </c>
      <c r="B1555" t="s">
        <v>147</v>
      </c>
      <c r="C1555" t="str">
        <f>_xlfn.XLOOKUP(Table7[[#This Row],[app_id]],Table5[app_id],Table5[app_name],"",0)</f>
        <v>Showly</v>
      </c>
      <c r="D1555" t="s">
        <v>2282</v>
      </c>
      <c r="E1555" s="1">
        <v>46045</v>
      </c>
      <c r="F1555">
        <v>3</v>
      </c>
      <c r="G1555" t="s">
        <v>2793</v>
      </c>
      <c r="H1555" t="s">
        <v>2554</v>
      </c>
      <c r="I1555" t="s">
        <v>2571</v>
      </c>
      <c r="J1555" t="s">
        <v>2596</v>
      </c>
      <c r="K1555">
        <v>25</v>
      </c>
      <c r="L1555" s="13" t="s">
        <v>258</v>
      </c>
    </row>
    <row r="1556" spans="1:12" x14ac:dyDescent="0.25">
      <c r="A1556" t="s">
        <v>4233</v>
      </c>
      <c r="B1556" t="s">
        <v>149</v>
      </c>
      <c r="C1556" t="str">
        <f>_xlfn.XLOOKUP(Table7[[#This Row],[app_id]],Table5[app_id],Table5[app_name],"",0)</f>
        <v>BuzzOne</v>
      </c>
      <c r="D1556" t="s">
        <v>1131</v>
      </c>
      <c r="E1556" s="1">
        <v>45845</v>
      </c>
      <c r="F1556">
        <v>3</v>
      </c>
      <c r="G1556" t="s">
        <v>2655</v>
      </c>
      <c r="H1556" t="s">
        <v>2554</v>
      </c>
      <c r="I1556" t="s">
        <v>2575</v>
      </c>
      <c r="J1556" t="s">
        <v>2596</v>
      </c>
      <c r="K1556">
        <v>45</v>
      </c>
      <c r="L1556" s="13" t="s">
        <v>257</v>
      </c>
    </row>
    <row r="1557" spans="1:12" x14ac:dyDescent="0.25">
      <c r="A1557" t="s">
        <v>4234</v>
      </c>
      <c r="B1557" t="s">
        <v>151</v>
      </c>
      <c r="C1557" t="str">
        <f>_xlfn.XLOOKUP(Table7[[#This Row],[app_id]],Table5[app_id],Table5[app_name],"",0)</f>
        <v>PlayHub</v>
      </c>
      <c r="D1557" t="s">
        <v>1814</v>
      </c>
      <c r="E1557" s="1">
        <v>45590</v>
      </c>
      <c r="F1557">
        <v>3</v>
      </c>
      <c r="G1557" t="s">
        <v>2793</v>
      </c>
      <c r="H1557" t="s">
        <v>2554</v>
      </c>
      <c r="I1557" t="s">
        <v>2588</v>
      </c>
      <c r="J1557" t="s">
        <v>2603</v>
      </c>
      <c r="K1557">
        <v>12</v>
      </c>
      <c r="L1557" s="13" t="s">
        <v>257</v>
      </c>
    </row>
    <row r="1558" spans="1:12" x14ac:dyDescent="0.25">
      <c r="A1558" t="s">
        <v>4235</v>
      </c>
      <c r="B1558" t="s">
        <v>153</v>
      </c>
      <c r="C1558" t="str">
        <f>_xlfn.XLOOKUP(Table7[[#This Row],[app_id]],Table5[app_id],Table5[app_name],"",0)</f>
        <v>CinemaGo</v>
      </c>
      <c r="D1558" t="s">
        <v>2231</v>
      </c>
      <c r="E1558" s="1">
        <v>45542</v>
      </c>
      <c r="F1558">
        <v>4</v>
      </c>
      <c r="G1558" t="s">
        <v>2789</v>
      </c>
      <c r="H1558" t="s">
        <v>2564</v>
      </c>
      <c r="I1558" t="s">
        <v>2558</v>
      </c>
      <c r="J1558" t="s">
        <v>2561</v>
      </c>
      <c r="K1558">
        <v>32</v>
      </c>
      <c r="L1558" s="13" t="s">
        <v>257</v>
      </c>
    </row>
    <row r="1559" spans="1:12" x14ac:dyDescent="0.25">
      <c r="A1559" t="s">
        <v>4236</v>
      </c>
      <c r="B1559" t="s">
        <v>155</v>
      </c>
      <c r="C1559" t="str">
        <f>_xlfn.XLOOKUP(Table7[[#This Row],[app_id]],Table5[app_id],Table5[app_name],"",0)</f>
        <v>LaughX</v>
      </c>
      <c r="D1559" t="s">
        <v>2360</v>
      </c>
      <c r="E1559" s="1">
        <v>45964</v>
      </c>
      <c r="F1559">
        <v>4</v>
      </c>
      <c r="G1559" t="s">
        <v>2789</v>
      </c>
      <c r="H1559" t="s">
        <v>2564</v>
      </c>
      <c r="I1559" t="s">
        <v>2555</v>
      </c>
      <c r="J1559" t="s">
        <v>2581</v>
      </c>
      <c r="K1559">
        <v>26</v>
      </c>
      <c r="L1559" s="13" t="s">
        <v>257</v>
      </c>
    </row>
    <row r="1560" spans="1:12" x14ac:dyDescent="0.25">
      <c r="A1560" t="s">
        <v>4237</v>
      </c>
      <c r="B1560" t="s">
        <v>157</v>
      </c>
      <c r="C1560" t="str">
        <f>_xlfn.XLOOKUP(Table7[[#This Row],[app_id]],Table5[app_id],Table5[app_name],"",0)</f>
        <v>CinemaHub</v>
      </c>
      <c r="D1560" t="s">
        <v>712</v>
      </c>
      <c r="E1560" s="1">
        <v>45465</v>
      </c>
      <c r="F1560">
        <v>3</v>
      </c>
      <c r="G1560" t="s">
        <v>2793</v>
      </c>
      <c r="H1560" t="s">
        <v>2554</v>
      </c>
      <c r="I1560" t="s">
        <v>2588</v>
      </c>
      <c r="J1560" t="s">
        <v>2581</v>
      </c>
      <c r="K1560">
        <v>32</v>
      </c>
      <c r="L1560" s="13" t="s">
        <v>257</v>
      </c>
    </row>
    <row r="1561" spans="1:12" x14ac:dyDescent="0.25">
      <c r="A1561" t="s">
        <v>4238</v>
      </c>
      <c r="B1561" t="s">
        <v>159</v>
      </c>
      <c r="C1561" t="str">
        <f>_xlfn.XLOOKUP(Table7[[#This Row],[app_id]],Table5[app_id],Table5[app_name],"",0)</f>
        <v>ShowPro</v>
      </c>
      <c r="D1561" t="s">
        <v>1415</v>
      </c>
      <c r="E1561" s="1">
        <v>45762</v>
      </c>
      <c r="F1561">
        <v>4</v>
      </c>
      <c r="G1561" t="s">
        <v>2650</v>
      </c>
      <c r="H1561" t="s">
        <v>2564</v>
      </c>
      <c r="I1561" t="s">
        <v>2565</v>
      </c>
      <c r="J1561" t="s">
        <v>2569</v>
      </c>
      <c r="K1561">
        <v>15</v>
      </c>
      <c r="L1561" s="13" t="s">
        <v>257</v>
      </c>
    </row>
    <row r="1562" spans="1:12" x14ac:dyDescent="0.25">
      <c r="A1562" t="s">
        <v>4239</v>
      </c>
      <c r="B1562" t="s">
        <v>161</v>
      </c>
      <c r="C1562" t="str">
        <f>_xlfn.XLOOKUP(Table7[[#This Row],[app_id]],Table5[app_id],Table5[app_name],"",0)</f>
        <v>FoodPlus</v>
      </c>
      <c r="D1562" t="s">
        <v>1920</v>
      </c>
      <c r="E1562" s="1">
        <v>45884</v>
      </c>
      <c r="F1562">
        <v>3</v>
      </c>
      <c r="G1562" t="s">
        <v>2668</v>
      </c>
      <c r="H1562" t="s">
        <v>2554</v>
      </c>
      <c r="I1562" t="s">
        <v>2578</v>
      </c>
      <c r="J1562" t="s">
        <v>2633</v>
      </c>
      <c r="K1562">
        <v>7</v>
      </c>
      <c r="L1562" s="13" t="s">
        <v>257</v>
      </c>
    </row>
    <row r="1563" spans="1:12" x14ac:dyDescent="0.25">
      <c r="A1563" t="s">
        <v>4240</v>
      </c>
      <c r="B1563" t="s">
        <v>164</v>
      </c>
      <c r="C1563" t="str">
        <f>_xlfn.XLOOKUP(Table7[[#This Row],[app_id]],Table5[app_id],Table5[app_name],"",0)</f>
        <v>BiteGo</v>
      </c>
      <c r="D1563" t="s">
        <v>1330</v>
      </c>
      <c r="E1563" s="1">
        <v>45346</v>
      </c>
      <c r="F1563">
        <v>2</v>
      </c>
      <c r="G1563" t="s">
        <v>3543</v>
      </c>
      <c r="H1563" t="s">
        <v>2587</v>
      </c>
      <c r="I1563" t="s">
        <v>2584</v>
      </c>
      <c r="J1563" t="s">
        <v>2581</v>
      </c>
      <c r="K1563">
        <v>93</v>
      </c>
      <c r="L1563" s="13" t="s">
        <v>258</v>
      </c>
    </row>
    <row r="1564" spans="1:12" x14ac:dyDescent="0.25">
      <c r="A1564" t="s">
        <v>4241</v>
      </c>
      <c r="B1564" t="s">
        <v>166</v>
      </c>
      <c r="C1564" t="str">
        <f>_xlfn.XLOOKUP(Table7[[#This Row],[app_id]],Table5[app_id],Table5[app_name],"",0)</f>
        <v>OrderCloud</v>
      </c>
      <c r="D1564" t="s">
        <v>1363</v>
      </c>
      <c r="E1564" s="1">
        <v>46104</v>
      </c>
      <c r="F1564">
        <v>2</v>
      </c>
      <c r="G1564" t="s">
        <v>2917</v>
      </c>
      <c r="H1564" t="s">
        <v>2587</v>
      </c>
      <c r="I1564" t="s">
        <v>2571</v>
      </c>
      <c r="J1564" t="s">
        <v>2600</v>
      </c>
      <c r="K1564">
        <v>22</v>
      </c>
      <c r="L1564" s="13" t="s">
        <v>257</v>
      </c>
    </row>
    <row r="1565" spans="1:12" x14ac:dyDescent="0.25">
      <c r="A1565" t="s">
        <v>4242</v>
      </c>
      <c r="B1565" t="s">
        <v>168</v>
      </c>
      <c r="C1565" t="str">
        <f>_xlfn.XLOOKUP(Table7[[#This Row],[app_id]],Table5[app_id],Table5[app_name],"",0)</f>
        <v>DinePlus</v>
      </c>
      <c r="D1565" t="s">
        <v>1930</v>
      </c>
      <c r="E1565" s="1">
        <v>45636</v>
      </c>
      <c r="F1565">
        <v>5</v>
      </c>
      <c r="G1565" t="s">
        <v>2674</v>
      </c>
      <c r="H1565" t="s">
        <v>2564</v>
      </c>
      <c r="I1565" t="s">
        <v>2555</v>
      </c>
      <c r="J1565" t="s">
        <v>2566</v>
      </c>
      <c r="K1565">
        <v>8</v>
      </c>
      <c r="L1565" s="13" t="s">
        <v>257</v>
      </c>
    </row>
    <row r="1566" spans="1:12" x14ac:dyDescent="0.25">
      <c r="A1566" t="s">
        <v>4243</v>
      </c>
      <c r="B1566" t="s">
        <v>170</v>
      </c>
      <c r="C1566" t="str">
        <f>_xlfn.XLOOKUP(Table7[[#This Row],[app_id]],Table5[app_id],Table5[app_name],"",0)</f>
        <v>SnackX</v>
      </c>
      <c r="D1566" t="s">
        <v>1343</v>
      </c>
      <c r="E1566" s="1">
        <v>45800</v>
      </c>
      <c r="F1566">
        <v>3</v>
      </c>
      <c r="G1566" t="s">
        <v>2672</v>
      </c>
      <c r="H1566" t="s">
        <v>2554</v>
      </c>
      <c r="I1566" t="s">
        <v>2565</v>
      </c>
      <c r="J1566" t="s">
        <v>2566</v>
      </c>
      <c r="K1566">
        <v>22</v>
      </c>
      <c r="L1566" s="13" t="s">
        <v>258</v>
      </c>
    </row>
    <row r="1567" spans="1:12" x14ac:dyDescent="0.25">
      <c r="A1567" t="s">
        <v>4244</v>
      </c>
      <c r="B1567" t="s">
        <v>172</v>
      </c>
      <c r="C1567" t="str">
        <f>_xlfn.XLOOKUP(Table7[[#This Row],[app_id]],Table5[app_id],Table5[app_name],"",0)</f>
        <v>FoodOne</v>
      </c>
      <c r="D1567" t="s">
        <v>1146</v>
      </c>
      <c r="E1567" s="1">
        <v>46027</v>
      </c>
      <c r="F1567">
        <v>5</v>
      </c>
      <c r="G1567" t="s">
        <v>2676</v>
      </c>
      <c r="H1567" t="s">
        <v>2564</v>
      </c>
      <c r="I1567" t="s">
        <v>2565</v>
      </c>
      <c r="J1567" t="s">
        <v>2581</v>
      </c>
      <c r="K1567">
        <v>31</v>
      </c>
      <c r="L1567" s="13" t="s">
        <v>257</v>
      </c>
    </row>
    <row r="1568" spans="1:12" x14ac:dyDescent="0.25">
      <c r="A1568" t="s">
        <v>4245</v>
      </c>
      <c r="B1568" t="s">
        <v>174</v>
      </c>
      <c r="C1568" t="str">
        <f>_xlfn.XLOOKUP(Table7[[#This Row],[app_id]],Table5[app_id],Table5[app_name],"",0)</f>
        <v>MealMate</v>
      </c>
      <c r="D1568" t="s">
        <v>1576</v>
      </c>
      <c r="E1568" s="1">
        <v>45487</v>
      </c>
      <c r="F1568">
        <v>4</v>
      </c>
      <c r="G1568" t="s">
        <v>2679</v>
      </c>
      <c r="H1568" t="s">
        <v>2564</v>
      </c>
      <c r="I1568" t="s">
        <v>2565</v>
      </c>
      <c r="J1568" t="s">
        <v>2603</v>
      </c>
      <c r="K1568">
        <v>10</v>
      </c>
      <c r="L1568" s="13" t="s">
        <v>258</v>
      </c>
    </row>
    <row r="1569" spans="1:12" x14ac:dyDescent="0.25">
      <c r="A1569" t="s">
        <v>4246</v>
      </c>
      <c r="B1569" t="s">
        <v>176</v>
      </c>
      <c r="C1569" t="str">
        <f>_xlfn.XLOOKUP(Table7[[#This Row],[app_id]],Table5[app_id],Table5[app_name],"",0)</f>
        <v>SnackHub</v>
      </c>
      <c r="D1569" t="s">
        <v>1639</v>
      </c>
      <c r="E1569" s="1">
        <v>45727</v>
      </c>
      <c r="F1569">
        <v>5</v>
      </c>
      <c r="G1569" t="s">
        <v>2676</v>
      </c>
      <c r="H1569" t="s">
        <v>2564</v>
      </c>
      <c r="I1569" t="s">
        <v>2558</v>
      </c>
      <c r="J1569" t="s">
        <v>2596</v>
      </c>
      <c r="K1569">
        <v>1</v>
      </c>
      <c r="L1569" s="13" t="s">
        <v>257</v>
      </c>
    </row>
    <row r="1570" spans="1:12" x14ac:dyDescent="0.25">
      <c r="A1570" t="s">
        <v>4247</v>
      </c>
      <c r="B1570" t="s">
        <v>178</v>
      </c>
      <c r="C1570" t="str">
        <f>_xlfn.XLOOKUP(Table7[[#This Row],[app_id]],Table5[app_id],Table5[app_name],"",0)</f>
        <v>BiteCloud</v>
      </c>
      <c r="D1570" t="s">
        <v>1821</v>
      </c>
      <c r="E1570" s="1">
        <v>45304</v>
      </c>
      <c r="F1570">
        <v>4</v>
      </c>
      <c r="G1570" t="s">
        <v>2806</v>
      </c>
      <c r="H1570" t="s">
        <v>2564</v>
      </c>
      <c r="I1570" t="s">
        <v>2555</v>
      </c>
      <c r="J1570" t="s">
        <v>2561</v>
      </c>
      <c r="K1570">
        <v>43</v>
      </c>
      <c r="L1570" s="13" t="s">
        <v>257</v>
      </c>
    </row>
    <row r="1571" spans="1:12" x14ac:dyDescent="0.25">
      <c r="A1571" t="s">
        <v>4248</v>
      </c>
      <c r="B1571" t="s">
        <v>180</v>
      </c>
      <c r="C1571" t="str">
        <f>_xlfn.XLOOKUP(Table7[[#This Row],[app_id]],Table5[app_id],Table5[app_name],"",0)</f>
        <v>PlatePlus</v>
      </c>
      <c r="D1571" t="s">
        <v>1420</v>
      </c>
      <c r="E1571" s="1">
        <v>45928</v>
      </c>
      <c r="F1571">
        <v>4</v>
      </c>
      <c r="G1571" t="s">
        <v>2679</v>
      </c>
      <c r="H1571" t="s">
        <v>2564</v>
      </c>
      <c r="I1571" t="s">
        <v>2565</v>
      </c>
      <c r="J1571" t="s">
        <v>2566</v>
      </c>
      <c r="K1571">
        <v>30</v>
      </c>
      <c r="L1571" s="13" t="s">
        <v>258</v>
      </c>
    </row>
    <row r="1572" spans="1:12" x14ac:dyDescent="0.25">
      <c r="A1572" t="s">
        <v>4249</v>
      </c>
      <c r="B1572" t="s">
        <v>182</v>
      </c>
      <c r="C1572" t="str">
        <f>_xlfn.XLOOKUP(Table7[[#This Row],[app_id]],Table5[app_id],Table5[app_name],"",0)</f>
        <v>VoyageGo</v>
      </c>
      <c r="D1572" t="s">
        <v>2502</v>
      </c>
      <c r="E1572" s="1">
        <v>45492</v>
      </c>
      <c r="F1572">
        <v>4</v>
      </c>
      <c r="G1572" t="s">
        <v>2929</v>
      </c>
      <c r="H1572" t="s">
        <v>2564</v>
      </c>
      <c r="I1572" t="s">
        <v>2555</v>
      </c>
      <c r="J1572" t="s">
        <v>2566</v>
      </c>
      <c r="K1572">
        <v>6</v>
      </c>
      <c r="L1572" s="13" t="s">
        <v>257</v>
      </c>
    </row>
    <row r="1573" spans="1:12" x14ac:dyDescent="0.25">
      <c r="A1573" t="s">
        <v>4250</v>
      </c>
      <c r="B1573" t="s">
        <v>185</v>
      </c>
      <c r="C1573" t="str">
        <f>_xlfn.XLOOKUP(Table7[[#This Row],[app_id]],Table5[app_id],Table5[app_name],"",0)</f>
        <v>TripOne</v>
      </c>
      <c r="D1573" t="s">
        <v>2482</v>
      </c>
      <c r="E1573" s="1">
        <v>46035</v>
      </c>
      <c r="F1573">
        <v>3</v>
      </c>
      <c r="G1573" t="s">
        <v>2695</v>
      </c>
      <c r="H1573" t="s">
        <v>2554</v>
      </c>
      <c r="I1573" t="s">
        <v>2578</v>
      </c>
      <c r="J1573" t="s">
        <v>2559</v>
      </c>
      <c r="K1573">
        <v>13</v>
      </c>
      <c r="L1573" s="13" t="s">
        <v>257</v>
      </c>
    </row>
    <row r="1574" spans="1:12" x14ac:dyDescent="0.25">
      <c r="A1574" t="s">
        <v>4251</v>
      </c>
      <c r="B1574" t="s">
        <v>187</v>
      </c>
      <c r="C1574" t="str">
        <f>_xlfn.XLOOKUP(Table7[[#This Row],[app_id]],Table5[app_id],Table5[app_name],"",0)</f>
        <v>FlyGo</v>
      </c>
      <c r="D1574" t="s">
        <v>1333</v>
      </c>
      <c r="E1574" s="1">
        <v>46018</v>
      </c>
      <c r="F1574">
        <v>4</v>
      </c>
      <c r="G1574" t="s">
        <v>2687</v>
      </c>
      <c r="H1574" t="s">
        <v>2564</v>
      </c>
      <c r="I1574" t="s">
        <v>2571</v>
      </c>
      <c r="J1574" t="s">
        <v>2559</v>
      </c>
      <c r="K1574">
        <v>22</v>
      </c>
      <c r="L1574" s="13" t="s">
        <v>258</v>
      </c>
    </row>
    <row r="1575" spans="1:12" x14ac:dyDescent="0.25">
      <c r="A1575" t="s">
        <v>4252</v>
      </c>
      <c r="B1575" t="s">
        <v>189</v>
      </c>
      <c r="C1575" t="str">
        <f>_xlfn.XLOOKUP(Table7[[#This Row],[app_id]],Table5[app_id],Table5[app_name],"",0)</f>
        <v>MapX</v>
      </c>
      <c r="D1575" t="s">
        <v>1418</v>
      </c>
      <c r="E1575" s="1">
        <v>45848</v>
      </c>
      <c r="F1575">
        <v>4</v>
      </c>
      <c r="G1575" t="s">
        <v>2683</v>
      </c>
      <c r="H1575" t="s">
        <v>2564</v>
      </c>
      <c r="I1575" t="s">
        <v>2575</v>
      </c>
      <c r="J1575" t="s">
        <v>2600</v>
      </c>
      <c r="K1575">
        <v>6</v>
      </c>
      <c r="L1575" s="13" t="s">
        <v>257</v>
      </c>
    </row>
    <row r="1576" spans="1:12" x14ac:dyDescent="0.25">
      <c r="A1576" t="s">
        <v>4253</v>
      </c>
      <c r="B1576" t="s">
        <v>191</v>
      </c>
      <c r="C1576" t="str">
        <f>_xlfn.XLOOKUP(Table7[[#This Row],[app_id]],Table5[app_id],Table5[app_name],"",0)</f>
        <v>StayX</v>
      </c>
      <c r="D1576" t="s">
        <v>1946</v>
      </c>
      <c r="E1576" s="1">
        <v>45358</v>
      </c>
      <c r="F1576">
        <v>4</v>
      </c>
      <c r="G1576" t="s">
        <v>2687</v>
      </c>
      <c r="H1576" t="s">
        <v>2564</v>
      </c>
      <c r="I1576" t="s">
        <v>2571</v>
      </c>
      <c r="J1576" t="s">
        <v>2569</v>
      </c>
      <c r="K1576">
        <v>4</v>
      </c>
      <c r="L1576" s="13" t="s">
        <v>257</v>
      </c>
    </row>
    <row r="1577" spans="1:12" x14ac:dyDescent="0.25">
      <c r="A1577" t="s">
        <v>4254</v>
      </c>
      <c r="B1577" t="s">
        <v>193</v>
      </c>
      <c r="C1577" t="str">
        <f>_xlfn.XLOOKUP(Table7[[#This Row],[app_id]],Table5[app_id],Table5[app_name],"",0)</f>
        <v>GoNow</v>
      </c>
      <c r="D1577" t="s">
        <v>2053</v>
      </c>
      <c r="E1577" s="1">
        <v>46037</v>
      </c>
      <c r="F1577">
        <v>3</v>
      </c>
      <c r="G1577" t="s">
        <v>2690</v>
      </c>
      <c r="H1577" t="s">
        <v>2554</v>
      </c>
      <c r="I1577" t="s">
        <v>2571</v>
      </c>
      <c r="J1577" t="s">
        <v>2600</v>
      </c>
      <c r="K1577">
        <v>24</v>
      </c>
      <c r="L1577" s="13" t="s">
        <v>257</v>
      </c>
    </row>
    <row r="1578" spans="1:12" x14ac:dyDescent="0.25">
      <c r="A1578" t="s">
        <v>4255</v>
      </c>
      <c r="B1578" t="s">
        <v>195</v>
      </c>
      <c r="C1578" t="str">
        <f>_xlfn.XLOOKUP(Table7[[#This Row],[app_id]],Table5[app_id],Table5[app_name],"",0)</f>
        <v>RouteGo</v>
      </c>
      <c r="D1578" t="s">
        <v>2512</v>
      </c>
      <c r="E1578" s="1">
        <v>46070</v>
      </c>
      <c r="F1578">
        <v>3</v>
      </c>
      <c r="G1578" t="s">
        <v>2690</v>
      </c>
      <c r="H1578" t="s">
        <v>2554</v>
      </c>
      <c r="I1578" t="s">
        <v>2575</v>
      </c>
      <c r="J1578" t="s">
        <v>2603</v>
      </c>
      <c r="K1578">
        <v>41</v>
      </c>
      <c r="L1578" s="13" t="s">
        <v>257</v>
      </c>
    </row>
    <row r="1579" spans="1:12" x14ac:dyDescent="0.25">
      <c r="A1579" t="s">
        <v>4256</v>
      </c>
      <c r="B1579" t="s">
        <v>197</v>
      </c>
      <c r="C1579" t="str">
        <f>_xlfn.XLOOKUP(Table7[[#This Row],[app_id]],Table5[app_id],Table5[app_name],"",0)</f>
        <v>TripGo</v>
      </c>
      <c r="D1579" t="s">
        <v>2063</v>
      </c>
      <c r="E1579" s="1">
        <v>46071</v>
      </c>
      <c r="F1579">
        <v>3</v>
      </c>
      <c r="G1579" t="s">
        <v>2815</v>
      </c>
      <c r="H1579" t="s">
        <v>2554</v>
      </c>
      <c r="I1579" t="s">
        <v>2578</v>
      </c>
      <c r="J1579" t="s">
        <v>2633</v>
      </c>
      <c r="K1579">
        <v>30</v>
      </c>
      <c r="L1579" s="13" t="s">
        <v>258</v>
      </c>
    </row>
    <row r="1580" spans="1:12" x14ac:dyDescent="0.25">
      <c r="A1580" t="s">
        <v>4257</v>
      </c>
      <c r="B1580" t="s">
        <v>199</v>
      </c>
      <c r="C1580" t="str">
        <f>_xlfn.XLOOKUP(Table7[[#This Row],[app_id]],Table5[app_id],Table5[app_name],"",0)</f>
        <v>Flyly</v>
      </c>
      <c r="D1580" t="s">
        <v>2370</v>
      </c>
      <c r="E1580" s="1">
        <v>45929</v>
      </c>
      <c r="F1580">
        <v>2</v>
      </c>
      <c r="G1580" t="s">
        <v>3148</v>
      </c>
      <c r="H1580" t="s">
        <v>2587</v>
      </c>
      <c r="I1580" t="s">
        <v>2555</v>
      </c>
      <c r="J1580" t="s">
        <v>2600</v>
      </c>
      <c r="K1580">
        <v>84</v>
      </c>
      <c r="L1580" s="13" t="s">
        <v>257</v>
      </c>
    </row>
    <row r="1581" spans="1:12" x14ac:dyDescent="0.25">
      <c r="A1581" t="s">
        <v>4258</v>
      </c>
      <c r="B1581" t="s">
        <v>201</v>
      </c>
      <c r="C1581" t="str">
        <f>_xlfn.XLOOKUP(Table7[[#This Row],[app_id]],Table5[app_id],Table5[app_name],"",0)</f>
        <v>TripPro</v>
      </c>
      <c r="D1581" t="s">
        <v>1604</v>
      </c>
      <c r="E1581" s="1">
        <v>45546</v>
      </c>
      <c r="F1581">
        <v>5</v>
      </c>
      <c r="G1581" t="s">
        <v>2687</v>
      </c>
      <c r="H1581" t="s">
        <v>2564</v>
      </c>
      <c r="I1581" t="s">
        <v>2555</v>
      </c>
      <c r="J1581" t="s">
        <v>2566</v>
      </c>
      <c r="K1581">
        <v>25</v>
      </c>
      <c r="L1581" s="13" t="s">
        <v>257</v>
      </c>
    </row>
    <row r="1582" spans="1:12" x14ac:dyDescent="0.25">
      <c r="A1582" t="s">
        <v>4259</v>
      </c>
      <c r="B1582" t="s">
        <v>203</v>
      </c>
      <c r="C1582" t="str">
        <f>_xlfn.XLOOKUP(Table7[[#This Row],[app_id]],Table5[app_id],Table5[app_name],"",0)</f>
        <v>Focusly</v>
      </c>
      <c r="D1582" t="s">
        <v>649</v>
      </c>
      <c r="E1582" s="1">
        <v>46046</v>
      </c>
      <c r="F1582">
        <v>2</v>
      </c>
      <c r="G1582" t="s">
        <v>3859</v>
      </c>
      <c r="H1582" t="s">
        <v>2587</v>
      </c>
      <c r="I1582" t="s">
        <v>2588</v>
      </c>
      <c r="J1582" t="s">
        <v>2600</v>
      </c>
      <c r="K1582">
        <v>51</v>
      </c>
      <c r="L1582" s="13" t="s">
        <v>257</v>
      </c>
    </row>
    <row r="1583" spans="1:12" x14ac:dyDescent="0.25">
      <c r="A1583" t="s">
        <v>4260</v>
      </c>
      <c r="B1583" t="s">
        <v>206</v>
      </c>
      <c r="C1583" t="str">
        <f>_xlfn.XLOOKUP(Table7[[#This Row],[app_id]],Table5[app_id],Table5[app_name],"",0)</f>
        <v>DeskX</v>
      </c>
      <c r="D1583" t="s">
        <v>1935</v>
      </c>
      <c r="E1583" s="1">
        <v>45512</v>
      </c>
      <c r="F1583">
        <v>4</v>
      </c>
      <c r="G1583" t="s">
        <v>2700</v>
      </c>
      <c r="H1583" t="s">
        <v>2564</v>
      </c>
      <c r="I1583" t="s">
        <v>2565</v>
      </c>
      <c r="J1583" t="s">
        <v>2596</v>
      </c>
      <c r="K1583">
        <v>36</v>
      </c>
      <c r="L1583" s="13" t="s">
        <v>257</v>
      </c>
    </row>
    <row r="1584" spans="1:12" x14ac:dyDescent="0.25">
      <c r="A1584" t="s">
        <v>4261</v>
      </c>
      <c r="B1584" t="s">
        <v>208</v>
      </c>
      <c r="C1584" t="str">
        <f>_xlfn.XLOOKUP(Table7[[#This Row],[app_id]],Table5[app_id],Table5[app_name],"",0)</f>
        <v>DonePro</v>
      </c>
      <c r="D1584" t="s">
        <v>894</v>
      </c>
      <c r="E1584" s="1">
        <v>45405</v>
      </c>
      <c r="F1584">
        <v>3</v>
      </c>
      <c r="G1584" t="s">
        <v>2713</v>
      </c>
      <c r="H1584" t="s">
        <v>2554</v>
      </c>
      <c r="I1584" t="s">
        <v>2565</v>
      </c>
      <c r="J1584" t="s">
        <v>2556</v>
      </c>
      <c r="K1584">
        <v>48</v>
      </c>
      <c r="L1584" s="13" t="s">
        <v>257</v>
      </c>
    </row>
    <row r="1585" spans="1:12" x14ac:dyDescent="0.25">
      <c r="A1585" t="s">
        <v>4262</v>
      </c>
      <c r="B1585" t="s">
        <v>210</v>
      </c>
      <c r="C1585" t="str">
        <f>_xlfn.XLOOKUP(Table7[[#This Row],[app_id]],Table5[app_id],Table5[app_name],"",0)</f>
        <v>NotePlus</v>
      </c>
      <c r="D1585" t="s">
        <v>2043</v>
      </c>
      <c r="E1585" s="1">
        <v>45555</v>
      </c>
      <c r="F1585">
        <v>5</v>
      </c>
      <c r="G1585" t="s">
        <v>2836</v>
      </c>
      <c r="H1585" t="s">
        <v>2564</v>
      </c>
      <c r="I1585" t="s">
        <v>2555</v>
      </c>
      <c r="J1585" t="s">
        <v>2556</v>
      </c>
      <c r="K1585">
        <v>15</v>
      </c>
      <c r="L1585" s="13" t="s">
        <v>257</v>
      </c>
    </row>
    <row r="1586" spans="1:12" x14ac:dyDescent="0.25">
      <c r="A1586" t="s">
        <v>4263</v>
      </c>
      <c r="B1586" t="s">
        <v>212</v>
      </c>
      <c r="C1586" t="str">
        <f>_xlfn.XLOOKUP(Table7[[#This Row],[app_id]],Table5[app_id],Table5[app_name],"",0)</f>
        <v>SyncPlus</v>
      </c>
      <c r="D1586" t="s">
        <v>1690</v>
      </c>
      <c r="E1586" s="1">
        <v>45586</v>
      </c>
      <c r="F1586">
        <v>3</v>
      </c>
      <c r="G1586" t="s">
        <v>3254</v>
      </c>
      <c r="H1586" t="s">
        <v>2554</v>
      </c>
      <c r="I1586" t="s">
        <v>2571</v>
      </c>
      <c r="J1586" t="s">
        <v>2559</v>
      </c>
      <c r="K1586">
        <v>25</v>
      </c>
      <c r="L1586" s="13" t="s">
        <v>257</v>
      </c>
    </row>
    <row r="1587" spans="1:12" x14ac:dyDescent="0.25">
      <c r="A1587" t="s">
        <v>4264</v>
      </c>
      <c r="B1587" t="s">
        <v>214</v>
      </c>
      <c r="C1587" t="str">
        <f>_xlfn.XLOOKUP(Table7[[#This Row],[app_id]],Table5[app_id],Table5[app_name],"",0)</f>
        <v>NoteOne</v>
      </c>
      <c r="D1587" t="s">
        <v>1268</v>
      </c>
      <c r="E1587" s="1">
        <v>45969</v>
      </c>
      <c r="F1587">
        <v>4</v>
      </c>
      <c r="G1587" t="s">
        <v>2836</v>
      </c>
      <c r="H1587" t="s">
        <v>2564</v>
      </c>
      <c r="I1587" t="s">
        <v>2565</v>
      </c>
      <c r="J1587" t="s">
        <v>2633</v>
      </c>
      <c r="K1587">
        <v>18</v>
      </c>
      <c r="L1587" s="13" t="s">
        <v>257</v>
      </c>
    </row>
    <row r="1588" spans="1:12" x14ac:dyDescent="0.25">
      <c r="A1588" t="s">
        <v>4265</v>
      </c>
      <c r="B1588" t="s">
        <v>216</v>
      </c>
      <c r="C1588" t="str">
        <f>_xlfn.XLOOKUP(Table7[[#This Row],[app_id]],Table5[app_id],Table5[app_name],"",0)</f>
        <v>NoteMate</v>
      </c>
      <c r="D1588" t="s">
        <v>1290</v>
      </c>
      <c r="E1588" s="1">
        <v>45296</v>
      </c>
      <c r="F1588">
        <v>3</v>
      </c>
      <c r="G1588" t="s">
        <v>2713</v>
      </c>
      <c r="H1588" t="s">
        <v>2554</v>
      </c>
      <c r="I1588" t="s">
        <v>2575</v>
      </c>
      <c r="J1588" t="s">
        <v>2600</v>
      </c>
      <c r="K1588">
        <v>34</v>
      </c>
      <c r="L1588" s="13" t="s">
        <v>258</v>
      </c>
    </row>
    <row r="1589" spans="1:12" x14ac:dyDescent="0.25">
      <c r="A1589" t="s">
        <v>4266</v>
      </c>
      <c r="B1589" t="s">
        <v>218</v>
      </c>
      <c r="C1589" t="str">
        <f>_xlfn.XLOOKUP(Table7[[#This Row],[app_id]],Table5[app_id],Table5[app_name],"",0)</f>
        <v>PlanPlus</v>
      </c>
      <c r="D1589" t="s">
        <v>1932</v>
      </c>
      <c r="E1589" s="1">
        <v>45690</v>
      </c>
      <c r="F1589">
        <v>5</v>
      </c>
      <c r="G1589" t="s">
        <v>2708</v>
      </c>
      <c r="H1589" t="s">
        <v>2564</v>
      </c>
      <c r="I1589" t="s">
        <v>2575</v>
      </c>
      <c r="J1589" t="s">
        <v>2600</v>
      </c>
      <c r="K1589">
        <v>6</v>
      </c>
      <c r="L1589" s="13" t="s">
        <v>257</v>
      </c>
    </row>
    <row r="1590" spans="1:12" x14ac:dyDescent="0.25">
      <c r="A1590" t="s">
        <v>4267</v>
      </c>
      <c r="B1590" t="s">
        <v>220</v>
      </c>
      <c r="C1590" t="str">
        <f>_xlfn.XLOOKUP(Table7[[#This Row],[app_id]],Table5[app_id],Table5[app_name],"",0)</f>
        <v>PlanMate</v>
      </c>
      <c r="D1590" t="s">
        <v>2238</v>
      </c>
      <c r="E1590" s="1">
        <v>45942</v>
      </c>
      <c r="F1590">
        <v>4</v>
      </c>
      <c r="G1590" t="s">
        <v>2700</v>
      </c>
      <c r="H1590" t="s">
        <v>2564</v>
      </c>
      <c r="I1590" t="s">
        <v>2558</v>
      </c>
      <c r="J1590" t="s">
        <v>2566</v>
      </c>
      <c r="K1590">
        <v>34</v>
      </c>
      <c r="L1590" s="13" t="s">
        <v>257</v>
      </c>
    </row>
    <row r="1591" spans="1:12" x14ac:dyDescent="0.25">
      <c r="A1591" t="s">
        <v>4268</v>
      </c>
      <c r="B1591" t="s">
        <v>222</v>
      </c>
      <c r="C1591" t="str">
        <f>_xlfn.XLOOKUP(Table7[[#This Row],[app_id]],Table5[app_id],Table5[app_name],"",0)</f>
        <v>SyncPlus</v>
      </c>
      <c r="D1591" t="s">
        <v>1956</v>
      </c>
      <c r="E1591" s="1">
        <v>45321</v>
      </c>
      <c r="F1591">
        <v>4</v>
      </c>
      <c r="G1591" t="s">
        <v>2700</v>
      </c>
      <c r="H1591" t="s">
        <v>2564</v>
      </c>
      <c r="I1591" t="s">
        <v>2555</v>
      </c>
      <c r="J1591" t="s">
        <v>2596</v>
      </c>
      <c r="K1591">
        <v>27</v>
      </c>
      <c r="L1591" s="13" t="s">
        <v>257</v>
      </c>
    </row>
    <row r="1592" spans="1:12" x14ac:dyDescent="0.25">
      <c r="A1592" t="s">
        <v>4269</v>
      </c>
      <c r="B1592" t="s">
        <v>223</v>
      </c>
      <c r="C1592" t="str">
        <f>_xlfn.XLOOKUP(Table7[[#This Row],[app_id]],Table5[app_id],Table5[app_name],"",0)</f>
        <v>ClinicPro</v>
      </c>
      <c r="D1592" t="s">
        <v>1992</v>
      </c>
      <c r="E1592" s="1">
        <v>45316</v>
      </c>
      <c r="F1592">
        <v>3</v>
      </c>
      <c r="G1592" t="s">
        <v>2726</v>
      </c>
      <c r="H1592" t="s">
        <v>2554</v>
      </c>
      <c r="I1592" t="s">
        <v>2558</v>
      </c>
      <c r="J1592" t="s">
        <v>2569</v>
      </c>
      <c r="K1592">
        <v>43</v>
      </c>
      <c r="L1592" s="13" t="s">
        <v>257</v>
      </c>
    </row>
    <row r="1593" spans="1:12" x14ac:dyDescent="0.25">
      <c r="A1593" t="s">
        <v>4270</v>
      </c>
      <c r="B1593" t="s">
        <v>226</v>
      </c>
      <c r="C1593" t="str">
        <f>_xlfn.XLOOKUP(Table7[[#This Row],[app_id]],Table5[app_id],Table5[app_name],"",0)</f>
        <v>MindMate</v>
      </c>
      <c r="D1593" t="s">
        <v>1492</v>
      </c>
      <c r="E1593" s="1">
        <v>45909</v>
      </c>
      <c r="F1593">
        <v>4</v>
      </c>
      <c r="G1593" t="s">
        <v>2716</v>
      </c>
      <c r="H1593" t="s">
        <v>2564</v>
      </c>
      <c r="I1593" t="s">
        <v>2571</v>
      </c>
      <c r="J1593" t="s">
        <v>2569</v>
      </c>
      <c r="K1593">
        <v>16</v>
      </c>
      <c r="L1593" s="13" t="s">
        <v>258</v>
      </c>
    </row>
    <row r="1594" spans="1:12" x14ac:dyDescent="0.25">
      <c r="A1594" t="s">
        <v>4271</v>
      </c>
      <c r="B1594" t="s">
        <v>228</v>
      </c>
      <c r="C1594" t="str">
        <f>_xlfn.XLOOKUP(Table7[[#This Row],[app_id]],Table5[app_id],Table5[app_name],"",0)</f>
        <v>ClinicOne</v>
      </c>
      <c r="D1594" t="s">
        <v>1552</v>
      </c>
      <c r="E1594" s="1">
        <v>45719</v>
      </c>
      <c r="F1594">
        <v>4</v>
      </c>
      <c r="G1594" t="s">
        <v>2728</v>
      </c>
      <c r="H1594" t="s">
        <v>2564</v>
      </c>
      <c r="I1594" t="s">
        <v>2565</v>
      </c>
      <c r="J1594" t="s">
        <v>2581</v>
      </c>
      <c r="K1594">
        <v>31</v>
      </c>
      <c r="L1594" s="13" t="s">
        <v>257</v>
      </c>
    </row>
    <row r="1595" spans="1:12" x14ac:dyDescent="0.25">
      <c r="A1595" t="s">
        <v>4272</v>
      </c>
      <c r="B1595" t="s">
        <v>230</v>
      </c>
      <c r="C1595" t="str">
        <f>_xlfn.XLOOKUP(Table7[[#This Row],[app_id]],Table5[app_id],Table5[app_name],"",0)</f>
        <v>WellMate</v>
      </c>
      <c r="D1595" t="s">
        <v>1545</v>
      </c>
      <c r="E1595" s="1">
        <v>46028</v>
      </c>
      <c r="F1595">
        <v>3</v>
      </c>
      <c r="G1595" t="s">
        <v>2720</v>
      </c>
      <c r="H1595" t="s">
        <v>2554</v>
      </c>
      <c r="I1595" t="s">
        <v>2575</v>
      </c>
      <c r="J1595" t="s">
        <v>2603</v>
      </c>
      <c r="K1595">
        <v>26</v>
      </c>
      <c r="L1595" s="13" t="s">
        <v>257</v>
      </c>
    </row>
    <row r="1596" spans="1:12" x14ac:dyDescent="0.25">
      <c r="A1596" t="s">
        <v>4273</v>
      </c>
      <c r="B1596" t="s">
        <v>232</v>
      </c>
      <c r="C1596" t="str">
        <f>_xlfn.XLOOKUP(Table7[[#This Row],[app_id]],Table5[app_id],Table5[app_name],"",0)</f>
        <v>MediMate</v>
      </c>
      <c r="D1596" t="s">
        <v>2085</v>
      </c>
      <c r="E1596" s="1">
        <v>45939</v>
      </c>
      <c r="F1596">
        <v>4</v>
      </c>
      <c r="G1596" t="s">
        <v>2722</v>
      </c>
      <c r="H1596" t="s">
        <v>2564</v>
      </c>
      <c r="I1596" t="s">
        <v>2571</v>
      </c>
      <c r="J1596" t="s">
        <v>2633</v>
      </c>
      <c r="K1596">
        <v>9</v>
      </c>
      <c r="L1596" s="13" t="s">
        <v>257</v>
      </c>
    </row>
    <row r="1597" spans="1:12" x14ac:dyDescent="0.25">
      <c r="A1597" t="s">
        <v>4274</v>
      </c>
      <c r="B1597" t="s">
        <v>234</v>
      </c>
      <c r="C1597" t="str">
        <f>_xlfn.XLOOKUP(Table7[[#This Row],[app_id]],Table5[app_id],Table5[app_name],"",0)</f>
        <v>WellNow</v>
      </c>
      <c r="D1597" t="s">
        <v>599</v>
      </c>
      <c r="E1597" s="1">
        <v>45652</v>
      </c>
      <c r="F1597">
        <v>4</v>
      </c>
      <c r="G1597" t="s">
        <v>2722</v>
      </c>
      <c r="H1597" t="s">
        <v>2564</v>
      </c>
      <c r="I1597" t="s">
        <v>2555</v>
      </c>
      <c r="J1597" t="s">
        <v>2559</v>
      </c>
      <c r="K1597">
        <v>27</v>
      </c>
      <c r="L1597" s="13" t="s">
        <v>258</v>
      </c>
    </row>
    <row r="1598" spans="1:12" x14ac:dyDescent="0.25">
      <c r="A1598" t="s">
        <v>4275</v>
      </c>
      <c r="B1598" t="s">
        <v>236</v>
      </c>
      <c r="C1598" t="str">
        <f>_xlfn.XLOOKUP(Table7[[#This Row],[app_id]],Table5[app_id],Table5[app_name],"",0)</f>
        <v>CareCloud</v>
      </c>
      <c r="D1598" t="s">
        <v>1547</v>
      </c>
      <c r="E1598" s="1">
        <v>45981</v>
      </c>
      <c r="F1598">
        <v>4</v>
      </c>
      <c r="G1598" t="s">
        <v>2716</v>
      </c>
      <c r="H1598" t="s">
        <v>2564</v>
      </c>
      <c r="I1598" t="s">
        <v>2565</v>
      </c>
      <c r="J1598" t="s">
        <v>2581</v>
      </c>
      <c r="K1598">
        <v>24</v>
      </c>
      <c r="L1598" s="13" t="s">
        <v>257</v>
      </c>
    </row>
    <row r="1599" spans="1:12" x14ac:dyDescent="0.25">
      <c r="A1599" t="s">
        <v>4276</v>
      </c>
      <c r="B1599" t="s">
        <v>238</v>
      </c>
      <c r="C1599" t="str">
        <f>_xlfn.XLOOKUP(Table7[[#This Row],[app_id]],Table5[app_id],Table5[app_name],"",0)</f>
        <v>MediNow</v>
      </c>
      <c r="D1599" t="s">
        <v>1241</v>
      </c>
      <c r="E1599" s="1">
        <v>45785</v>
      </c>
      <c r="F1599">
        <v>5</v>
      </c>
      <c r="G1599" t="s">
        <v>2716</v>
      </c>
      <c r="H1599" t="s">
        <v>2564</v>
      </c>
      <c r="I1599" t="s">
        <v>2555</v>
      </c>
      <c r="J1599" t="s">
        <v>2569</v>
      </c>
      <c r="K1599">
        <v>39</v>
      </c>
      <c r="L1599" s="13" t="s">
        <v>257</v>
      </c>
    </row>
    <row r="1600" spans="1:12" x14ac:dyDescent="0.25">
      <c r="A1600" t="s">
        <v>4277</v>
      </c>
      <c r="B1600" t="s">
        <v>240</v>
      </c>
      <c r="C1600" t="str">
        <f>_xlfn.XLOOKUP(Table7[[#This Row],[app_id]],Table5[app_id],Table5[app_name],"",0)</f>
        <v>MindPlus</v>
      </c>
      <c r="D1600" t="s">
        <v>1312</v>
      </c>
      <c r="E1600" s="1">
        <v>45843</v>
      </c>
      <c r="F1600">
        <v>2</v>
      </c>
      <c r="G1600" t="s">
        <v>3057</v>
      </c>
      <c r="H1600" t="s">
        <v>2587</v>
      </c>
      <c r="I1600" t="s">
        <v>2584</v>
      </c>
      <c r="J1600" t="s">
        <v>2556</v>
      </c>
      <c r="K1600">
        <v>90</v>
      </c>
      <c r="L1600" s="13" t="s">
        <v>257</v>
      </c>
    </row>
    <row r="1601" spans="1:12" x14ac:dyDescent="0.25">
      <c r="A1601" t="s">
        <v>4278</v>
      </c>
      <c r="B1601" t="s">
        <v>242</v>
      </c>
      <c r="C1601" t="str">
        <f>_xlfn.XLOOKUP(Table7[[#This Row],[app_id]],Table5[app_id],Table5[app_name],"",0)</f>
        <v>MediCloud</v>
      </c>
      <c r="D1601" t="s">
        <v>787</v>
      </c>
      <c r="E1601" s="1">
        <v>45541</v>
      </c>
      <c r="F1601">
        <v>4</v>
      </c>
      <c r="G1601" t="s">
        <v>2722</v>
      </c>
      <c r="H1601" t="s">
        <v>2564</v>
      </c>
      <c r="I1601" t="s">
        <v>2575</v>
      </c>
      <c r="J1601" t="s">
        <v>2559</v>
      </c>
      <c r="K1601">
        <v>30</v>
      </c>
      <c r="L1601" s="13" t="s">
        <v>258</v>
      </c>
    </row>
    <row r="1602" spans="1:12" x14ac:dyDescent="0.25">
      <c r="A1602" t="s">
        <v>4279</v>
      </c>
      <c r="B1602" t="s">
        <v>12</v>
      </c>
      <c r="C1602" t="str">
        <f>_xlfn.XLOOKUP(Table7[[#This Row],[app_id]],Table5[app_id],Table5[app_name],"",0)</f>
        <v>InvestPro</v>
      </c>
      <c r="D1602" t="s">
        <v>795</v>
      </c>
      <c r="E1602" s="1">
        <v>45998</v>
      </c>
      <c r="F1602">
        <v>3</v>
      </c>
      <c r="G1602" t="s">
        <v>2735</v>
      </c>
      <c r="H1602" t="s">
        <v>2554</v>
      </c>
      <c r="I1602" t="s">
        <v>2565</v>
      </c>
      <c r="J1602" t="s">
        <v>2603</v>
      </c>
      <c r="K1602">
        <v>11</v>
      </c>
      <c r="L1602" s="13" t="s">
        <v>257</v>
      </c>
    </row>
    <row r="1603" spans="1:12" x14ac:dyDescent="0.25">
      <c r="A1603" t="s">
        <v>4280</v>
      </c>
      <c r="B1603" t="s">
        <v>19</v>
      </c>
      <c r="C1603" t="str">
        <f>_xlfn.XLOOKUP(Table7[[#This Row],[app_id]],Table5[app_id],Table5[app_name],"",0)</f>
        <v>BankPro</v>
      </c>
      <c r="D1603" t="s">
        <v>1904</v>
      </c>
      <c r="E1603" s="1">
        <v>46017</v>
      </c>
      <c r="F1603">
        <v>3</v>
      </c>
      <c r="G1603" t="s">
        <v>2735</v>
      </c>
      <c r="H1603" t="s">
        <v>2554</v>
      </c>
      <c r="I1603" t="s">
        <v>2571</v>
      </c>
      <c r="J1603" t="s">
        <v>2633</v>
      </c>
      <c r="K1603">
        <v>1</v>
      </c>
      <c r="L1603" s="13" t="s">
        <v>257</v>
      </c>
    </row>
    <row r="1604" spans="1:12" x14ac:dyDescent="0.25">
      <c r="A1604" t="s">
        <v>4281</v>
      </c>
      <c r="B1604" t="s">
        <v>24</v>
      </c>
      <c r="C1604" t="str">
        <f>_xlfn.XLOOKUP(Table7[[#This Row],[app_id]],Table5[app_id],Table5[app_name],"",0)</f>
        <v>BankX</v>
      </c>
      <c r="D1604" t="s">
        <v>2075</v>
      </c>
      <c r="E1604" s="1">
        <v>45315</v>
      </c>
      <c r="F1604">
        <v>5</v>
      </c>
      <c r="G1604" t="s">
        <v>2580</v>
      </c>
      <c r="H1604" t="s">
        <v>2564</v>
      </c>
      <c r="I1604" t="s">
        <v>2575</v>
      </c>
      <c r="J1604" t="s">
        <v>2603</v>
      </c>
      <c r="K1604">
        <v>7</v>
      </c>
      <c r="L1604" s="13" t="s">
        <v>257</v>
      </c>
    </row>
    <row r="1605" spans="1:12" x14ac:dyDescent="0.25">
      <c r="A1605" t="s">
        <v>4282</v>
      </c>
      <c r="B1605" t="s">
        <v>27</v>
      </c>
      <c r="C1605" t="str">
        <f>_xlfn.XLOOKUP(Table7[[#This Row],[app_id]],Table5[app_id],Table5[app_name],"",0)</f>
        <v>BankNow</v>
      </c>
      <c r="D1605" t="s">
        <v>1242</v>
      </c>
      <c r="E1605" s="1">
        <v>45678</v>
      </c>
      <c r="F1605">
        <v>2</v>
      </c>
      <c r="G1605" t="s">
        <v>2740</v>
      </c>
      <c r="H1605" t="s">
        <v>2587</v>
      </c>
      <c r="I1605" t="s">
        <v>2558</v>
      </c>
      <c r="J1605" t="s">
        <v>2596</v>
      </c>
      <c r="K1605">
        <v>54</v>
      </c>
      <c r="L1605" s="13" t="s">
        <v>257</v>
      </c>
    </row>
    <row r="1606" spans="1:12" x14ac:dyDescent="0.25">
      <c r="A1606" t="s">
        <v>4283</v>
      </c>
      <c r="B1606" t="s">
        <v>31</v>
      </c>
      <c r="C1606" t="str">
        <f>_xlfn.XLOOKUP(Table7[[#This Row],[app_id]],Table5[app_id],Table5[app_name],"",0)</f>
        <v>CreditHub</v>
      </c>
      <c r="D1606" t="s">
        <v>2523</v>
      </c>
      <c r="E1606" s="1">
        <v>45797</v>
      </c>
      <c r="F1606">
        <v>4</v>
      </c>
      <c r="G1606" t="s">
        <v>2580</v>
      </c>
      <c r="H1606" t="s">
        <v>2564</v>
      </c>
      <c r="I1606" t="s">
        <v>2565</v>
      </c>
      <c r="J1606" t="s">
        <v>2603</v>
      </c>
      <c r="K1606">
        <v>21</v>
      </c>
      <c r="L1606" s="13" t="s">
        <v>258</v>
      </c>
    </row>
    <row r="1607" spans="1:12" x14ac:dyDescent="0.25">
      <c r="A1607" t="s">
        <v>4284</v>
      </c>
      <c r="B1607" t="s">
        <v>36</v>
      </c>
      <c r="C1607" t="str">
        <f>_xlfn.XLOOKUP(Table7[[#This Row],[app_id]],Table5[app_id],Table5[app_name],"",0)</f>
        <v>PayPlus</v>
      </c>
      <c r="D1607" t="s">
        <v>2051</v>
      </c>
      <c r="E1607" s="1">
        <v>45931</v>
      </c>
      <c r="F1607">
        <v>5</v>
      </c>
      <c r="G1607" t="s">
        <v>2568</v>
      </c>
      <c r="H1607" t="s">
        <v>2564</v>
      </c>
      <c r="I1607" t="s">
        <v>2565</v>
      </c>
      <c r="J1607" t="s">
        <v>2596</v>
      </c>
      <c r="K1607">
        <v>2</v>
      </c>
      <c r="L1607" s="13" t="s">
        <v>257</v>
      </c>
    </row>
    <row r="1608" spans="1:12" x14ac:dyDescent="0.25">
      <c r="A1608" t="s">
        <v>4285</v>
      </c>
      <c r="B1608" t="s">
        <v>39</v>
      </c>
      <c r="C1608" t="str">
        <f>_xlfn.XLOOKUP(Table7[[#This Row],[app_id]],Table5[app_id],Table5[app_name],"",0)</f>
        <v>BankPlus</v>
      </c>
      <c r="D1608" t="s">
        <v>1428</v>
      </c>
      <c r="E1608" s="1">
        <v>45399</v>
      </c>
      <c r="F1608">
        <v>5</v>
      </c>
      <c r="G1608" t="s">
        <v>2580</v>
      </c>
      <c r="H1608" t="s">
        <v>2564</v>
      </c>
      <c r="I1608" t="s">
        <v>2575</v>
      </c>
      <c r="J1608" t="s">
        <v>2566</v>
      </c>
      <c r="K1608">
        <v>27</v>
      </c>
      <c r="L1608" s="13" t="s">
        <v>258</v>
      </c>
    </row>
    <row r="1609" spans="1:12" x14ac:dyDescent="0.25">
      <c r="A1609" t="s">
        <v>4286</v>
      </c>
      <c r="B1609" t="s">
        <v>42</v>
      </c>
      <c r="C1609" t="str">
        <f>_xlfn.XLOOKUP(Table7[[#This Row],[app_id]],Table5[app_id],Table5[app_name],"",0)</f>
        <v>CoinPlus</v>
      </c>
      <c r="D1609" t="s">
        <v>811</v>
      </c>
      <c r="E1609" s="1">
        <v>45652</v>
      </c>
      <c r="F1609">
        <v>3</v>
      </c>
      <c r="G1609" t="s">
        <v>2583</v>
      </c>
      <c r="H1609" t="s">
        <v>2554</v>
      </c>
      <c r="I1609" t="s">
        <v>2588</v>
      </c>
      <c r="J1609" t="s">
        <v>2633</v>
      </c>
      <c r="K1609">
        <v>25</v>
      </c>
      <c r="L1609" s="13" t="s">
        <v>257</v>
      </c>
    </row>
    <row r="1610" spans="1:12" x14ac:dyDescent="0.25">
      <c r="A1610" t="s">
        <v>4287</v>
      </c>
      <c r="B1610" t="s">
        <v>47</v>
      </c>
      <c r="C1610" t="str">
        <f>_xlfn.XLOOKUP(Table7[[#This Row],[app_id]],Table5[app_id],Table5[app_name],"",0)</f>
        <v>CreditOne</v>
      </c>
      <c r="D1610" t="s">
        <v>616</v>
      </c>
      <c r="E1610" s="1">
        <v>45314</v>
      </c>
      <c r="F1610">
        <v>4</v>
      </c>
      <c r="G1610" t="s">
        <v>2563</v>
      </c>
      <c r="H1610" t="s">
        <v>2564</v>
      </c>
      <c r="I1610" t="s">
        <v>2575</v>
      </c>
      <c r="J1610" t="s">
        <v>2561</v>
      </c>
      <c r="K1610">
        <v>24</v>
      </c>
      <c r="L1610" s="13" t="s">
        <v>257</v>
      </c>
    </row>
    <row r="1611" spans="1:12" x14ac:dyDescent="0.25">
      <c r="A1611" t="s">
        <v>4288</v>
      </c>
      <c r="B1611" t="s">
        <v>49</v>
      </c>
      <c r="C1611" t="str">
        <f>_xlfn.XLOOKUP(Table7[[#This Row],[app_id]],Table5[app_id],Table5[app_name],"",0)</f>
        <v>PayPro</v>
      </c>
      <c r="D1611" t="s">
        <v>1855</v>
      </c>
      <c r="E1611" s="1">
        <v>45916</v>
      </c>
      <c r="F1611">
        <v>3</v>
      </c>
      <c r="G1611" t="s">
        <v>2735</v>
      </c>
      <c r="H1611" t="s">
        <v>2554</v>
      </c>
      <c r="I1611" t="s">
        <v>2575</v>
      </c>
      <c r="J1611" t="s">
        <v>2603</v>
      </c>
      <c r="K1611">
        <v>45</v>
      </c>
      <c r="L1611" s="13" t="s">
        <v>257</v>
      </c>
    </row>
    <row r="1612" spans="1:12" x14ac:dyDescent="0.25">
      <c r="A1612" t="s">
        <v>4289</v>
      </c>
      <c r="B1612" t="s">
        <v>51</v>
      </c>
      <c r="C1612" t="str">
        <f>_xlfn.XLOOKUP(Table7[[#This Row],[app_id]],Table5[app_id],Table5[app_name],"",0)</f>
        <v>Creditly</v>
      </c>
      <c r="D1612" t="s">
        <v>1084</v>
      </c>
      <c r="E1612" s="1">
        <v>45345</v>
      </c>
      <c r="F1612">
        <v>4</v>
      </c>
      <c r="G1612" t="s">
        <v>2563</v>
      </c>
      <c r="H1612" t="s">
        <v>2564</v>
      </c>
      <c r="I1612" t="s">
        <v>2565</v>
      </c>
      <c r="J1612" t="s">
        <v>2569</v>
      </c>
      <c r="K1612">
        <v>30</v>
      </c>
      <c r="L1612" s="13" t="s">
        <v>257</v>
      </c>
    </row>
    <row r="1613" spans="1:12" x14ac:dyDescent="0.25">
      <c r="A1613" t="s">
        <v>4290</v>
      </c>
      <c r="B1613" t="s">
        <v>53</v>
      </c>
      <c r="C1613" t="str">
        <f>_xlfn.XLOOKUP(Table7[[#This Row],[app_id]],Table5[app_id],Table5[app_name],"",0)</f>
        <v>PayX</v>
      </c>
      <c r="D1613" t="s">
        <v>1994</v>
      </c>
      <c r="E1613" s="1">
        <v>45378</v>
      </c>
      <c r="F1613">
        <v>4</v>
      </c>
      <c r="G1613" t="s">
        <v>2573</v>
      </c>
      <c r="H1613" t="s">
        <v>2564</v>
      </c>
      <c r="I1613" t="s">
        <v>2565</v>
      </c>
      <c r="J1613" t="s">
        <v>2566</v>
      </c>
      <c r="K1613">
        <v>1</v>
      </c>
      <c r="L1613" s="13" t="s">
        <v>257</v>
      </c>
    </row>
    <row r="1614" spans="1:12" x14ac:dyDescent="0.25">
      <c r="A1614" t="s">
        <v>4291</v>
      </c>
      <c r="B1614" t="s">
        <v>56</v>
      </c>
      <c r="C1614" t="str">
        <f>_xlfn.XLOOKUP(Table7[[#This Row],[app_id]],Table5[app_id],Table5[app_name],"",0)</f>
        <v>DealGo</v>
      </c>
      <c r="D1614" t="s">
        <v>1614</v>
      </c>
      <c r="E1614" s="1">
        <v>46089</v>
      </c>
      <c r="F1614">
        <v>2</v>
      </c>
      <c r="G1614" t="s">
        <v>3078</v>
      </c>
      <c r="H1614" t="s">
        <v>2587</v>
      </c>
      <c r="I1614" t="s">
        <v>2578</v>
      </c>
      <c r="J1614" t="s">
        <v>2581</v>
      </c>
      <c r="K1614">
        <v>46</v>
      </c>
      <c r="L1614" s="13" t="s">
        <v>257</v>
      </c>
    </row>
    <row r="1615" spans="1:12" x14ac:dyDescent="0.25">
      <c r="A1615" t="s">
        <v>4292</v>
      </c>
      <c r="B1615" t="s">
        <v>62</v>
      </c>
      <c r="C1615" t="str">
        <f>_xlfn.XLOOKUP(Table7[[#This Row],[app_id]],Table5[app_id],Table5[app_name],"",0)</f>
        <v>MallNow</v>
      </c>
      <c r="D1615" t="s">
        <v>1144</v>
      </c>
      <c r="E1615" s="1">
        <v>45844</v>
      </c>
      <c r="F1615">
        <v>5</v>
      </c>
      <c r="G1615" t="s">
        <v>2592</v>
      </c>
      <c r="H1615" t="s">
        <v>2564</v>
      </c>
      <c r="I1615" t="s">
        <v>2565</v>
      </c>
      <c r="J1615" t="s">
        <v>2556</v>
      </c>
      <c r="K1615">
        <v>1</v>
      </c>
      <c r="L1615" s="13" t="s">
        <v>257</v>
      </c>
    </row>
    <row r="1616" spans="1:12" x14ac:dyDescent="0.25">
      <c r="A1616" t="s">
        <v>4293</v>
      </c>
      <c r="B1616" t="s">
        <v>65</v>
      </c>
      <c r="C1616" t="str">
        <f>_xlfn.XLOOKUP(Table7[[#This Row],[app_id]],Table5[app_id],Table5[app_name],"",0)</f>
        <v>DealPro</v>
      </c>
      <c r="D1616" t="s">
        <v>1410</v>
      </c>
      <c r="E1616" s="1">
        <v>46011</v>
      </c>
      <c r="F1616">
        <v>4</v>
      </c>
      <c r="G1616" t="s">
        <v>2598</v>
      </c>
      <c r="H1616" t="s">
        <v>2564</v>
      </c>
      <c r="I1616" t="s">
        <v>2575</v>
      </c>
      <c r="J1616" t="s">
        <v>2600</v>
      </c>
      <c r="K1616">
        <v>22</v>
      </c>
      <c r="L1616" s="13" t="s">
        <v>258</v>
      </c>
    </row>
    <row r="1617" spans="1:12" x14ac:dyDescent="0.25">
      <c r="A1617" t="s">
        <v>4294</v>
      </c>
      <c r="B1617" t="s">
        <v>67</v>
      </c>
      <c r="C1617" t="str">
        <f>_xlfn.XLOOKUP(Table7[[#This Row],[app_id]],Table5[app_id],Table5[app_name],"",0)</f>
        <v>StyleNow</v>
      </c>
      <c r="D1617" t="s">
        <v>949</v>
      </c>
      <c r="E1617" s="1">
        <v>45957</v>
      </c>
      <c r="F1617">
        <v>3</v>
      </c>
      <c r="G1617" t="s">
        <v>2609</v>
      </c>
      <c r="H1617" t="s">
        <v>2554</v>
      </c>
      <c r="I1617" t="s">
        <v>2575</v>
      </c>
      <c r="J1617" t="s">
        <v>2633</v>
      </c>
      <c r="K1617">
        <v>31</v>
      </c>
      <c r="L1617" s="13" t="s">
        <v>257</v>
      </c>
    </row>
    <row r="1618" spans="1:12" x14ac:dyDescent="0.25">
      <c r="A1618" t="s">
        <v>4295</v>
      </c>
      <c r="B1618" t="s">
        <v>70</v>
      </c>
      <c r="C1618" t="str">
        <f>_xlfn.XLOOKUP(Table7[[#This Row],[app_id]],Table5[app_id],Table5[app_name],"",0)</f>
        <v>DealCloud</v>
      </c>
      <c r="D1618" t="s">
        <v>714</v>
      </c>
      <c r="E1618" s="1">
        <v>45322</v>
      </c>
      <c r="F1618">
        <v>3</v>
      </c>
      <c r="G1618" t="s">
        <v>2748</v>
      </c>
      <c r="H1618" t="s">
        <v>2554</v>
      </c>
      <c r="I1618" t="s">
        <v>2565</v>
      </c>
      <c r="J1618" t="s">
        <v>2603</v>
      </c>
      <c r="K1618">
        <v>48</v>
      </c>
      <c r="L1618" s="13" t="s">
        <v>257</v>
      </c>
    </row>
    <row r="1619" spans="1:12" x14ac:dyDescent="0.25">
      <c r="A1619" t="s">
        <v>4296</v>
      </c>
      <c r="B1619" t="s">
        <v>72</v>
      </c>
      <c r="C1619" t="str">
        <f>_xlfn.XLOOKUP(Table7[[#This Row],[app_id]],Table5[app_id],Table5[app_name],"",0)</f>
        <v>CartCloud</v>
      </c>
      <c r="D1619" t="s">
        <v>1406</v>
      </c>
      <c r="E1619" s="1">
        <v>45919</v>
      </c>
      <c r="F1619">
        <v>4</v>
      </c>
      <c r="G1619" t="s">
        <v>2867</v>
      </c>
      <c r="H1619" t="s">
        <v>2564</v>
      </c>
      <c r="I1619" t="s">
        <v>2575</v>
      </c>
      <c r="J1619" t="s">
        <v>2596</v>
      </c>
      <c r="K1619">
        <v>36</v>
      </c>
      <c r="L1619" s="13" t="s">
        <v>257</v>
      </c>
    </row>
    <row r="1620" spans="1:12" x14ac:dyDescent="0.25">
      <c r="A1620" t="s">
        <v>4297</v>
      </c>
      <c r="B1620" t="s">
        <v>74</v>
      </c>
      <c r="C1620" t="str">
        <f>_xlfn.XLOOKUP(Table7[[#This Row],[app_id]],Table5[app_id],Table5[app_name],"",0)</f>
        <v>CartMate</v>
      </c>
      <c r="D1620" t="s">
        <v>1433</v>
      </c>
      <c r="E1620" s="1">
        <v>45611</v>
      </c>
      <c r="F1620">
        <v>5</v>
      </c>
      <c r="G1620" t="s">
        <v>2590</v>
      </c>
      <c r="H1620" t="s">
        <v>2564</v>
      </c>
      <c r="I1620" t="s">
        <v>2571</v>
      </c>
      <c r="J1620" t="s">
        <v>2559</v>
      </c>
      <c r="K1620">
        <v>45</v>
      </c>
      <c r="L1620" s="13" t="s">
        <v>258</v>
      </c>
    </row>
    <row r="1621" spans="1:12" x14ac:dyDescent="0.25">
      <c r="A1621" t="s">
        <v>4298</v>
      </c>
      <c r="B1621" t="s">
        <v>76</v>
      </c>
      <c r="C1621" t="str">
        <f>_xlfn.XLOOKUP(Table7[[#This Row],[app_id]],Table5[app_id],Table5[app_name],"",0)</f>
        <v>BazaarOne</v>
      </c>
      <c r="D1621" t="s">
        <v>1490</v>
      </c>
      <c r="E1621" s="1">
        <v>45422</v>
      </c>
      <c r="F1621">
        <v>4</v>
      </c>
      <c r="G1621" t="s">
        <v>2590</v>
      </c>
      <c r="H1621" t="s">
        <v>2564</v>
      </c>
      <c r="I1621" t="s">
        <v>2565</v>
      </c>
      <c r="J1621" t="s">
        <v>2581</v>
      </c>
      <c r="K1621">
        <v>11</v>
      </c>
      <c r="L1621" s="13" t="s">
        <v>257</v>
      </c>
    </row>
    <row r="1622" spans="1:12" x14ac:dyDescent="0.25">
      <c r="A1622" t="s">
        <v>4299</v>
      </c>
      <c r="B1622" t="s">
        <v>78</v>
      </c>
      <c r="C1622" t="str">
        <f>_xlfn.XLOOKUP(Table7[[#This Row],[app_id]],Table5[app_id],Table5[app_name],"",0)</f>
        <v>StyleOne</v>
      </c>
      <c r="D1622" t="s">
        <v>1767</v>
      </c>
      <c r="E1622" s="1">
        <v>46068</v>
      </c>
      <c r="F1622">
        <v>3</v>
      </c>
      <c r="G1622" t="s">
        <v>2748</v>
      </c>
      <c r="H1622" t="s">
        <v>2554</v>
      </c>
      <c r="I1622" t="s">
        <v>2565</v>
      </c>
      <c r="J1622" t="s">
        <v>2581</v>
      </c>
      <c r="K1622">
        <v>29</v>
      </c>
      <c r="L1622" s="13" t="s">
        <v>258</v>
      </c>
    </row>
    <row r="1623" spans="1:12" x14ac:dyDescent="0.25">
      <c r="A1623" t="s">
        <v>4300</v>
      </c>
      <c r="B1623" t="s">
        <v>80</v>
      </c>
      <c r="C1623" t="str">
        <f>_xlfn.XLOOKUP(Table7[[#This Row],[app_id]],Table5[app_id],Table5[app_name],"",0)</f>
        <v>Cartly</v>
      </c>
      <c r="D1623" t="s">
        <v>1781</v>
      </c>
      <c r="E1623" s="1">
        <v>45825</v>
      </c>
      <c r="F1623">
        <v>4</v>
      </c>
      <c r="G1623" t="s">
        <v>2590</v>
      </c>
      <c r="H1623" t="s">
        <v>2564</v>
      </c>
      <c r="I1623" t="s">
        <v>2575</v>
      </c>
      <c r="J1623" t="s">
        <v>2581</v>
      </c>
      <c r="K1623">
        <v>38</v>
      </c>
      <c r="L1623" s="13" t="s">
        <v>258</v>
      </c>
    </row>
    <row r="1624" spans="1:12" x14ac:dyDescent="0.25">
      <c r="A1624" t="s">
        <v>4301</v>
      </c>
      <c r="B1624" t="s">
        <v>83</v>
      </c>
      <c r="C1624" t="str">
        <f>_xlfn.XLOOKUP(Table7[[#This Row],[app_id]],Table5[app_id],Table5[app_name],"",0)</f>
        <v>BazaarCloud</v>
      </c>
      <c r="D1624" t="s">
        <v>832</v>
      </c>
      <c r="E1624" s="1">
        <v>45667</v>
      </c>
      <c r="F1624">
        <v>4</v>
      </c>
      <c r="G1624" t="s">
        <v>2598</v>
      </c>
      <c r="H1624" t="s">
        <v>2564</v>
      </c>
      <c r="I1624" t="s">
        <v>2565</v>
      </c>
      <c r="J1624" t="s">
        <v>2561</v>
      </c>
      <c r="K1624">
        <v>27</v>
      </c>
      <c r="L1624" s="13" t="s">
        <v>257</v>
      </c>
    </row>
    <row r="1625" spans="1:12" x14ac:dyDescent="0.25">
      <c r="A1625" t="s">
        <v>4302</v>
      </c>
      <c r="B1625" t="s">
        <v>85</v>
      </c>
      <c r="C1625" t="str">
        <f>_xlfn.XLOOKUP(Table7[[#This Row],[app_id]],Table5[app_id],Table5[app_name],"",0)</f>
        <v>CartPro</v>
      </c>
      <c r="D1625" t="s">
        <v>1087</v>
      </c>
      <c r="E1625" s="1">
        <v>45536</v>
      </c>
      <c r="F1625">
        <v>3</v>
      </c>
      <c r="G1625" t="s">
        <v>2594</v>
      </c>
      <c r="H1625" t="s">
        <v>2554</v>
      </c>
      <c r="I1625" t="s">
        <v>2584</v>
      </c>
      <c r="J1625" t="s">
        <v>2633</v>
      </c>
      <c r="K1625">
        <v>39</v>
      </c>
      <c r="L1625" s="13" t="s">
        <v>257</v>
      </c>
    </row>
    <row r="1626" spans="1:12" x14ac:dyDescent="0.25">
      <c r="A1626" t="s">
        <v>4303</v>
      </c>
      <c r="B1626" t="s">
        <v>87</v>
      </c>
      <c r="C1626" t="str">
        <f>_xlfn.XLOOKUP(Table7[[#This Row],[app_id]],Table5[app_id],Table5[app_name],"",0)</f>
        <v>RunPlus</v>
      </c>
      <c r="D1626" t="s">
        <v>1284</v>
      </c>
      <c r="E1626" s="1">
        <v>45340</v>
      </c>
      <c r="F1626">
        <v>4</v>
      </c>
      <c r="G1626" t="s">
        <v>2613</v>
      </c>
      <c r="H1626" t="s">
        <v>2564</v>
      </c>
      <c r="I1626" t="s">
        <v>2565</v>
      </c>
      <c r="J1626" t="s">
        <v>2581</v>
      </c>
      <c r="K1626">
        <v>20</v>
      </c>
      <c r="L1626" s="13" t="s">
        <v>257</v>
      </c>
    </row>
    <row r="1627" spans="1:12" x14ac:dyDescent="0.25">
      <c r="A1627" t="s">
        <v>4304</v>
      </c>
      <c r="B1627" t="s">
        <v>90</v>
      </c>
      <c r="C1627" t="str">
        <f>_xlfn.XLOOKUP(Table7[[#This Row],[app_id]],Table5[app_id],Table5[app_name],"",0)</f>
        <v>TrainCloud</v>
      </c>
      <c r="D1627" t="s">
        <v>1069</v>
      </c>
      <c r="E1627" s="1">
        <v>45581</v>
      </c>
      <c r="F1627">
        <v>3</v>
      </c>
      <c r="G1627" t="s">
        <v>2620</v>
      </c>
      <c r="H1627" t="s">
        <v>2554</v>
      </c>
      <c r="I1627" t="s">
        <v>2584</v>
      </c>
      <c r="J1627" t="s">
        <v>2596</v>
      </c>
      <c r="K1627">
        <v>3</v>
      </c>
      <c r="L1627" s="13" t="s">
        <v>257</v>
      </c>
    </row>
    <row r="1628" spans="1:12" x14ac:dyDescent="0.25">
      <c r="A1628" t="s">
        <v>4305</v>
      </c>
      <c r="B1628" t="s">
        <v>92</v>
      </c>
      <c r="C1628" t="str">
        <f>_xlfn.XLOOKUP(Table7[[#This Row],[app_id]],Table5[app_id],Table5[app_name],"",0)</f>
        <v>Trainly</v>
      </c>
      <c r="D1628" t="s">
        <v>1946</v>
      </c>
      <c r="E1628" s="1">
        <v>45908</v>
      </c>
      <c r="F1628">
        <v>4</v>
      </c>
      <c r="G1628" t="s">
        <v>2613</v>
      </c>
      <c r="H1628" t="s">
        <v>2564</v>
      </c>
      <c r="I1628" t="s">
        <v>2565</v>
      </c>
      <c r="J1628" t="s">
        <v>2559</v>
      </c>
      <c r="K1628">
        <v>30</v>
      </c>
      <c r="L1628" s="13" t="s">
        <v>258</v>
      </c>
    </row>
    <row r="1629" spans="1:12" x14ac:dyDescent="0.25">
      <c r="A1629" t="s">
        <v>4306</v>
      </c>
      <c r="B1629" t="s">
        <v>94</v>
      </c>
      <c r="C1629" t="str">
        <f>_xlfn.XLOOKUP(Table7[[#This Row],[app_id]],Table5[app_id],Table5[app_name],"",0)</f>
        <v>LiftCloud</v>
      </c>
      <c r="D1629" t="s">
        <v>866</v>
      </c>
      <c r="E1629" s="1">
        <v>45845</v>
      </c>
      <c r="F1629">
        <v>4</v>
      </c>
      <c r="G1629" t="s">
        <v>2625</v>
      </c>
      <c r="H1629" t="s">
        <v>2564</v>
      </c>
      <c r="I1629" t="s">
        <v>2571</v>
      </c>
      <c r="J1629" t="s">
        <v>2569</v>
      </c>
      <c r="K1629">
        <v>30</v>
      </c>
      <c r="L1629" s="13" t="s">
        <v>258</v>
      </c>
    </row>
    <row r="1630" spans="1:12" x14ac:dyDescent="0.25">
      <c r="A1630" t="s">
        <v>4307</v>
      </c>
      <c r="B1630" t="s">
        <v>96</v>
      </c>
      <c r="C1630" t="str">
        <f>_xlfn.XLOOKUP(Table7[[#This Row],[app_id]],Table5[app_id],Table5[app_name],"",0)</f>
        <v>MoveNow</v>
      </c>
      <c r="D1630" t="s">
        <v>2430</v>
      </c>
      <c r="E1630" s="1">
        <v>46007</v>
      </c>
      <c r="F1630">
        <v>4</v>
      </c>
      <c r="G1630" t="s">
        <v>2622</v>
      </c>
      <c r="H1630" t="s">
        <v>2564</v>
      </c>
      <c r="I1630" t="s">
        <v>2558</v>
      </c>
      <c r="J1630" t="s">
        <v>2581</v>
      </c>
      <c r="K1630">
        <v>15</v>
      </c>
      <c r="L1630" s="13" t="s">
        <v>257</v>
      </c>
    </row>
    <row r="1631" spans="1:12" x14ac:dyDescent="0.25">
      <c r="A1631" t="s">
        <v>4308</v>
      </c>
      <c r="B1631" t="s">
        <v>98</v>
      </c>
      <c r="C1631" t="str">
        <f>_xlfn.XLOOKUP(Table7[[#This Row],[app_id]],Table5[app_id],Table5[app_name],"",0)</f>
        <v>ActiveMate</v>
      </c>
      <c r="D1631" t="s">
        <v>1722</v>
      </c>
      <c r="E1631" s="1">
        <v>45536</v>
      </c>
      <c r="F1631">
        <v>4</v>
      </c>
      <c r="G1631" t="s">
        <v>2625</v>
      </c>
      <c r="H1631" t="s">
        <v>2564</v>
      </c>
      <c r="I1631" t="s">
        <v>2565</v>
      </c>
      <c r="J1631" t="s">
        <v>2596</v>
      </c>
      <c r="K1631">
        <v>31</v>
      </c>
      <c r="L1631" s="13" t="s">
        <v>257</v>
      </c>
    </row>
    <row r="1632" spans="1:12" x14ac:dyDescent="0.25">
      <c r="A1632" t="s">
        <v>4309</v>
      </c>
      <c r="B1632" t="s">
        <v>100</v>
      </c>
      <c r="C1632" t="str">
        <f>_xlfn.XLOOKUP(Table7[[#This Row],[app_id]],Table5[app_id],Table5[app_name],"",0)</f>
        <v>RunGo</v>
      </c>
      <c r="D1632" t="s">
        <v>1766</v>
      </c>
      <c r="E1632" s="1">
        <v>45969</v>
      </c>
      <c r="F1632">
        <v>4</v>
      </c>
      <c r="G1632" t="s">
        <v>2613</v>
      </c>
      <c r="H1632" t="s">
        <v>2564</v>
      </c>
      <c r="I1632" t="s">
        <v>2558</v>
      </c>
      <c r="J1632" t="s">
        <v>2596</v>
      </c>
      <c r="K1632">
        <v>3</v>
      </c>
      <c r="L1632" s="13" t="s">
        <v>257</v>
      </c>
    </row>
    <row r="1633" spans="1:12" x14ac:dyDescent="0.25">
      <c r="A1633" t="s">
        <v>4310</v>
      </c>
      <c r="B1633" t="s">
        <v>102</v>
      </c>
      <c r="C1633" t="str">
        <f>_xlfn.XLOOKUP(Table7[[#This Row],[app_id]],Table5[app_id],Table5[app_name],"",0)</f>
        <v>LiftPro</v>
      </c>
      <c r="D1633" t="s">
        <v>1609</v>
      </c>
      <c r="E1633" s="1">
        <v>45377</v>
      </c>
      <c r="F1633">
        <v>3</v>
      </c>
      <c r="G1633" t="s">
        <v>2620</v>
      </c>
      <c r="H1633" t="s">
        <v>2554</v>
      </c>
      <c r="I1633" t="s">
        <v>2588</v>
      </c>
      <c r="J1633" t="s">
        <v>2569</v>
      </c>
      <c r="K1633">
        <v>6</v>
      </c>
      <c r="L1633" s="13" t="s">
        <v>257</v>
      </c>
    </row>
    <row r="1634" spans="1:12" x14ac:dyDescent="0.25">
      <c r="A1634" t="s">
        <v>4311</v>
      </c>
      <c r="B1634" t="s">
        <v>104</v>
      </c>
      <c r="C1634" t="str">
        <f>_xlfn.XLOOKUP(Table7[[#This Row],[app_id]],Table5[app_id],Table5[app_name],"",0)</f>
        <v>LiftPro</v>
      </c>
      <c r="D1634" t="s">
        <v>1025</v>
      </c>
      <c r="E1634" s="1">
        <v>45746</v>
      </c>
      <c r="F1634">
        <v>3</v>
      </c>
      <c r="G1634" t="s">
        <v>2620</v>
      </c>
      <c r="H1634" t="s">
        <v>2554</v>
      </c>
      <c r="I1634" t="s">
        <v>2588</v>
      </c>
      <c r="J1634" t="s">
        <v>2581</v>
      </c>
      <c r="K1634">
        <v>39</v>
      </c>
      <c r="L1634" s="13" t="s">
        <v>257</v>
      </c>
    </row>
    <row r="1635" spans="1:12" x14ac:dyDescent="0.25">
      <c r="A1635" t="s">
        <v>4312</v>
      </c>
      <c r="B1635" t="s">
        <v>105</v>
      </c>
      <c r="C1635" t="str">
        <f>_xlfn.XLOOKUP(Table7[[#This Row],[app_id]],Table5[app_id],Table5[app_name],"",0)</f>
        <v>Liftly</v>
      </c>
      <c r="D1635" t="s">
        <v>1852</v>
      </c>
      <c r="E1635" s="1">
        <v>45522</v>
      </c>
      <c r="F1635">
        <v>5</v>
      </c>
      <c r="G1635" t="s">
        <v>2622</v>
      </c>
      <c r="H1635" t="s">
        <v>2564</v>
      </c>
      <c r="I1635" t="s">
        <v>2558</v>
      </c>
      <c r="J1635" t="s">
        <v>2600</v>
      </c>
      <c r="K1635">
        <v>39</v>
      </c>
      <c r="L1635" s="13" t="s">
        <v>258</v>
      </c>
    </row>
    <row r="1636" spans="1:12" x14ac:dyDescent="0.25">
      <c r="A1636" t="s">
        <v>4313</v>
      </c>
      <c r="B1636" t="s">
        <v>107</v>
      </c>
      <c r="C1636" t="str">
        <f>_xlfn.XLOOKUP(Table7[[#This Row],[app_id]],Table5[app_id],Table5[app_name],"",0)</f>
        <v>YogaHub</v>
      </c>
      <c r="D1636" t="s">
        <v>1943</v>
      </c>
      <c r="E1636" s="1">
        <v>45392</v>
      </c>
      <c r="F1636">
        <v>5</v>
      </c>
      <c r="G1636" t="s">
        <v>2613</v>
      </c>
      <c r="H1636" t="s">
        <v>2564</v>
      </c>
      <c r="I1636" t="s">
        <v>2565</v>
      </c>
      <c r="J1636" t="s">
        <v>2603</v>
      </c>
      <c r="K1636">
        <v>25</v>
      </c>
      <c r="L1636" s="13" t="s">
        <v>258</v>
      </c>
    </row>
    <row r="1637" spans="1:12" x14ac:dyDescent="0.25">
      <c r="A1637" t="s">
        <v>4314</v>
      </c>
      <c r="B1637" t="s">
        <v>109</v>
      </c>
      <c r="C1637" t="str">
        <f>_xlfn.XLOOKUP(Table7[[#This Row],[app_id]],Table5[app_id],Table5[app_name],"",0)</f>
        <v>MoveGo</v>
      </c>
      <c r="D1637" t="s">
        <v>1755</v>
      </c>
      <c r="E1637" s="1">
        <v>46042</v>
      </c>
      <c r="F1637">
        <v>5</v>
      </c>
      <c r="G1637" t="s">
        <v>2625</v>
      </c>
      <c r="H1637" t="s">
        <v>2564</v>
      </c>
      <c r="I1637" t="s">
        <v>2575</v>
      </c>
      <c r="J1637" t="s">
        <v>2581</v>
      </c>
      <c r="K1637">
        <v>45</v>
      </c>
      <c r="L1637" s="13" t="s">
        <v>257</v>
      </c>
    </row>
    <row r="1638" spans="1:12" x14ac:dyDescent="0.25">
      <c r="A1638" t="s">
        <v>4315</v>
      </c>
      <c r="B1638" t="s">
        <v>111</v>
      </c>
      <c r="C1638" t="str">
        <f>_xlfn.XLOOKUP(Table7[[#This Row],[app_id]],Table5[app_id],Table5[app_name],"",0)</f>
        <v>BrightNow</v>
      </c>
      <c r="D1638" t="s">
        <v>1548</v>
      </c>
      <c r="E1638" s="1">
        <v>45541</v>
      </c>
      <c r="F1638">
        <v>2</v>
      </c>
      <c r="G1638" t="s">
        <v>2632</v>
      </c>
      <c r="H1638" t="s">
        <v>2587</v>
      </c>
      <c r="I1638" t="s">
        <v>2571</v>
      </c>
      <c r="J1638" t="s">
        <v>2633</v>
      </c>
      <c r="K1638">
        <v>22</v>
      </c>
      <c r="L1638" s="13" t="s">
        <v>258</v>
      </c>
    </row>
    <row r="1639" spans="1:12" x14ac:dyDescent="0.25">
      <c r="A1639" t="s">
        <v>4316</v>
      </c>
      <c r="B1639" t="s">
        <v>114</v>
      </c>
      <c r="C1639" t="str">
        <f>_xlfn.XLOOKUP(Table7[[#This Row],[app_id]],Table5[app_id],Table5[app_name],"",0)</f>
        <v>StudyCloud</v>
      </c>
      <c r="D1639" t="s">
        <v>1225</v>
      </c>
      <c r="E1639" s="1">
        <v>45702</v>
      </c>
      <c r="F1639">
        <v>2</v>
      </c>
      <c r="G1639" t="s">
        <v>3107</v>
      </c>
      <c r="H1639" t="s">
        <v>2587</v>
      </c>
      <c r="I1639" t="s">
        <v>2578</v>
      </c>
      <c r="J1639" t="s">
        <v>2581</v>
      </c>
      <c r="K1639">
        <v>13</v>
      </c>
      <c r="L1639" s="13" t="s">
        <v>257</v>
      </c>
    </row>
    <row r="1640" spans="1:12" x14ac:dyDescent="0.25">
      <c r="A1640" t="s">
        <v>4317</v>
      </c>
      <c r="B1640" t="s">
        <v>116</v>
      </c>
      <c r="C1640" t="str">
        <f>_xlfn.XLOOKUP(Table7[[#This Row],[app_id]],Table5[app_id],Table5[app_name],"",0)</f>
        <v>SkillNow</v>
      </c>
      <c r="D1640" t="s">
        <v>784</v>
      </c>
      <c r="E1640" s="1">
        <v>45329</v>
      </c>
      <c r="F1640">
        <v>4</v>
      </c>
      <c r="G1640" t="s">
        <v>2640</v>
      </c>
      <c r="H1640" t="s">
        <v>2564</v>
      </c>
      <c r="I1640" t="s">
        <v>2565</v>
      </c>
      <c r="J1640" t="s">
        <v>2559</v>
      </c>
      <c r="K1640">
        <v>19</v>
      </c>
      <c r="L1640" s="13" t="s">
        <v>257</v>
      </c>
    </row>
    <row r="1641" spans="1:12" x14ac:dyDescent="0.25">
      <c r="A1641" t="s">
        <v>4318</v>
      </c>
      <c r="B1641" t="s">
        <v>118</v>
      </c>
      <c r="C1641" t="str">
        <f>_xlfn.XLOOKUP(Table7[[#This Row],[app_id]],Table5[app_id],Table5[app_name],"",0)</f>
        <v>LearnMate</v>
      </c>
      <c r="D1641" t="s">
        <v>1399</v>
      </c>
      <c r="E1641" s="1">
        <v>45834</v>
      </c>
      <c r="F1641">
        <v>2</v>
      </c>
      <c r="G1641" t="s">
        <v>2632</v>
      </c>
      <c r="H1641" t="s">
        <v>2587</v>
      </c>
      <c r="I1641" t="s">
        <v>2558</v>
      </c>
      <c r="J1641" t="s">
        <v>2566</v>
      </c>
      <c r="K1641">
        <v>88</v>
      </c>
      <c r="L1641" s="13" t="s">
        <v>257</v>
      </c>
    </row>
    <row r="1642" spans="1:12" x14ac:dyDescent="0.25">
      <c r="A1642" t="s">
        <v>4319</v>
      </c>
      <c r="B1642" t="s">
        <v>120</v>
      </c>
      <c r="C1642" t="str">
        <f>_xlfn.XLOOKUP(Table7[[#This Row],[app_id]],Table5[app_id],Table5[app_name],"",0)</f>
        <v>QuestNow</v>
      </c>
      <c r="D1642" t="s">
        <v>1133</v>
      </c>
      <c r="E1642" s="1">
        <v>45432</v>
      </c>
      <c r="F1642">
        <v>3</v>
      </c>
      <c r="G1642" t="s">
        <v>2773</v>
      </c>
      <c r="H1642" t="s">
        <v>2554</v>
      </c>
      <c r="I1642" t="s">
        <v>2558</v>
      </c>
      <c r="J1642" t="s">
        <v>2633</v>
      </c>
      <c r="K1642">
        <v>18</v>
      </c>
      <c r="L1642" s="13" t="s">
        <v>257</v>
      </c>
    </row>
    <row r="1643" spans="1:12" x14ac:dyDescent="0.25">
      <c r="A1643" t="s">
        <v>4320</v>
      </c>
      <c r="B1643" t="s">
        <v>122</v>
      </c>
      <c r="C1643" t="str">
        <f>_xlfn.XLOOKUP(Table7[[#This Row],[app_id]],Table5[app_id],Table5[app_name],"",0)</f>
        <v>SkillHub</v>
      </c>
      <c r="D1643" t="s">
        <v>1266</v>
      </c>
      <c r="E1643" s="1">
        <v>45721</v>
      </c>
      <c r="F1643">
        <v>4</v>
      </c>
      <c r="G1643" t="s">
        <v>2640</v>
      </c>
      <c r="H1643" t="s">
        <v>2564</v>
      </c>
      <c r="I1643" t="s">
        <v>2558</v>
      </c>
      <c r="J1643" t="s">
        <v>2581</v>
      </c>
      <c r="K1643">
        <v>6</v>
      </c>
      <c r="L1643" s="13" t="s">
        <v>258</v>
      </c>
    </row>
    <row r="1644" spans="1:12" x14ac:dyDescent="0.25">
      <c r="A1644" t="s">
        <v>4321</v>
      </c>
      <c r="B1644" t="s">
        <v>124</v>
      </c>
      <c r="C1644" t="str">
        <f>_xlfn.XLOOKUP(Table7[[#This Row],[app_id]],Table5[app_id],Table5[app_name],"",0)</f>
        <v>TutorCloud</v>
      </c>
      <c r="D1644" t="s">
        <v>1249</v>
      </c>
      <c r="E1644" s="1">
        <v>45985</v>
      </c>
      <c r="F1644">
        <v>5</v>
      </c>
      <c r="G1644" t="s">
        <v>2635</v>
      </c>
      <c r="H1644" t="s">
        <v>2564</v>
      </c>
      <c r="I1644" t="s">
        <v>2565</v>
      </c>
      <c r="J1644" t="s">
        <v>2566</v>
      </c>
      <c r="K1644">
        <v>33</v>
      </c>
      <c r="L1644" s="13" t="s">
        <v>257</v>
      </c>
    </row>
    <row r="1645" spans="1:12" x14ac:dyDescent="0.25">
      <c r="A1645" t="s">
        <v>4322</v>
      </c>
      <c r="B1645" t="s">
        <v>126</v>
      </c>
      <c r="C1645" t="str">
        <f>_xlfn.XLOOKUP(Table7[[#This Row],[app_id]],Table5[app_id],Table5[app_name],"",0)</f>
        <v>SkillOne</v>
      </c>
      <c r="D1645" t="s">
        <v>2293</v>
      </c>
      <c r="E1645" s="1">
        <v>45625</v>
      </c>
      <c r="F1645">
        <v>2</v>
      </c>
      <c r="G1645" t="s">
        <v>3107</v>
      </c>
      <c r="H1645" t="s">
        <v>2587</v>
      </c>
      <c r="I1645" t="s">
        <v>2575</v>
      </c>
      <c r="J1645" t="s">
        <v>2633</v>
      </c>
      <c r="K1645">
        <v>17</v>
      </c>
      <c r="L1645" s="13" t="s">
        <v>257</v>
      </c>
    </row>
    <row r="1646" spans="1:12" x14ac:dyDescent="0.25">
      <c r="A1646" t="s">
        <v>4323</v>
      </c>
      <c r="B1646" t="s">
        <v>128</v>
      </c>
      <c r="C1646" t="str">
        <f>_xlfn.XLOOKUP(Table7[[#This Row],[app_id]],Table5[app_id],Table5[app_name],"",0)</f>
        <v>LearnOne</v>
      </c>
      <c r="D1646" t="s">
        <v>1571</v>
      </c>
      <c r="E1646" s="1">
        <v>45368</v>
      </c>
      <c r="F1646">
        <v>4</v>
      </c>
      <c r="G1646" t="s">
        <v>2780</v>
      </c>
      <c r="H1646" t="s">
        <v>2564</v>
      </c>
      <c r="I1646" t="s">
        <v>2555</v>
      </c>
      <c r="J1646" t="s">
        <v>2569</v>
      </c>
      <c r="K1646">
        <v>3</v>
      </c>
      <c r="L1646" s="13" t="s">
        <v>257</v>
      </c>
    </row>
    <row r="1647" spans="1:12" x14ac:dyDescent="0.25">
      <c r="A1647" t="s">
        <v>4324</v>
      </c>
      <c r="B1647" t="s">
        <v>130</v>
      </c>
      <c r="C1647" t="str">
        <f>_xlfn.XLOOKUP(Table7[[#This Row],[app_id]],Table5[app_id],Table5[app_name],"",0)</f>
        <v>LearnPlus</v>
      </c>
      <c r="D1647" t="s">
        <v>1052</v>
      </c>
      <c r="E1647" s="1">
        <v>45559</v>
      </c>
      <c r="F1647">
        <v>4</v>
      </c>
      <c r="G1647" t="s">
        <v>2640</v>
      </c>
      <c r="H1647" t="s">
        <v>2564</v>
      </c>
      <c r="I1647" t="s">
        <v>2575</v>
      </c>
      <c r="J1647" t="s">
        <v>2603</v>
      </c>
      <c r="K1647">
        <v>42</v>
      </c>
      <c r="L1647" s="13" t="s">
        <v>257</v>
      </c>
    </row>
    <row r="1648" spans="1:12" x14ac:dyDescent="0.25">
      <c r="A1648" t="s">
        <v>4325</v>
      </c>
      <c r="B1648" t="s">
        <v>132</v>
      </c>
      <c r="C1648" t="str">
        <f>_xlfn.XLOOKUP(Table7[[#This Row],[app_id]],Table5[app_id],Table5[app_name],"",0)</f>
        <v>StudyPlus</v>
      </c>
      <c r="D1648" t="s">
        <v>957</v>
      </c>
      <c r="E1648" s="1">
        <v>45775</v>
      </c>
      <c r="F1648">
        <v>4</v>
      </c>
      <c r="G1648" t="s">
        <v>2638</v>
      </c>
      <c r="H1648" t="s">
        <v>2564</v>
      </c>
      <c r="I1648" t="s">
        <v>2558</v>
      </c>
      <c r="J1648" t="s">
        <v>2569</v>
      </c>
      <c r="K1648">
        <v>10</v>
      </c>
      <c r="L1648" s="13" t="s">
        <v>257</v>
      </c>
    </row>
    <row r="1649" spans="1:12" x14ac:dyDescent="0.25">
      <c r="A1649" t="s">
        <v>4326</v>
      </c>
      <c r="B1649" t="s">
        <v>134</v>
      </c>
      <c r="C1649" t="str">
        <f>_xlfn.XLOOKUP(Table7[[#This Row],[app_id]],Table5[app_id],Table5[app_name],"",0)</f>
        <v>StudyX</v>
      </c>
      <c r="D1649" t="s">
        <v>1843</v>
      </c>
      <c r="E1649" s="1">
        <v>45772</v>
      </c>
      <c r="F1649">
        <v>4</v>
      </c>
      <c r="G1649" t="s">
        <v>2635</v>
      </c>
      <c r="H1649" t="s">
        <v>2564</v>
      </c>
      <c r="I1649" t="s">
        <v>2555</v>
      </c>
      <c r="J1649" t="s">
        <v>2600</v>
      </c>
      <c r="K1649">
        <v>38</v>
      </c>
      <c r="L1649" s="13" t="s">
        <v>257</v>
      </c>
    </row>
    <row r="1650" spans="1:12" x14ac:dyDescent="0.25">
      <c r="A1650" t="s">
        <v>4327</v>
      </c>
      <c r="B1650" t="s">
        <v>136</v>
      </c>
      <c r="C1650" t="str">
        <f>_xlfn.XLOOKUP(Table7[[#This Row],[app_id]],Table5[app_id],Table5[app_name],"",0)</f>
        <v>PlayPlus</v>
      </c>
      <c r="D1650" t="s">
        <v>1307</v>
      </c>
      <c r="E1650" s="1">
        <v>46052</v>
      </c>
      <c r="F1650">
        <v>4</v>
      </c>
      <c r="G1650" t="s">
        <v>2650</v>
      </c>
      <c r="H1650" t="s">
        <v>2564</v>
      </c>
      <c r="I1650" t="s">
        <v>2575</v>
      </c>
      <c r="J1650" t="s">
        <v>2566</v>
      </c>
      <c r="K1650">
        <v>30</v>
      </c>
      <c r="L1650" s="13" t="s">
        <v>258</v>
      </c>
    </row>
    <row r="1651" spans="1:12" x14ac:dyDescent="0.25">
      <c r="A1651" t="s">
        <v>4328</v>
      </c>
      <c r="B1651" t="s">
        <v>139</v>
      </c>
      <c r="C1651" t="str">
        <f>_xlfn.XLOOKUP(Table7[[#This Row],[app_id]],Table5[app_id],Table5[app_name],"",0)</f>
        <v>ShowMate</v>
      </c>
      <c r="D1651" t="s">
        <v>1320</v>
      </c>
      <c r="E1651" s="1">
        <v>45523</v>
      </c>
      <c r="F1651">
        <v>4</v>
      </c>
      <c r="G1651" t="s">
        <v>2789</v>
      </c>
      <c r="H1651" t="s">
        <v>2564</v>
      </c>
      <c r="I1651" t="s">
        <v>2555</v>
      </c>
      <c r="J1651" t="s">
        <v>2603</v>
      </c>
      <c r="K1651">
        <v>20</v>
      </c>
      <c r="L1651" s="13" t="s">
        <v>257</v>
      </c>
    </row>
    <row r="1652" spans="1:12" x14ac:dyDescent="0.25">
      <c r="A1652" t="s">
        <v>4329</v>
      </c>
      <c r="B1652" t="s">
        <v>141</v>
      </c>
      <c r="C1652" t="str">
        <f>_xlfn.XLOOKUP(Table7[[#This Row],[app_id]],Table5[app_id],Table5[app_name],"",0)</f>
        <v>VibeX</v>
      </c>
      <c r="D1652" t="s">
        <v>2184</v>
      </c>
      <c r="E1652" s="1">
        <v>45569</v>
      </c>
      <c r="F1652">
        <v>4</v>
      </c>
      <c r="G1652" t="s">
        <v>2789</v>
      </c>
      <c r="H1652" t="s">
        <v>2564</v>
      </c>
      <c r="I1652" t="s">
        <v>2575</v>
      </c>
      <c r="J1652" t="s">
        <v>2566</v>
      </c>
      <c r="K1652">
        <v>20</v>
      </c>
      <c r="L1652" s="13" t="s">
        <v>257</v>
      </c>
    </row>
    <row r="1653" spans="1:12" x14ac:dyDescent="0.25">
      <c r="A1653" t="s">
        <v>4330</v>
      </c>
      <c r="B1653" t="s">
        <v>143</v>
      </c>
      <c r="C1653" t="str">
        <f>_xlfn.XLOOKUP(Table7[[#This Row],[app_id]],Table5[app_id],Table5[app_name],"",0)</f>
        <v>BuzzNow</v>
      </c>
      <c r="D1653" t="s">
        <v>1114</v>
      </c>
      <c r="E1653" s="1">
        <v>46113</v>
      </c>
      <c r="F1653">
        <v>4</v>
      </c>
      <c r="G1653" t="s">
        <v>2650</v>
      </c>
      <c r="H1653" t="s">
        <v>2564</v>
      </c>
      <c r="I1653" t="s">
        <v>2555</v>
      </c>
      <c r="J1653" t="s">
        <v>2581</v>
      </c>
      <c r="K1653">
        <v>18</v>
      </c>
      <c r="L1653" s="13" t="s">
        <v>258</v>
      </c>
    </row>
    <row r="1654" spans="1:12" x14ac:dyDescent="0.25">
      <c r="A1654" t="s">
        <v>4331</v>
      </c>
      <c r="B1654" t="s">
        <v>145</v>
      </c>
      <c r="C1654" t="str">
        <f>_xlfn.XLOOKUP(Table7[[#This Row],[app_id]],Table5[app_id],Table5[app_name],"",0)</f>
        <v>StreamPlus</v>
      </c>
      <c r="D1654" t="s">
        <v>1444</v>
      </c>
      <c r="E1654" s="1">
        <v>45548</v>
      </c>
      <c r="F1654">
        <v>4</v>
      </c>
      <c r="G1654" t="s">
        <v>2905</v>
      </c>
      <c r="H1654" t="s">
        <v>2564</v>
      </c>
      <c r="I1654" t="s">
        <v>2565</v>
      </c>
      <c r="J1654" t="s">
        <v>2633</v>
      </c>
      <c r="K1654">
        <v>6</v>
      </c>
      <c r="L1654" s="13" t="s">
        <v>257</v>
      </c>
    </row>
    <row r="1655" spans="1:12" x14ac:dyDescent="0.25">
      <c r="A1655" t="s">
        <v>4332</v>
      </c>
      <c r="B1655" t="s">
        <v>147</v>
      </c>
      <c r="C1655" t="str">
        <f>_xlfn.XLOOKUP(Table7[[#This Row],[app_id]],Table5[app_id],Table5[app_name],"",0)</f>
        <v>Showly</v>
      </c>
      <c r="D1655" t="s">
        <v>2461</v>
      </c>
      <c r="E1655" s="1">
        <v>45407</v>
      </c>
      <c r="F1655">
        <v>2</v>
      </c>
      <c r="G1655" t="s">
        <v>2907</v>
      </c>
      <c r="H1655" t="s">
        <v>2587</v>
      </c>
      <c r="I1655" t="s">
        <v>2555</v>
      </c>
      <c r="J1655" t="s">
        <v>2600</v>
      </c>
      <c r="K1655">
        <v>14</v>
      </c>
      <c r="L1655" s="13" t="s">
        <v>257</v>
      </c>
    </row>
    <row r="1656" spans="1:12" x14ac:dyDescent="0.25">
      <c r="A1656" t="s">
        <v>4333</v>
      </c>
      <c r="B1656" t="s">
        <v>149</v>
      </c>
      <c r="C1656" t="str">
        <f>_xlfn.XLOOKUP(Table7[[#This Row],[app_id]],Table5[app_id],Table5[app_name],"",0)</f>
        <v>BuzzOne</v>
      </c>
      <c r="D1656" t="s">
        <v>1859</v>
      </c>
      <c r="E1656" s="1">
        <v>45295</v>
      </c>
      <c r="F1656">
        <v>5</v>
      </c>
      <c r="G1656" t="s">
        <v>2905</v>
      </c>
      <c r="H1656" t="s">
        <v>2564</v>
      </c>
      <c r="I1656" t="s">
        <v>2575</v>
      </c>
      <c r="J1656" t="s">
        <v>2633</v>
      </c>
      <c r="K1656">
        <v>24</v>
      </c>
      <c r="L1656" s="13" t="s">
        <v>257</v>
      </c>
    </row>
    <row r="1657" spans="1:12" x14ac:dyDescent="0.25">
      <c r="A1657" t="s">
        <v>4334</v>
      </c>
      <c r="B1657" t="s">
        <v>151</v>
      </c>
      <c r="C1657" t="str">
        <f>_xlfn.XLOOKUP(Table7[[#This Row],[app_id]],Table5[app_id],Table5[app_name],"",0)</f>
        <v>PlayHub</v>
      </c>
      <c r="D1657" t="s">
        <v>825</v>
      </c>
      <c r="E1657" s="1">
        <v>45968</v>
      </c>
      <c r="F1657">
        <v>5</v>
      </c>
      <c r="G1657" t="s">
        <v>2652</v>
      </c>
      <c r="H1657" t="s">
        <v>2564</v>
      </c>
      <c r="I1657" t="s">
        <v>2575</v>
      </c>
      <c r="J1657" t="s">
        <v>2596</v>
      </c>
      <c r="K1657">
        <v>27</v>
      </c>
      <c r="L1657" s="13" t="s">
        <v>257</v>
      </c>
    </row>
    <row r="1658" spans="1:12" x14ac:dyDescent="0.25">
      <c r="A1658" t="s">
        <v>4335</v>
      </c>
      <c r="B1658" t="s">
        <v>153</v>
      </c>
      <c r="C1658" t="str">
        <f>_xlfn.XLOOKUP(Table7[[#This Row],[app_id]],Table5[app_id],Table5[app_name],"",0)</f>
        <v>CinemaGo</v>
      </c>
      <c r="D1658" t="s">
        <v>1742</v>
      </c>
      <c r="E1658" s="1">
        <v>46074</v>
      </c>
      <c r="F1658">
        <v>4</v>
      </c>
      <c r="G1658" t="s">
        <v>2652</v>
      </c>
      <c r="H1658" t="s">
        <v>2564</v>
      </c>
      <c r="I1658" t="s">
        <v>2555</v>
      </c>
      <c r="J1658" t="s">
        <v>2569</v>
      </c>
      <c r="K1658">
        <v>16</v>
      </c>
      <c r="L1658" s="13" t="s">
        <v>257</v>
      </c>
    </row>
    <row r="1659" spans="1:12" x14ac:dyDescent="0.25">
      <c r="A1659" t="s">
        <v>4336</v>
      </c>
      <c r="B1659" t="s">
        <v>155</v>
      </c>
      <c r="C1659" t="str">
        <f>_xlfn.XLOOKUP(Table7[[#This Row],[app_id]],Table5[app_id],Table5[app_name],"",0)</f>
        <v>LaughX</v>
      </c>
      <c r="D1659" t="s">
        <v>2524</v>
      </c>
      <c r="E1659" s="1">
        <v>45333</v>
      </c>
      <c r="F1659">
        <v>3</v>
      </c>
      <c r="G1659" t="s">
        <v>2663</v>
      </c>
      <c r="H1659" t="s">
        <v>2554</v>
      </c>
      <c r="I1659" t="s">
        <v>2555</v>
      </c>
      <c r="J1659" t="s">
        <v>2600</v>
      </c>
      <c r="K1659">
        <v>17</v>
      </c>
      <c r="L1659" s="13" t="s">
        <v>258</v>
      </c>
    </row>
    <row r="1660" spans="1:12" x14ac:dyDescent="0.25">
      <c r="A1660" t="s">
        <v>4337</v>
      </c>
      <c r="B1660" t="s">
        <v>157</v>
      </c>
      <c r="C1660" t="str">
        <f>_xlfn.XLOOKUP(Table7[[#This Row],[app_id]],Table5[app_id],Table5[app_name],"",0)</f>
        <v>CinemaHub</v>
      </c>
      <c r="D1660" t="s">
        <v>1571</v>
      </c>
      <c r="E1660" s="1">
        <v>45639</v>
      </c>
      <c r="F1660">
        <v>4</v>
      </c>
      <c r="G1660" t="s">
        <v>2789</v>
      </c>
      <c r="H1660" t="s">
        <v>2564</v>
      </c>
      <c r="I1660" t="s">
        <v>2575</v>
      </c>
      <c r="J1660" t="s">
        <v>2581</v>
      </c>
      <c r="K1660">
        <v>14</v>
      </c>
      <c r="L1660" s="13" t="s">
        <v>257</v>
      </c>
    </row>
    <row r="1661" spans="1:12" x14ac:dyDescent="0.25">
      <c r="A1661" t="s">
        <v>4338</v>
      </c>
      <c r="B1661" t="s">
        <v>159</v>
      </c>
      <c r="C1661" t="str">
        <f>_xlfn.XLOOKUP(Table7[[#This Row],[app_id]],Table5[app_id],Table5[app_name],"",0)</f>
        <v>ShowPro</v>
      </c>
      <c r="D1661" t="s">
        <v>1353</v>
      </c>
      <c r="E1661" s="1">
        <v>45841</v>
      </c>
      <c r="F1661">
        <v>3</v>
      </c>
      <c r="G1661" t="s">
        <v>2793</v>
      </c>
      <c r="H1661" t="s">
        <v>2554</v>
      </c>
      <c r="I1661" t="s">
        <v>2558</v>
      </c>
      <c r="J1661" t="s">
        <v>2603</v>
      </c>
      <c r="K1661">
        <v>10</v>
      </c>
      <c r="L1661" s="13" t="s">
        <v>257</v>
      </c>
    </row>
    <row r="1662" spans="1:12" x14ac:dyDescent="0.25">
      <c r="A1662" t="s">
        <v>4339</v>
      </c>
      <c r="B1662" t="s">
        <v>161</v>
      </c>
      <c r="C1662" t="str">
        <f>_xlfn.XLOOKUP(Table7[[#This Row],[app_id]],Table5[app_id],Table5[app_name],"",0)</f>
        <v>FoodPlus</v>
      </c>
      <c r="D1662" t="s">
        <v>615</v>
      </c>
      <c r="E1662" s="1">
        <v>45506</v>
      </c>
      <c r="F1662">
        <v>3</v>
      </c>
      <c r="G1662" t="s">
        <v>2670</v>
      </c>
      <c r="H1662" t="s">
        <v>2554</v>
      </c>
      <c r="I1662" t="s">
        <v>2584</v>
      </c>
      <c r="J1662" t="s">
        <v>2569</v>
      </c>
      <c r="K1662">
        <v>34</v>
      </c>
      <c r="L1662" s="13" t="s">
        <v>257</v>
      </c>
    </row>
    <row r="1663" spans="1:12" x14ac:dyDescent="0.25">
      <c r="A1663" t="s">
        <v>4340</v>
      </c>
      <c r="B1663" t="s">
        <v>164</v>
      </c>
      <c r="C1663" t="str">
        <f>_xlfn.XLOOKUP(Table7[[#This Row],[app_id]],Table5[app_id],Table5[app_name],"",0)</f>
        <v>BiteGo</v>
      </c>
      <c r="D1663" t="s">
        <v>1213</v>
      </c>
      <c r="E1663" s="1">
        <v>45758</v>
      </c>
      <c r="F1663">
        <v>4</v>
      </c>
      <c r="G1663" t="s">
        <v>2806</v>
      </c>
      <c r="H1663" t="s">
        <v>2564</v>
      </c>
      <c r="I1663" t="s">
        <v>2565</v>
      </c>
      <c r="J1663" t="s">
        <v>2556</v>
      </c>
      <c r="K1663">
        <v>46</v>
      </c>
      <c r="L1663" s="13" t="s">
        <v>257</v>
      </c>
    </row>
    <row r="1664" spans="1:12" x14ac:dyDescent="0.25">
      <c r="A1664" t="s">
        <v>4341</v>
      </c>
      <c r="B1664" t="s">
        <v>166</v>
      </c>
      <c r="C1664" t="str">
        <f>_xlfn.XLOOKUP(Table7[[#This Row],[app_id]],Table5[app_id],Table5[app_name],"",0)</f>
        <v>OrderCloud</v>
      </c>
      <c r="D1664" t="s">
        <v>1562</v>
      </c>
      <c r="E1664" s="1">
        <v>45491</v>
      </c>
      <c r="F1664">
        <v>3</v>
      </c>
      <c r="G1664" t="s">
        <v>2670</v>
      </c>
      <c r="H1664" t="s">
        <v>2554</v>
      </c>
      <c r="I1664" t="s">
        <v>2558</v>
      </c>
      <c r="J1664" t="s">
        <v>2600</v>
      </c>
      <c r="K1664">
        <v>19</v>
      </c>
      <c r="L1664" s="13" t="s">
        <v>257</v>
      </c>
    </row>
    <row r="1665" spans="1:12" x14ac:dyDescent="0.25">
      <c r="A1665" t="s">
        <v>4342</v>
      </c>
      <c r="B1665" t="s">
        <v>168</v>
      </c>
      <c r="C1665" t="str">
        <f>_xlfn.XLOOKUP(Table7[[#This Row],[app_id]],Table5[app_id],Table5[app_name],"",0)</f>
        <v>DinePlus</v>
      </c>
      <c r="D1665" t="s">
        <v>730</v>
      </c>
      <c r="E1665" s="1">
        <v>45714</v>
      </c>
      <c r="F1665">
        <v>3</v>
      </c>
      <c r="G1665" t="s">
        <v>2668</v>
      </c>
      <c r="H1665" t="s">
        <v>2554</v>
      </c>
      <c r="I1665" t="s">
        <v>2565</v>
      </c>
      <c r="J1665" t="s">
        <v>2569</v>
      </c>
      <c r="K1665">
        <v>17</v>
      </c>
      <c r="L1665" s="13" t="s">
        <v>257</v>
      </c>
    </row>
    <row r="1666" spans="1:12" x14ac:dyDescent="0.25">
      <c r="A1666" t="s">
        <v>4343</v>
      </c>
      <c r="B1666" t="s">
        <v>170</v>
      </c>
      <c r="C1666" t="str">
        <f>_xlfn.XLOOKUP(Table7[[#This Row],[app_id]],Table5[app_id],Table5[app_name],"",0)</f>
        <v>SnackX</v>
      </c>
      <c r="D1666" t="s">
        <v>1137</v>
      </c>
      <c r="E1666" s="1">
        <v>45877</v>
      </c>
      <c r="F1666">
        <v>5</v>
      </c>
      <c r="G1666" t="s">
        <v>2676</v>
      </c>
      <c r="H1666" t="s">
        <v>2564</v>
      </c>
      <c r="I1666" t="s">
        <v>2571</v>
      </c>
      <c r="J1666" t="s">
        <v>2556</v>
      </c>
      <c r="K1666">
        <v>22</v>
      </c>
      <c r="L1666" s="13" t="s">
        <v>257</v>
      </c>
    </row>
    <row r="1667" spans="1:12" x14ac:dyDescent="0.25">
      <c r="A1667" t="s">
        <v>4344</v>
      </c>
      <c r="B1667" t="s">
        <v>172</v>
      </c>
      <c r="C1667" t="str">
        <f>_xlfn.XLOOKUP(Table7[[#This Row],[app_id]],Table5[app_id],Table5[app_name],"",0)</f>
        <v>FoodOne</v>
      </c>
      <c r="D1667" t="s">
        <v>1888</v>
      </c>
      <c r="E1667" s="1">
        <v>45770</v>
      </c>
      <c r="F1667">
        <v>4</v>
      </c>
      <c r="G1667" t="s">
        <v>2679</v>
      </c>
      <c r="H1667" t="s">
        <v>2564</v>
      </c>
      <c r="I1667" t="s">
        <v>2575</v>
      </c>
      <c r="J1667" t="s">
        <v>2556</v>
      </c>
      <c r="K1667">
        <v>39</v>
      </c>
      <c r="L1667" s="13" t="s">
        <v>258</v>
      </c>
    </row>
    <row r="1668" spans="1:12" x14ac:dyDescent="0.25">
      <c r="A1668" t="s">
        <v>4345</v>
      </c>
      <c r="B1668" t="s">
        <v>174</v>
      </c>
      <c r="C1668" t="str">
        <f>_xlfn.XLOOKUP(Table7[[#This Row],[app_id]],Table5[app_id],Table5[app_name],"",0)</f>
        <v>MealMate</v>
      </c>
      <c r="D1668" t="s">
        <v>732</v>
      </c>
      <c r="E1668" s="1">
        <v>45351</v>
      </c>
      <c r="F1668">
        <v>3</v>
      </c>
      <c r="G1668" t="s">
        <v>2672</v>
      </c>
      <c r="H1668" t="s">
        <v>2554</v>
      </c>
      <c r="I1668" t="s">
        <v>2588</v>
      </c>
      <c r="J1668" t="s">
        <v>2566</v>
      </c>
      <c r="K1668">
        <v>5</v>
      </c>
      <c r="L1668" s="13" t="s">
        <v>257</v>
      </c>
    </row>
    <row r="1669" spans="1:12" x14ac:dyDescent="0.25">
      <c r="A1669" t="s">
        <v>4346</v>
      </c>
      <c r="B1669" t="s">
        <v>176</v>
      </c>
      <c r="C1669" t="str">
        <f>_xlfn.XLOOKUP(Table7[[#This Row],[app_id]],Table5[app_id],Table5[app_name],"",0)</f>
        <v>SnackHub</v>
      </c>
      <c r="D1669" t="s">
        <v>645</v>
      </c>
      <c r="E1669" s="1">
        <v>45905</v>
      </c>
      <c r="F1669">
        <v>3</v>
      </c>
      <c r="G1669" t="s">
        <v>2672</v>
      </c>
      <c r="H1669" t="s">
        <v>2554</v>
      </c>
      <c r="I1669" t="s">
        <v>2584</v>
      </c>
      <c r="J1669" t="s">
        <v>2556</v>
      </c>
      <c r="K1669">
        <v>14</v>
      </c>
      <c r="L1669" s="13" t="s">
        <v>257</v>
      </c>
    </row>
    <row r="1670" spans="1:12" x14ac:dyDescent="0.25">
      <c r="A1670" t="s">
        <v>4347</v>
      </c>
      <c r="B1670" t="s">
        <v>178</v>
      </c>
      <c r="C1670" t="str">
        <f>_xlfn.XLOOKUP(Table7[[#This Row],[app_id]],Table5[app_id],Table5[app_name],"",0)</f>
        <v>BiteCloud</v>
      </c>
      <c r="D1670" t="s">
        <v>1033</v>
      </c>
      <c r="E1670" s="1">
        <v>45727</v>
      </c>
      <c r="F1670">
        <v>4</v>
      </c>
      <c r="G1670" t="s">
        <v>2679</v>
      </c>
      <c r="H1670" t="s">
        <v>2564</v>
      </c>
      <c r="I1670" t="s">
        <v>2555</v>
      </c>
      <c r="J1670" t="s">
        <v>2569</v>
      </c>
      <c r="K1670">
        <v>21</v>
      </c>
      <c r="L1670" s="13" t="s">
        <v>258</v>
      </c>
    </row>
    <row r="1671" spans="1:12" x14ac:dyDescent="0.25">
      <c r="A1671" t="s">
        <v>4348</v>
      </c>
      <c r="B1671" t="s">
        <v>180</v>
      </c>
      <c r="C1671" t="str">
        <f>_xlfn.XLOOKUP(Table7[[#This Row],[app_id]],Table5[app_id],Table5[app_name],"",0)</f>
        <v>PlatePlus</v>
      </c>
      <c r="D1671" t="s">
        <v>1566</v>
      </c>
      <c r="E1671" s="1">
        <v>45638</v>
      </c>
      <c r="F1671">
        <v>3</v>
      </c>
      <c r="G1671" t="s">
        <v>2670</v>
      </c>
      <c r="H1671" t="s">
        <v>2554</v>
      </c>
      <c r="I1671" t="s">
        <v>2555</v>
      </c>
      <c r="J1671" t="s">
        <v>2566</v>
      </c>
      <c r="K1671">
        <v>2</v>
      </c>
      <c r="L1671" s="13" t="s">
        <v>257</v>
      </c>
    </row>
    <row r="1672" spans="1:12" x14ac:dyDescent="0.25">
      <c r="A1672" t="s">
        <v>4349</v>
      </c>
      <c r="B1672" t="s">
        <v>182</v>
      </c>
      <c r="C1672" t="str">
        <f>_xlfn.XLOOKUP(Table7[[#This Row],[app_id]],Table5[app_id],Table5[app_name],"",0)</f>
        <v>VoyageGo</v>
      </c>
      <c r="D1672" t="s">
        <v>638</v>
      </c>
      <c r="E1672" s="1">
        <v>45625</v>
      </c>
      <c r="F1672">
        <v>4</v>
      </c>
      <c r="G1672" t="s">
        <v>2929</v>
      </c>
      <c r="H1672" t="s">
        <v>2564</v>
      </c>
      <c r="I1672" t="s">
        <v>2575</v>
      </c>
      <c r="J1672" t="s">
        <v>2556</v>
      </c>
      <c r="K1672">
        <v>18</v>
      </c>
      <c r="L1672" s="13" t="s">
        <v>257</v>
      </c>
    </row>
    <row r="1673" spans="1:12" x14ac:dyDescent="0.25">
      <c r="A1673" t="s">
        <v>4350</v>
      </c>
      <c r="B1673" t="s">
        <v>185</v>
      </c>
      <c r="C1673" t="str">
        <f>_xlfn.XLOOKUP(Table7[[#This Row],[app_id]],Table5[app_id],Table5[app_name],"",0)</f>
        <v>TripOne</v>
      </c>
      <c r="D1673" t="s">
        <v>2443</v>
      </c>
      <c r="E1673" s="1">
        <v>45361</v>
      </c>
      <c r="F1673">
        <v>2</v>
      </c>
      <c r="G1673" t="s">
        <v>3148</v>
      </c>
      <c r="H1673" t="s">
        <v>2587</v>
      </c>
      <c r="I1673" t="s">
        <v>2578</v>
      </c>
      <c r="J1673" t="s">
        <v>2603</v>
      </c>
      <c r="K1673">
        <v>50</v>
      </c>
      <c r="L1673" s="13" t="s">
        <v>258</v>
      </c>
    </row>
    <row r="1674" spans="1:12" x14ac:dyDescent="0.25">
      <c r="A1674" t="s">
        <v>4351</v>
      </c>
      <c r="B1674" t="s">
        <v>187</v>
      </c>
      <c r="C1674" t="str">
        <f>_xlfn.XLOOKUP(Table7[[#This Row],[app_id]],Table5[app_id],Table5[app_name],"",0)</f>
        <v>FlyGo</v>
      </c>
      <c r="D1674" t="s">
        <v>688</v>
      </c>
      <c r="E1674" s="1">
        <v>46052</v>
      </c>
      <c r="F1674">
        <v>4</v>
      </c>
      <c r="G1674" t="s">
        <v>2687</v>
      </c>
      <c r="H1674" t="s">
        <v>2564</v>
      </c>
      <c r="I1674" t="s">
        <v>2565</v>
      </c>
      <c r="J1674" t="s">
        <v>2581</v>
      </c>
      <c r="K1674">
        <v>13</v>
      </c>
      <c r="L1674" s="13" t="s">
        <v>258</v>
      </c>
    </row>
    <row r="1675" spans="1:12" x14ac:dyDescent="0.25">
      <c r="A1675" t="s">
        <v>4352</v>
      </c>
      <c r="B1675" t="s">
        <v>189</v>
      </c>
      <c r="C1675" t="str">
        <f>_xlfn.XLOOKUP(Table7[[#This Row],[app_id]],Table5[app_id],Table5[app_name],"",0)</f>
        <v>MapX</v>
      </c>
      <c r="D1675" t="s">
        <v>921</v>
      </c>
      <c r="E1675" s="1">
        <v>45964</v>
      </c>
      <c r="F1675">
        <v>4</v>
      </c>
      <c r="G1675" t="s">
        <v>2687</v>
      </c>
      <c r="H1675" t="s">
        <v>2564</v>
      </c>
      <c r="I1675" t="s">
        <v>2555</v>
      </c>
      <c r="J1675" t="s">
        <v>2569</v>
      </c>
      <c r="K1675">
        <v>47</v>
      </c>
      <c r="L1675" s="13" t="s">
        <v>257</v>
      </c>
    </row>
    <row r="1676" spans="1:12" x14ac:dyDescent="0.25">
      <c r="A1676" t="s">
        <v>4353</v>
      </c>
      <c r="B1676" t="s">
        <v>191</v>
      </c>
      <c r="C1676" t="str">
        <f>_xlfn.XLOOKUP(Table7[[#This Row],[app_id]],Table5[app_id],Table5[app_name],"",0)</f>
        <v>StayX</v>
      </c>
      <c r="D1676" t="s">
        <v>1491</v>
      </c>
      <c r="E1676" s="1">
        <v>45777</v>
      </c>
      <c r="F1676">
        <v>3</v>
      </c>
      <c r="G1676" t="s">
        <v>2815</v>
      </c>
      <c r="H1676" t="s">
        <v>2554</v>
      </c>
      <c r="I1676" t="s">
        <v>2565</v>
      </c>
      <c r="J1676" t="s">
        <v>2569</v>
      </c>
      <c r="K1676">
        <v>43</v>
      </c>
      <c r="L1676" s="13" t="s">
        <v>257</v>
      </c>
    </row>
    <row r="1677" spans="1:12" x14ac:dyDescent="0.25">
      <c r="A1677" t="s">
        <v>4354</v>
      </c>
      <c r="B1677" t="s">
        <v>193</v>
      </c>
      <c r="C1677" t="str">
        <f>_xlfn.XLOOKUP(Table7[[#This Row],[app_id]],Table5[app_id],Table5[app_name],"",0)</f>
        <v>GoNow</v>
      </c>
      <c r="D1677" t="s">
        <v>1125</v>
      </c>
      <c r="E1677" s="1">
        <v>45914</v>
      </c>
      <c r="F1677">
        <v>4</v>
      </c>
      <c r="G1677" t="s">
        <v>2683</v>
      </c>
      <c r="H1677" t="s">
        <v>2564</v>
      </c>
      <c r="I1677" t="s">
        <v>2575</v>
      </c>
      <c r="J1677" t="s">
        <v>2569</v>
      </c>
      <c r="K1677">
        <v>30</v>
      </c>
      <c r="L1677" s="13" t="s">
        <v>257</v>
      </c>
    </row>
    <row r="1678" spans="1:12" x14ac:dyDescent="0.25">
      <c r="A1678" t="s">
        <v>4355</v>
      </c>
      <c r="B1678" t="s">
        <v>195</v>
      </c>
      <c r="C1678" t="str">
        <f>_xlfn.XLOOKUP(Table7[[#This Row],[app_id]],Table5[app_id],Table5[app_name],"",0)</f>
        <v>RouteGo</v>
      </c>
      <c r="D1678" t="s">
        <v>1143</v>
      </c>
      <c r="E1678" s="1">
        <v>46058</v>
      </c>
      <c r="F1678">
        <v>4</v>
      </c>
      <c r="G1678" t="s">
        <v>2683</v>
      </c>
      <c r="H1678" t="s">
        <v>2564</v>
      </c>
      <c r="I1678" t="s">
        <v>2558</v>
      </c>
      <c r="J1678" t="s">
        <v>2569</v>
      </c>
      <c r="K1678">
        <v>10</v>
      </c>
      <c r="L1678" s="13" t="s">
        <v>257</v>
      </c>
    </row>
    <row r="1679" spans="1:12" x14ac:dyDescent="0.25">
      <c r="A1679" t="s">
        <v>4356</v>
      </c>
      <c r="B1679" t="s">
        <v>197</v>
      </c>
      <c r="C1679" t="str">
        <f>_xlfn.XLOOKUP(Table7[[#This Row],[app_id]],Table5[app_id],Table5[app_name],"",0)</f>
        <v>TripGo</v>
      </c>
      <c r="D1679" t="s">
        <v>2282</v>
      </c>
      <c r="E1679" s="1">
        <v>45983</v>
      </c>
      <c r="F1679">
        <v>4</v>
      </c>
      <c r="G1679" t="s">
        <v>2931</v>
      </c>
      <c r="H1679" t="s">
        <v>2564</v>
      </c>
      <c r="I1679" t="s">
        <v>2575</v>
      </c>
      <c r="J1679" t="s">
        <v>2556</v>
      </c>
      <c r="K1679">
        <v>6</v>
      </c>
      <c r="L1679" s="13" t="s">
        <v>257</v>
      </c>
    </row>
    <row r="1680" spans="1:12" x14ac:dyDescent="0.25">
      <c r="A1680" t="s">
        <v>4357</v>
      </c>
      <c r="B1680" t="s">
        <v>199</v>
      </c>
      <c r="C1680" t="str">
        <f>_xlfn.XLOOKUP(Table7[[#This Row],[app_id]],Table5[app_id],Table5[app_name],"",0)</f>
        <v>Flyly</v>
      </c>
      <c r="D1680" t="s">
        <v>2159</v>
      </c>
      <c r="E1680" s="1">
        <v>46025</v>
      </c>
      <c r="F1680">
        <v>4</v>
      </c>
      <c r="G1680" t="s">
        <v>2929</v>
      </c>
      <c r="H1680" t="s">
        <v>2564</v>
      </c>
      <c r="I1680" t="s">
        <v>2558</v>
      </c>
      <c r="J1680" t="s">
        <v>2600</v>
      </c>
      <c r="K1680">
        <v>4</v>
      </c>
      <c r="L1680" s="13" t="s">
        <v>257</v>
      </c>
    </row>
    <row r="1681" spans="1:12" x14ac:dyDescent="0.25">
      <c r="A1681" t="s">
        <v>4358</v>
      </c>
      <c r="B1681" t="s">
        <v>201</v>
      </c>
      <c r="C1681" t="str">
        <f>_xlfn.XLOOKUP(Table7[[#This Row],[app_id]],Table5[app_id],Table5[app_name],"",0)</f>
        <v>TripPro</v>
      </c>
      <c r="D1681" t="s">
        <v>1349</v>
      </c>
      <c r="E1681" s="1">
        <v>45476</v>
      </c>
      <c r="F1681">
        <v>5</v>
      </c>
      <c r="G1681" t="s">
        <v>2929</v>
      </c>
      <c r="H1681" t="s">
        <v>2564</v>
      </c>
      <c r="I1681" t="s">
        <v>2565</v>
      </c>
      <c r="J1681" t="s">
        <v>2561</v>
      </c>
      <c r="K1681">
        <v>27</v>
      </c>
      <c r="L1681" s="13" t="s">
        <v>257</v>
      </c>
    </row>
    <row r="1682" spans="1:12" x14ac:dyDescent="0.25">
      <c r="A1682" t="s">
        <v>4359</v>
      </c>
      <c r="B1682" t="s">
        <v>203</v>
      </c>
      <c r="C1682" t="str">
        <f>_xlfn.XLOOKUP(Table7[[#This Row],[app_id]],Table5[app_id],Table5[app_name],"",0)</f>
        <v>Focusly</v>
      </c>
      <c r="D1682" t="s">
        <v>2093</v>
      </c>
      <c r="E1682" s="1">
        <v>45705</v>
      </c>
      <c r="F1682">
        <v>3</v>
      </c>
      <c r="G1682" t="s">
        <v>2710</v>
      </c>
      <c r="H1682" t="s">
        <v>2554</v>
      </c>
      <c r="I1682" t="s">
        <v>2578</v>
      </c>
      <c r="J1682" t="s">
        <v>2566</v>
      </c>
      <c r="K1682">
        <v>12</v>
      </c>
      <c r="L1682" s="13" t="s">
        <v>258</v>
      </c>
    </row>
    <row r="1683" spans="1:12" x14ac:dyDescent="0.25">
      <c r="A1683" t="s">
        <v>4360</v>
      </c>
      <c r="B1683" t="s">
        <v>206</v>
      </c>
      <c r="C1683" t="str">
        <f>_xlfn.XLOOKUP(Table7[[#This Row],[app_id]],Table5[app_id],Table5[app_name],"",0)</f>
        <v>DeskX</v>
      </c>
      <c r="D1683" t="s">
        <v>1634</v>
      </c>
      <c r="E1683" s="1">
        <v>46110</v>
      </c>
      <c r="F1683">
        <v>4</v>
      </c>
      <c r="G1683" t="s">
        <v>2708</v>
      </c>
      <c r="H1683" t="s">
        <v>2564</v>
      </c>
      <c r="I1683" t="s">
        <v>2575</v>
      </c>
      <c r="J1683" t="s">
        <v>2559</v>
      </c>
      <c r="K1683">
        <v>11</v>
      </c>
      <c r="L1683" s="13" t="s">
        <v>257</v>
      </c>
    </row>
    <row r="1684" spans="1:12" x14ac:dyDescent="0.25">
      <c r="A1684" t="s">
        <v>4361</v>
      </c>
      <c r="B1684" t="s">
        <v>208</v>
      </c>
      <c r="C1684" t="str">
        <f>_xlfn.XLOOKUP(Table7[[#This Row],[app_id]],Table5[app_id],Table5[app_name],"",0)</f>
        <v>DonePro</v>
      </c>
      <c r="D1684" t="s">
        <v>2167</v>
      </c>
      <c r="E1684" s="1">
        <v>45648</v>
      </c>
      <c r="F1684">
        <v>5</v>
      </c>
      <c r="G1684" t="s">
        <v>2708</v>
      </c>
      <c r="H1684" t="s">
        <v>2564</v>
      </c>
      <c r="I1684" t="s">
        <v>2565</v>
      </c>
      <c r="J1684" t="s">
        <v>2633</v>
      </c>
      <c r="K1684">
        <v>48</v>
      </c>
      <c r="L1684" s="13" t="s">
        <v>257</v>
      </c>
    </row>
    <row r="1685" spans="1:12" x14ac:dyDescent="0.25">
      <c r="A1685" t="s">
        <v>4362</v>
      </c>
      <c r="B1685" t="s">
        <v>210</v>
      </c>
      <c r="C1685" t="str">
        <f>_xlfn.XLOOKUP(Table7[[#This Row],[app_id]],Table5[app_id],Table5[app_name],"",0)</f>
        <v>NotePlus</v>
      </c>
      <c r="D1685" t="s">
        <v>1427</v>
      </c>
      <c r="E1685" s="1">
        <v>45691</v>
      </c>
      <c r="F1685">
        <v>2</v>
      </c>
      <c r="G1685" t="s">
        <v>3051</v>
      </c>
      <c r="H1685" t="s">
        <v>2587</v>
      </c>
      <c r="I1685" t="s">
        <v>2588</v>
      </c>
      <c r="J1685" t="s">
        <v>2559</v>
      </c>
      <c r="K1685">
        <v>42</v>
      </c>
      <c r="L1685" s="13" t="s">
        <v>258</v>
      </c>
    </row>
    <row r="1686" spans="1:12" x14ac:dyDescent="0.25">
      <c r="A1686" t="s">
        <v>4363</v>
      </c>
      <c r="B1686" t="s">
        <v>212</v>
      </c>
      <c r="C1686" t="str">
        <f>_xlfn.XLOOKUP(Table7[[#This Row],[app_id]],Table5[app_id],Table5[app_name],"",0)</f>
        <v>SyncPlus</v>
      </c>
      <c r="D1686" t="s">
        <v>1893</v>
      </c>
      <c r="E1686" s="1">
        <v>45711</v>
      </c>
      <c r="F1686">
        <v>3</v>
      </c>
      <c r="G1686" t="s">
        <v>3254</v>
      </c>
      <c r="H1686" t="s">
        <v>2554</v>
      </c>
      <c r="I1686" t="s">
        <v>2558</v>
      </c>
      <c r="J1686" t="s">
        <v>2556</v>
      </c>
      <c r="K1686">
        <v>5</v>
      </c>
      <c r="L1686" s="13" t="s">
        <v>257</v>
      </c>
    </row>
    <row r="1687" spans="1:12" x14ac:dyDescent="0.25">
      <c r="A1687" t="s">
        <v>4364</v>
      </c>
      <c r="B1687" t="s">
        <v>214</v>
      </c>
      <c r="C1687" t="str">
        <f>_xlfn.XLOOKUP(Table7[[#This Row],[app_id]],Table5[app_id],Table5[app_name],"",0)</f>
        <v>NoteOne</v>
      </c>
      <c r="D1687" t="s">
        <v>619</v>
      </c>
      <c r="E1687" s="1">
        <v>45393</v>
      </c>
      <c r="F1687">
        <v>3</v>
      </c>
      <c r="G1687" t="s">
        <v>2706</v>
      </c>
      <c r="H1687" t="s">
        <v>2554</v>
      </c>
      <c r="I1687" t="s">
        <v>2571</v>
      </c>
      <c r="J1687" t="s">
        <v>2633</v>
      </c>
      <c r="K1687">
        <v>10</v>
      </c>
      <c r="L1687" s="13" t="s">
        <v>258</v>
      </c>
    </row>
    <row r="1688" spans="1:12" x14ac:dyDescent="0.25">
      <c r="A1688" t="s">
        <v>4365</v>
      </c>
      <c r="B1688" t="s">
        <v>216</v>
      </c>
      <c r="C1688" t="str">
        <f>_xlfn.XLOOKUP(Table7[[#This Row],[app_id]],Table5[app_id],Table5[app_name],"",0)</f>
        <v>NoteMate</v>
      </c>
      <c r="D1688" t="s">
        <v>1697</v>
      </c>
      <c r="E1688" s="1">
        <v>45529</v>
      </c>
      <c r="F1688">
        <v>4</v>
      </c>
      <c r="G1688" t="s">
        <v>2700</v>
      </c>
      <c r="H1688" t="s">
        <v>2564</v>
      </c>
      <c r="I1688" t="s">
        <v>2575</v>
      </c>
      <c r="J1688" t="s">
        <v>2633</v>
      </c>
      <c r="K1688">
        <v>23</v>
      </c>
      <c r="L1688" s="13" t="s">
        <v>257</v>
      </c>
    </row>
    <row r="1689" spans="1:12" x14ac:dyDescent="0.25">
      <c r="A1689" t="s">
        <v>4366</v>
      </c>
      <c r="B1689" t="s">
        <v>218</v>
      </c>
      <c r="C1689" t="str">
        <f>_xlfn.XLOOKUP(Table7[[#This Row],[app_id]],Table5[app_id],Table5[app_name],"",0)</f>
        <v>PlanPlus</v>
      </c>
      <c r="D1689" t="s">
        <v>1331</v>
      </c>
      <c r="E1689" s="1">
        <v>45986</v>
      </c>
      <c r="F1689">
        <v>3</v>
      </c>
      <c r="G1689" t="s">
        <v>2713</v>
      </c>
      <c r="H1689" t="s">
        <v>2554</v>
      </c>
      <c r="I1689" t="s">
        <v>2558</v>
      </c>
      <c r="J1689" t="s">
        <v>2603</v>
      </c>
      <c r="K1689">
        <v>20</v>
      </c>
      <c r="L1689" s="13" t="s">
        <v>257</v>
      </c>
    </row>
    <row r="1690" spans="1:12" x14ac:dyDescent="0.25">
      <c r="A1690" t="s">
        <v>4367</v>
      </c>
      <c r="B1690" t="s">
        <v>220</v>
      </c>
      <c r="C1690" t="str">
        <f>_xlfn.XLOOKUP(Table7[[#This Row],[app_id]],Table5[app_id],Table5[app_name],"",0)</f>
        <v>PlanMate</v>
      </c>
      <c r="D1690" t="s">
        <v>1550</v>
      </c>
      <c r="E1690" s="1">
        <v>45851</v>
      </c>
      <c r="F1690">
        <v>2</v>
      </c>
      <c r="G1690" t="s">
        <v>2943</v>
      </c>
      <c r="H1690" t="s">
        <v>2587</v>
      </c>
      <c r="I1690" t="s">
        <v>2565</v>
      </c>
      <c r="J1690" t="s">
        <v>2596</v>
      </c>
      <c r="K1690">
        <v>20</v>
      </c>
      <c r="L1690" s="13" t="s">
        <v>257</v>
      </c>
    </row>
    <row r="1691" spans="1:12" x14ac:dyDescent="0.25">
      <c r="A1691" t="s">
        <v>4368</v>
      </c>
      <c r="B1691" t="s">
        <v>222</v>
      </c>
      <c r="C1691" t="str">
        <f>_xlfn.XLOOKUP(Table7[[#This Row],[app_id]],Table5[app_id],Table5[app_name],"",0)</f>
        <v>SyncPlus</v>
      </c>
      <c r="D1691" t="s">
        <v>2536</v>
      </c>
      <c r="E1691" s="1">
        <v>45762</v>
      </c>
      <c r="F1691">
        <v>3</v>
      </c>
      <c r="G1691" t="s">
        <v>2713</v>
      </c>
      <c r="H1691" t="s">
        <v>2554</v>
      </c>
      <c r="I1691" t="s">
        <v>2578</v>
      </c>
      <c r="J1691" t="s">
        <v>2603</v>
      </c>
      <c r="K1691">
        <v>10</v>
      </c>
      <c r="L1691" s="13" t="s">
        <v>257</v>
      </c>
    </row>
    <row r="1692" spans="1:12" x14ac:dyDescent="0.25">
      <c r="A1692" t="s">
        <v>4369</v>
      </c>
      <c r="B1692" t="s">
        <v>223</v>
      </c>
      <c r="C1692" t="str">
        <f>_xlfn.XLOOKUP(Table7[[#This Row],[app_id]],Table5[app_id],Table5[app_name],"",0)</f>
        <v>ClinicPro</v>
      </c>
      <c r="D1692" t="s">
        <v>1586</v>
      </c>
      <c r="E1692" s="1">
        <v>45610</v>
      </c>
      <c r="F1692">
        <v>4</v>
      </c>
      <c r="G1692" t="s">
        <v>2728</v>
      </c>
      <c r="H1692" t="s">
        <v>2564</v>
      </c>
      <c r="I1692" t="s">
        <v>2558</v>
      </c>
      <c r="J1692" t="s">
        <v>2559</v>
      </c>
      <c r="K1692">
        <v>48</v>
      </c>
      <c r="L1692" s="13" t="s">
        <v>257</v>
      </c>
    </row>
    <row r="1693" spans="1:12" x14ac:dyDescent="0.25">
      <c r="A1693" t="s">
        <v>4370</v>
      </c>
      <c r="B1693" t="s">
        <v>226</v>
      </c>
      <c r="C1693" t="str">
        <f>_xlfn.XLOOKUP(Table7[[#This Row],[app_id]],Table5[app_id],Table5[app_name],"",0)</f>
        <v>MindMate</v>
      </c>
      <c r="D1693" t="s">
        <v>687</v>
      </c>
      <c r="E1693" s="1">
        <v>46118</v>
      </c>
      <c r="F1693">
        <v>4</v>
      </c>
      <c r="G1693" t="s">
        <v>2716</v>
      </c>
      <c r="H1693" t="s">
        <v>2564</v>
      </c>
      <c r="I1693" t="s">
        <v>2558</v>
      </c>
      <c r="J1693" t="s">
        <v>2581</v>
      </c>
      <c r="K1693">
        <v>5</v>
      </c>
      <c r="L1693" s="13" t="s">
        <v>257</v>
      </c>
    </row>
    <row r="1694" spans="1:12" x14ac:dyDescent="0.25">
      <c r="A1694" t="s">
        <v>4371</v>
      </c>
      <c r="B1694" t="s">
        <v>228</v>
      </c>
      <c r="C1694" t="str">
        <f>_xlfn.XLOOKUP(Table7[[#This Row],[app_id]],Table5[app_id],Table5[app_name],"",0)</f>
        <v>ClinicOne</v>
      </c>
      <c r="D1694" t="s">
        <v>730</v>
      </c>
      <c r="E1694" s="1">
        <v>45807</v>
      </c>
      <c r="F1694">
        <v>4</v>
      </c>
      <c r="G1694" t="s">
        <v>2716</v>
      </c>
      <c r="H1694" t="s">
        <v>2564</v>
      </c>
      <c r="I1694" t="s">
        <v>2555</v>
      </c>
      <c r="J1694" t="s">
        <v>2603</v>
      </c>
      <c r="K1694">
        <v>25</v>
      </c>
      <c r="L1694" s="13" t="s">
        <v>257</v>
      </c>
    </row>
    <row r="1695" spans="1:12" x14ac:dyDescent="0.25">
      <c r="A1695" t="s">
        <v>4372</v>
      </c>
      <c r="B1695" t="s">
        <v>230</v>
      </c>
      <c r="C1695" t="str">
        <f>_xlfn.XLOOKUP(Table7[[#This Row],[app_id]],Table5[app_id],Table5[app_name],"",0)</f>
        <v>WellMate</v>
      </c>
      <c r="D1695" t="s">
        <v>2339</v>
      </c>
      <c r="E1695" s="1">
        <v>46080</v>
      </c>
      <c r="F1695">
        <v>4</v>
      </c>
      <c r="G1695" t="s">
        <v>2722</v>
      </c>
      <c r="H1695" t="s">
        <v>2564</v>
      </c>
      <c r="I1695" t="s">
        <v>2558</v>
      </c>
      <c r="J1695" t="s">
        <v>2556</v>
      </c>
      <c r="K1695">
        <v>28</v>
      </c>
      <c r="L1695" s="13" t="s">
        <v>257</v>
      </c>
    </row>
    <row r="1696" spans="1:12" x14ac:dyDescent="0.25">
      <c r="A1696" t="s">
        <v>4373</v>
      </c>
      <c r="B1696" t="s">
        <v>232</v>
      </c>
      <c r="C1696" t="str">
        <f>_xlfn.XLOOKUP(Table7[[#This Row],[app_id]],Table5[app_id],Table5[app_name],"",0)</f>
        <v>MediMate</v>
      </c>
      <c r="D1696" t="s">
        <v>1326</v>
      </c>
      <c r="E1696" s="1">
        <v>45738</v>
      </c>
      <c r="F1696">
        <v>4</v>
      </c>
      <c r="G1696" t="s">
        <v>2716</v>
      </c>
      <c r="H1696" t="s">
        <v>2564</v>
      </c>
      <c r="I1696" t="s">
        <v>2558</v>
      </c>
      <c r="J1696" t="s">
        <v>2569</v>
      </c>
      <c r="K1696">
        <v>36</v>
      </c>
      <c r="L1696" s="13" t="s">
        <v>257</v>
      </c>
    </row>
    <row r="1697" spans="1:12" x14ac:dyDescent="0.25">
      <c r="A1697" t="s">
        <v>4374</v>
      </c>
      <c r="B1697" t="s">
        <v>234</v>
      </c>
      <c r="C1697" t="str">
        <f>_xlfn.XLOOKUP(Table7[[#This Row],[app_id]],Table5[app_id],Table5[app_name],"",0)</f>
        <v>WellNow</v>
      </c>
      <c r="D1697" t="s">
        <v>776</v>
      </c>
      <c r="E1697" s="1">
        <v>45330</v>
      </c>
      <c r="F1697">
        <v>5</v>
      </c>
      <c r="G1697" t="s">
        <v>2722</v>
      </c>
      <c r="H1697" t="s">
        <v>2564</v>
      </c>
      <c r="I1697" t="s">
        <v>2558</v>
      </c>
      <c r="J1697" t="s">
        <v>2559</v>
      </c>
      <c r="K1697">
        <v>6</v>
      </c>
      <c r="L1697" s="13" t="s">
        <v>257</v>
      </c>
    </row>
    <row r="1698" spans="1:12" x14ac:dyDescent="0.25">
      <c r="A1698" t="s">
        <v>4375</v>
      </c>
      <c r="B1698" t="s">
        <v>236</v>
      </c>
      <c r="C1698" t="str">
        <f>_xlfn.XLOOKUP(Table7[[#This Row],[app_id]],Table5[app_id],Table5[app_name],"",0)</f>
        <v>CareCloud</v>
      </c>
      <c r="D1698" t="s">
        <v>1755</v>
      </c>
      <c r="E1698" s="1">
        <v>46020</v>
      </c>
      <c r="F1698">
        <v>4</v>
      </c>
      <c r="G1698" t="s">
        <v>2728</v>
      </c>
      <c r="H1698" t="s">
        <v>2564</v>
      </c>
      <c r="I1698" t="s">
        <v>2565</v>
      </c>
      <c r="J1698" t="s">
        <v>2559</v>
      </c>
      <c r="K1698">
        <v>47</v>
      </c>
      <c r="L1698" s="13" t="s">
        <v>257</v>
      </c>
    </row>
    <row r="1699" spans="1:12" x14ac:dyDescent="0.25">
      <c r="A1699" t="s">
        <v>4376</v>
      </c>
      <c r="B1699" t="s">
        <v>238</v>
      </c>
      <c r="C1699" t="str">
        <f>_xlfn.XLOOKUP(Table7[[#This Row],[app_id]],Table5[app_id],Table5[app_name],"",0)</f>
        <v>MediNow</v>
      </c>
      <c r="D1699" t="s">
        <v>637</v>
      </c>
      <c r="E1699" s="1">
        <v>45540</v>
      </c>
      <c r="F1699">
        <v>4</v>
      </c>
      <c r="G1699" t="s">
        <v>2722</v>
      </c>
      <c r="H1699" t="s">
        <v>2564</v>
      </c>
      <c r="I1699" t="s">
        <v>2555</v>
      </c>
      <c r="J1699" t="s">
        <v>2596</v>
      </c>
      <c r="K1699">
        <v>41</v>
      </c>
      <c r="L1699" s="13" t="s">
        <v>258</v>
      </c>
    </row>
    <row r="1700" spans="1:12" x14ac:dyDescent="0.25">
      <c r="A1700" t="s">
        <v>4377</v>
      </c>
      <c r="B1700" t="s">
        <v>240</v>
      </c>
      <c r="C1700" t="str">
        <f>_xlfn.XLOOKUP(Table7[[#This Row],[app_id]],Table5[app_id],Table5[app_name],"",0)</f>
        <v>MindPlus</v>
      </c>
      <c r="D1700" t="s">
        <v>1067</v>
      </c>
      <c r="E1700" s="1">
        <v>45670</v>
      </c>
      <c r="F1700">
        <v>4</v>
      </c>
      <c r="G1700" t="s">
        <v>2716</v>
      </c>
      <c r="H1700" t="s">
        <v>2564</v>
      </c>
      <c r="I1700" t="s">
        <v>2565</v>
      </c>
      <c r="J1700" t="s">
        <v>2596</v>
      </c>
      <c r="K1700">
        <v>31</v>
      </c>
      <c r="L1700" s="13" t="s">
        <v>257</v>
      </c>
    </row>
    <row r="1701" spans="1:12" x14ac:dyDescent="0.25">
      <c r="A1701" t="s">
        <v>4378</v>
      </c>
      <c r="B1701" t="s">
        <v>242</v>
      </c>
      <c r="C1701" t="str">
        <f>_xlfn.XLOOKUP(Table7[[#This Row],[app_id]],Table5[app_id],Table5[app_name],"",0)</f>
        <v>MediCloud</v>
      </c>
      <c r="D1701" t="s">
        <v>2538</v>
      </c>
      <c r="E1701" s="1">
        <v>45743</v>
      </c>
      <c r="F1701">
        <v>3</v>
      </c>
      <c r="G1701" t="s">
        <v>2846</v>
      </c>
      <c r="H1701" t="s">
        <v>2554</v>
      </c>
      <c r="I1701" t="s">
        <v>2565</v>
      </c>
      <c r="J1701" t="s">
        <v>2559</v>
      </c>
      <c r="K1701">
        <v>20</v>
      </c>
      <c r="L1701" s="13" t="s">
        <v>257</v>
      </c>
    </row>
    <row r="1702" spans="1:12" x14ac:dyDescent="0.25">
      <c r="A1702" t="s">
        <v>4379</v>
      </c>
      <c r="B1702" t="s">
        <v>12</v>
      </c>
      <c r="C1702" t="str">
        <f>_xlfn.XLOOKUP(Table7[[#This Row],[app_id]],Table5[app_id],Table5[app_name],"",0)</f>
        <v>InvestPro</v>
      </c>
      <c r="D1702" t="s">
        <v>1602</v>
      </c>
      <c r="E1702" s="1">
        <v>45984</v>
      </c>
      <c r="F1702">
        <v>4</v>
      </c>
      <c r="G1702" t="s">
        <v>2568</v>
      </c>
      <c r="H1702" t="s">
        <v>2564</v>
      </c>
      <c r="I1702" t="s">
        <v>2571</v>
      </c>
      <c r="J1702" t="s">
        <v>2581</v>
      </c>
      <c r="K1702">
        <v>3</v>
      </c>
      <c r="L1702" s="13" t="s">
        <v>257</v>
      </c>
    </row>
    <row r="1703" spans="1:12" x14ac:dyDescent="0.25">
      <c r="A1703" t="s">
        <v>4380</v>
      </c>
      <c r="B1703" t="s">
        <v>19</v>
      </c>
      <c r="C1703" t="str">
        <f>_xlfn.XLOOKUP(Table7[[#This Row],[app_id]],Table5[app_id],Table5[app_name],"",0)</f>
        <v>BankPro</v>
      </c>
      <c r="D1703" t="s">
        <v>1699</v>
      </c>
      <c r="E1703" s="1">
        <v>45368</v>
      </c>
      <c r="F1703">
        <v>4</v>
      </c>
      <c r="G1703" t="s">
        <v>2563</v>
      </c>
      <c r="H1703" t="s">
        <v>2564</v>
      </c>
      <c r="I1703" t="s">
        <v>2565</v>
      </c>
      <c r="J1703" t="s">
        <v>2566</v>
      </c>
      <c r="K1703">
        <v>38</v>
      </c>
      <c r="L1703" s="13" t="s">
        <v>257</v>
      </c>
    </row>
    <row r="1704" spans="1:12" x14ac:dyDescent="0.25">
      <c r="A1704" t="s">
        <v>4381</v>
      </c>
      <c r="B1704" t="s">
        <v>24</v>
      </c>
      <c r="C1704" t="str">
        <f>_xlfn.XLOOKUP(Table7[[#This Row],[app_id]],Table5[app_id],Table5[app_name],"",0)</f>
        <v>BankX</v>
      </c>
      <c r="D1704" t="s">
        <v>1616</v>
      </c>
      <c r="E1704" s="1">
        <v>45916</v>
      </c>
      <c r="F1704">
        <v>3</v>
      </c>
      <c r="G1704" t="s">
        <v>2553</v>
      </c>
      <c r="H1704" t="s">
        <v>2554</v>
      </c>
      <c r="I1704" t="s">
        <v>2578</v>
      </c>
      <c r="J1704" t="s">
        <v>2561</v>
      </c>
      <c r="K1704">
        <v>15</v>
      </c>
      <c r="L1704" s="13" t="s">
        <v>257</v>
      </c>
    </row>
    <row r="1705" spans="1:12" x14ac:dyDescent="0.25">
      <c r="A1705" t="s">
        <v>4382</v>
      </c>
      <c r="B1705" t="s">
        <v>27</v>
      </c>
      <c r="C1705" t="str">
        <f>_xlfn.XLOOKUP(Table7[[#This Row],[app_id]],Table5[app_id],Table5[app_name],"",0)</f>
        <v>BankNow</v>
      </c>
      <c r="D1705" t="s">
        <v>567</v>
      </c>
      <c r="E1705" s="1">
        <v>45563</v>
      </c>
      <c r="F1705">
        <v>3</v>
      </c>
      <c r="G1705" t="s">
        <v>2968</v>
      </c>
      <c r="H1705" t="s">
        <v>2554</v>
      </c>
      <c r="I1705" t="s">
        <v>2584</v>
      </c>
      <c r="J1705" t="s">
        <v>2566</v>
      </c>
      <c r="K1705">
        <v>3</v>
      </c>
      <c r="L1705" s="13" t="s">
        <v>257</v>
      </c>
    </row>
    <row r="1706" spans="1:12" x14ac:dyDescent="0.25">
      <c r="A1706" t="s">
        <v>4383</v>
      </c>
      <c r="B1706" t="s">
        <v>31</v>
      </c>
      <c r="C1706" t="str">
        <f>_xlfn.XLOOKUP(Table7[[#This Row],[app_id]],Table5[app_id],Table5[app_name],"",0)</f>
        <v>CreditHub</v>
      </c>
      <c r="D1706" t="s">
        <v>1906</v>
      </c>
      <c r="E1706" s="1">
        <v>45954</v>
      </c>
      <c r="F1706">
        <v>5</v>
      </c>
      <c r="G1706" t="s">
        <v>2573</v>
      </c>
      <c r="H1706" t="s">
        <v>2564</v>
      </c>
      <c r="I1706" t="s">
        <v>2565</v>
      </c>
      <c r="J1706" t="s">
        <v>2600</v>
      </c>
      <c r="K1706">
        <v>47</v>
      </c>
      <c r="L1706" s="13" t="s">
        <v>257</v>
      </c>
    </row>
    <row r="1707" spans="1:12" x14ac:dyDescent="0.25">
      <c r="A1707" t="s">
        <v>4384</v>
      </c>
      <c r="B1707" t="s">
        <v>36</v>
      </c>
      <c r="C1707" t="str">
        <f>_xlfn.XLOOKUP(Table7[[#This Row],[app_id]],Table5[app_id],Table5[app_name],"",0)</f>
        <v>PayPlus</v>
      </c>
      <c r="D1707" t="s">
        <v>1447</v>
      </c>
      <c r="E1707" s="1">
        <v>45424</v>
      </c>
      <c r="F1707">
        <v>4</v>
      </c>
      <c r="G1707" t="s">
        <v>2573</v>
      </c>
      <c r="H1707" t="s">
        <v>2564</v>
      </c>
      <c r="I1707" t="s">
        <v>2555</v>
      </c>
      <c r="J1707" t="s">
        <v>2600</v>
      </c>
      <c r="K1707">
        <v>15</v>
      </c>
      <c r="L1707" s="13" t="s">
        <v>257</v>
      </c>
    </row>
    <row r="1708" spans="1:12" x14ac:dyDescent="0.25">
      <c r="A1708" t="s">
        <v>4385</v>
      </c>
      <c r="B1708" t="s">
        <v>39</v>
      </c>
      <c r="C1708" t="str">
        <f>_xlfn.XLOOKUP(Table7[[#This Row],[app_id]],Table5[app_id],Table5[app_name],"",0)</f>
        <v>BankPlus</v>
      </c>
      <c r="D1708" t="s">
        <v>2434</v>
      </c>
      <c r="E1708" s="1">
        <v>46048</v>
      </c>
      <c r="F1708">
        <v>4</v>
      </c>
      <c r="G1708" t="s">
        <v>2563</v>
      </c>
      <c r="H1708" t="s">
        <v>2564</v>
      </c>
      <c r="I1708" t="s">
        <v>2575</v>
      </c>
      <c r="J1708" t="s">
        <v>2561</v>
      </c>
      <c r="K1708">
        <v>2</v>
      </c>
      <c r="L1708" s="13" t="s">
        <v>257</v>
      </c>
    </row>
    <row r="1709" spans="1:12" x14ac:dyDescent="0.25">
      <c r="A1709" t="s">
        <v>4386</v>
      </c>
      <c r="B1709" t="s">
        <v>42</v>
      </c>
      <c r="C1709" t="str">
        <f>_xlfn.XLOOKUP(Table7[[#This Row],[app_id]],Table5[app_id],Table5[app_name],"",0)</f>
        <v>CoinPlus</v>
      </c>
      <c r="D1709" t="s">
        <v>1116</v>
      </c>
      <c r="E1709" s="1">
        <v>45875</v>
      </c>
      <c r="F1709">
        <v>3</v>
      </c>
      <c r="G1709" t="s">
        <v>2583</v>
      </c>
      <c r="H1709" t="s">
        <v>2554</v>
      </c>
      <c r="I1709" t="s">
        <v>2578</v>
      </c>
      <c r="J1709" t="s">
        <v>2633</v>
      </c>
      <c r="K1709">
        <v>17</v>
      </c>
      <c r="L1709" s="13" t="s">
        <v>257</v>
      </c>
    </row>
    <row r="1710" spans="1:12" x14ac:dyDescent="0.25">
      <c r="A1710" t="s">
        <v>4387</v>
      </c>
      <c r="B1710" t="s">
        <v>47</v>
      </c>
      <c r="C1710" t="str">
        <f>_xlfn.XLOOKUP(Table7[[#This Row],[app_id]],Table5[app_id],Table5[app_name],"",0)</f>
        <v>CreditOne</v>
      </c>
      <c r="D1710" t="s">
        <v>956</v>
      </c>
      <c r="E1710" s="1">
        <v>46089</v>
      </c>
      <c r="F1710">
        <v>4</v>
      </c>
      <c r="G1710" t="s">
        <v>2563</v>
      </c>
      <c r="H1710" t="s">
        <v>2564</v>
      </c>
      <c r="I1710" t="s">
        <v>2571</v>
      </c>
      <c r="J1710" t="s">
        <v>2581</v>
      </c>
      <c r="K1710">
        <v>31</v>
      </c>
      <c r="L1710" s="13" t="s">
        <v>258</v>
      </c>
    </row>
    <row r="1711" spans="1:12" x14ac:dyDescent="0.25">
      <c r="A1711" t="s">
        <v>4388</v>
      </c>
      <c r="B1711" t="s">
        <v>49</v>
      </c>
      <c r="C1711" t="str">
        <f>_xlfn.XLOOKUP(Table7[[#This Row],[app_id]],Table5[app_id],Table5[app_name],"",0)</f>
        <v>PayPro</v>
      </c>
      <c r="D1711" t="s">
        <v>1460</v>
      </c>
      <c r="E1711" s="1">
        <v>45896</v>
      </c>
      <c r="F1711">
        <v>4</v>
      </c>
      <c r="G1711" t="s">
        <v>2563</v>
      </c>
      <c r="H1711" t="s">
        <v>2564</v>
      </c>
      <c r="I1711" t="s">
        <v>2575</v>
      </c>
      <c r="J1711" t="s">
        <v>2581</v>
      </c>
      <c r="K1711">
        <v>28</v>
      </c>
      <c r="L1711" s="13" t="s">
        <v>257</v>
      </c>
    </row>
    <row r="1712" spans="1:12" x14ac:dyDescent="0.25">
      <c r="A1712" t="s">
        <v>4389</v>
      </c>
      <c r="B1712" t="s">
        <v>51</v>
      </c>
      <c r="C1712" t="str">
        <f>_xlfn.XLOOKUP(Table7[[#This Row],[app_id]],Table5[app_id],Table5[app_name],"",0)</f>
        <v>Creditly</v>
      </c>
      <c r="D1712" t="s">
        <v>1640</v>
      </c>
      <c r="E1712" s="1">
        <v>45540</v>
      </c>
      <c r="F1712">
        <v>3</v>
      </c>
      <c r="G1712" t="s">
        <v>2968</v>
      </c>
      <c r="H1712" t="s">
        <v>2554</v>
      </c>
      <c r="I1712" t="s">
        <v>2588</v>
      </c>
      <c r="J1712" t="s">
        <v>2600</v>
      </c>
      <c r="K1712">
        <v>42</v>
      </c>
      <c r="L1712" s="13" t="s">
        <v>257</v>
      </c>
    </row>
    <row r="1713" spans="1:12" x14ac:dyDescent="0.25">
      <c r="A1713" t="s">
        <v>4390</v>
      </c>
      <c r="B1713" t="s">
        <v>53</v>
      </c>
      <c r="C1713" t="str">
        <f>_xlfn.XLOOKUP(Table7[[#This Row],[app_id]],Table5[app_id],Table5[app_name],"",0)</f>
        <v>PayX</v>
      </c>
      <c r="D1713" t="s">
        <v>2091</v>
      </c>
      <c r="E1713" s="1">
        <v>45549</v>
      </c>
      <c r="F1713">
        <v>4</v>
      </c>
      <c r="G1713" t="s">
        <v>2573</v>
      </c>
      <c r="H1713" t="s">
        <v>2564</v>
      </c>
      <c r="I1713" t="s">
        <v>2565</v>
      </c>
      <c r="J1713" t="s">
        <v>2596</v>
      </c>
      <c r="K1713">
        <v>38</v>
      </c>
      <c r="L1713" s="13" t="s">
        <v>257</v>
      </c>
    </row>
    <row r="1714" spans="1:12" x14ac:dyDescent="0.25">
      <c r="A1714" t="s">
        <v>4391</v>
      </c>
      <c r="B1714" t="s">
        <v>56</v>
      </c>
      <c r="C1714" t="str">
        <f>_xlfn.XLOOKUP(Table7[[#This Row],[app_id]],Table5[app_id],Table5[app_name],"",0)</f>
        <v>DealGo</v>
      </c>
      <c r="D1714" t="s">
        <v>1699</v>
      </c>
      <c r="E1714" s="1">
        <v>45607</v>
      </c>
      <c r="F1714">
        <v>2</v>
      </c>
      <c r="G1714" t="s">
        <v>2605</v>
      </c>
      <c r="H1714" t="s">
        <v>2587</v>
      </c>
      <c r="I1714" t="s">
        <v>2588</v>
      </c>
      <c r="J1714" t="s">
        <v>2596</v>
      </c>
      <c r="K1714">
        <v>64</v>
      </c>
      <c r="L1714" s="13" t="s">
        <v>257</v>
      </c>
    </row>
    <row r="1715" spans="1:12" x14ac:dyDescent="0.25">
      <c r="A1715" t="s">
        <v>4392</v>
      </c>
      <c r="B1715" t="s">
        <v>62</v>
      </c>
      <c r="C1715" t="str">
        <f>_xlfn.XLOOKUP(Table7[[#This Row],[app_id]],Table5[app_id],Table5[app_name],"",0)</f>
        <v>MallNow</v>
      </c>
      <c r="D1715" t="s">
        <v>975</v>
      </c>
      <c r="E1715" s="1">
        <v>45607</v>
      </c>
      <c r="F1715">
        <v>4</v>
      </c>
      <c r="G1715" t="s">
        <v>2598</v>
      </c>
      <c r="H1715" t="s">
        <v>2564</v>
      </c>
      <c r="I1715" t="s">
        <v>2555</v>
      </c>
      <c r="J1715" t="s">
        <v>2569</v>
      </c>
      <c r="K1715">
        <v>46</v>
      </c>
      <c r="L1715" s="13" t="s">
        <v>257</v>
      </c>
    </row>
    <row r="1716" spans="1:12" x14ac:dyDescent="0.25">
      <c r="A1716" t="s">
        <v>4393</v>
      </c>
      <c r="B1716" t="s">
        <v>65</v>
      </c>
      <c r="C1716" t="str">
        <f>_xlfn.XLOOKUP(Table7[[#This Row],[app_id]],Table5[app_id],Table5[app_name],"",0)</f>
        <v>DealPro</v>
      </c>
      <c r="D1716" t="s">
        <v>2009</v>
      </c>
      <c r="E1716" s="1">
        <v>45476</v>
      </c>
      <c r="F1716">
        <v>4</v>
      </c>
      <c r="G1716" t="s">
        <v>2590</v>
      </c>
      <c r="H1716" t="s">
        <v>2564</v>
      </c>
      <c r="I1716" t="s">
        <v>2571</v>
      </c>
      <c r="J1716" t="s">
        <v>2603</v>
      </c>
      <c r="K1716">
        <v>24</v>
      </c>
      <c r="L1716" s="13" t="s">
        <v>257</v>
      </c>
    </row>
    <row r="1717" spans="1:12" x14ac:dyDescent="0.25">
      <c r="A1717" t="s">
        <v>4394</v>
      </c>
      <c r="B1717" t="s">
        <v>67</v>
      </c>
      <c r="C1717" t="str">
        <f>_xlfn.XLOOKUP(Table7[[#This Row],[app_id]],Table5[app_id],Table5[app_name],"",0)</f>
        <v>StyleNow</v>
      </c>
      <c r="D1717" t="s">
        <v>1056</v>
      </c>
      <c r="E1717" s="1">
        <v>45485</v>
      </c>
      <c r="F1717">
        <v>3</v>
      </c>
      <c r="G1717" t="s">
        <v>2594</v>
      </c>
      <c r="H1717" t="s">
        <v>2554</v>
      </c>
      <c r="I1717" t="s">
        <v>2558</v>
      </c>
      <c r="J1717" t="s">
        <v>2633</v>
      </c>
      <c r="K1717">
        <v>4</v>
      </c>
      <c r="L1717" s="13" t="s">
        <v>258</v>
      </c>
    </row>
    <row r="1718" spans="1:12" x14ac:dyDescent="0.25">
      <c r="A1718" t="s">
        <v>4395</v>
      </c>
      <c r="B1718" t="s">
        <v>70</v>
      </c>
      <c r="C1718" t="str">
        <f>_xlfn.XLOOKUP(Table7[[#This Row],[app_id]],Table5[app_id],Table5[app_name],"",0)</f>
        <v>DealCloud</v>
      </c>
      <c r="D1718" t="s">
        <v>1739</v>
      </c>
      <c r="E1718" s="1">
        <v>45333</v>
      </c>
      <c r="F1718">
        <v>4</v>
      </c>
      <c r="G1718" t="s">
        <v>2598</v>
      </c>
      <c r="H1718" t="s">
        <v>2564</v>
      </c>
      <c r="I1718" t="s">
        <v>2565</v>
      </c>
      <c r="J1718" t="s">
        <v>2559</v>
      </c>
      <c r="K1718">
        <v>16</v>
      </c>
      <c r="L1718" s="13" t="s">
        <v>257</v>
      </c>
    </row>
    <row r="1719" spans="1:12" x14ac:dyDescent="0.25">
      <c r="A1719" t="s">
        <v>4396</v>
      </c>
      <c r="B1719" t="s">
        <v>72</v>
      </c>
      <c r="C1719" t="str">
        <f>_xlfn.XLOOKUP(Table7[[#This Row],[app_id]],Table5[app_id],Table5[app_name],"",0)</f>
        <v>CartCloud</v>
      </c>
      <c r="D1719" t="s">
        <v>882</v>
      </c>
      <c r="E1719" s="1">
        <v>45412</v>
      </c>
      <c r="F1719">
        <v>3</v>
      </c>
      <c r="G1719" t="s">
        <v>2609</v>
      </c>
      <c r="H1719" t="s">
        <v>2554</v>
      </c>
      <c r="I1719" t="s">
        <v>2565</v>
      </c>
      <c r="J1719" t="s">
        <v>2603</v>
      </c>
      <c r="K1719">
        <v>48</v>
      </c>
      <c r="L1719" s="13" t="s">
        <v>257</v>
      </c>
    </row>
    <row r="1720" spans="1:12" x14ac:dyDescent="0.25">
      <c r="A1720" t="s">
        <v>4397</v>
      </c>
      <c r="B1720" t="s">
        <v>74</v>
      </c>
      <c r="C1720" t="str">
        <f>_xlfn.XLOOKUP(Table7[[#This Row],[app_id]],Table5[app_id],Table5[app_name],"",0)</f>
        <v>CartMate</v>
      </c>
      <c r="D1720" t="s">
        <v>971</v>
      </c>
      <c r="E1720" s="1">
        <v>45997</v>
      </c>
      <c r="F1720">
        <v>4</v>
      </c>
      <c r="G1720" t="s">
        <v>2867</v>
      </c>
      <c r="H1720" t="s">
        <v>2564</v>
      </c>
      <c r="I1720" t="s">
        <v>2555</v>
      </c>
      <c r="J1720" t="s">
        <v>2596</v>
      </c>
      <c r="K1720">
        <v>16</v>
      </c>
      <c r="L1720" s="13" t="s">
        <v>258</v>
      </c>
    </row>
    <row r="1721" spans="1:12" x14ac:dyDescent="0.25">
      <c r="A1721" t="s">
        <v>4398</v>
      </c>
      <c r="B1721" t="s">
        <v>76</v>
      </c>
      <c r="C1721" t="str">
        <f>_xlfn.XLOOKUP(Table7[[#This Row],[app_id]],Table5[app_id],Table5[app_name],"",0)</f>
        <v>BazaarOne</v>
      </c>
      <c r="D1721" t="s">
        <v>1231</v>
      </c>
      <c r="E1721" s="1">
        <v>46065</v>
      </c>
      <c r="F1721">
        <v>4</v>
      </c>
      <c r="G1721" t="s">
        <v>2590</v>
      </c>
      <c r="H1721" t="s">
        <v>2564</v>
      </c>
      <c r="I1721" t="s">
        <v>2575</v>
      </c>
      <c r="J1721" t="s">
        <v>2596</v>
      </c>
      <c r="K1721">
        <v>8</v>
      </c>
      <c r="L1721" s="13" t="s">
        <v>257</v>
      </c>
    </row>
    <row r="1722" spans="1:12" x14ac:dyDescent="0.25">
      <c r="A1722" t="s">
        <v>4399</v>
      </c>
      <c r="B1722" t="s">
        <v>78</v>
      </c>
      <c r="C1722" t="str">
        <f>_xlfn.XLOOKUP(Table7[[#This Row],[app_id]],Table5[app_id],Table5[app_name],"",0)</f>
        <v>StyleOne</v>
      </c>
      <c r="D1722" t="s">
        <v>1333</v>
      </c>
      <c r="E1722" s="1">
        <v>45997</v>
      </c>
      <c r="F1722">
        <v>2</v>
      </c>
      <c r="G1722" t="s">
        <v>2586</v>
      </c>
      <c r="H1722" t="s">
        <v>2587</v>
      </c>
      <c r="I1722" t="s">
        <v>2571</v>
      </c>
      <c r="J1722" t="s">
        <v>2566</v>
      </c>
      <c r="K1722">
        <v>71</v>
      </c>
      <c r="L1722" s="13" t="s">
        <v>257</v>
      </c>
    </row>
    <row r="1723" spans="1:12" x14ac:dyDescent="0.25">
      <c r="A1723" t="s">
        <v>4400</v>
      </c>
      <c r="B1723" t="s">
        <v>80</v>
      </c>
      <c r="C1723" t="str">
        <f>_xlfn.XLOOKUP(Table7[[#This Row],[app_id]],Table5[app_id],Table5[app_name],"",0)</f>
        <v>Cartly</v>
      </c>
      <c r="D1723" t="s">
        <v>1731</v>
      </c>
      <c r="E1723" s="1">
        <v>45646</v>
      </c>
      <c r="F1723">
        <v>5</v>
      </c>
      <c r="G1723" t="s">
        <v>2592</v>
      </c>
      <c r="H1723" t="s">
        <v>2564</v>
      </c>
      <c r="I1723" t="s">
        <v>2575</v>
      </c>
      <c r="J1723" t="s">
        <v>2633</v>
      </c>
      <c r="K1723">
        <v>23</v>
      </c>
      <c r="L1723" s="13" t="s">
        <v>257</v>
      </c>
    </row>
    <row r="1724" spans="1:12" x14ac:dyDescent="0.25">
      <c r="A1724" t="s">
        <v>4401</v>
      </c>
      <c r="B1724" t="s">
        <v>83</v>
      </c>
      <c r="C1724" t="str">
        <f>_xlfn.XLOOKUP(Table7[[#This Row],[app_id]],Table5[app_id],Table5[app_name],"",0)</f>
        <v>BazaarCloud</v>
      </c>
      <c r="D1724" t="s">
        <v>613</v>
      </c>
      <c r="E1724" s="1">
        <v>45450</v>
      </c>
      <c r="F1724">
        <v>5</v>
      </c>
      <c r="G1724" t="s">
        <v>2867</v>
      </c>
      <c r="H1724" t="s">
        <v>2564</v>
      </c>
      <c r="I1724" t="s">
        <v>2571</v>
      </c>
      <c r="J1724" t="s">
        <v>2633</v>
      </c>
      <c r="K1724">
        <v>26</v>
      </c>
      <c r="L1724" s="13" t="s">
        <v>258</v>
      </c>
    </row>
    <row r="1725" spans="1:12" x14ac:dyDescent="0.25">
      <c r="A1725" t="s">
        <v>4402</v>
      </c>
      <c r="B1725" t="s">
        <v>85</v>
      </c>
      <c r="C1725" t="str">
        <f>_xlfn.XLOOKUP(Table7[[#This Row],[app_id]],Table5[app_id],Table5[app_name],"",0)</f>
        <v>CartPro</v>
      </c>
      <c r="D1725" t="s">
        <v>1492</v>
      </c>
      <c r="E1725" s="1">
        <v>45456</v>
      </c>
      <c r="F1725">
        <v>3</v>
      </c>
      <c r="G1725" t="s">
        <v>2748</v>
      </c>
      <c r="H1725" t="s">
        <v>2554</v>
      </c>
      <c r="I1725" t="s">
        <v>2558</v>
      </c>
      <c r="J1725" t="s">
        <v>2600</v>
      </c>
      <c r="K1725">
        <v>5</v>
      </c>
      <c r="L1725" s="13" t="s">
        <v>257</v>
      </c>
    </row>
    <row r="1726" spans="1:12" x14ac:dyDescent="0.25">
      <c r="A1726" t="s">
        <v>4403</v>
      </c>
      <c r="B1726" t="s">
        <v>87</v>
      </c>
      <c r="C1726" t="str">
        <f>_xlfn.XLOOKUP(Table7[[#This Row],[app_id]],Table5[app_id],Table5[app_name],"",0)</f>
        <v>RunPlus</v>
      </c>
      <c r="D1726" t="s">
        <v>1398</v>
      </c>
      <c r="E1726" s="1">
        <v>45688</v>
      </c>
      <c r="F1726">
        <v>3</v>
      </c>
      <c r="G1726" t="s">
        <v>2770</v>
      </c>
      <c r="H1726" t="s">
        <v>2554</v>
      </c>
      <c r="I1726" t="s">
        <v>2571</v>
      </c>
      <c r="J1726" t="s">
        <v>2561</v>
      </c>
      <c r="K1726">
        <v>26</v>
      </c>
      <c r="L1726" s="13" t="s">
        <v>257</v>
      </c>
    </row>
    <row r="1727" spans="1:12" x14ac:dyDescent="0.25">
      <c r="A1727" t="s">
        <v>4404</v>
      </c>
      <c r="B1727" t="s">
        <v>90</v>
      </c>
      <c r="C1727" t="str">
        <f>_xlfn.XLOOKUP(Table7[[#This Row],[app_id]],Table5[app_id],Table5[app_name],"",0)</f>
        <v>TrainCloud</v>
      </c>
      <c r="D1727" t="s">
        <v>1725</v>
      </c>
      <c r="E1727" s="1">
        <v>46128</v>
      </c>
      <c r="F1727">
        <v>5</v>
      </c>
      <c r="G1727" t="s">
        <v>2613</v>
      </c>
      <c r="H1727" t="s">
        <v>2564</v>
      </c>
      <c r="I1727" t="s">
        <v>2565</v>
      </c>
      <c r="J1727" t="s">
        <v>2581</v>
      </c>
      <c r="K1727">
        <v>16</v>
      </c>
      <c r="L1727" s="13" t="s">
        <v>257</v>
      </c>
    </row>
    <row r="1728" spans="1:12" x14ac:dyDescent="0.25">
      <c r="A1728" t="s">
        <v>4405</v>
      </c>
      <c r="B1728" t="s">
        <v>92</v>
      </c>
      <c r="C1728" t="str">
        <f>_xlfn.XLOOKUP(Table7[[#This Row],[app_id]],Table5[app_id],Table5[app_name],"",0)</f>
        <v>Trainly</v>
      </c>
      <c r="D1728" t="s">
        <v>1681</v>
      </c>
      <c r="E1728" s="1">
        <v>45489</v>
      </c>
      <c r="F1728">
        <v>4</v>
      </c>
      <c r="G1728" t="s">
        <v>2622</v>
      </c>
      <c r="H1728" t="s">
        <v>2564</v>
      </c>
      <c r="I1728" t="s">
        <v>2558</v>
      </c>
      <c r="J1728" t="s">
        <v>2569</v>
      </c>
      <c r="K1728">
        <v>44</v>
      </c>
      <c r="L1728" s="13" t="s">
        <v>257</v>
      </c>
    </row>
    <row r="1729" spans="1:12" x14ac:dyDescent="0.25">
      <c r="A1729" t="s">
        <v>4406</v>
      </c>
      <c r="B1729" t="s">
        <v>94</v>
      </c>
      <c r="C1729" t="str">
        <f>_xlfn.XLOOKUP(Table7[[#This Row],[app_id]],Table5[app_id],Table5[app_name],"",0)</f>
        <v>LiftCloud</v>
      </c>
      <c r="D1729" t="s">
        <v>2372</v>
      </c>
      <c r="E1729" s="1">
        <v>45554</v>
      </c>
      <c r="F1729">
        <v>3</v>
      </c>
      <c r="G1729" t="s">
        <v>2615</v>
      </c>
      <c r="H1729" t="s">
        <v>2554</v>
      </c>
      <c r="I1729" t="s">
        <v>2558</v>
      </c>
      <c r="J1729" t="s">
        <v>2566</v>
      </c>
      <c r="K1729">
        <v>13</v>
      </c>
      <c r="L1729" s="13" t="s">
        <v>257</v>
      </c>
    </row>
    <row r="1730" spans="1:12" x14ac:dyDescent="0.25">
      <c r="A1730" t="s">
        <v>4407</v>
      </c>
      <c r="B1730" t="s">
        <v>96</v>
      </c>
      <c r="C1730" t="str">
        <f>_xlfn.XLOOKUP(Table7[[#This Row],[app_id]],Table5[app_id],Table5[app_name],"",0)</f>
        <v>MoveNow</v>
      </c>
      <c r="D1730" t="s">
        <v>1504</v>
      </c>
      <c r="E1730" s="1">
        <v>45802</v>
      </c>
      <c r="F1730">
        <v>5</v>
      </c>
      <c r="G1730" t="s">
        <v>2617</v>
      </c>
      <c r="H1730" t="s">
        <v>2564</v>
      </c>
      <c r="I1730" t="s">
        <v>2575</v>
      </c>
      <c r="J1730" t="s">
        <v>2561</v>
      </c>
      <c r="K1730">
        <v>10</v>
      </c>
      <c r="L1730" s="13" t="s">
        <v>258</v>
      </c>
    </row>
    <row r="1731" spans="1:12" x14ac:dyDescent="0.25">
      <c r="A1731" t="s">
        <v>4408</v>
      </c>
      <c r="B1731" t="s">
        <v>98</v>
      </c>
      <c r="C1731" t="str">
        <f>_xlfn.XLOOKUP(Table7[[#This Row],[app_id]],Table5[app_id],Table5[app_name],"",0)</f>
        <v>ActiveMate</v>
      </c>
      <c r="D1731" t="s">
        <v>725</v>
      </c>
      <c r="E1731" s="1">
        <v>45309</v>
      </c>
      <c r="F1731">
        <v>2</v>
      </c>
      <c r="G1731" t="s">
        <v>2992</v>
      </c>
      <c r="H1731" t="s">
        <v>2587</v>
      </c>
      <c r="I1731" t="s">
        <v>2565</v>
      </c>
      <c r="J1731" t="s">
        <v>2556</v>
      </c>
      <c r="K1731">
        <v>73</v>
      </c>
      <c r="L1731" s="13" t="s">
        <v>258</v>
      </c>
    </row>
    <row r="1732" spans="1:12" x14ac:dyDescent="0.25">
      <c r="A1732" t="s">
        <v>4409</v>
      </c>
      <c r="B1732" t="s">
        <v>100</v>
      </c>
      <c r="C1732" t="str">
        <f>_xlfn.XLOOKUP(Table7[[#This Row],[app_id]],Table5[app_id],Table5[app_name],"",0)</f>
        <v>RunGo</v>
      </c>
      <c r="D1732" t="s">
        <v>1572</v>
      </c>
      <c r="E1732" s="1">
        <v>45976</v>
      </c>
      <c r="F1732">
        <v>3</v>
      </c>
      <c r="G1732" t="s">
        <v>2620</v>
      </c>
      <c r="H1732" t="s">
        <v>2554</v>
      </c>
      <c r="I1732" t="s">
        <v>2555</v>
      </c>
      <c r="J1732" t="s">
        <v>2633</v>
      </c>
      <c r="K1732">
        <v>1</v>
      </c>
      <c r="L1732" s="13" t="s">
        <v>258</v>
      </c>
    </row>
    <row r="1733" spans="1:12" x14ac:dyDescent="0.25">
      <c r="A1733" t="s">
        <v>4410</v>
      </c>
      <c r="B1733" t="s">
        <v>102</v>
      </c>
      <c r="C1733" t="str">
        <f>_xlfn.XLOOKUP(Table7[[#This Row],[app_id]],Table5[app_id],Table5[app_name],"",0)</f>
        <v>LiftPro</v>
      </c>
      <c r="D1733" t="s">
        <v>2059</v>
      </c>
      <c r="E1733" s="1">
        <v>46037</v>
      </c>
      <c r="F1733">
        <v>4</v>
      </c>
      <c r="G1733" t="s">
        <v>2625</v>
      </c>
      <c r="H1733" t="s">
        <v>2564</v>
      </c>
      <c r="I1733" t="s">
        <v>2555</v>
      </c>
      <c r="J1733" t="s">
        <v>2603</v>
      </c>
      <c r="K1733">
        <v>6</v>
      </c>
      <c r="L1733" s="13" t="s">
        <v>258</v>
      </c>
    </row>
    <row r="1734" spans="1:12" x14ac:dyDescent="0.25">
      <c r="A1734" t="s">
        <v>4411</v>
      </c>
      <c r="B1734" t="s">
        <v>104</v>
      </c>
      <c r="C1734" t="str">
        <f>_xlfn.XLOOKUP(Table7[[#This Row],[app_id]],Table5[app_id],Table5[app_name],"",0)</f>
        <v>LiftPro</v>
      </c>
      <c r="D1734" t="s">
        <v>1881</v>
      </c>
      <c r="E1734" s="1">
        <v>45941</v>
      </c>
      <c r="F1734">
        <v>3</v>
      </c>
      <c r="G1734" t="s">
        <v>2770</v>
      </c>
      <c r="H1734" t="s">
        <v>2554</v>
      </c>
      <c r="I1734" t="s">
        <v>2588</v>
      </c>
      <c r="J1734" t="s">
        <v>2581</v>
      </c>
      <c r="K1734">
        <v>42</v>
      </c>
      <c r="L1734" s="13" t="s">
        <v>257</v>
      </c>
    </row>
    <row r="1735" spans="1:12" x14ac:dyDescent="0.25">
      <c r="A1735" t="s">
        <v>4412</v>
      </c>
      <c r="B1735" t="s">
        <v>105</v>
      </c>
      <c r="C1735" t="str">
        <f>_xlfn.XLOOKUP(Table7[[#This Row],[app_id]],Table5[app_id],Table5[app_name],"",0)</f>
        <v>Liftly</v>
      </c>
      <c r="D1735" t="s">
        <v>2248</v>
      </c>
      <c r="E1735" s="1">
        <v>45370</v>
      </c>
      <c r="F1735">
        <v>4</v>
      </c>
      <c r="G1735" t="s">
        <v>2617</v>
      </c>
      <c r="H1735" t="s">
        <v>2564</v>
      </c>
      <c r="I1735" t="s">
        <v>2555</v>
      </c>
      <c r="J1735" t="s">
        <v>2581</v>
      </c>
      <c r="K1735">
        <v>4</v>
      </c>
      <c r="L1735" s="13" t="s">
        <v>258</v>
      </c>
    </row>
    <row r="1736" spans="1:12" x14ac:dyDescent="0.25">
      <c r="A1736" t="s">
        <v>4413</v>
      </c>
      <c r="B1736" t="s">
        <v>107</v>
      </c>
      <c r="C1736" t="str">
        <f>_xlfn.XLOOKUP(Table7[[#This Row],[app_id]],Table5[app_id],Table5[app_name],"",0)</f>
        <v>YogaHub</v>
      </c>
      <c r="D1736" t="s">
        <v>2342</v>
      </c>
      <c r="E1736" s="1">
        <v>45830</v>
      </c>
      <c r="F1736">
        <v>4</v>
      </c>
      <c r="G1736" t="s">
        <v>2622</v>
      </c>
      <c r="H1736" t="s">
        <v>2564</v>
      </c>
      <c r="I1736" t="s">
        <v>2565</v>
      </c>
      <c r="J1736" t="s">
        <v>2581</v>
      </c>
      <c r="K1736">
        <v>2</v>
      </c>
      <c r="L1736" s="13" t="s">
        <v>257</v>
      </c>
    </row>
    <row r="1737" spans="1:12" x14ac:dyDescent="0.25">
      <c r="A1737" t="s">
        <v>4414</v>
      </c>
      <c r="B1737" t="s">
        <v>109</v>
      </c>
      <c r="C1737" t="str">
        <f>_xlfn.XLOOKUP(Table7[[#This Row],[app_id]],Table5[app_id],Table5[app_name],"",0)</f>
        <v>MoveGo</v>
      </c>
      <c r="D1737" t="s">
        <v>2398</v>
      </c>
      <c r="E1737" s="1">
        <v>46066</v>
      </c>
      <c r="F1737">
        <v>5</v>
      </c>
      <c r="G1737" t="s">
        <v>2622</v>
      </c>
      <c r="H1737" t="s">
        <v>2564</v>
      </c>
      <c r="I1737" t="s">
        <v>2555</v>
      </c>
      <c r="J1737" t="s">
        <v>2633</v>
      </c>
      <c r="K1737">
        <v>21</v>
      </c>
      <c r="L1737" s="13" t="s">
        <v>258</v>
      </c>
    </row>
    <row r="1738" spans="1:12" x14ac:dyDescent="0.25">
      <c r="A1738" t="s">
        <v>4415</v>
      </c>
      <c r="B1738" t="s">
        <v>111</v>
      </c>
      <c r="C1738" t="str">
        <f>_xlfn.XLOOKUP(Table7[[#This Row],[app_id]],Table5[app_id],Table5[app_name],"",0)</f>
        <v>BrightNow</v>
      </c>
      <c r="D1738" t="s">
        <v>1411</v>
      </c>
      <c r="E1738" s="1">
        <v>45614</v>
      </c>
      <c r="F1738">
        <v>2</v>
      </c>
      <c r="G1738" t="s">
        <v>2630</v>
      </c>
      <c r="H1738" t="s">
        <v>2587</v>
      </c>
      <c r="I1738" t="s">
        <v>2588</v>
      </c>
      <c r="J1738" t="s">
        <v>2566</v>
      </c>
      <c r="K1738">
        <v>38</v>
      </c>
      <c r="L1738" s="13" t="s">
        <v>257</v>
      </c>
    </row>
    <row r="1739" spans="1:12" x14ac:dyDescent="0.25">
      <c r="A1739" t="s">
        <v>4416</v>
      </c>
      <c r="B1739" t="s">
        <v>114</v>
      </c>
      <c r="C1739" t="str">
        <f>_xlfn.XLOOKUP(Table7[[#This Row],[app_id]],Table5[app_id],Table5[app_name],"",0)</f>
        <v>StudyCloud</v>
      </c>
      <c r="D1739" t="s">
        <v>1467</v>
      </c>
      <c r="E1739" s="1">
        <v>45427</v>
      </c>
      <c r="F1739">
        <v>4</v>
      </c>
      <c r="G1739" t="s">
        <v>2780</v>
      </c>
      <c r="H1739" t="s">
        <v>2564</v>
      </c>
      <c r="I1739" t="s">
        <v>2575</v>
      </c>
      <c r="J1739" t="s">
        <v>2581</v>
      </c>
      <c r="K1739">
        <v>45</v>
      </c>
      <c r="L1739" s="13" t="s">
        <v>257</v>
      </c>
    </row>
    <row r="1740" spans="1:12" x14ac:dyDescent="0.25">
      <c r="A1740" t="s">
        <v>4417</v>
      </c>
      <c r="B1740" t="s">
        <v>116</v>
      </c>
      <c r="C1740" t="str">
        <f>_xlfn.XLOOKUP(Table7[[#This Row],[app_id]],Table5[app_id],Table5[app_name],"",0)</f>
        <v>SkillNow</v>
      </c>
      <c r="D1740" t="s">
        <v>705</v>
      </c>
      <c r="E1740" s="1">
        <v>45576</v>
      </c>
      <c r="F1740">
        <v>3</v>
      </c>
      <c r="G1740" t="s">
        <v>2778</v>
      </c>
      <c r="H1740" t="s">
        <v>2554</v>
      </c>
      <c r="I1740" t="s">
        <v>2578</v>
      </c>
      <c r="J1740" t="s">
        <v>2569</v>
      </c>
      <c r="K1740">
        <v>46</v>
      </c>
      <c r="L1740" s="13" t="s">
        <v>257</v>
      </c>
    </row>
    <row r="1741" spans="1:12" x14ac:dyDescent="0.25">
      <c r="A1741" t="s">
        <v>4418</v>
      </c>
      <c r="B1741" t="s">
        <v>118</v>
      </c>
      <c r="C1741" t="str">
        <f>_xlfn.XLOOKUP(Table7[[#This Row],[app_id]],Table5[app_id],Table5[app_name],"",0)</f>
        <v>LearnMate</v>
      </c>
      <c r="D1741" t="s">
        <v>891</v>
      </c>
      <c r="E1741" s="1">
        <v>45985</v>
      </c>
      <c r="F1741">
        <v>2</v>
      </c>
      <c r="G1741" t="s">
        <v>2630</v>
      </c>
      <c r="H1741" t="s">
        <v>2587</v>
      </c>
      <c r="I1741" t="s">
        <v>2584</v>
      </c>
      <c r="J1741" t="s">
        <v>2556</v>
      </c>
      <c r="K1741">
        <v>17</v>
      </c>
      <c r="L1741" s="13" t="s">
        <v>257</v>
      </c>
    </row>
    <row r="1742" spans="1:12" x14ac:dyDescent="0.25">
      <c r="A1742" t="s">
        <v>4419</v>
      </c>
      <c r="B1742" t="s">
        <v>120</v>
      </c>
      <c r="C1742" t="str">
        <f>_xlfn.XLOOKUP(Table7[[#This Row],[app_id]],Table5[app_id],Table5[app_name],"",0)</f>
        <v>QuestNow</v>
      </c>
      <c r="D1742" t="s">
        <v>1635</v>
      </c>
      <c r="E1742" s="1">
        <v>45939</v>
      </c>
      <c r="F1742">
        <v>4</v>
      </c>
      <c r="G1742" t="s">
        <v>2640</v>
      </c>
      <c r="H1742" t="s">
        <v>2564</v>
      </c>
      <c r="I1742" t="s">
        <v>2558</v>
      </c>
      <c r="J1742" t="s">
        <v>2603</v>
      </c>
      <c r="K1742">
        <v>9</v>
      </c>
      <c r="L1742" s="13" t="s">
        <v>257</v>
      </c>
    </row>
    <row r="1743" spans="1:12" x14ac:dyDescent="0.25">
      <c r="A1743" t="s">
        <v>4420</v>
      </c>
      <c r="B1743" t="s">
        <v>122</v>
      </c>
      <c r="C1743" t="str">
        <f>_xlfn.XLOOKUP(Table7[[#This Row],[app_id]],Table5[app_id],Table5[app_name],"",0)</f>
        <v>SkillHub</v>
      </c>
      <c r="D1743" t="s">
        <v>1211</v>
      </c>
      <c r="E1743" s="1">
        <v>45775</v>
      </c>
      <c r="F1743">
        <v>5</v>
      </c>
      <c r="G1743" t="s">
        <v>2638</v>
      </c>
      <c r="H1743" t="s">
        <v>2564</v>
      </c>
      <c r="I1743" t="s">
        <v>2571</v>
      </c>
      <c r="J1743" t="s">
        <v>2581</v>
      </c>
      <c r="K1743">
        <v>3</v>
      </c>
      <c r="L1743" s="13" t="s">
        <v>257</v>
      </c>
    </row>
    <row r="1744" spans="1:12" x14ac:dyDescent="0.25">
      <c r="A1744" t="s">
        <v>4421</v>
      </c>
      <c r="B1744" t="s">
        <v>124</v>
      </c>
      <c r="C1744" t="str">
        <f>_xlfn.XLOOKUP(Table7[[#This Row],[app_id]],Table5[app_id],Table5[app_name],"",0)</f>
        <v>TutorCloud</v>
      </c>
      <c r="D1744" t="s">
        <v>2027</v>
      </c>
      <c r="E1744" s="1">
        <v>45646</v>
      </c>
      <c r="F1744">
        <v>5</v>
      </c>
      <c r="G1744" t="s">
        <v>2640</v>
      </c>
      <c r="H1744" t="s">
        <v>2564</v>
      </c>
      <c r="I1744" t="s">
        <v>2565</v>
      </c>
      <c r="J1744" t="s">
        <v>2566</v>
      </c>
      <c r="K1744">
        <v>19</v>
      </c>
      <c r="L1744" s="13" t="s">
        <v>258</v>
      </c>
    </row>
    <row r="1745" spans="1:12" x14ac:dyDescent="0.25">
      <c r="A1745" t="s">
        <v>4422</v>
      </c>
      <c r="B1745" t="s">
        <v>126</v>
      </c>
      <c r="C1745" t="str">
        <f>_xlfn.XLOOKUP(Table7[[#This Row],[app_id]],Table5[app_id],Table5[app_name],"",0)</f>
        <v>SkillOne</v>
      </c>
      <c r="D1745" t="s">
        <v>696</v>
      </c>
      <c r="E1745" s="1">
        <v>45618</v>
      </c>
      <c r="F1745">
        <v>2</v>
      </c>
      <c r="G1745" t="s">
        <v>2644</v>
      </c>
      <c r="H1745" t="s">
        <v>2587</v>
      </c>
      <c r="I1745" t="s">
        <v>2558</v>
      </c>
      <c r="J1745" t="s">
        <v>2633</v>
      </c>
      <c r="K1745">
        <v>31</v>
      </c>
      <c r="L1745" s="13" t="s">
        <v>257</v>
      </c>
    </row>
    <row r="1746" spans="1:12" x14ac:dyDescent="0.25">
      <c r="A1746" t="s">
        <v>4423</v>
      </c>
      <c r="B1746" t="s">
        <v>128</v>
      </c>
      <c r="C1746" t="str">
        <f>_xlfn.XLOOKUP(Table7[[#This Row],[app_id]],Table5[app_id],Table5[app_name],"",0)</f>
        <v>LearnOne</v>
      </c>
      <c r="D1746" t="s">
        <v>749</v>
      </c>
      <c r="E1746" s="1">
        <v>45388</v>
      </c>
      <c r="F1746">
        <v>4</v>
      </c>
      <c r="G1746" t="s">
        <v>2640</v>
      </c>
      <c r="H1746" t="s">
        <v>2564</v>
      </c>
      <c r="I1746" t="s">
        <v>2555</v>
      </c>
      <c r="J1746" t="s">
        <v>2633</v>
      </c>
      <c r="K1746">
        <v>31</v>
      </c>
      <c r="L1746" s="13" t="s">
        <v>257</v>
      </c>
    </row>
    <row r="1747" spans="1:12" x14ac:dyDescent="0.25">
      <c r="A1747" t="s">
        <v>4424</v>
      </c>
      <c r="B1747" t="s">
        <v>130</v>
      </c>
      <c r="C1747" t="str">
        <f>_xlfn.XLOOKUP(Table7[[#This Row],[app_id]],Table5[app_id],Table5[app_name],"",0)</f>
        <v>LearnPlus</v>
      </c>
      <c r="D1747" t="s">
        <v>1966</v>
      </c>
      <c r="E1747" s="1">
        <v>45343</v>
      </c>
      <c r="F1747">
        <v>4</v>
      </c>
      <c r="G1747" t="s">
        <v>2638</v>
      </c>
      <c r="H1747" t="s">
        <v>2564</v>
      </c>
      <c r="I1747" t="s">
        <v>2555</v>
      </c>
      <c r="J1747" t="s">
        <v>2581</v>
      </c>
      <c r="K1747">
        <v>21</v>
      </c>
      <c r="L1747" s="13" t="s">
        <v>257</v>
      </c>
    </row>
    <row r="1748" spans="1:12" x14ac:dyDescent="0.25">
      <c r="A1748" t="s">
        <v>4425</v>
      </c>
      <c r="B1748" t="s">
        <v>132</v>
      </c>
      <c r="C1748" t="str">
        <f>_xlfn.XLOOKUP(Table7[[#This Row],[app_id]],Table5[app_id],Table5[app_name],"",0)</f>
        <v>StudyPlus</v>
      </c>
      <c r="D1748" t="s">
        <v>2334</v>
      </c>
      <c r="E1748" s="1">
        <v>45531</v>
      </c>
      <c r="F1748">
        <v>3</v>
      </c>
      <c r="G1748" t="s">
        <v>2778</v>
      </c>
      <c r="H1748" t="s">
        <v>2554</v>
      </c>
      <c r="I1748" t="s">
        <v>2558</v>
      </c>
      <c r="J1748" t="s">
        <v>2581</v>
      </c>
      <c r="K1748">
        <v>33</v>
      </c>
      <c r="L1748" s="13" t="s">
        <v>257</v>
      </c>
    </row>
    <row r="1749" spans="1:12" x14ac:dyDescent="0.25">
      <c r="A1749" t="s">
        <v>4426</v>
      </c>
      <c r="B1749" t="s">
        <v>134</v>
      </c>
      <c r="C1749" t="str">
        <f>_xlfn.XLOOKUP(Table7[[#This Row],[app_id]],Table5[app_id],Table5[app_name],"",0)</f>
        <v>StudyX</v>
      </c>
      <c r="D1749" t="s">
        <v>624</v>
      </c>
      <c r="E1749" s="1">
        <v>45972</v>
      </c>
      <c r="F1749">
        <v>4</v>
      </c>
      <c r="G1749" t="s">
        <v>2780</v>
      </c>
      <c r="H1749" t="s">
        <v>2564</v>
      </c>
      <c r="I1749" t="s">
        <v>2575</v>
      </c>
      <c r="J1749" t="s">
        <v>2559</v>
      </c>
      <c r="K1749">
        <v>13</v>
      </c>
      <c r="L1749" s="13" t="s">
        <v>257</v>
      </c>
    </row>
    <row r="1750" spans="1:12" x14ac:dyDescent="0.25">
      <c r="A1750" t="s">
        <v>4427</v>
      </c>
      <c r="B1750" t="s">
        <v>136</v>
      </c>
      <c r="C1750" t="str">
        <f>_xlfn.XLOOKUP(Table7[[#This Row],[app_id]],Table5[app_id],Table5[app_name],"",0)</f>
        <v>PlayPlus</v>
      </c>
      <c r="D1750" t="s">
        <v>1606</v>
      </c>
      <c r="E1750" s="1">
        <v>45743</v>
      </c>
      <c r="F1750">
        <v>4</v>
      </c>
      <c r="G1750" t="s">
        <v>2789</v>
      </c>
      <c r="H1750" t="s">
        <v>2564</v>
      </c>
      <c r="I1750" t="s">
        <v>2565</v>
      </c>
      <c r="J1750" t="s">
        <v>2596</v>
      </c>
      <c r="K1750">
        <v>31</v>
      </c>
      <c r="L1750" s="13" t="s">
        <v>257</v>
      </c>
    </row>
    <row r="1751" spans="1:12" x14ac:dyDescent="0.25">
      <c r="A1751" t="s">
        <v>4428</v>
      </c>
      <c r="B1751" t="s">
        <v>139</v>
      </c>
      <c r="C1751" t="str">
        <f>_xlfn.XLOOKUP(Table7[[#This Row],[app_id]],Table5[app_id],Table5[app_name],"",0)</f>
        <v>ShowMate</v>
      </c>
      <c r="D1751" t="s">
        <v>1874</v>
      </c>
      <c r="E1751" s="1">
        <v>45942</v>
      </c>
      <c r="F1751">
        <v>3</v>
      </c>
      <c r="G1751" t="s">
        <v>2793</v>
      </c>
      <c r="H1751" t="s">
        <v>2554</v>
      </c>
      <c r="I1751" t="s">
        <v>2571</v>
      </c>
      <c r="J1751" t="s">
        <v>2561</v>
      </c>
      <c r="K1751">
        <v>13</v>
      </c>
      <c r="L1751" s="13" t="s">
        <v>257</v>
      </c>
    </row>
    <row r="1752" spans="1:12" x14ac:dyDescent="0.25">
      <c r="A1752" t="s">
        <v>4429</v>
      </c>
      <c r="B1752" t="s">
        <v>141</v>
      </c>
      <c r="C1752" t="str">
        <f>_xlfn.XLOOKUP(Table7[[#This Row],[app_id]],Table5[app_id],Table5[app_name],"",0)</f>
        <v>VibeX</v>
      </c>
      <c r="D1752" t="s">
        <v>2307</v>
      </c>
      <c r="E1752" s="1">
        <v>45476</v>
      </c>
      <c r="F1752">
        <v>2</v>
      </c>
      <c r="G1752" t="s">
        <v>3117</v>
      </c>
      <c r="H1752" t="s">
        <v>2587</v>
      </c>
      <c r="I1752" t="s">
        <v>2588</v>
      </c>
      <c r="J1752" t="s">
        <v>2559</v>
      </c>
      <c r="K1752">
        <v>86</v>
      </c>
      <c r="L1752" s="13" t="s">
        <v>257</v>
      </c>
    </row>
    <row r="1753" spans="1:12" x14ac:dyDescent="0.25">
      <c r="A1753" t="s">
        <v>4430</v>
      </c>
      <c r="B1753" t="s">
        <v>143</v>
      </c>
      <c r="C1753" t="str">
        <f>_xlfn.XLOOKUP(Table7[[#This Row],[app_id]],Table5[app_id],Table5[app_name],"",0)</f>
        <v>BuzzNow</v>
      </c>
      <c r="D1753" t="s">
        <v>1148</v>
      </c>
      <c r="E1753" s="1">
        <v>45836</v>
      </c>
      <c r="F1753">
        <v>4</v>
      </c>
      <c r="G1753" t="s">
        <v>2650</v>
      </c>
      <c r="H1753" t="s">
        <v>2564</v>
      </c>
      <c r="I1753" t="s">
        <v>2575</v>
      </c>
      <c r="J1753" t="s">
        <v>2561</v>
      </c>
      <c r="K1753">
        <v>30</v>
      </c>
      <c r="L1753" s="13" t="s">
        <v>257</v>
      </c>
    </row>
    <row r="1754" spans="1:12" x14ac:dyDescent="0.25">
      <c r="A1754" t="s">
        <v>4431</v>
      </c>
      <c r="B1754" t="s">
        <v>145</v>
      </c>
      <c r="C1754" t="str">
        <f>_xlfn.XLOOKUP(Table7[[#This Row],[app_id]],Table5[app_id],Table5[app_name],"",0)</f>
        <v>StreamPlus</v>
      </c>
      <c r="D1754" t="s">
        <v>1716</v>
      </c>
      <c r="E1754" s="1">
        <v>46141</v>
      </c>
      <c r="F1754">
        <v>4</v>
      </c>
      <c r="G1754" t="s">
        <v>2650</v>
      </c>
      <c r="H1754" t="s">
        <v>2564</v>
      </c>
      <c r="I1754" t="s">
        <v>2565</v>
      </c>
      <c r="J1754" t="s">
        <v>2559</v>
      </c>
      <c r="K1754">
        <v>40</v>
      </c>
      <c r="L1754" s="13" t="s">
        <v>258</v>
      </c>
    </row>
    <row r="1755" spans="1:12" x14ac:dyDescent="0.25">
      <c r="A1755" t="s">
        <v>4432</v>
      </c>
      <c r="B1755" t="s">
        <v>147</v>
      </c>
      <c r="C1755" t="str">
        <f>_xlfn.XLOOKUP(Table7[[#This Row],[app_id]],Table5[app_id],Table5[app_name],"",0)</f>
        <v>Showly</v>
      </c>
      <c r="D1755" t="s">
        <v>733</v>
      </c>
      <c r="E1755" s="1">
        <v>45463</v>
      </c>
      <c r="F1755">
        <v>2</v>
      </c>
      <c r="G1755" t="s">
        <v>3117</v>
      </c>
      <c r="H1755" t="s">
        <v>2587</v>
      </c>
      <c r="I1755" t="s">
        <v>2584</v>
      </c>
      <c r="J1755" t="s">
        <v>2596</v>
      </c>
      <c r="K1755">
        <v>89</v>
      </c>
      <c r="L1755" s="13" t="s">
        <v>258</v>
      </c>
    </row>
    <row r="1756" spans="1:12" x14ac:dyDescent="0.25">
      <c r="A1756" t="s">
        <v>4433</v>
      </c>
      <c r="B1756" t="s">
        <v>149</v>
      </c>
      <c r="C1756" t="str">
        <f>_xlfn.XLOOKUP(Table7[[#This Row],[app_id]],Table5[app_id],Table5[app_name],"",0)</f>
        <v>BuzzOne</v>
      </c>
      <c r="D1756" t="s">
        <v>1283</v>
      </c>
      <c r="E1756" s="1">
        <v>45636</v>
      </c>
      <c r="F1756">
        <v>3</v>
      </c>
      <c r="G1756" t="s">
        <v>2663</v>
      </c>
      <c r="H1756" t="s">
        <v>2554</v>
      </c>
      <c r="I1756" t="s">
        <v>2558</v>
      </c>
      <c r="J1756" t="s">
        <v>2596</v>
      </c>
      <c r="K1756">
        <v>37</v>
      </c>
      <c r="L1756" s="13" t="s">
        <v>258</v>
      </c>
    </row>
    <row r="1757" spans="1:12" x14ac:dyDescent="0.25">
      <c r="A1757" t="s">
        <v>4434</v>
      </c>
      <c r="B1757" t="s">
        <v>151</v>
      </c>
      <c r="C1757" t="str">
        <f>_xlfn.XLOOKUP(Table7[[#This Row],[app_id]],Table5[app_id],Table5[app_name],"",0)</f>
        <v>PlayHub</v>
      </c>
      <c r="D1757" t="s">
        <v>2393</v>
      </c>
      <c r="E1757" s="1">
        <v>46032</v>
      </c>
      <c r="F1757">
        <v>3</v>
      </c>
      <c r="G1757" t="s">
        <v>2655</v>
      </c>
      <c r="H1757" t="s">
        <v>2554</v>
      </c>
      <c r="I1757" t="s">
        <v>2571</v>
      </c>
      <c r="J1757" t="s">
        <v>2581</v>
      </c>
      <c r="K1757">
        <v>3</v>
      </c>
      <c r="L1757" s="13" t="s">
        <v>258</v>
      </c>
    </row>
    <row r="1758" spans="1:12" x14ac:dyDescent="0.25">
      <c r="A1758" t="s">
        <v>4435</v>
      </c>
      <c r="B1758" t="s">
        <v>153</v>
      </c>
      <c r="C1758" t="str">
        <f>_xlfn.XLOOKUP(Table7[[#This Row],[app_id]],Table5[app_id],Table5[app_name],"",0)</f>
        <v>CinemaGo</v>
      </c>
      <c r="D1758" t="s">
        <v>1244</v>
      </c>
      <c r="E1758" s="1">
        <v>45626</v>
      </c>
      <c r="F1758">
        <v>3</v>
      </c>
      <c r="G1758" t="s">
        <v>2793</v>
      </c>
      <c r="H1758" t="s">
        <v>2554</v>
      </c>
      <c r="I1758" t="s">
        <v>2558</v>
      </c>
      <c r="J1758" t="s">
        <v>2596</v>
      </c>
      <c r="K1758">
        <v>28</v>
      </c>
      <c r="L1758" s="13" t="s">
        <v>258</v>
      </c>
    </row>
    <row r="1759" spans="1:12" x14ac:dyDescent="0.25">
      <c r="A1759" t="s">
        <v>4436</v>
      </c>
      <c r="B1759" t="s">
        <v>155</v>
      </c>
      <c r="C1759" t="str">
        <f>_xlfn.XLOOKUP(Table7[[#This Row],[app_id]],Table5[app_id],Table5[app_name],"",0)</f>
        <v>LaughX</v>
      </c>
      <c r="D1759" t="s">
        <v>1997</v>
      </c>
      <c r="E1759" s="1">
        <v>45533</v>
      </c>
      <c r="F1759">
        <v>3</v>
      </c>
      <c r="G1759" t="s">
        <v>2793</v>
      </c>
      <c r="H1759" t="s">
        <v>2554</v>
      </c>
      <c r="I1759" t="s">
        <v>2558</v>
      </c>
      <c r="J1759" t="s">
        <v>2561</v>
      </c>
      <c r="K1759">
        <v>48</v>
      </c>
      <c r="L1759" s="13" t="s">
        <v>257</v>
      </c>
    </row>
    <row r="1760" spans="1:12" x14ac:dyDescent="0.25">
      <c r="A1760" t="s">
        <v>4437</v>
      </c>
      <c r="B1760" t="s">
        <v>157</v>
      </c>
      <c r="C1760" t="str">
        <f>_xlfn.XLOOKUP(Table7[[#This Row],[app_id]],Table5[app_id],Table5[app_name],"",0)</f>
        <v>CinemaHub</v>
      </c>
      <c r="D1760" t="s">
        <v>1255</v>
      </c>
      <c r="E1760" s="1">
        <v>46071</v>
      </c>
      <c r="F1760">
        <v>4</v>
      </c>
      <c r="G1760" t="s">
        <v>2789</v>
      </c>
      <c r="H1760" t="s">
        <v>2564</v>
      </c>
      <c r="I1760" t="s">
        <v>2558</v>
      </c>
      <c r="J1760" t="s">
        <v>2556</v>
      </c>
      <c r="K1760">
        <v>36</v>
      </c>
      <c r="L1760" s="13" t="s">
        <v>258</v>
      </c>
    </row>
    <row r="1761" spans="1:12" x14ac:dyDescent="0.25">
      <c r="A1761" t="s">
        <v>4438</v>
      </c>
      <c r="B1761" t="s">
        <v>159</v>
      </c>
      <c r="C1761" t="str">
        <f>_xlfn.XLOOKUP(Table7[[#This Row],[app_id]],Table5[app_id],Table5[app_name],"",0)</f>
        <v>ShowPro</v>
      </c>
      <c r="D1761" t="s">
        <v>2141</v>
      </c>
      <c r="E1761" s="1">
        <v>46013</v>
      </c>
      <c r="F1761">
        <v>3</v>
      </c>
      <c r="G1761" t="s">
        <v>2663</v>
      </c>
      <c r="H1761" t="s">
        <v>2554</v>
      </c>
      <c r="I1761" t="s">
        <v>2575</v>
      </c>
      <c r="J1761" t="s">
        <v>2581</v>
      </c>
      <c r="K1761">
        <v>27</v>
      </c>
      <c r="L1761" s="13" t="s">
        <v>257</v>
      </c>
    </row>
    <row r="1762" spans="1:12" x14ac:dyDescent="0.25">
      <c r="A1762" t="s">
        <v>4439</v>
      </c>
      <c r="B1762" t="s">
        <v>161</v>
      </c>
      <c r="C1762" t="str">
        <f>_xlfn.XLOOKUP(Table7[[#This Row],[app_id]],Table5[app_id],Table5[app_name],"",0)</f>
        <v>FoodPlus</v>
      </c>
      <c r="D1762" t="s">
        <v>1011</v>
      </c>
      <c r="E1762" s="1">
        <v>45701</v>
      </c>
      <c r="F1762">
        <v>4</v>
      </c>
      <c r="G1762" t="s">
        <v>2676</v>
      </c>
      <c r="H1762" t="s">
        <v>2564</v>
      </c>
      <c r="I1762" t="s">
        <v>2565</v>
      </c>
      <c r="J1762" t="s">
        <v>2603</v>
      </c>
      <c r="K1762">
        <v>45</v>
      </c>
      <c r="L1762" s="13" t="s">
        <v>257</v>
      </c>
    </row>
    <row r="1763" spans="1:12" x14ac:dyDescent="0.25">
      <c r="A1763" t="s">
        <v>4440</v>
      </c>
      <c r="B1763" t="s">
        <v>164</v>
      </c>
      <c r="C1763" t="str">
        <f>_xlfn.XLOOKUP(Table7[[#This Row],[app_id]],Table5[app_id],Table5[app_name],"",0)</f>
        <v>BiteGo</v>
      </c>
      <c r="D1763" t="s">
        <v>777</v>
      </c>
      <c r="E1763" s="1">
        <v>45556</v>
      </c>
      <c r="F1763">
        <v>3</v>
      </c>
      <c r="G1763" t="s">
        <v>2666</v>
      </c>
      <c r="H1763" t="s">
        <v>2554</v>
      </c>
      <c r="I1763" t="s">
        <v>2555</v>
      </c>
      <c r="J1763" t="s">
        <v>2603</v>
      </c>
      <c r="K1763">
        <v>14</v>
      </c>
      <c r="L1763" s="13" t="s">
        <v>258</v>
      </c>
    </row>
    <row r="1764" spans="1:12" x14ac:dyDescent="0.25">
      <c r="A1764" t="s">
        <v>4441</v>
      </c>
      <c r="B1764" t="s">
        <v>166</v>
      </c>
      <c r="C1764" t="str">
        <f>_xlfn.XLOOKUP(Table7[[#This Row],[app_id]],Table5[app_id],Table5[app_name],"",0)</f>
        <v>OrderCloud</v>
      </c>
      <c r="D1764" t="s">
        <v>873</v>
      </c>
      <c r="E1764" s="1">
        <v>45899</v>
      </c>
      <c r="F1764">
        <v>3</v>
      </c>
      <c r="G1764" t="s">
        <v>2670</v>
      </c>
      <c r="H1764" t="s">
        <v>2554</v>
      </c>
      <c r="I1764" t="s">
        <v>2588</v>
      </c>
      <c r="J1764" t="s">
        <v>2633</v>
      </c>
      <c r="K1764">
        <v>48</v>
      </c>
      <c r="L1764" s="13" t="s">
        <v>258</v>
      </c>
    </row>
    <row r="1765" spans="1:12" x14ac:dyDescent="0.25">
      <c r="A1765" t="s">
        <v>4442</v>
      </c>
      <c r="B1765" t="s">
        <v>168</v>
      </c>
      <c r="C1765" t="str">
        <f>_xlfn.XLOOKUP(Table7[[#This Row],[app_id]],Table5[app_id],Table5[app_name],"",0)</f>
        <v>DinePlus</v>
      </c>
      <c r="D1765" t="s">
        <v>1832</v>
      </c>
      <c r="E1765" s="1">
        <v>45562</v>
      </c>
      <c r="F1765">
        <v>4</v>
      </c>
      <c r="G1765" t="s">
        <v>2676</v>
      </c>
      <c r="H1765" t="s">
        <v>2564</v>
      </c>
      <c r="I1765" t="s">
        <v>2558</v>
      </c>
      <c r="J1765" t="s">
        <v>2596</v>
      </c>
      <c r="K1765">
        <v>11</v>
      </c>
      <c r="L1765" s="13" t="s">
        <v>257</v>
      </c>
    </row>
    <row r="1766" spans="1:12" x14ac:dyDescent="0.25">
      <c r="A1766" t="s">
        <v>4443</v>
      </c>
      <c r="B1766" t="s">
        <v>170</v>
      </c>
      <c r="C1766" t="str">
        <f>_xlfn.XLOOKUP(Table7[[#This Row],[app_id]],Table5[app_id],Table5[app_name],"",0)</f>
        <v>SnackX</v>
      </c>
      <c r="D1766" t="s">
        <v>2494</v>
      </c>
      <c r="E1766" s="1">
        <v>46074</v>
      </c>
      <c r="F1766">
        <v>3</v>
      </c>
      <c r="G1766" t="s">
        <v>2670</v>
      </c>
      <c r="H1766" t="s">
        <v>2554</v>
      </c>
      <c r="I1766" t="s">
        <v>2584</v>
      </c>
      <c r="J1766" t="s">
        <v>2566</v>
      </c>
      <c r="K1766">
        <v>31</v>
      </c>
      <c r="L1766" s="13" t="s">
        <v>258</v>
      </c>
    </row>
    <row r="1767" spans="1:12" x14ac:dyDescent="0.25">
      <c r="A1767" t="s">
        <v>4444</v>
      </c>
      <c r="B1767" t="s">
        <v>172</v>
      </c>
      <c r="C1767" t="str">
        <f>_xlfn.XLOOKUP(Table7[[#This Row],[app_id]],Table5[app_id],Table5[app_name],"",0)</f>
        <v>FoodOne</v>
      </c>
      <c r="D1767" t="s">
        <v>1839</v>
      </c>
      <c r="E1767" s="1">
        <v>46123</v>
      </c>
      <c r="F1767">
        <v>3</v>
      </c>
      <c r="G1767" t="s">
        <v>2668</v>
      </c>
      <c r="H1767" t="s">
        <v>2554</v>
      </c>
      <c r="I1767" t="s">
        <v>2555</v>
      </c>
      <c r="J1767" t="s">
        <v>2566</v>
      </c>
      <c r="K1767">
        <v>37</v>
      </c>
      <c r="L1767" s="13" t="s">
        <v>257</v>
      </c>
    </row>
    <row r="1768" spans="1:12" x14ac:dyDescent="0.25">
      <c r="A1768" t="s">
        <v>4445</v>
      </c>
      <c r="B1768" t="s">
        <v>174</v>
      </c>
      <c r="C1768" t="str">
        <f>_xlfn.XLOOKUP(Table7[[#This Row],[app_id]],Table5[app_id],Table5[app_name],"",0)</f>
        <v>MealMate</v>
      </c>
      <c r="D1768" t="s">
        <v>1443</v>
      </c>
      <c r="E1768" s="1">
        <v>45845</v>
      </c>
      <c r="F1768">
        <v>4</v>
      </c>
      <c r="G1768" t="s">
        <v>2806</v>
      </c>
      <c r="H1768" t="s">
        <v>2564</v>
      </c>
      <c r="I1768" t="s">
        <v>2565</v>
      </c>
      <c r="J1768" t="s">
        <v>2556</v>
      </c>
      <c r="K1768">
        <v>18</v>
      </c>
      <c r="L1768" s="13" t="s">
        <v>257</v>
      </c>
    </row>
    <row r="1769" spans="1:12" x14ac:dyDescent="0.25">
      <c r="A1769" t="s">
        <v>4446</v>
      </c>
      <c r="B1769" t="s">
        <v>176</v>
      </c>
      <c r="C1769" t="str">
        <f>_xlfn.XLOOKUP(Table7[[#This Row],[app_id]],Table5[app_id],Table5[app_name],"",0)</f>
        <v>SnackHub</v>
      </c>
      <c r="D1769" t="s">
        <v>558</v>
      </c>
      <c r="E1769" s="1">
        <v>45649</v>
      </c>
      <c r="F1769">
        <v>4</v>
      </c>
      <c r="G1769" t="s">
        <v>2674</v>
      </c>
      <c r="H1769" t="s">
        <v>2564</v>
      </c>
      <c r="I1769" t="s">
        <v>2558</v>
      </c>
      <c r="J1769" t="s">
        <v>2559</v>
      </c>
      <c r="K1769">
        <v>21</v>
      </c>
      <c r="L1769" s="13" t="s">
        <v>258</v>
      </c>
    </row>
    <row r="1770" spans="1:12" x14ac:dyDescent="0.25">
      <c r="A1770" t="s">
        <v>4447</v>
      </c>
      <c r="B1770" t="s">
        <v>178</v>
      </c>
      <c r="C1770" t="str">
        <f>_xlfn.XLOOKUP(Table7[[#This Row],[app_id]],Table5[app_id],Table5[app_name],"",0)</f>
        <v>BiteCloud</v>
      </c>
      <c r="D1770" t="s">
        <v>1828</v>
      </c>
      <c r="E1770" s="1">
        <v>45512</v>
      </c>
      <c r="F1770">
        <v>3</v>
      </c>
      <c r="G1770" t="s">
        <v>2666</v>
      </c>
      <c r="H1770" t="s">
        <v>2554</v>
      </c>
      <c r="I1770" t="s">
        <v>2571</v>
      </c>
      <c r="J1770" t="s">
        <v>2603</v>
      </c>
      <c r="K1770">
        <v>8</v>
      </c>
      <c r="L1770" s="13" t="s">
        <v>257</v>
      </c>
    </row>
    <row r="1771" spans="1:12" x14ac:dyDescent="0.25">
      <c r="A1771" t="s">
        <v>4448</v>
      </c>
      <c r="B1771" t="s">
        <v>180</v>
      </c>
      <c r="C1771" t="str">
        <f>_xlfn.XLOOKUP(Table7[[#This Row],[app_id]],Table5[app_id],Table5[app_name],"",0)</f>
        <v>PlatePlus</v>
      </c>
      <c r="D1771" t="s">
        <v>1607</v>
      </c>
      <c r="E1771" s="1">
        <v>45603</v>
      </c>
      <c r="F1771">
        <v>4</v>
      </c>
      <c r="G1771" t="s">
        <v>2679</v>
      </c>
      <c r="H1771" t="s">
        <v>2564</v>
      </c>
      <c r="I1771" t="s">
        <v>2565</v>
      </c>
      <c r="J1771" t="s">
        <v>2603</v>
      </c>
      <c r="K1771">
        <v>32</v>
      </c>
      <c r="L1771" s="13" t="s">
        <v>257</v>
      </c>
    </row>
    <row r="1772" spans="1:12" x14ac:dyDescent="0.25">
      <c r="A1772" t="s">
        <v>4449</v>
      </c>
      <c r="B1772" t="s">
        <v>182</v>
      </c>
      <c r="C1772" t="str">
        <f>_xlfn.XLOOKUP(Table7[[#This Row],[app_id]],Table5[app_id],Table5[app_name],"",0)</f>
        <v>VoyageGo</v>
      </c>
      <c r="D1772" t="s">
        <v>927</v>
      </c>
      <c r="E1772" s="1">
        <v>45690</v>
      </c>
      <c r="F1772">
        <v>4</v>
      </c>
      <c r="G1772" t="s">
        <v>2929</v>
      </c>
      <c r="H1772" t="s">
        <v>2564</v>
      </c>
      <c r="I1772" t="s">
        <v>2565</v>
      </c>
      <c r="J1772" t="s">
        <v>2556</v>
      </c>
      <c r="K1772">
        <v>21</v>
      </c>
      <c r="L1772" s="13" t="s">
        <v>257</v>
      </c>
    </row>
    <row r="1773" spans="1:12" x14ac:dyDescent="0.25">
      <c r="A1773" t="s">
        <v>4450</v>
      </c>
      <c r="B1773" t="s">
        <v>185</v>
      </c>
      <c r="C1773" t="str">
        <f>_xlfn.XLOOKUP(Table7[[#This Row],[app_id]],Table5[app_id],Table5[app_name],"",0)</f>
        <v>TripOne</v>
      </c>
      <c r="D1773" t="s">
        <v>1075</v>
      </c>
      <c r="E1773" s="1">
        <v>45871</v>
      </c>
      <c r="F1773">
        <v>4</v>
      </c>
      <c r="G1773" t="s">
        <v>2687</v>
      </c>
      <c r="H1773" t="s">
        <v>2564</v>
      </c>
      <c r="I1773" t="s">
        <v>2565</v>
      </c>
      <c r="J1773" t="s">
        <v>2559</v>
      </c>
      <c r="K1773">
        <v>35</v>
      </c>
      <c r="L1773" s="13" t="s">
        <v>257</v>
      </c>
    </row>
    <row r="1774" spans="1:12" x14ac:dyDescent="0.25">
      <c r="A1774" t="s">
        <v>4451</v>
      </c>
      <c r="B1774" t="s">
        <v>187</v>
      </c>
      <c r="C1774" t="str">
        <f>_xlfn.XLOOKUP(Table7[[#This Row],[app_id]],Table5[app_id],Table5[app_name],"",0)</f>
        <v>FlyGo</v>
      </c>
      <c r="D1774" t="s">
        <v>1804</v>
      </c>
      <c r="E1774" s="1">
        <v>46085</v>
      </c>
      <c r="F1774">
        <v>5</v>
      </c>
      <c r="G1774" t="s">
        <v>2683</v>
      </c>
      <c r="H1774" t="s">
        <v>2564</v>
      </c>
      <c r="I1774" t="s">
        <v>2575</v>
      </c>
      <c r="J1774" t="s">
        <v>2633</v>
      </c>
      <c r="K1774">
        <v>33</v>
      </c>
      <c r="L1774" s="13" t="s">
        <v>257</v>
      </c>
    </row>
    <row r="1775" spans="1:12" x14ac:dyDescent="0.25">
      <c r="A1775" t="s">
        <v>4452</v>
      </c>
      <c r="B1775" t="s">
        <v>189</v>
      </c>
      <c r="C1775" t="str">
        <f>_xlfn.XLOOKUP(Table7[[#This Row],[app_id]],Table5[app_id],Table5[app_name],"",0)</f>
        <v>MapX</v>
      </c>
      <c r="D1775" t="s">
        <v>2160</v>
      </c>
      <c r="E1775" s="1">
        <v>46099</v>
      </c>
      <c r="F1775">
        <v>4</v>
      </c>
      <c r="G1775" t="s">
        <v>2931</v>
      </c>
      <c r="H1775" t="s">
        <v>2564</v>
      </c>
      <c r="I1775" t="s">
        <v>2555</v>
      </c>
      <c r="J1775" t="s">
        <v>2633</v>
      </c>
      <c r="K1775">
        <v>18</v>
      </c>
      <c r="L1775" s="13" t="s">
        <v>257</v>
      </c>
    </row>
    <row r="1776" spans="1:12" x14ac:dyDescent="0.25">
      <c r="A1776" t="s">
        <v>4453</v>
      </c>
      <c r="B1776" t="s">
        <v>191</v>
      </c>
      <c r="C1776" t="str">
        <f>_xlfn.XLOOKUP(Table7[[#This Row],[app_id]],Table5[app_id],Table5[app_name],"",0)</f>
        <v>StayX</v>
      </c>
      <c r="D1776" t="s">
        <v>1943</v>
      </c>
      <c r="E1776" s="1">
        <v>45973</v>
      </c>
      <c r="F1776">
        <v>3</v>
      </c>
      <c r="G1776" t="s">
        <v>2697</v>
      </c>
      <c r="H1776" t="s">
        <v>2554</v>
      </c>
      <c r="I1776" t="s">
        <v>2555</v>
      </c>
      <c r="J1776" t="s">
        <v>2600</v>
      </c>
      <c r="K1776">
        <v>22</v>
      </c>
      <c r="L1776" s="13" t="s">
        <v>257</v>
      </c>
    </row>
    <row r="1777" spans="1:12" x14ac:dyDescent="0.25">
      <c r="A1777" t="s">
        <v>4454</v>
      </c>
      <c r="B1777" t="s">
        <v>193</v>
      </c>
      <c r="C1777" t="str">
        <f>_xlfn.XLOOKUP(Table7[[#This Row],[app_id]],Table5[app_id],Table5[app_name],"",0)</f>
        <v>GoNow</v>
      </c>
      <c r="D1777" t="s">
        <v>1787</v>
      </c>
      <c r="E1777" s="1">
        <v>45311</v>
      </c>
      <c r="F1777">
        <v>3</v>
      </c>
      <c r="G1777" t="s">
        <v>2815</v>
      </c>
      <c r="H1777" t="s">
        <v>2554</v>
      </c>
      <c r="I1777" t="s">
        <v>2578</v>
      </c>
      <c r="J1777" t="s">
        <v>2569</v>
      </c>
      <c r="K1777">
        <v>40</v>
      </c>
      <c r="L1777" s="13" t="s">
        <v>257</v>
      </c>
    </row>
    <row r="1778" spans="1:12" x14ac:dyDescent="0.25">
      <c r="A1778" t="s">
        <v>4455</v>
      </c>
      <c r="B1778" t="s">
        <v>195</v>
      </c>
      <c r="C1778" t="str">
        <f>_xlfn.XLOOKUP(Table7[[#This Row],[app_id]],Table5[app_id],Table5[app_name],"",0)</f>
        <v>RouteGo</v>
      </c>
      <c r="D1778" t="s">
        <v>1868</v>
      </c>
      <c r="E1778" s="1">
        <v>45526</v>
      </c>
      <c r="F1778">
        <v>3</v>
      </c>
      <c r="G1778" t="s">
        <v>2815</v>
      </c>
      <c r="H1778" t="s">
        <v>2554</v>
      </c>
      <c r="I1778" t="s">
        <v>2578</v>
      </c>
      <c r="J1778" t="s">
        <v>2559</v>
      </c>
      <c r="K1778">
        <v>3</v>
      </c>
      <c r="L1778" s="13" t="s">
        <v>257</v>
      </c>
    </row>
    <row r="1779" spans="1:12" x14ac:dyDescent="0.25">
      <c r="A1779" t="s">
        <v>4456</v>
      </c>
      <c r="B1779" t="s">
        <v>197</v>
      </c>
      <c r="C1779" t="str">
        <f>_xlfn.XLOOKUP(Table7[[#This Row],[app_id]],Table5[app_id],Table5[app_name],"",0)</f>
        <v>TripGo</v>
      </c>
      <c r="D1779" t="s">
        <v>1234</v>
      </c>
      <c r="E1779" s="1">
        <v>45796</v>
      </c>
      <c r="F1779">
        <v>4</v>
      </c>
      <c r="G1779" t="s">
        <v>2931</v>
      </c>
      <c r="H1779" t="s">
        <v>2564</v>
      </c>
      <c r="I1779" t="s">
        <v>2575</v>
      </c>
      <c r="J1779" t="s">
        <v>2569</v>
      </c>
      <c r="K1779">
        <v>24</v>
      </c>
      <c r="L1779" s="13" t="s">
        <v>257</v>
      </c>
    </row>
    <row r="1780" spans="1:12" x14ac:dyDescent="0.25">
      <c r="A1780" t="s">
        <v>4457</v>
      </c>
      <c r="B1780" t="s">
        <v>199</v>
      </c>
      <c r="C1780" t="str">
        <f>_xlfn.XLOOKUP(Table7[[#This Row],[app_id]],Table5[app_id],Table5[app_name],"",0)</f>
        <v>Flyly</v>
      </c>
      <c r="D1780" t="s">
        <v>1767</v>
      </c>
      <c r="E1780" s="1">
        <v>45441</v>
      </c>
      <c r="F1780">
        <v>3</v>
      </c>
      <c r="G1780" t="s">
        <v>2697</v>
      </c>
      <c r="H1780" t="s">
        <v>2554</v>
      </c>
      <c r="I1780" t="s">
        <v>2588</v>
      </c>
      <c r="J1780" t="s">
        <v>2600</v>
      </c>
      <c r="K1780">
        <v>19</v>
      </c>
      <c r="L1780" s="13" t="s">
        <v>257</v>
      </c>
    </row>
    <row r="1781" spans="1:12" x14ac:dyDescent="0.25">
      <c r="A1781" t="s">
        <v>4458</v>
      </c>
      <c r="B1781" t="s">
        <v>201</v>
      </c>
      <c r="C1781" t="str">
        <f>_xlfn.XLOOKUP(Table7[[#This Row],[app_id]],Table5[app_id],Table5[app_name],"",0)</f>
        <v>TripPro</v>
      </c>
      <c r="D1781" t="s">
        <v>758</v>
      </c>
      <c r="E1781" s="1">
        <v>45931</v>
      </c>
      <c r="F1781">
        <v>3</v>
      </c>
      <c r="G1781" t="s">
        <v>2697</v>
      </c>
      <c r="H1781" t="s">
        <v>2554</v>
      </c>
      <c r="I1781" t="s">
        <v>2588</v>
      </c>
      <c r="J1781" t="s">
        <v>2566</v>
      </c>
      <c r="K1781">
        <v>36</v>
      </c>
      <c r="L1781" s="13" t="s">
        <v>257</v>
      </c>
    </row>
    <row r="1782" spans="1:12" x14ac:dyDescent="0.25">
      <c r="A1782" t="s">
        <v>4459</v>
      </c>
      <c r="B1782" t="s">
        <v>203</v>
      </c>
      <c r="C1782" t="str">
        <f>_xlfn.XLOOKUP(Table7[[#This Row],[app_id]],Table5[app_id],Table5[app_name],"",0)</f>
        <v>Focusly</v>
      </c>
      <c r="D1782" t="s">
        <v>2121</v>
      </c>
      <c r="E1782" s="1">
        <v>45720</v>
      </c>
      <c r="F1782">
        <v>4</v>
      </c>
      <c r="G1782" t="s">
        <v>2708</v>
      </c>
      <c r="H1782" t="s">
        <v>2564</v>
      </c>
      <c r="I1782" t="s">
        <v>2575</v>
      </c>
      <c r="J1782" t="s">
        <v>2559</v>
      </c>
      <c r="K1782">
        <v>41</v>
      </c>
      <c r="L1782" s="13" t="s">
        <v>257</v>
      </c>
    </row>
    <row r="1783" spans="1:12" x14ac:dyDescent="0.25">
      <c r="A1783" t="s">
        <v>4460</v>
      </c>
      <c r="B1783" t="s">
        <v>206</v>
      </c>
      <c r="C1783" t="str">
        <f>_xlfn.XLOOKUP(Table7[[#This Row],[app_id]],Table5[app_id],Table5[app_name],"",0)</f>
        <v>DeskX</v>
      </c>
      <c r="D1783" t="s">
        <v>2220</v>
      </c>
      <c r="E1783" s="1">
        <v>45761</v>
      </c>
      <c r="F1783">
        <v>4</v>
      </c>
      <c r="G1783" t="s">
        <v>2836</v>
      </c>
      <c r="H1783" t="s">
        <v>2564</v>
      </c>
      <c r="I1783" t="s">
        <v>2571</v>
      </c>
      <c r="J1783" t="s">
        <v>2566</v>
      </c>
      <c r="K1783">
        <v>40</v>
      </c>
      <c r="L1783" s="13" t="s">
        <v>258</v>
      </c>
    </row>
    <row r="1784" spans="1:12" x14ac:dyDescent="0.25">
      <c r="A1784" t="s">
        <v>4461</v>
      </c>
      <c r="B1784" t="s">
        <v>208</v>
      </c>
      <c r="C1784" t="str">
        <f>_xlfn.XLOOKUP(Table7[[#This Row],[app_id]],Table5[app_id],Table5[app_name],"",0)</f>
        <v>DonePro</v>
      </c>
      <c r="D1784" t="s">
        <v>2328</v>
      </c>
      <c r="E1784" s="1">
        <v>45296</v>
      </c>
      <c r="F1784">
        <v>4</v>
      </c>
      <c r="G1784" t="s">
        <v>2703</v>
      </c>
      <c r="H1784" t="s">
        <v>2564</v>
      </c>
      <c r="I1784" t="s">
        <v>2558</v>
      </c>
      <c r="J1784" t="s">
        <v>2556</v>
      </c>
      <c r="K1784">
        <v>45</v>
      </c>
      <c r="L1784" s="13" t="s">
        <v>257</v>
      </c>
    </row>
    <row r="1785" spans="1:12" x14ac:dyDescent="0.25">
      <c r="A1785" t="s">
        <v>4462</v>
      </c>
      <c r="B1785" t="s">
        <v>210</v>
      </c>
      <c r="C1785" t="str">
        <f>_xlfn.XLOOKUP(Table7[[#This Row],[app_id]],Table5[app_id],Table5[app_name],"",0)</f>
        <v>NotePlus</v>
      </c>
      <c r="D1785" t="s">
        <v>1709</v>
      </c>
      <c r="E1785" s="1">
        <v>45776</v>
      </c>
      <c r="F1785">
        <v>3</v>
      </c>
      <c r="G1785" t="s">
        <v>2706</v>
      </c>
      <c r="H1785" t="s">
        <v>2554</v>
      </c>
      <c r="I1785" t="s">
        <v>2575</v>
      </c>
      <c r="J1785" t="s">
        <v>2596</v>
      </c>
      <c r="K1785">
        <v>29</v>
      </c>
      <c r="L1785" s="13" t="s">
        <v>257</v>
      </c>
    </row>
    <row r="1786" spans="1:12" x14ac:dyDescent="0.25">
      <c r="A1786" t="s">
        <v>4463</v>
      </c>
      <c r="B1786" t="s">
        <v>212</v>
      </c>
      <c r="C1786" t="str">
        <f>_xlfn.XLOOKUP(Table7[[#This Row],[app_id]],Table5[app_id],Table5[app_name],"",0)</f>
        <v>SyncPlus</v>
      </c>
      <c r="D1786" t="s">
        <v>1325</v>
      </c>
      <c r="E1786" s="1">
        <v>45911</v>
      </c>
      <c r="F1786">
        <v>3</v>
      </c>
      <c r="G1786" t="s">
        <v>2710</v>
      </c>
      <c r="H1786" t="s">
        <v>2554</v>
      </c>
      <c r="I1786" t="s">
        <v>2588</v>
      </c>
      <c r="J1786" t="s">
        <v>2566</v>
      </c>
      <c r="K1786">
        <v>16</v>
      </c>
      <c r="L1786" s="13" t="s">
        <v>257</v>
      </c>
    </row>
    <row r="1787" spans="1:12" x14ac:dyDescent="0.25">
      <c r="A1787" t="s">
        <v>4464</v>
      </c>
      <c r="B1787" t="s">
        <v>214</v>
      </c>
      <c r="C1787" t="str">
        <f>_xlfn.XLOOKUP(Table7[[#This Row],[app_id]],Table5[app_id],Table5[app_name],"",0)</f>
        <v>NoteOne</v>
      </c>
      <c r="D1787" t="s">
        <v>2167</v>
      </c>
      <c r="E1787" s="1">
        <v>45692</v>
      </c>
      <c r="F1787">
        <v>5</v>
      </c>
      <c r="G1787" t="s">
        <v>2708</v>
      </c>
      <c r="H1787" t="s">
        <v>2564</v>
      </c>
      <c r="I1787" t="s">
        <v>2565</v>
      </c>
      <c r="J1787" t="s">
        <v>2581</v>
      </c>
      <c r="K1787">
        <v>19</v>
      </c>
      <c r="L1787" s="13" t="s">
        <v>257</v>
      </c>
    </row>
    <row r="1788" spans="1:12" x14ac:dyDescent="0.25">
      <c r="A1788" t="s">
        <v>4465</v>
      </c>
      <c r="B1788" t="s">
        <v>216</v>
      </c>
      <c r="C1788" t="str">
        <f>_xlfn.XLOOKUP(Table7[[#This Row],[app_id]],Table5[app_id],Table5[app_name],"",0)</f>
        <v>NoteMate</v>
      </c>
      <c r="D1788" t="s">
        <v>2215</v>
      </c>
      <c r="E1788" s="1">
        <v>45797</v>
      </c>
      <c r="F1788">
        <v>4</v>
      </c>
      <c r="G1788" t="s">
        <v>2836</v>
      </c>
      <c r="H1788" t="s">
        <v>2564</v>
      </c>
      <c r="I1788" t="s">
        <v>2575</v>
      </c>
      <c r="J1788" t="s">
        <v>2556</v>
      </c>
      <c r="K1788">
        <v>22</v>
      </c>
      <c r="L1788" s="13" t="s">
        <v>257</v>
      </c>
    </row>
    <row r="1789" spans="1:12" x14ac:dyDescent="0.25">
      <c r="A1789" t="s">
        <v>4466</v>
      </c>
      <c r="B1789" t="s">
        <v>218</v>
      </c>
      <c r="C1789" t="str">
        <f>_xlfn.XLOOKUP(Table7[[#This Row],[app_id]],Table5[app_id],Table5[app_name],"",0)</f>
        <v>PlanPlus</v>
      </c>
      <c r="D1789" t="s">
        <v>2016</v>
      </c>
      <c r="E1789" s="1">
        <v>45774</v>
      </c>
      <c r="F1789">
        <v>5</v>
      </c>
      <c r="G1789" t="s">
        <v>2703</v>
      </c>
      <c r="H1789" t="s">
        <v>2564</v>
      </c>
      <c r="I1789" t="s">
        <v>2565</v>
      </c>
      <c r="J1789" t="s">
        <v>2603</v>
      </c>
      <c r="K1789">
        <v>38</v>
      </c>
      <c r="L1789" s="13" t="s">
        <v>257</v>
      </c>
    </row>
    <row r="1790" spans="1:12" x14ac:dyDescent="0.25">
      <c r="A1790" t="s">
        <v>4467</v>
      </c>
      <c r="B1790" t="s">
        <v>220</v>
      </c>
      <c r="C1790" t="str">
        <f>_xlfn.XLOOKUP(Table7[[#This Row],[app_id]],Table5[app_id],Table5[app_name],"",0)</f>
        <v>PlanMate</v>
      </c>
      <c r="D1790" t="s">
        <v>893</v>
      </c>
      <c r="E1790" s="1">
        <v>46101</v>
      </c>
      <c r="F1790">
        <v>2</v>
      </c>
      <c r="G1790" t="s">
        <v>2943</v>
      </c>
      <c r="H1790" t="s">
        <v>2587</v>
      </c>
      <c r="I1790" t="s">
        <v>2578</v>
      </c>
      <c r="J1790" t="s">
        <v>2603</v>
      </c>
      <c r="K1790">
        <v>49</v>
      </c>
      <c r="L1790" s="13" t="s">
        <v>257</v>
      </c>
    </row>
    <row r="1791" spans="1:12" x14ac:dyDescent="0.25">
      <c r="A1791" t="s">
        <v>4468</v>
      </c>
      <c r="B1791" t="s">
        <v>222</v>
      </c>
      <c r="C1791" t="str">
        <f>_xlfn.XLOOKUP(Table7[[#This Row],[app_id]],Table5[app_id],Table5[app_name],"",0)</f>
        <v>SyncPlus</v>
      </c>
      <c r="D1791" t="s">
        <v>1779</v>
      </c>
      <c r="E1791" s="1">
        <v>45620</v>
      </c>
      <c r="F1791">
        <v>3</v>
      </c>
      <c r="G1791" t="s">
        <v>2710</v>
      </c>
      <c r="H1791" t="s">
        <v>2554</v>
      </c>
      <c r="I1791" t="s">
        <v>2555</v>
      </c>
      <c r="J1791" t="s">
        <v>2581</v>
      </c>
      <c r="K1791">
        <v>20</v>
      </c>
      <c r="L1791" s="13" t="s">
        <v>257</v>
      </c>
    </row>
    <row r="1792" spans="1:12" x14ac:dyDescent="0.25">
      <c r="A1792" t="s">
        <v>4469</v>
      </c>
      <c r="B1792" t="s">
        <v>223</v>
      </c>
      <c r="C1792" t="str">
        <f>_xlfn.XLOOKUP(Table7[[#This Row],[app_id]],Table5[app_id],Table5[app_name],"",0)</f>
        <v>ClinicPro</v>
      </c>
      <c r="D1792" t="s">
        <v>670</v>
      </c>
      <c r="E1792" s="1">
        <v>45413</v>
      </c>
      <c r="F1792">
        <v>4</v>
      </c>
      <c r="G1792" t="s">
        <v>2954</v>
      </c>
      <c r="H1792" t="s">
        <v>2564</v>
      </c>
      <c r="I1792" t="s">
        <v>2575</v>
      </c>
      <c r="J1792" t="s">
        <v>2603</v>
      </c>
      <c r="K1792">
        <v>1</v>
      </c>
      <c r="L1792" s="13" t="s">
        <v>257</v>
      </c>
    </row>
    <row r="1793" spans="1:12" x14ac:dyDescent="0.25">
      <c r="A1793" t="s">
        <v>4470</v>
      </c>
      <c r="B1793" t="s">
        <v>226</v>
      </c>
      <c r="C1793" t="str">
        <f>_xlfn.XLOOKUP(Table7[[#This Row],[app_id]],Table5[app_id],Table5[app_name],"",0)</f>
        <v>MindMate</v>
      </c>
      <c r="D1793" t="s">
        <v>711</v>
      </c>
      <c r="E1793" s="1">
        <v>45485</v>
      </c>
      <c r="F1793">
        <v>3</v>
      </c>
      <c r="G1793" t="s">
        <v>2718</v>
      </c>
      <c r="H1793" t="s">
        <v>2554</v>
      </c>
      <c r="I1793" t="s">
        <v>2584</v>
      </c>
      <c r="J1793" t="s">
        <v>2559</v>
      </c>
      <c r="K1793">
        <v>40</v>
      </c>
      <c r="L1793" s="13" t="s">
        <v>257</v>
      </c>
    </row>
    <row r="1794" spans="1:12" x14ac:dyDescent="0.25">
      <c r="A1794" t="s">
        <v>4471</v>
      </c>
      <c r="B1794" t="s">
        <v>228</v>
      </c>
      <c r="C1794" t="str">
        <f>_xlfn.XLOOKUP(Table7[[#This Row],[app_id]],Table5[app_id],Table5[app_name],"",0)</f>
        <v>ClinicOne</v>
      </c>
      <c r="D1794" t="s">
        <v>898</v>
      </c>
      <c r="E1794" s="1">
        <v>45347</v>
      </c>
      <c r="F1794">
        <v>4</v>
      </c>
      <c r="G1794" t="s">
        <v>2728</v>
      </c>
      <c r="H1794" t="s">
        <v>2564</v>
      </c>
      <c r="I1794" t="s">
        <v>2565</v>
      </c>
      <c r="J1794" t="s">
        <v>2566</v>
      </c>
      <c r="K1794">
        <v>47</v>
      </c>
      <c r="L1794" s="13" t="s">
        <v>257</v>
      </c>
    </row>
    <row r="1795" spans="1:12" x14ac:dyDescent="0.25">
      <c r="A1795" t="s">
        <v>4472</v>
      </c>
      <c r="B1795" t="s">
        <v>230</v>
      </c>
      <c r="C1795" t="str">
        <f>_xlfn.XLOOKUP(Table7[[#This Row],[app_id]],Table5[app_id],Table5[app_name],"",0)</f>
        <v>WellMate</v>
      </c>
      <c r="D1795" t="s">
        <v>1417</v>
      </c>
      <c r="E1795" s="1">
        <v>45909</v>
      </c>
      <c r="F1795">
        <v>5</v>
      </c>
      <c r="G1795" t="s">
        <v>2728</v>
      </c>
      <c r="H1795" t="s">
        <v>2564</v>
      </c>
      <c r="I1795" t="s">
        <v>2571</v>
      </c>
      <c r="J1795" t="s">
        <v>2566</v>
      </c>
      <c r="K1795">
        <v>14</v>
      </c>
      <c r="L1795" s="13" t="s">
        <v>257</v>
      </c>
    </row>
    <row r="1796" spans="1:12" x14ac:dyDescent="0.25">
      <c r="A1796" t="s">
        <v>4473</v>
      </c>
      <c r="B1796" t="s">
        <v>232</v>
      </c>
      <c r="C1796" t="str">
        <f>_xlfn.XLOOKUP(Table7[[#This Row],[app_id]],Table5[app_id],Table5[app_name],"",0)</f>
        <v>MediMate</v>
      </c>
      <c r="D1796" t="s">
        <v>1594</v>
      </c>
      <c r="E1796" s="1">
        <v>45916</v>
      </c>
      <c r="F1796">
        <v>5</v>
      </c>
      <c r="G1796" t="s">
        <v>2954</v>
      </c>
      <c r="H1796" t="s">
        <v>2564</v>
      </c>
      <c r="I1796" t="s">
        <v>2575</v>
      </c>
      <c r="J1796" t="s">
        <v>2569</v>
      </c>
      <c r="K1796">
        <v>19</v>
      </c>
      <c r="L1796" s="13" t="s">
        <v>257</v>
      </c>
    </row>
    <row r="1797" spans="1:12" x14ac:dyDescent="0.25">
      <c r="A1797" t="s">
        <v>4474</v>
      </c>
      <c r="B1797" t="s">
        <v>234</v>
      </c>
      <c r="C1797" t="str">
        <f>_xlfn.XLOOKUP(Table7[[#This Row],[app_id]],Table5[app_id],Table5[app_name],"",0)</f>
        <v>WellNow</v>
      </c>
      <c r="D1797" t="s">
        <v>2482</v>
      </c>
      <c r="E1797" s="1">
        <v>45649</v>
      </c>
      <c r="F1797">
        <v>4</v>
      </c>
      <c r="G1797" t="s">
        <v>2728</v>
      </c>
      <c r="H1797" t="s">
        <v>2564</v>
      </c>
      <c r="I1797" t="s">
        <v>2558</v>
      </c>
      <c r="J1797" t="s">
        <v>2561</v>
      </c>
      <c r="K1797">
        <v>26</v>
      </c>
      <c r="L1797" s="13" t="s">
        <v>257</v>
      </c>
    </row>
    <row r="1798" spans="1:12" x14ac:dyDescent="0.25">
      <c r="A1798" t="s">
        <v>4475</v>
      </c>
      <c r="B1798" t="s">
        <v>236</v>
      </c>
      <c r="C1798" t="str">
        <f>_xlfn.XLOOKUP(Table7[[#This Row],[app_id]],Table5[app_id],Table5[app_name],"",0)</f>
        <v>CareCloud</v>
      </c>
      <c r="D1798" t="s">
        <v>2067</v>
      </c>
      <c r="E1798" s="1">
        <v>46014</v>
      </c>
      <c r="F1798">
        <v>3</v>
      </c>
      <c r="G1798" t="s">
        <v>2726</v>
      </c>
      <c r="H1798" t="s">
        <v>2554</v>
      </c>
      <c r="I1798" t="s">
        <v>2565</v>
      </c>
      <c r="J1798" t="s">
        <v>2600</v>
      </c>
      <c r="K1798">
        <v>10</v>
      </c>
      <c r="L1798" s="13" t="s">
        <v>257</v>
      </c>
    </row>
    <row r="1799" spans="1:12" x14ac:dyDescent="0.25">
      <c r="A1799" t="s">
        <v>4476</v>
      </c>
      <c r="B1799" t="s">
        <v>238</v>
      </c>
      <c r="C1799" t="str">
        <f>_xlfn.XLOOKUP(Table7[[#This Row],[app_id]],Table5[app_id],Table5[app_name],"",0)</f>
        <v>MediNow</v>
      </c>
      <c r="D1799" t="s">
        <v>1097</v>
      </c>
      <c r="E1799" s="1">
        <v>45553</v>
      </c>
      <c r="F1799">
        <v>4</v>
      </c>
      <c r="G1799" t="s">
        <v>2716</v>
      </c>
      <c r="H1799" t="s">
        <v>2564</v>
      </c>
      <c r="I1799" t="s">
        <v>2571</v>
      </c>
      <c r="J1799" t="s">
        <v>2569</v>
      </c>
      <c r="K1799">
        <v>32</v>
      </c>
      <c r="L1799" s="13" t="s">
        <v>258</v>
      </c>
    </row>
    <row r="1800" spans="1:12" x14ac:dyDescent="0.25">
      <c r="A1800" t="s">
        <v>4477</v>
      </c>
      <c r="B1800" t="s">
        <v>240</v>
      </c>
      <c r="C1800" t="str">
        <f>_xlfn.XLOOKUP(Table7[[#This Row],[app_id]],Table5[app_id],Table5[app_name],"",0)</f>
        <v>MindPlus</v>
      </c>
      <c r="D1800" t="s">
        <v>1542</v>
      </c>
      <c r="E1800" s="1">
        <v>45588</v>
      </c>
      <c r="F1800">
        <v>4</v>
      </c>
      <c r="G1800" t="s">
        <v>2716</v>
      </c>
      <c r="H1800" t="s">
        <v>2564</v>
      </c>
      <c r="I1800" t="s">
        <v>2555</v>
      </c>
      <c r="J1800" t="s">
        <v>2561</v>
      </c>
      <c r="K1800">
        <v>5</v>
      </c>
      <c r="L1800" s="13" t="s">
        <v>257</v>
      </c>
    </row>
    <row r="1801" spans="1:12" x14ac:dyDescent="0.25">
      <c r="A1801" t="s">
        <v>4478</v>
      </c>
      <c r="B1801" t="s">
        <v>242</v>
      </c>
      <c r="C1801" t="str">
        <f>_xlfn.XLOOKUP(Table7[[#This Row],[app_id]],Table5[app_id],Table5[app_name],"",0)</f>
        <v>MediCloud</v>
      </c>
      <c r="D1801" t="s">
        <v>1676</v>
      </c>
      <c r="E1801" s="1">
        <v>45640</v>
      </c>
      <c r="F1801">
        <v>5</v>
      </c>
      <c r="G1801" t="s">
        <v>2722</v>
      </c>
      <c r="H1801" t="s">
        <v>2564</v>
      </c>
      <c r="I1801" t="s">
        <v>2575</v>
      </c>
      <c r="J1801" t="s">
        <v>2569</v>
      </c>
      <c r="K1801">
        <v>42</v>
      </c>
      <c r="L1801" s="13" t="s">
        <v>257</v>
      </c>
    </row>
    <row r="1802" spans="1:12" x14ac:dyDescent="0.25">
      <c r="A1802" t="s">
        <v>4479</v>
      </c>
      <c r="B1802" t="s">
        <v>12</v>
      </c>
      <c r="C1802" t="str">
        <f>_xlfn.XLOOKUP(Table7[[#This Row],[app_id]],Table5[app_id],Table5[app_name],"",0)</f>
        <v>InvestPro</v>
      </c>
      <c r="D1802" t="s">
        <v>1784</v>
      </c>
      <c r="E1802" s="1">
        <v>46124</v>
      </c>
      <c r="F1802">
        <v>3</v>
      </c>
      <c r="G1802" t="s">
        <v>2583</v>
      </c>
      <c r="H1802" t="s">
        <v>2554</v>
      </c>
      <c r="I1802" t="s">
        <v>2555</v>
      </c>
      <c r="J1802" t="s">
        <v>2633</v>
      </c>
      <c r="K1802">
        <v>13</v>
      </c>
      <c r="L1802" s="13" t="s">
        <v>258</v>
      </c>
    </row>
    <row r="1803" spans="1:12" x14ac:dyDescent="0.25">
      <c r="A1803" t="s">
        <v>4480</v>
      </c>
      <c r="B1803" t="s">
        <v>19</v>
      </c>
      <c r="C1803" t="str">
        <f>_xlfn.XLOOKUP(Table7[[#This Row],[app_id]],Table5[app_id],Table5[app_name],"",0)</f>
        <v>BankPro</v>
      </c>
      <c r="D1803" t="s">
        <v>2492</v>
      </c>
      <c r="E1803" s="1">
        <v>45579</v>
      </c>
      <c r="F1803">
        <v>3</v>
      </c>
      <c r="G1803" t="s">
        <v>2968</v>
      </c>
      <c r="H1803" t="s">
        <v>2554</v>
      </c>
      <c r="I1803" t="s">
        <v>2584</v>
      </c>
      <c r="J1803" t="s">
        <v>2561</v>
      </c>
      <c r="K1803">
        <v>16</v>
      </c>
      <c r="L1803" s="13" t="s">
        <v>257</v>
      </c>
    </row>
    <row r="1804" spans="1:12" x14ac:dyDescent="0.25">
      <c r="A1804" t="s">
        <v>4481</v>
      </c>
      <c r="B1804" t="s">
        <v>24</v>
      </c>
      <c r="C1804" t="str">
        <f>_xlfn.XLOOKUP(Table7[[#This Row],[app_id]],Table5[app_id],Table5[app_name],"",0)</f>
        <v>BankX</v>
      </c>
      <c r="D1804" t="s">
        <v>1726</v>
      </c>
      <c r="E1804" s="1">
        <v>46018</v>
      </c>
      <c r="F1804">
        <v>4</v>
      </c>
      <c r="G1804" t="s">
        <v>2568</v>
      </c>
      <c r="H1804" t="s">
        <v>2564</v>
      </c>
      <c r="I1804" t="s">
        <v>2575</v>
      </c>
      <c r="J1804" t="s">
        <v>2559</v>
      </c>
      <c r="K1804">
        <v>14</v>
      </c>
      <c r="L1804" s="13" t="s">
        <v>258</v>
      </c>
    </row>
    <row r="1805" spans="1:12" x14ac:dyDescent="0.25">
      <c r="A1805" t="s">
        <v>4482</v>
      </c>
      <c r="B1805" t="s">
        <v>27</v>
      </c>
      <c r="C1805" t="str">
        <f>_xlfn.XLOOKUP(Table7[[#This Row],[app_id]],Table5[app_id],Table5[app_name],"",0)</f>
        <v>BankNow</v>
      </c>
      <c r="D1805" t="s">
        <v>2293</v>
      </c>
      <c r="E1805" s="1">
        <v>46014</v>
      </c>
      <c r="F1805">
        <v>4</v>
      </c>
      <c r="G1805" t="s">
        <v>2580</v>
      </c>
      <c r="H1805" t="s">
        <v>2564</v>
      </c>
      <c r="I1805" t="s">
        <v>2558</v>
      </c>
      <c r="J1805" t="s">
        <v>2596</v>
      </c>
      <c r="K1805">
        <v>47</v>
      </c>
      <c r="L1805" s="13" t="s">
        <v>257</v>
      </c>
    </row>
    <row r="1806" spans="1:12" x14ac:dyDescent="0.25">
      <c r="A1806" t="s">
        <v>4483</v>
      </c>
      <c r="B1806" t="s">
        <v>31</v>
      </c>
      <c r="C1806" t="str">
        <f>_xlfn.XLOOKUP(Table7[[#This Row],[app_id]],Table5[app_id],Table5[app_name],"",0)</f>
        <v>CreditHub</v>
      </c>
      <c r="D1806" t="s">
        <v>2090</v>
      </c>
      <c r="E1806" s="1">
        <v>45307</v>
      </c>
      <c r="F1806">
        <v>3</v>
      </c>
      <c r="G1806" t="s">
        <v>2583</v>
      </c>
      <c r="H1806" t="s">
        <v>2554</v>
      </c>
      <c r="I1806" t="s">
        <v>2555</v>
      </c>
      <c r="J1806" t="s">
        <v>2566</v>
      </c>
      <c r="K1806">
        <v>45</v>
      </c>
      <c r="L1806" s="13" t="s">
        <v>257</v>
      </c>
    </row>
    <row r="1807" spans="1:12" x14ac:dyDescent="0.25">
      <c r="A1807" t="s">
        <v>4484</v>
      </c>
      <c r="B1807" t="s">
        <v>36</v>
      </c>
      <c r="C1807" t="str">
        <f>_xlfn.XLOOKUP(Table7[[#This Row],[app_id]],Table5[app_id],Table5[app_name],"",0)</f>
        <v>PayPlus</v>
      </c>
      <c r="D1807" t="s">
        <v>932</v>
      </c>
      <c r="E1807" s="1">
        <v>45645</v>
      </c>
      <c r="F1807">
        <v>4</v>
      </c>
      <c r="G1807" t="s">
        <v>2563</v>
      </c>
      <c r="H1807" t="s">
        <v>2564</v>
      </c>
      <c r="I1807" t="s">
        <v>2571</v>
      </c>
      <c r="J1807" t="s">
        <v>2566</v>
      </c>
      <c r="K1807">
        <v>16</v>
      </c>
      <c r="L1807" s="13" t="s">
        <v>257</v>
      </c>
    </row>
    <row r="1808" spans="1:12" x14ac:dyDescent="0.25">
      <c r="A1808" t="s">
        <v>4485</v>
      </c>
      <c r="B1808" t="s">
        <v>39</v>
      </c>
      <c r="C1808" t="str">
        <f>_xlfn.XLOOKUP(Table7[[#This Row],[app_id]],Table5[app_id],Table5[app_name],"",0)</f>
        <v>BankPlus</v>
      </c>
      <c r="D1808" t="s">
        <v>2014</v>
      </c>
      <c r="E1808" s="1">
        <v>45299</v>
      </c>
      <c r="F1808">
        <v>5</v>
      </c>
      <c r="G1808" t="s">
        <v>2563</v>
      </c>
      <c r="H1808" t="s">
        <v>2564</v>
      </c>
      <c r="I1808" t="s">
        <v>2558</v>
      </c>
      <c r="J1808" t="s">
        <v>2559</v>
      </c>
      <c r="K1808">
        <v>43</v>
      </c>
      <c r="L1808" s="13" t="s">
        <v>257</v>
      </c>
    </row>
    <row r="1809" spans="1:12" x14ac:dyDescent="0.25">
      <c r="A1809" t="s">
        <v>4486</v>
      </c>
      <c r="B1809" t="s">
        <v>42</v>
      </c>
      <c r="C1809" t="str">
        <f>_xlfn.XLOOKUP(Table7[[#This Row],[app_id]],Table5[app_id],Table5[app_name],"",0)</f>
        <v>CoinPlus</v>
      </c>
      <c r="D1809" t="s">
        <v>1990</v>
      </c>
      <c r="E1809" s="1">
        <v>45957</v>
      </c>
      <c r="F1809">
        <v>3</v>
      </c>
      <c r="G1809" t="s">
        <v>2968</v>
      </c>
      <c r="H1809" t="s">
        <v>2554</v>
      </c>
      <c r="I1809" t="s">
        <v>2558</v>
      </c>
      <c r="J1809" t="s">
        <v>2569</v>
      </c>
      <c r="K1809">
        <v>14</v>
      </c>
      <c r="L1809" s="13" t="s">
        <v>258</v>
      </c>
    </row>
    <row r="1810" spans="1:12" x14ac:dyDescent="0.25">
      <c r="A1810" t="s">
        <v>4487</v>
      </c>
      <c r="B1810" t="s">
        <v>47</v>
      </c>
      <c r="C1810" t="str">
        <f>_xlfn.XLOOKUP(Table7[[#This Row],[app_id]],Table5[app_id],Table5[app_name],"",0)</f>
        <v>CreditOne</v>
      </c>
      <c r="D1810" t="s">
        <v>1680</v>
      </c>
      <c r="E1810" s="1">
        <v>45648</v>
      </c>
      <c r="F1810">
        <v>2</v>
      </c>
      <c r="G1810" t="s">
        <v>3276</v>
      </c>
      <c r="H1810" t="s">
        <v>2587</v>
      </c>
      <c r="I1810" t="s">
        <v>2588</v>
      </c>
      <c r="J1810" t="s">
        <v>2581</v>
      </c>
      <c r="K1810">
        <v>68</v>
      </c>
      <c r="L1810" s="13" t="s">
        <v>257</v>
      </c>
    </row>
    <row r="1811" spans="1:12" x14ac:dyDescent="0.25">
      <c r="A1811" t="s">
        <v>4488</v>
      </c>
      <c r="B1811" t="s">
        <v>49</v>
      </c>
      <c r="C1811" t="str">
        <f>_xlfn.XLOOKUP(Table7[[#This Row],[app_id]],Table5[app_id],Table5[app_name],"",0)</f>
        <v>PayPro</v>
      </c>
      <c r="D1811" t="s">
        <v>1403</v>
      </c>
      <c r="E1811" s="1">
        <v>45744</v>
      </c>
      <c r="F1811">
        <v>5</v>
      </c>
      <c r="G1811" t="s">
        <v>2580</v>
      </c>
      <c r="H1811" t="s">
        <v>2564</v>
      </c>
      <c r="I1811" t="s">
        <v>2575</v>
      </c>
      <c r="J1811" t="s">
        <v>2581</v>
      </c>
      <c r="K1811">
        <v>44</v>
      </c>
      <c r="L1811" s="13" t="s">
        <v>257</v>
      </c>
    </row>
    <row r="1812" spans="1:12" x14ac:dyDescent="0.25">
      <c r="A1812" t="s">
        <v>4489</v>
      </c>
      <c r="B1812" t="s">
        <v>51</v>
      </c>
      <c r="C1812" t="str">
        <f>_xlfn.XLOOKUP(Table7[[#This Row],[app_id]],Table5[app_id],Table5[app_name],"",0)</f>
        <v>Creditly</v>
      </c>
      <c r="D1812" t="s">
        <v>933</v>
      </c>
      <c r="E1812" s="1">
        <v>45684</v>
      </c>
      <c r="F1812">
        <v>3</v>
      </c>
      <c r="G1812" t="s">
        <v>2735</v>
      </c>
      <c r="H1812" t="s">
        <v>2554</v>
      </c>
      <c r="I1812" t="s">
        <v>2584</v>
      </c>
      <c r="J1812" t="s">
        <v>2569</v>
      </c>
      <c r="K1812">
        <v>22</v>
      </c>
      <c r="L1812" s="13" t="s">
        <v>257</v>
      </c>
    </row>
    <row r="1813" spans="1:12" x14ac:dyDescent="0.25">
      <c r="A1813" t="s">
        <v>4490</v>
      </c>
      <c r="B1813" t="s">
        <v>53</v>
      </c>
      <c r="C1813" t="str">
        <f>_xlfn.XLOOKUP(Table7[[#This Row],[app_id]],Table5[app_id],Table5[app_name],"",0)</f>
        <v>PayX</v>
      </c>
      <c r="D1813" t="s">
        <v>2082</v>
      </c>
      <c r="E1813" s="1">
        <v>45840</v>
      </c>
      <c r="F1813">
        <v>3</v>
      </c>
      <c r="G1813" t="s">
        <v>2735</v>
      </c>
      <c r="H1813" t="s">
        <v>2554</v>
      </c>
      <c r="I1813" t="s">
        <v>2588</v>
      </c>
      <c r="J1813" t="s">
        <v>2633</v>
      </c>
      <c r="K1813">
        <v>16</v>
      </c>
      <c r="L1813" s="13" t="s">
        <v>257</v>
      </c>
    </row>
    <row r="1814" spans="1:12" x14ac:dyDescent="0.25">
      <c r="A1814" t="s">
        <v>4491</v>
      </c>
      <c r="B1814" t="s">
        <v>56</v>
      </c>
      <c r="C1814" t="str">
        <f>_xlfn.XLOOKUP(Table7[[#This Row],[app_id]],Table5[app_id],Table5[app_name],"",0)</f>
        <v>DealGo</v>
      </c>
      <c r="D1814" t="s">
        <v>1909</v>
      </c>
      <c r="E1814" s="1">
        <v>45741</v>
      </c>
      <c r="F1814">
        <v>4</v>
      </c>
      <c r="G1814" t="s">
        <v>2867</v>
      </c>
      <c r="H1814" t="s">
        <v>2564</v>
      </c>
      <c r="I1814" t="s">
        <v>2565</v>
      </c>
      <c r="J1814" t="s">
        <v>2600</v>
      </c>
      <c r="K1814">
        <v>36</v>
      </c>
      <c r="L1814" s="13" t="s">
        <v>257</v>
      </c>
    </row>
    <row r="1815" spans="1:12" x14ac:dyDescent="0.25">
      <c r="A1815" t="s">
        <v>4492</v>
      </c>
      <c r="B1815" t="s">
        <v>62</v>
      </c>
      <c r="C1815" t="str">
        <f>_xlfn.XLOOKUP(Table7[[#This Row],[app_id]],Table5[app_id],Table5[app_name],"",0)</f>
        <v>MallNow</v>
      </c>
      <c r="D1815" t="s">
        <v>541</v>
      </c>
      <c r="E1815" s="1">
        <v>45347</v>
      </c>
      <c r="F1815">
        <v>5</v>
      </c>
      <c r="G1815" t="s">
        <v>2598</v>
      </c>
      <c r="H1815" t="s">
        <v>2564</v>
      </c>
      <c r="I1815" t="s">
        <v>2555</v>
      </c>
      <c r="J1815" t="s">
        <v>2569</v>
      </c>
      <c r="K1815">
        <v>24</v>
      </c>
      <c r="L1815" s="13" t="s">
        <v>257</v>
      </c>
    </row>
    <row r="1816" spans="1:12" x14ac:dyDescent="0.25">
      <c r="A1816" t="s">
        <v>4493</v>
      </c>
      <c r="B1816" t="s">
        <v>65</v>
      </c>
      <c r="C1816" t="str">
        <f>_xlfn.XLOOKUP(Table7[[#This Row],[app_id]],Table5[app_id],Table5[app_name],"",0)</f>
        <v>DealPro</v>
      </c>
      <c r="D1816" t="s">
        <v>1661</v>
      </c>
      <c r="E1816" s="1">
        <v>45933</v>
      </c>
      <c r="F1816">
        <v>5</v>
      </c>
      <c r="G1816" t="s">
        <v>2598</v>
      </c>
      <c r="H1816" t="s">
        <v>2564</v>
      </c>
      <c r="I1816" t="s">
        <v>2558</v>
      </c>
      <c r="J1816" t="s">
        <v>2556</v>
      </c>
      <c r="K1816">
        <v>15</v>
      </c>
      <c r="L1816" s="13" t="s">
        <v>257</v>
      </c>
    </row>
    <row r="1817" spans="1:12" x14ac:dyDescent="0.25">
      <c r="A1817" t="s">
        <v>4494</v>
      </c>
      <c r="B1817" t="s">
        <v>67</v>
      </c>
      <c r="C1817" t="str">
        <f>_xlfn.XLOOKUP(Table7[[#This Row],[app_id]],Table5[app_id],Table5[app_name],"",0)</f>
        <v>StyleNow</v>
      </c>
      <c r="D1817" t="s">
        <v>1538</v>
      </c>
      <c r="E1817" s="1">
        <v>45513</v>
      </c>
      <c r="F1817">
        <v>2</v>
      </c>
      <c r="G1817" t="s">
        <v>3078</v>
      </c>
      <c r="H1817" t="s">
        <v>2587</v>
      </c>
      <c r="I1817" t="s">
        <v>2575</v>
      </c>
      <c r="J1817" t="s">
        <v>2603</v>
      </c>
      <c r="K1817">
        <v>90</v>
      </c>
      <c r="L1817" s="13" t="s">
        <v>258</v>
      </c>
    </row>
    <row r="1818" spans="1:12" x14ac:dyDescent="0.25">
      <c r="A1818" t="s">
        <v>4495</v>
      </c>
      <c r="B1818" t="s">
        <v>70</v>
      </c>
      <c r="C1818" t="str">
        <f>_xlfn.XLOOKUP(Table7[[#This Row],[app_id]],Table5[app_id],Table5[app_name],"",0)</f>
        <v>DealCloud</v>
      </c>
      <c r="D1818" t="s">
        <v>784</v>
      </c>
      <c r="E1818" s="1">
        <v>45785</v>
      </c>
      <c r="F1818">
        <v>5</v>
      </c>
      <c r="G1818" t="s">
        <v>2867</v>
      </c>
      <c r="H1818" t="s">
        <v>2564</v>
      </c>
      <c r="I1818" t="s">
        <v>2555</v>
      </c>
      <c r="J1818" t="s">
        <v>2581</v>
      </c>
      <c r="K1818">
        <v>47</v>
      </c>
      <c r="L1818" s="13" t="s">
        <v>257</v>
      </c>
    </row>
    <row r="1819" spans="1:12" x14ac:dyDescent="0.25">
      <c r="A1819" t="s">
        <v>4496</v>
      </c>
      <c r="B1819" t="s">
        <v>72</v>
      </c>
      <c r="C1819" t="str">
        <f>_xlfn.XLOOKUP(Table7[[#This Row],[app_id]],Table5[app_id],Table5[app_name],"",0)</f>
        <v>CartCloud</v>
      </c>
      <c r="D1819" t="s">
        <v>659</v>
      </c>
      <c r="E1819" s="1">
        <v>45960</v>
      </c>
      <c r="F1819">
        <v>5</v>
      </c>
      <c r="G1819" t="s">
        <v>2592</v>
      </c>
      <c r="H1819" t="s">
        <v>2564</v>
      </c>
      <c r="I1819" t="s">
        <v>2565</v>
      </c>
      <c r="J1819" t="s">
        <v>2596</v>
      </c>
      <c r="K1819">
        <v>34</v>
      </c>
      <c r="L1819" s="13" t="s">
        <v>257</v>
      </c>
    </row>
    <row r="1820" spans="1:12" x14ac:dyDescent="0.25">
      <c r="A1820" t="s">
        <v>4497</v>
      </c>
      <c r="B1820" t="s">
        <v>74</v>
      </c>
      <c r="C1820" t="str">
        <f>_xlfn.XLOOKUP(Table7[[#This Row],[app_id]],Table5[app_id],Table5[app_name],"",0)</f>
        <v>CartMate</v>
      </c>
      <c r="D1820" t="s">
        <v>2037</v>
      </c>
      <c r="E1820" s="1">
        <v>45561</v>
      </c>
      <c r="F1820">
        <v>3</v>
      </c>
      <c r="G1820" t="s">
        <v>2602</v>
      </c>
      <c r="H1820" t="s">
        <v>2554</v>
      </c>
      <c r="I1820" t="s">
        <v>2555</v>
      </c>
      <c r="J1820" t="s">
        <v>2603</v>
      </c>
      <c r="K1820">
        <v>21</v>
      </c>
      <c r="L1820" s="13" t="s">
        <v>257</v>
      </c>
    </row>
    <row r="1821" spans="1:12" x14ac:dyDescent="0.25">
      <c r="A1821" t="s">
        <v>4498</v>
      </c>
      <c r="B1821" t="s">
        <v>76</v>
      </c>
      <c r="C1821" t="str">
        <f>_xlfn.XLOOKUP(Table7[[#This Row],[app_id]],Table5[app_id],Table5[app_name],"",0)</f>
        <v>BazaarOne</v>
      </c>
      <c r="D1821" t="s">
        <v>985</v>
      </c>
      <c r="E1821" s="1">
        <v>46011</v>
      </c>
      <c r="F1821">
        <v>2</v>
      </c>
      <c r="G1821" t="s">
        <v>2871</v>
      </c>
      <c r="H1821" t="s">
        <v>2587</v>
      </c>
      <c r="I1821" t="s">
        <v>2578</v>
      </c>
      <c r="J1821" t="s">
        <v>2561</v>
      </c>
      <c r="K1821">
        <v>12</v>
      </c>
      <c r="L1821" s="13" t="s">
        <v>258</v>
      </c>
    </row>
    <row r="1822" spans="1:12" x14ac:dyDescent="0.25">
      <c r="A1822" t="s">
        <v>4499</v>
      </c>
      <c r="B1822" t="s">
        <v>78</v>
      </c>
      <c r="C1822" t="str">
        <f>_xlfn.XLOOKUP(Table7[[#This Row],[app_id]],Table5[app_id],Table5[app_name],"",0)</f>
        <v>StyleOne</v>
      </c>
      <c r="D1822" t="s">
        <v>971</v>
      </c>
      <c r="E1822" s="1">
        <v>45889</v>
      </c>
      <c r="F1822">
        <v>2</v>
      </c>
      <c r="G1822" t="s">
        <v>2605</v>
      </c>
      <c r="H1822" t="s">
        <v>2587</v>
      </c>
      <c r="I1822" t="s">
        <v>2575</v>
      </c>
      <c r="J1822" t="s">
        <v>2581</v>
      </c>
      <c r="K1822">
        <v>9</v>
      </c>
      <c r="L1822" s="13" t="s">
        <v>257</v>
      </c>
    </row>
    <row r="1823" spans="1:12" x14ac:dyDescent="0.25">
      <c r="A1823" t="s">
        <v>4500</v>
      </c>
      <c r="B1823" t="s">
        <v>80</v>
      </c>
      <c r="C1823" t="str">
        <f>_xlfn.XLOOKUP(Table7[[#This Row],[app_id]],Table5[app_id],Table5[app_name],"",0)</f>
        <v>Cartly</v>
      </c>
      <c r="D1823" t="s">
        <v>1697</v>
      </c>
      <c r="E1823" s="1">
        <v>46020</v>
      </c>
      <c r="F1823">
        <v>4</v>
      </c>
      <c r="G1823" t="s">
        <v>2598</v>
      </c>
      <c r="H1823" t="s">
        <v>2564</v>
      </c>
      <c r="I1823" t="s">
        <v>2575</v>
      </c>
      <c r="J1823" t="s">
        <v>2556</v>
      </c>
      <c r="K1823">
        <v>18</v>
      </c>
      <c r="L1823" s="13" t="s">
        <v>257</v>
      </c>
    </row>
    <row r="1824" spans="1:12" x14ac:dyDescent="0.25">
      <c r="A1824" t="s">
        <v>4501</v>
      </c>
      <c r="B1824" t="s">
        <v>83</v>
      </c>
      <c r="C1824" t="str">
        <f>_xlfn.XLOOKUP(Table7[[#This Row],[app_id]],Table5[app_id],Table5[app_name],"",0)</f>
        <v>BazaarCloud</v>
      </c>
      <c r="D1824" t="s">
        <v>551</v>
      </c>
      <c r="E1824" s="1">
        <v>45692</v>
      </c>
      <c r="F1824">
        <v>3</v>
      </c>
      <c r="G1824" t="s">
        <v>2748</v>
      </c>
      <c r="H1824" t="s">
        <v>2554</v>
      </c>
      <c r="I1824" t="s">
        <v>2558</v>
      </c>
      <c r="J1824" t="s">
        <v>2561</v>
      </c>
      <c r="K1824">
        <v>27</v>
      </c>
      <c r="L1824" s="13" t="s">
        <v>257</v>
      </c>
    </row>
    <row r="1825" spans="1:12" x14ac:dyDescent="0.25">
      <c r="A1825" t="s">
        <v>4502</v>
      </c>
      <c r="B1825" t="s">
        <v>85</v>
      </c>
      <c r="C1825" t="str">
        <f>_xlfn.XLOOKUP(Table7[[#This Row],[app_id]],Table5[app_id],Table5[app_name],"",0)</f>
        <v>CartPro</v>
      </c>
      <c r="D1825" t="s">
        <v>704</v>
      </c>
      <c r="E1825" s="1">
        <v>45299</v>
      </c>
      <c r="F1825">
        <v>4</v>
      </c>
      <c r="G1825" t="s">
        <v>2867</v>
      </c>
      <c r="H1825" t="s">
        <v>2564</v>
      </c>
      <c r="I1825" t="s">
        <v>2558</v>
      </c>
      <c r="J1825" t="s">
        <v>2600</v>
      </c>
      <c r="K1825">
        <v>44</v>
      </c>
      <c r="L1825" s="13" t="s">
        <v>257</v>
      </c>
    </row>
    <row r="1826" spans="1:12" x14ac:dyDescent="0.25">
      <c r="A1826" t="s">
        <v>4503</v>
      </c>
      <c r="B1826" t="s">
        <v>87</v>
      </c>
      <c r="C1826" t="str">
        <f>_xlfn.XLOOKUP(Table7[[#This Row],[app_id]],Table5[app_id],Table5[app_name],"",0)</f>
        <v>RunPlus</v>
      </c>
      <c r="D1826" t="s">
        <v>1792</v>
      </c>
      <c r="E1826" s="1">
        <v>46065</v>
      </c>
      <c r="F1826">
        <v>3</v>
      </c>
      <c r="G1826" t="s">
        <v>2615</v>
      </c>
      <c r="H1826" t="s">
        <v>2554</v>
      </c>
      <c r="I1826" t="s">
        <v>2565</v>
      </c>
      <c r="J1826" t="s">
        <v>2596</v>
      </c>
      <c r="K1826">
        <v>8</v>
      </c>
      <c r="L1826" s="13" t="s">
        <v>257</v>
      </c>
    </row>
    <row r="1827" spans="1:12" x14ac:dyDescent="0.25">
      <c r="A1827" t="s">
        <v>4504</v>
      </c>
      <c r="B1827" t="s">
        <v>90</v>
      </c>
      <c r="C1827" t="str">
        <f>_xlfn.XLOOKUP(Table7[[#This Row],[app_id]],Table5[app_id],Table5[app_name],"",0)</f>
        <v>TrainCloud</v>
      </c>
      <c r="D1827" t="s">
        <v>1270</v>
      </c>
      <c r="E1827" s="1">
        <v>45996</v>
      </c>
      <c r="F1827">
        <v>4</v>
      </c>
      <c r="G1827" t="s">
        <v>2625</v>
      </c>
      <c r="H1827" t="s">
        <v>2564</v>
      </c>
      <c r="I1827" t="s">
        <v>2575</v>
      </c>
      <c r="J1827" t="s">
        <v>2600</v>
      </c>
      <c r="K1827">
        <v>28</v>
      </c>
      <c r="L1827" s="13" t="s">
        <v>258</v>
      </c>
    </row>
    <row r="1828" spans="1:12" x14ac:dyDescent="0.25">
      <c r="A1828" t="s">
        <v>4505</v>
      </c>
      <c r="B1828" t="s">
        <v>92</v>
      </c>
      <c r="C1828" t="str">
        <f>_xlfn.XLOOKUP(Table7[[#This Row],[app_id]],Table5[app_id],Table5[app_name],"",0)</f>
        <v>Trainly</v>
      </c>
      <c r="D1828" t="s">
        <v>2361</v>
      </c>
      <c r="E1828" s="1">
        <v>45655</v>
      </c>
      <c r="F1828">
        <v>3</v>
      </c>
      <c r="G1828" t="s">
        <v>2615</v>
      </c>
      <c r="H1828" t="s">
        <v>2554</v>
      </c>
      <c r="I1828" t="s">
        <v>2575</v>
      </c>
      <c r="J1828" t="s">
        <v>2561</v>
      </c>
      <c r="K1828">
        <v>3</v>
      </c>
      <c r="L1828" s="13" t="s">
        <v>257</v>
      </c>
    </row>
    <row r="1829" spans="1:12" x14ac:dyDescent="0.25">
      <c r="A1829" t="s">
        <v>4506</v>
      </c>
      <c r="B1829" t="s">
        <v>94</v>
      </c>
      <c r="C1829" t="str">
        <f>_xlfn.XLOOKUP(Table7[[#This Row],[app_id]],Table5[app_id],Table5[app_name],"",0)</f>
        <v>LiftCloud</v>
      </c>
      <c r="D1829" t="s">
        <v>636</v>
      </c>
      <c r="E1829" s="1">
        <v>45925</v>
      </c>
      <c r="F1829">
        <v>4</v>
      </c>
      <c r="G1829" t="s">
        <v>2613</v>
      </c>
      <c r="H1829" t="s">
        <v>2564</v>
      </c>
      <c r="I1829" t="s">
        <v>2571</v>
      </c>
      <c r="J1829" t="s">
        <v>2603</v>
      </c>
      <c r="K1829">
        <v>42</v>
      </c>
      <c r="L1829" s="13" t="s">
        <v>257</v>
      </c>
    </row>
    <row r="1830" spans="1:12" x14ac:dyDescent="0.25">
      <c r="A1830" t="s">
        <v>4507</v>
      </c>
      <c r="B1830" t="s">
        <v>96</v>
      </c>
      <c r="C1830" t="str">
        <f>_xlfn.XLOOKUP(Table7[[#This Row],[app_id]],Table5[app_id],Table5[app_name],"",0)</f>
        <v>MoveNow</v>
      </c>
      <c r="D1830" t="s">
        <v>1224</v>
      </c>
      <c r="E1830" s="1">
        <v>45386</v>
      </c>
      <c r="F1830">
        <v>3</v>
      </c>
      <c r="G1830" t="s">
        <v>2615</v>
      </c>
      <c r="H1830" t="s">
        <v>2554</v>
      </c>
      <c r="I1830" t="s">
        <v>2575</v>
      </c>
      <c r="J1830" t="s">
        <v>2569</v>
      </c>
      <c r="K1830">
        <v>19</v>
      </c>
      <c r="L1830" s="13" t="s">
        <v>258</v>
      </c>
    </row>
    <row r="1831" spans="1:12" x14ac:dyDescent="0.25">
      <c r="A1831" t="s">
        <v>4508</v>
      </c>
      <c r="B1831" t="s">
        <v>98</v>
      </c>
      <c r="C1831" t="str">
        <f>_xlfn.XLOOKUP(Table7[[#This Row],[app_id]],Table5[app_id],Table5[app_name],"",0)</f>
        <v>ActiveMate</v>
      </c>
      <c r="D1831" t="s">
        <v>646</v>
      </c>
      <c r="E1831" s="1">
        <v>45839</v>
      </c>
      <c r="F1831">
        <v>4</v>
      </c>
      <c r="G1831" t="s">
        <v>2622</v>
      </c>
      <c r="H1831" t="s">
        <v>2564</v>
      </c>
      <c r="I1831" t="s">
        <v>2575</v>
      </c>
      <c r="J1831" t="s">
        <v>2561</v>
      </c>
      <c r="K1831">
        <v>26</v>
      </c>
      <c r="L1831" s="13" t="s">
        <v>257</v>
      </c>
    </row>
    <row r="1832" spans="1:12" x14ac:dyDescent="0.25">
      <c r="A1832" t="s">
        <v>4509</v>
      </c>
      <c r="B1832" t="s">
        <v>100</v>
      </c>
      <c r="C1832" t="str">
        <f>_xlfn.XLOOKUP(Table7[[#This Row],[app_id]],Table5[app_id],Table5[app_name],"",0)</f>
        <v>RunGo</v>
      </c>
      <c r="D1832" t="s">
        <v>1264</v>
      </c>
      <c r="E1832" s="1">
        <v>45539</v>
      </c>
      <c r="F1832">
        <v>3</v>
      </c>
      <c r="G1832" t="s">
        <v>2620</v>
      </c>
      <c r="H1832" t="s">
        <v>2554</v>
      </c>
      <c r="I1832" t="s">
        <v>2558</v>
      </c>
      <c r="J1832" t="s">
        <v>2566</v>
      </c>
      <c r="K1832">
        <v>3</v>
      </c>
      <c r="L1832" s="13" t="s">
        <v>258</v>
      </c>
    </row>
    <row r="1833" spans="1:12" x14ac:dyDescent="0.25">
      <c r="A1833" t="s">
        <v>4510</v>
      </c>
      <c r="B1833" t="s">
        <v>102</v>
      </c>
      <c r="C1833" t="str">
        <f>_xlfn.XLOOKUP(Table7[[#This Row],[app_id]],Table5[app_id],Table5[app_name],"",0)</f>
        <v>LiftPro</v>
      </c>
      <c r="D1833" t="s">
        <v>2374</v>
      </c>
      <c r="E1833" s="1">
        <v>45667</v>
      </c>
      <c r="F1833">
        <v>3</v>
      </c>
      <c r="G1833" t="s">
        <v>2770</v>
      </c>
      <c r="H1833" t="s">
        <v>2554</v>
      </c>
      <c r="I1833" t="s">
        <v>2578</v>
      </c>
      <c r="J1833" t="s">
        <v>2603</v>
      </c>
      <c r="K1833">
        <v>26</v>
      </c>
      <c r="L1833" s="13" t="s">
        <v>257</v>
      </c>
    </row>
    <row r="1834" spans="1:12" x14ac:dyDescent="0.25">
      <c r="A1834" t="s">
        <v>4511</v>
      </c>
      <c r="B1834" t="s">
        <v>104</v>
      </c>
      <c r="C1834" t="str">
        <f>_xlfn.XLOOKUP(Table7[[#This Row],[app_id]],Table5[app_id],Table5[app_name],"",0)</f>
        <v>LiftPro</v>
      </c>
      <c r="D1834" t="s">
        <v>1902</v>
      </c>
      <c r="E1834" s="1">
        <v>45380</v>
      </c>
      <c r="F1834">
        <v>3</v>
      </c>
      <c r="G1834" t="s">
        <v>2620</v>
      </c>
      <c r="H1834" t="s">
        <v>2554</v>
      </c>
      <c r="I1834" t="s">
        <v>2575</v>
      </c>
      <c r="J1834" t="s">
        <v>2633</v>
      </c>
      <c r="K1834">
        <v>22</v>
      </c>
      <c r="L1834" s="13" t="s">
        <v>257</v>
      </c>
    </row>
    <row r="1835" spans="1:12" x14ac:dyDescent="0.25">
      <c r="A1835" t="s">
        <v>4512</v>
      </c>
      <c r="B1835" t="s">
        <v>105</v>
      </c>
      <c r="C1835" t="str">
        <f>_xlfn.XLOOKUP(Table7[[#This Row],[app_id]],Table5[app_id],Table5[app_name],"",0)</f>
        <v>Liftly</v>
      </c>
      <c r="D1835" t="s">
        <v>746</v>
      </c>
      <c r="E1835" s="1">
        <v>45833</v>
      </c>
      <c r="F1835">
        <v>5</v>
      </c>
      <c r="G1835" t="s">
        <v>2622</v>
      </c>
      <c r="H1835" t="s">
        <v>2564</v>
      </c>
      <c r="I1835" t="s">
        <v>2555</v>
      </c>
      <c r="J1835" t="s">
        <v>2559</v>
      </c>
      <c r="K1835">
        <v>35</v>
      </c>
      <c r="L1835" s="13" t="s">
        <v>257</v>
      </c>
    </row>
    <row r="1836" spans="1:12" x14ac:dyDescent="0.25">
      <c r="A1836" t="s">
        <v>4513</v>
      </c>
      <c r="B1836" t="s">
        <v>107</v>
      </c>
      <c r="C1836" t="str">
        <f>_xlfn.XLOOKUP(Table7[[#This Row],[app_id]],Table5[app_id],Table5[app_name],"",0)</f>
        <v>YogaHub</v>
      </c>
      <c r="D1836" t="s">
        <v>1726</v>
      </c>
      <c r="E1836" s="1">
        <v>45337</v>
      </c>
      <c r="F1836">
        <v>5</v>
      </c>
      <c r="G1836" t="s">
        <v>2622</v>
      </c>
      <c r="H1836" t="s">
        <v>2564</v>
      </c>
      <c r="I1836" t="s">
        <v>2558</v>
      </c>
      <c r="J1836" t="s">
        <v>2559</v>
      </c>
      <c r="K1836">
        <v>17</v>
      </c>
      <c r="L1836" s="13" t="s">
        <v>257</v>
      </c>
    </row>
    <row r="1837" spans="1:12" x14ac:dyDescent="0.25">
      <c r="A1837" t="s">
        <v>4514</v>
      </c>
      <c r="B1837" t="s">
        <v>109</v>
      </c>
      <c r="C1837" t="str">
        <f>_xlfn.XLOOKUP(Table7[[#This Row],[app_id]],Table5[app_id],Table5[app_name],"",0)</f>
        <v>MoveGo</v>
      </c>
      <c r="D1837" t="s">
        <v>1169</v>
      </c>
      <c r="E1837" s="1">
        <v>46039</v>
      </c>
      <c r="F1837">
        <v>3</v>
      </c>
      <c r="G1837" t="s">
        <v>2611</v>
      </c>
      <c r="H1837" t="s">
        <v>2554</v>
      </c>
      <c r="I1837" t="s">
        <v>2565</v>
      </c>
      <c r="J1837" t="s">
        <v>2596</v>
      </c>
      <c r="K1837">
        <v>35</v>
      </c>
      <c r="L1837" s="13" t="s">
        <v>257</v>
      </c>
    </row>
    <row r="1838" spans="1:12" x14ac:dyDescent="0.25">
      <c r="A1838" t="s">
        <v>4515</v>
      </c>
      <c r="B1838" t="s">
        <v>111</v>
      </c>
      <c r="C1838" t="str">
        <f>_xlfn.XLOOKUP(Table7[[#This Row],[app_id]],Table5[app_id],Table5[app_name],"",0)</f>
        <v>BrightNow</v>
      </c>
      <c r="D1838" t="s">
        <v>1116</v>
      </c>
      <c r="E1838" s="1">
        <v>45781</v>
      </c>
      <c r="F1838">
        <v>3</v>
      </c>
      <c r="G1838" t="s">
        <v>2889</v>
      </c>
      <c r="H1838" t="s">
        <v>2554</v>
      </c>
      <c r="I1838" t="s">
        <v>2558</v>
      </c>
      <c r="J1838" t="s">
        <v>2559</v>
      </c>
      <c r="K1838">
        <v>35</v>
      </c>
      <c r="L1838" s="13" t="s">
        <v>257</v>
      </c>
    </row>
    <row r="1839" spans="1:12" x14ac:dyDescent="0.25">
      <c r="A1839" t="s">
        <v>4516</v>
      </c>
      <c r="B1839" t="s">
        <v>114</v>
      </c>
      <c r="C1839" t="str">
        <f>_xlfn.XLOOKUP(Table7[[#This Row],[app_id]],Table5[app_id],Table5[app_name],"",0)</f>
        <v>StudyCloud</v>
      </c>
      <c r="D1839" t="s">
        <v>2152</v>
      </c>
      <c r="E1839" s="1">
        <v>45742</v>
      </c>
      <c r="F1839">
        <v>4</v>
      </c>
      <c r="G1839" t="s">
        <v>2780</v>
      </c>
      <c r="H1839" t="s">
        <v>2564</v>
      </c>
      <c r="I1839" t="s">
        <v>2565</v>
      </c>
      <c r="J1839" t="s">
        <v>2556</v>
      </c>
      <c r="K1839">
        <v>37</v>
      </c>
      <c r="L1839" s="13" t="s">
        <v>257</v>
      </c>
    </row>
    <row r="1840" spans="1:12" x14ac:dyDescent="0.25">
      <c r="A1840" t="s">
        <v>4517</v>
      </c>
      <c r="B1840" t="s">
        <v>116</v>
      </c>
      <c r="C1840" t="str">
        <f>_xlfn.XLOOKUP(Table7[[#This Row],[app_id]],Table5[app_id],Table5[app_name],"",0)</f>
        <v>SkillNow</v>
      </c>
      <c r="D1840" t="s">
        <v>866</v>
      </c>
      <c r="E1840" s="1">
        <v>45801</v>
      </c>
      <c r="F1840">
        <v>2</v>
      </c>
      <c r="G1840" t="s">
        <v>2630</v>
      </c>
      <c r="H1840" t="s">
        <v>2587</v>
      </c>
      <c r="I1840" t="s">
        <v>2575</v>
      </c>
      <c r="J1840" t="s">
        <v>2596</v>
      </c>
      <c r="K1840">
        <v>50</v>
      </c>
      <c r="L1840" s="13" t="s">
        <v>258</v>
      </c>
    </row>
    <row r="1841" spans="1:12" x14ac:dyDescent="0.25">
      <c r="A1841" t="s">
        <v>4518</v>
      </c>
      <c r="B1841" t="s">
        <v>118</v>
      </c>
      <c r="C1841" t="str">
        <f>_xlfn.XLOOKUP(Table7[[#This Row],[app_id]],Table5[app_id],Table5[app_name],"",0)</f>
        <v>LearnMate</v>
      </c>
      <c r="D1841" t="s">
        <v>1931</v>
      </c>
      <c r="E1841" s="1">
        <v>45483</v>
      </c>
      <c r="F1841">
        <v>4</v>
      </c>
      <c r="G1841" t="s">
        <v>2780</v>
      </c>
      <c r="H1841" t="s">
        <v>2564</v>
      </c>
      <c r="I1841" t="s">
        <v>2565</v>
      </c>
      <c r="J1841" t="s">
        <v>2603</v>
      </c>
      <c r="K1841">
        <v>21</v>
      </c>
      <c r="L1841" s="13" t="s">
        <v>257</v>
      </c>
    </row>
    <row r="1842" spans="1:12" x14ac:dyDescent="0.25">
      <c r="A1842" t="s">
        <v>4519</v>
      </c>
      <c r="B1842" t="s">
        <v>120</v>
      </c>
      <c r="C1842" t="str">
        <f>_xlfn.XLOOKUP(Table7[[#This Row],[app_id]],Table5[app_id],Table5[app_name],"",0)</f>
        <v>QuestNow</v>
      </c>
      <c r="D1842" t="s">
        <v>812</v>
      </c>
      <c r="E1842" s="1">
        <v>45383</v>
      </c>
      <c r="F1842">
        <v>4</v>
      </c>
      <c r="G1842" t="s">
        <v>2635</v>
      </c>
      <c r="H1842" t="s">
        <v>2564</v>
      </c>
      <c r="I1842" t="s">
        <v>2565</v>
      </c>
      <c r="J1842" t="s">
        <v>2569</v>
      </c>
      <c r="K1842">
        <v>17</v>
      </c>
      <c r="L1842" s="13" t="s">
        <v>258</v>
      </c>
    </row>
    <row r="1843" spans="1:12" x14ac:dyDescent="0.25">
      <c r="A1843" t="s">
        <v>4520</v>
      </c>
      <c r="B1843" t="s">
        <v>122</v>
      </c>
      <c r="C1843" t="str">
        <f>_xlfn.XLOOKUP(Table7[[#This Row],[app_id]],Table5[app_id],Table5[app_name],"",0)</f>
        <v>SkillHub</v>
      </c>
      <c r="D1843" t="s">
        <v>1097</v>
      </c>
      <c r="E1843" s="1">
        <v>45664</v>
      </c>
      <c r="F1843">
        <v>4</v>
      </c>
      <c r="G1843" t="s">
        <v>2638</v>
      </c>
      <c r="H1843" t="s">
        <v>2564</v>
      </c>
      <c r="I1843" t="s">
        <v>2575</v>
      </c>
      <c r="J1843" t="s">
        <v>2556</v>
      </c>
      <c r="K1843">
        <v>25</v>
      </c>
      <c r="L1843" s="13" t="s">
        <v>258</v>
      </c>
    </row>
    <row r="1844" spans="1:12" x14ac:dyDescent="0.25">
      <c r="A1844" t="s">
        <v>4521</v>
      </c>
      <c r="B1844" t="s">
        <v>124</v>
      </c>
      <c r="C1844" t="str">
        <f>_xlfn.XLOOKUP(Table7[[#This Row],[app_id]],Table5[app_id],Table5[app_name],"",0)</f>
        <v>TutorCloud</v>
      </c>
      <c r="D1844" t="s">
        <v>2456</v>
      </c>
      <c r="E1844" s="1">
        <v>45889</v>
      </c>
      <c r="F1844">
        <v>4</v>
      </c>
      <c r="G1844" t="s">
        <v>2635</v>
      </c>
      <c r="H1844" t="s">
        <v>2564</v>
      </c>
      <c r="I1844" t="s">
        <v>2555</v>
      </c>
      <c r="J1844" t="s">
        <v>2569</v>
      </c>
      <c r="K1844">
        <v>32</v>
      </c>
      <c r="L1844" s="13" t="s">
        <v>258</v>
      </c>
    </row>
    <row r="1845" spans="1:12" x14ac:dyDescent="0.25">
      <c r="A1845" t="s">
        <v>4522</v>
      </c>
      <c r="B1845" t="s">
        <v>126</v>
      </c>
      <c r="C1845" t="str">
        <f>_xlfn.XLOOKUP(Table7[[#This Row],[app_id]],Table5[app_id],Table5[app_name],"",0)</f>
        <v>SkillOne</v>
      </c>
      <c r="D1845" t="s">
        <v>1221</v>
      </c>
      <c r="E1845" s="1">
        <v>45326</v>
      </c>
      <c r="F1845">
        <v>3</v>
      </c>
      <c r="G1845" t="s">
        <v>2646</v>
      </c>
      <c r="H1845" t="s">
        <v>2554</v>
      </c>
      <c r="I1845" t="s">
        <v>2555</v>
      </c>
      <c r="J1845" t="s">
        <v>2603</v>
      </c>
      <c r="K1845">
        <v>41</v>
      </c>
      <c r="L1845" s="13" t="s">
        <v>258</v>
      </c>
    </row>
    <row r="1846" spans="1:12" x14ac:dyDescent="0.25">
      <c r="A1846" t="s">
        <v>4523</v>
      </c>
      <c r="B1846" t="s">
        <v>128</v>
      </c>
      <c r="C1846" t="str">
        <f>_xlfn.XLOOKUP(Table7[[#This Row],[app_id]],Table5[app_id],Table5[app_name],"",0)</f>
        <v>LearnOne</v>
      </c>
      <c r="D1846" t="s">
        <v>1593</v>
      </c>
      <c r="E1846" s="1">
        <v>45435</v>
      </c>
      <c r="F1846">
        <v>4</v>
      </c>
      <c r="G1846" t="s">
        <v>2640</v>
      </c>
      <c r="H1846" t="s">
        <v>2564</v>
      </c>
      <c r="I1846" t="s">
        <v>2575</v>
      </c>
      <c r="J1846" t="s">
        <v>2596</v>
      </c>
      <c r="K1846">
        <v>7</v>
      </c>
      <c r="L1846" s="13" t="s">
        <v>257</v>
      </c>
    </row>
    <row r="1847" spans="1:12" x14ac:dyDescent="0.25">
      <c r="A1847" t="s">
        <v>4524</v>
      </c>
      <c r="B1847" t="s">
        <v>130</v>
      </c>
      <c r="C1847" t="str">
        <f>_xlfn.XLOOKUP(Table7[[#This Row],[app_id]],Table5[app_id],Table5[app_name],"",0)</f>
        <v>LearnPlus</v>
      </c>
      <c r="D1847" t="s">
        <v>1475</v>
      </c>
      <c r="E1847" s="1">
        <v>46028</v>
      </c>
      <c r="F1847">
        <v>4</v>
      </c>
      <c r="G1847" t="s">
        <v>2780</v>
      </c>
      <c r="H1847" t="s">
        <v>2564</v>
      </c>
      <c r="I1847" t="s">
        <v>2565</v>
      </c>
      <c r="J1847" t="s">
        <v>2581</v>
      </c>
      <c r="K1847">
        <v>3</v>
      </c>
      <c r="L1847" s="13" t="s">
        <v>257</v>
      </c>
    </row>
    <row r="1848" spans="1:12" x14ac:dyDescent="0.25">
      <c r="A1848" t="s">
        <v>4525</v>
      </c>
      <c r="B1848" t="s">
        <v>132</v>
      </c>
      <c r="C1848" t="str">
        <f>_xlfn.XLOOKUP(Table7[[#This Row],[app_id]],Table5[app_id],Table5[app_name],"",0)</f>
        <v>StudyPlus</v>
      </c>
      <c r="D1848" t="s">
        <v>930</v>
      </c>
      <c r="E1848" s="1">
        <v>45317</v>
      </c>
      <c r="F1848">
        <v>4</v>
      </c>
      <c r="G1848" t="s">
        <v>2640</v>
      </c>
      <c r="H1848" t="s">
        <v>2564</v>
      </c>
      <c r="I1848" t="s">
        <v>2575</v>
      </c>
      <c r="J1848" t="s">
        <v>2581</v>
      </c>
      <c r="K1848">
        <v>39</v>
      </c>
      <c r="L1848" s="13" t="s">
        <v>257</v>
      </c>
    </row>
    <row r="1849" spans="1:12" x14ac:dyDescent="0.25">
      <c r="A1849" t="s">
        <v>4526</v>
      </c>
      <c r="B1849" t="s">
        <v>134</v>
      </c>
      <c r="C1849" t="str">
        <f>_xlfn.XLOOKUP(Table7[[#This Row],[app_id]],Table5[app_id],Table5[app_name],"",0)</f>
        <v>StudyX</v>
      </c>
      <c r="D1849" t="s">
        <v>1260</v>
      </c>
      <c r="E1849" s="1">
        <v>45525</v>
      </c>
      <c r="F1849">
        <v>5</v>
      </c>
      <c r="G1849" t="s">
        <v>2635</v>
      </c>
      <c r="H1849" t="s">
        <v>2564</v>
      </c>
      <c r="I1849" t="s">
        <v>2575</v>
      </c>
      <c r="J1849" t="s">
        <v>2569</v>
      </c>
      <c r="K1849">
        <v>20</v>
      </c>
      <c r="L1849" s="13" t="s">
        <v>257</v>
      </c>
    </row>
    <row r="1850" spans="1:12" x14ac:dyDescent="0.25">
      <c r="A1850" t="s">
        <v>4527</v>
      </c>
      <c r="B1850" t="s">
        <v>136</v>
      </c>
      <c r="C1850" t="str">
        <f>_xlfn.XLOOKUP(Table7[[#This Row],[app_id]],Table5[app_id],Table5[app_name],"",0)</f>
        <v>PlayPlus</v>
      </c>
      <c r="D1850" t="s">
        <v>718</v>
      </c>
      <c r="E1850" s="1">
        <v>45392</v>
      </c>
      <c r="F1850">
        <v>5</v>
      </c>
      <c r="G1850" t="s">
        <v>2789</v>
      </c>
      <c r="H1850" t="s">
        <v>2564</v>
      </c>
      <c r="I1850" t="s">
        <v>2565</v>
      </c>
      <c r="J1850" t="s">
        <v>2603</v>
      </c>
      <c r="K1850">
        <v>31</v>
      </c>
      <c r="L1850" s="13" t="s">
        <v>257</v>
      </c>
    </row>
    <row r="1851" spans="1:12" x14ac:dyDescent="0.25">
      <c r="A1851" t="s">
        <v>4528</v>
      </c>
      <c r="B1851" t="s">
        <v>139</v>
      </c>
      <c r="C1851" t="str">
        <f>_xlfn.XLOOKUP(Table7[[#This Row],[app_id]],Table5[app_id],Table5[app_name],"",0)</f>
        <v>ShowMate</v>
      </c>
      <c r="D1851" t="s">
        <v>833</v>
      </c>
      <c r="E1851" s="1">
        <v>45896</v>
      </c>
      <c r="F1851">
        <v>3</v>
      </c>
      <c r="G1851" t="s">
        <v>2655</v>
      </c>
      <c r="H1851" t="s">
        <v>2554</v>
      </c>
      <c r="I1851" t="s">
        <v>2575</v>
      </c>
      <c r="J1851" t="s">
        <v>2603</v>
      </c>
      <c r="K1851">
        <v>31</v>
      </c>
      <c r="L1851" s="13" t="s">
        <v>257</v>
      </c>
    </row>
    <row r="1852" spans="1:12" x14ac:dyDescent="0.25">
      <c r="A1852" t="s">
        <v>4529</v>
      </c>
      <c r="B1852" t="s">
        <v>141</v>
      </c>
      <c r="C1852" t="str">
        <f>_xlfn.XLOOKUP(Table7[[#This Row],[app_id]],Table5[app_id],Table5[app_name],"",0)</f>
        <v>VibeX</v>
      </c>
      <c r="D1852" t="s">
        <v>1373</v>
      </c>
      <c r="E1852" s="1">
        <v>45406</v>
      </c>
      <c r="F1852">
        <v>3</v>
      </c>
      <c r="G1852" t="s">
        <v>2793</v>
      </c>
      <c r="H1852" t="s">
        <v>2554</v>
      </c>
      <c r="I1852" t="s">
        <v>2555</v>
      </c>
      <c r="J1852" t="s">
        <v>2566</v>
      </c>
      <c r="K1852">
        <v>25</v>
      </c>
      <c r="L1852" s="13" t="s">
        <v>257</v>
      </c>
    </row>
    <row r="1853" spans="1:12" x14ac:dyDescent="0.25">
      <c r="A1853" t="s">
        <v>4530</v>
      </c>
      <c r="B1853" t="s">
        <v>143</v>
      </c>
      <c r="C1853" t="str">
        <f>_xlfn.XLOOKUP(Table7[[#This Row],[app_id]],Table5[app_id],Table5[app_name],"",0)</f>
        <v>BuzzNow</v>
      </c>
      <c r="D1853" t="s">
        <v>1925</v>
      </c>
      <c r="E1853" s="1">
        <v>45520</v>
      </c>
      <c r="F1853">
        <v>4</v>
      </c>
      <c r="G1853" t="s">
        <v>2650</v>
      </c>
      <c r="H1853" t="s">
        <v>2564</v>
      </c>
      <c r="I1853" t="s">
        <v>2565</v>
      </c>
      <c r="J1853" t="s">
        <v>2596</v>
      </c>
      <c r="K1853">
        <v>34</v>
      </c>
      <c r="L1853" s="13" t="s">
        <v>257</v>
      </c>
    </row>
    <row r="1854" spans="1:12" x14ac:dyDescent="0.25">
      <c r="A1854" t="s">
        <v>4531</v>
      </c>
      <c r="B1854" t="s">
        <v>145</v>
      </c>
      <c r="C1854" t="str">
        <f>_xlfn.XLOOKUP(Table7[[#This Row],[app_id]],Table5[app_id],Table5[app_name],"",0)</f>
        <v>StreamPlus</v>
      </c>
      <c r="D1854" t="s">
        <v>2102</v>
      </c>
      <c r="E1854" s="1">
        <v>45469</v>
      </c>
      <c r="F1854">
        <v>5</v>
      </c>
      <c r="G1854" t="s">
        <v>2650</v>
      </c>
      <c r="H1854" t="s">
        <v>2564</v>
      </c>
      <c r="I1854" t="s">
        <v>2555</v>
      </c>
      <c r="J1854" t="s">
        <v>2596</v>
      </c>
      <c r="K1854">
        <v>2</v>
      </c>
      <c r="L1854" s="13" t="s">
        <v>257</v>
      </c>
    </row>
    <row r="1855" spans="1:12" x14ac:dyDescent="0.25">
      <c r="A1855" t="s">
        <v>4532</v>
      </c>
      <c r="B1855" t="s">
        <v>147</v>
      </c>
      <c r="C1855" t="str">
        <f>_xlfn.XLOOKUP(Table7[[#This Row],[app_id]],Table5[app_id],Table5[app_name],"",0)</f>
        <v>Showly</v>
      </c>
      <c r="D1855" t="s">
        <v>2375</v>
      </c>
      <c r="E1855" s="1">
        <v>45509</v>
      </c>
      <c r="F1855">
        <v>3</v>
      </c>
      <c r="G1855" t="s">
        <v>2793</v>
      </c>
      <c r="H1855" t="s">
        <v>2554</v>
      </c>
      <c r="I1855" t="s">
        <v>2558</v>
      </c>
      <c r="J1855" t="s">
        <v>2561</v>
      </c>
      <c r="K1855">
        <v>34</v>
      </c>
      <c r="L1855" s="13" t="s">
        <v>258</v>
      </c>
    </row>
    <row r="1856" spans="1:12" x14ac:dyDescent="0.25">
      <c r="A1856" t="s">
        <v>4533</v>
      </c>
      <c r="B1856" t="s">
        <v>149</v>
      </c>
      <c r="C1856" t="str">
        <f>_xlfn.XLOOKUP(Table7[[#This Row],[app_id]],Table5[app_id],Table5[app_name],"",0)</f>
        <v>BuzzOne</v>
      </c>
      <c r="D1856" t="s">
        <v>1529</v>
      </c>
      <c r="E1856" s="1">
        <v>45687</v>
      </c>
      <c r="F1856">
        <v>4</v>
      </c>
      <c r="G1856" t="s">
        <v>2789</v>
      </c>
      <c r="H1856" t="s">
        <v>2564</v>
      </c>
      <c r="I1856" t="s">
        <v>2565</v>
      </c>
      <c r="J1856" t="s">
        <v>2559</v>
      </c>
      <c r="K1856">
        <v>8</v>
      </c>
      <c r="L1856" s="13" t="s">
        <v>257</v>
      </c>
    </row>
    <row r="1857" spans="1:12" x14ac:dyDescent="0.25">
      <c r="A1857" t="s">
        <v>4534</v>
      </c>
      <c r="B1857" t="s">
        <v>151</v>
      </c>
      <c r="C1857" t="str">
        <f>_xlfn.XLOOKUP(Table7[[#This Row],[app_id]],Table5[app_id],Table5[app_name],"",0)</f>
        <v>PlayHub</v>
      </c>
      <c r="D1857" t="s">
        <v>748</v>
      </c>
      <c r="E1857" s="1">
        <v>45933</v>
      </c>
      <c r="F1857">
        <v>5</v>
      </c>
      <c r="G1857" t="s">
        <v>2652</v>
      </c>
      <c r="H1857" t="s">
        <v>2564</v>
      </c>
      <c r="I1857" t="s">
        <v>2575</v>
      </c>
      <c r="J1857" t="s">
        <v>2566</v>
      </c>
      <c r="K1857">
        <v>28</v>
      </c>
      <c r="L1857" s="13" t="s">
        <v>257</v>
      </c>
    </row>
    <row r="1858" spans="1:12" x14ac:dyDescent="0.25">
      <c r="A1858" t="s">
        <v>4535</v>
      </c>
      <c r="B1858" t="s">
        <v>153</v>
      </c>
      <c r="C1858" t="str">
        <f>_xlfn.XLOOKUP(Table7[[#This Row],[app_id]],Table5[app_id],Table5[app_name],"",0)</f>
        <v>CinemaGo</v>
      </c>
      <c r="D1858" t="s">
        <v>2318</v>
      </c>
      <c r="E1858" s="1">
        <v>45786</v>
      </c>
      <c r="F1858">
        <v>4</v>
      </c>
      <c r="G1858" t="s">
        <v>2650</v>
      </c>
      <c r="H1858" t="s">
        <v>2564</v>
      </c>
      <c r="I1858" t="s">
        <v>2571</v>
      </c>
      <c r="J1858" t="s">
        <v>2556</v>
      </c>
      <c r="K1858">
        <v>13</v>
      </c>
      <c r="L1858" s="13" t="s">
        <v>257</v>
      </c>
    </row>
    <row r="1859" spans="1:12" x14ac:dyDescent="0.25">
      <c r="A1859" t="s">
        <v>4536</v>
      </c>
      <c r="B1859" t="s">
        <v>155</v>
      </c>
      <c r="C1859" t="str">
        <f>_xlfn.XLOOKUP(Table7[[#This Row],[app_id]],Table5[app_id],Table5[app_name],"",0)</f>
        <v>LaughX</v>
      </c>
      <c r="D1859" t="s">
        <v>962</v>
      </c>
      <c r="E1859" s="1">
        <v>45445</v>
      </c>
      <c r="F1859">
        <v>5</v>
      </c>
      <c r="G1859" t="s">
        <v>2789</v>
      </c>
      <c r="H1859" t="s">
        <v>2564</v>
      </c>
      <c r="I1859" t="s">
        <v>2575</v>
      </c>
      <c r="J1859" t="s">
        <v>2581</v>
      </c>
      <c r="K1859">
        <v>46</v>
      </c>
      <c r="L1859" s="13" t="s">
        <v>258</v>
      </c>
    </row>
    <row r="1860" spans="1:12" x14ac:dyDescent="0.25">
      <c r="A1860" t="s">
        <v>4537</v>
      </c>
      <c r="B1860" t="s">
        <v>157</v>
      </c>
      <c r="C1860" t="str">
        <f>_xlfn.XLOOKUP(Table7[[#This Row],[app_id]],Table5[app_id],Table5[app_name],"",0)</f>
        <v>CinemaHub</v>
      </c>
      <c r="D1860" t="s">
        <v>1798</v>
      </c>
      <c r="E1860" s="1">
        <v>45595</v>
      </c>
      <c r="F1860">
        <v>4</v>
      </c>
      <c r="G1860" t="s">
        <v>2652</v>
      </c>
      <c r="H1860" t="s">
        <v>2564</v>
      </c>
      <c r="I1860" t="s">
        <v>2555</v>
      </c>
      <c r="J1860" t="s">
        <v>2596</v>
      </c>
      <c r="K1860">
        <v>37</v>
      </c>
      <c r="L1860" s="13" t="s">
        <v>257</v>
      </c>
    </row>
    <row r="1861" spans="1:12" x14ac:dyDescent="0.25">
      <c r="A1861" t="s">
        <v>4538</v>
      </c>
      <c r="B1861" t="s">
        <v>159</v>
      </c>
      <c r="C1861" t="str">
        <f>_xlfn.XLOOKUP(Table7[[#This Row],[app_id]],Table5[app_id],Table5[app_name],"",0)</f>
        <v>ShowPro</v>
      </c>
      <c r="D1861" t="s">
        <v>916</v>
      </c>
      <c r="E1861" s="1">
        <v>46017</v>
      </c>
      <c r="F1861">
        <v>3</v>
      </c>
      <c r="G1861" t="s">
        <v>2655</v>
      </c>
      <c r="H1861" t="s">
        <v>2554</v>
      </c>
      <c r="I1861" t="s">
        <v>2584</v>
      </c>
      <c r="J1861" t="s">
        <v>2633</v>
      </c>
      <c r="K1861">
        <v>1</v>
      </c>
      <c r="L1861" s="13" t="s">
        <v>257</v>
      </c>
    </row>
    <row r="1862" spans="1:12" x14ac:dyDescent="0.25">
      <c r="A1862" t="s">
        <v>4539</v>
      </c>
      <c r="B1862" t="s">
        <v>161</v>
      </c>
      <c r="C1862" t="str">
        <f>_xlfn.XLOOKUP(Table7[[#This Row],[app_id]],Table5[app_id],Table5[app_name],"",0)</f>
        <v>FoodPlus</v>
      </c>
      <c r="D1862" t="s">
        <v>591</v>
      </c>
      <c r="E1862" s="1">
        <v>45521</v>
      </c>
      <c r="F1862">
        <v>3</v>
      </c>
      <c r="G1862" t="s">
        <v>2666</v>
      </c>
      <c r="H1862" t="s">
        <v>2554</v>
      </c>
      <c r="I1862" t="s">
        <v>2578</v>
      </c>
      <c r="J1862" t="s">
        <v>2569</v>
      </c>
      <c r="K1862">
        <v>48</v>
      </c>
      <c r="L1862" s="13" t="s">
        <v>257</v>
      </c>
    </row>
    <row r="1863" spans="1:12" x14ac:dyDescent="0.25">
      <c r="A1863" t="s">
        <v>4540</v>
      </c>
      <c r="B1863" t="s">
        <v>164</v>
      </c>
      <c r="C1863" t="str">
        <f>_xlfn.XLOOKUP(Table7[[#This Row],[app_id]],Table5[app_id],Table5[app_name],"",0)</f>
        <v>BiteGo</v>
      </c>
      <c r="D1863" t="s">
        <v>1111</v>
      </c>
      <c r="E1863" s="1">
        <v>45760</v>
      </c>
      <c r="F1863">
        <v>4</v>
      </c>
      <c r="G1863" t="s">
        <v>2679</v>
      </c>
      <c r="H1863" t="s">
        <v>2564</v>
      </c>
      <c r="I1863" t="s">
        <v>2575</v>
      </c>
      <c r="J1863" t="s">
        <v>2569</v>
      </c>
      <c r="K1863">
        <v>12</v>
      </c>
      <c r="L1863" s="13" t="s">
        <v>257</v>
      </c>
    </row>
    <row r="1864" spans="1:12" x14ac:dyDescent="0.25">
      <c r="A1864" t="s">
        <v>4541</v>
      </c>
      <c r="B1864" t="s">
        <v>166</v>
      </c>
      <c r="C1864" t="str">
        <f>_xlfn.XLOOKUP(Table7[[#This Row],[app_id]],Table5[app_id],Table5[app_name],"",0)</f>
        <v>OrderCloud</v>
      </c>
      <c r="D1864" t="s">
        <v>1236</v>
      </c>
      <c r="E1864" s="1">
        <v>45325</v>
      </c>
      <c r="F1864">
        <v>3</v>
      </c>
      <c r="G1864" t="s">
        <v>2668</v>
      </c>
      <c r="H1864" t="s">
        <v>2554</v>
      </c>
      <c r="I1864" t="s">
        <v>2575</v>
      </c>
      <c r="J1864" t="s">
        <v>2559</v>
      </c>
      <c r="K1864">
        <v>2</v>
      </c>
      <c r="L1864" s="13" t="s">
        <v>257</v>
      </c>
    </row>
    <row r="1865" spans="1:12" x14ac:dyDescent="0.25">
      <c r="A1865" t="s">
        <v>4542</v>
      </c>
      <c r="B1865" t="s">
        <v>168</v>
      </c>
      <c r="C1865" t="str">
        <f>_xlfn.XLOOKUP(Table7[[#This Row],[app_id]],Table5[app_id],Table5[app_name],"",0)</f>
        <v>DinePlus</v>
      </c>
      <c r="D1865" t="s">
        <v>1277</v>
      </c>
      <c r="E1865" s="1">
        <v>45359</v>
      </c>
      <c r="F1865">
        <v>3</v>
      </c>
      <c r="G1865" t="s">
        <v>2666</v>
      </c>
      <c r="H1865" t="s">
        <v>2554</v>
      </c>
      <c r="I1865" t="s">
        <v>2558</v>
      </c>
      <c r="J1865" t="s">
        <v>2633</v>
      </c>
      <c r="K1865">
        <v>13</v>
      </c>
      <c r="L1865" s="13" t="s">
        <v>257</v>
      </c>
    </row>
    <row r="1866" spans="1:12" x14ac:dyDescent="0.25">
      <c r="A1866" t="s">
        <v>4543</v>
      </c>
      <c r="B1866" t="s">
        <v>170</v>
      </c>
      <c r="C1866" t="str">
        <f>_xlfn.XLOOKUP(Table7[[#This Row],[app_id]],Table5[app_id],Table5[app_name],"",0)</f>
        <v>SnackX</v>
      </c>
      <c r="D1866" t="s">
        <v>808</v>
      </c>
      <c r="E1866" s="1">
        <v>45457</v>
      </c>
      <c r="F1866">
        <v>5</v>
      </c>
      <c r="G1866" t="s">
        <v>2676</v>
      </c>
      <c r="H1866" t="s">
        <v>2564</v>
      </c>
      <c r="I1866" t="s">
        <v>2555</v>
      </c>
      <c r="J1866" t="s">
        <v>2600</v>
      </c>
      <c r="K1866">
        <v>25</v>
      </c>
      <c r="L1866" s="13" t="s">
        <v>257</v>
      </c>
    </row>
    <row r="1867" spans="1:12" x14ac:dyDescent="0.25">
      <c r="A1867" t="s">
        <v>4544</v>
      </c>
      <c r="B1867" t="s">
        <v>172</v>
      </c>
      <c r="C1867" t="str">
        <f>_xlfn.XLOOKUP(Table7[[#This Row],[app_id]],Table5[app_id],Table5[app_name],"",0)</f>
        <v>FoodOne</v>
      </c>
      <c r="D1867" t="s">
        <v>996</v>
      </c>
      <c r="E1867" s="1">
        <v>45994</v>
      </c>
      <c r="F1867">
        <v>4</v>
      </c>
      <c r="G1867" t="s">
        <v>2674</v>
      </c>
      <c r="H1867" t="s">
        <v>2564</v>
      </c>
      <c r="I1867" t="s">
        <v>2575</v>
      </c>
      <c r="J1867" t="s">
        <v>2633</v>
      </c>
      <c r="K1867">
        <v>32</v>
      </c>
      <c r="L1867" s="13" t="s">
        <v>258</v>
      </c>
    </row>
    <row r="1868" spans="1:12" x14ac:dyDescent="0.25">
      <c r="A1868" t="s">
        <v>4545</v>
      </c>
      <c r="B1868" t="s">
        <v>174</v>
      </c>
      <c r="C1868" t="str">
        <f>_xlfn.XLOOKUP(Table7[[#This Row],[app_id]],Table5[app_id],Table5[app_name],"",0)</f>
        <v>MealMate</v>
      </c>
      <c r="D1868" t="s">
        <v>1554</v>
      </c>
      <c r="E1868" s="1">
        <v>45827</v>
      </c>
      <c r="F1868">
        <v>3</v>
      </c>
      <c r="G1868" t="s">
        <v>2668</v>
      </c>
      <c r="H1868" t="s">
        <v>2554</v>
      </c>
      <c r="I1868" t="s">
        <v>2575</v>
      </c>
      <c r="J1868" t="s">
        <v>2633</v>
      </c>
      <c r="K1868">
        <v>21</v>
      </c>
      <c r="L1868" s="13" t="s">
        <v>257</v>
      </c>
    </row>
    <row r="1869" spans="1:12" x14ac:dyDescent="0.25">
      <c r="A1869" t="s">
        <v>4546</v>
      </c>
      <c r="B1869" t="s">
        <v>176</v>
      </c>
      <c r="C1869" t="str">
        <f>_xlfn.XLOOKUP(Table7[[#This Row],[app_id]],Table5[app_id],Table5[app_name],"",0)</f>
        <v>SnackHub</v>
      </c>
      <c r="D1869" t="s">
        <v>2330</v>
      </c>
      <c r="E1869" s="1">
        <v>45576</v>
      </c>
      <c r="F1869">
        <v>4</v>
      </c>
      <c r="G1869" t="s">
        <v>2806</v>
      </c>
      <c r="H1869" t="s">
        <v>2564</v>
      </c>
      <c r="I1869" t="s">
        <v>2558</v>
      </c>
      <c r="J1869" t="s">
        <v>2603</v>
      </c>
      <c r="K1869">
        <v>36</v>
      </c>
      <c r="L1869" s="13" t="s">
        <v>257</v>
      </c>
    </row>
    <row r="1870" spans="1:12" x14ac:dyDescent="0.25">
      <c r="A1870" t="s">
        <v>4547</v>
      </c>
      <c r="B1870" t="s">
        <v>178</v>
      </c>
      <c r="C1870" t="str">
        <f>_xlfn.XLOOKUP(Table7[[#This Row],[app_id]],Table5[app_id],Table5[app_name],"",0)</f>
        <v>BiteCloud</v>
      </c>
      <c r="D1870" t="s">
        <v>1508</v>
      </c>
      <c r="E1870" s="1">
        <v>45437</v>
      </c>
      <c r="F1870">
        <v>5</v>
      </c>
      <c r="G1870" t="s">
        <v>2806</v>
      </c>
      <c r="H1870" t="s">
        <v>2564</v>
      </c>
      <c r="I1870" t="s">
        <v>2565</v>
      </c>
      <c r="J1870" t="s">
        <v>2603</v>
      </c>
      <c r="K1870">
        <v>43</v>
      </c>
      <c r="L1870" s="13" t="s">
        <v>258</v>
      </c>
    </row>
    <row r="1871" spans="1:12" x14ac:dyDescent="0.25">
      <c r="A1871" t="s">
        <v>4548</v>
      </c>
      <c r="B1871" t="s">
        <v>180</v>
      </c>
      <c r="C1871" t="str">
        <f>_xlfn.XLOOKUP(Table7[[#This Row],[app_id]],Table5[app_id],Table5[app_name],"",0)</f>
        <v>PlatePlus</v>
      </c>
      <c r="D1871" t="s">
        <v>2444</v>
      </c>
      <c r="E1871" s="1">
        <v>46019</v>
      </c>
      <c r="F1871">
        <v>3</v>
      </c>
      <c r="G1871" t="s">
        <v>2672</v>
      </c>
      <c r="H1871" t="s">
        <v>2554</v>
      </c>
      <c r="I1871" t="s">
        <v>2575</v>
      </c>
      <c r="J1871" t="s">
        <v>2581</v>
      </c>
      <c r="K1871">
        <v>22</v>
      </c>
      <c r="L1871" s="13" t="s">
        <v>257</v>
      </c>
    </row>
    <row r="1872" spans="1:12" x14ac:dyDescent="0.25">
      <c r="A1872" t="s">
        <v>4549</v>
      </c>
      <c r="B1872" t="s">
        <v>182</v>
      </c>
      <c r="C1872" t="str">
        <f>_xlfn.XLOOKUP(Table7[[#This Row],[app_id]],Table5[app_id],Table5[app_name],"",0)</f>
        <v>VoyageGo</v>
      </c>
      <c r="D1872" t="s">
        <v>1122</v>
      </c>
      <c r="E1872" s="1">
        <v>45408</v>
      </c>
      <c r="F1872">
        <v>5</v>
      </c>
      <c r="G1872" t="s">
        <v>2687</v>
      </c>
      <c r="H1872" t="s">
        <v>2564</v>
      </c>
      <c r="I1872" t="s">
        <v>2575</v>
      </c>
      <c r="J1872" t="s">
        <v>2581</v>
      </c>
      <c r="K1872">
        <v>4</v>
      </c>
      <c r="L1872" s="13" t="s">
        <v>257</v>
      </c>
    </row>
    <row r="1873" spans="1:12" x14ac:dyDescent="0.25">
      <c r="A1873" t="s">
        <v>4550</v>
      </c>
      <c r="B1873" t="s">
        <v>185</v>
      </c>
      <c r="C1873" t="str">
        <f>_xlfn.XLOOKUP(Table7[[#This Row],[app_id]],Table5[app_id],Table5[app_name],"",0)</f>
        <v>TripOne</v>
      </c>
      <c r="D1873" t="s">
        <v>2233</v>
      </c>
      <c r="E1873" s="1">
        <v>46069</v>
      </c>
      <c r="F1873">
        <v>3</v>
      </c>
      <c r="G1873" t="s">
        <v>2697</v>
      </c>
      <c r="H1873" t="s">
        <v>2554</v>
      </c>
      <c r="I1873" t="s">
        <v>2558</v>
      </c>
      <c r="J1873" t="s">
        <v>2603</v>
      </c>
      <c r="K1873">
        <v>4</v>
      </c>
      <c r="L1873" s="13" t="s">
        <v>257</v>
      </c>
    </row>
    <row r="1874" spans="1:12" x14ac:dyDescent="0.25">
      <c r="A1874" t="s">
        <v>4551</v>
      </c>
      <c r="B1874" t="s">
        <v>187</v>
      </c>
      <c r="C1874" t="str">
        <f>_xlfn.XLOOKUP(Table7[[#This Row],[app_id]],Table5[app_id],Table5[app_name],"",0)</f>
        <v>FlyGo</v>
      </c>
      <c r="D1874" t="s">
        <v>1887</v>
      </c>
      <c r="E1874" s="1">
        <v>46059</v>
      </c>
      <c r="F1874">
        <v>4</v>
      </c>
      <c r="G1874" t="s">
        <v>2931</v>
      </c>
      <c r="H1874" t="s">
        <v>2564</v>
      </c>
      <c r="I1874" t="s">
        <v>2565</v>
      </c>
      <c r="J1874" t="s">
        <v>2600</v>
      </c>
      <c r="K1874">
        <v>42</v>
      </c>
      <c r="L1874" s="13" t="s">
        <v>257</v>
      </c>
    </row>
    <row r="1875" spans="1:12" x14ac:dyDescent="0.25">
      <c r="A1875" t="s">
        <v>4552</v>
      </c>
      <c r="B1875" t="s">
        <v>189</v>
      </c>
      <c r="C1875" t="str">
        <f>_xlfn.XLOOKUP(Table7[[#This Row],[app_id]],Table5[app_id],Table5[app_name],"",0)</f>
        <v>MapX</v>
      </c>
      <c r="D1875" t="s">
        <v>943</v>
      </c>
      <c r="E1875" s="1">
        <v>46036</v>
      </c>
      <c r="F1875">
        <v>4</v>
      </c>
      <c r="G1875" t="s">
        <v>2687</v>
      </c>
      <c r="H1875" t="s">
        <v>2564</v>
      </c>
      <c r="I1875" t="s">
        <v>2575</v>
      </c>
      <c r="J1875" t="s">
        <v>2556</v>
      </c>
      <c r="K1875">
        <v>6</v>
      </c>
      <c r="L1875" s="13" t="s">
        <v>258</v>
      </c>
    </row>
    <row r="1876" spans="1:12" x14ac:dyDescent="0.25">
      <c r="A1876" t="s">
        <v>4553</v>
      </c>
      <c r="B1876" t="s">
        <v>191</v>
      </c>
      <c r="C1876" t="str">
        <f>_xlfn.XLOOKUP(Table7[[#This Row],[app_id]],Table5[app_id],Table5[app_name],"",0)</f>
        <v>StayX</v>
      </c>
      <c r="D1876" t="s">
        <v>963</v>
      </c>
      <c r="E1876" s="1">
        <v>45684</v>
      </c>
      <c r="F1876">
        <v>3</v>
      </c>
      <c r="G1876" t="s">
        <v>2815</v>
      </c>
      <c r="H1876" t="s">
        <v>2554</v>
      </c>
      <c r="I1876" t="s">
        <v>2558</v>
      </c>
      <c r="J1876" t="s">
        <v>2561</v>
      </c>
      <c r="K1876">
        <v>40</v>
      </c>
      <c r="L1876" s="13" t="s">
        <v>258</v>
      </c>
    </row>
    <row r="1877" spans="1:12" x14ac:dyDescent="0.25">
      <c r="A1877" t="s">
        <v>4554</v>
      </c>
      <c r="B1877" t="s">
        <v>193</v>
      </c>
      <c r="C1877" t="str">
        <f>_xlfn.XLOOKUP(Table7[[#This Row],[app_id]],Table5[app_id],Table5[app_name],"",0)</f>
        <v>GoNow</v>
      </c>
      <c r="D1877" t="s">
        <v>800</v>
      </c>
      <c r="E1877" s="1">
        <v>45719</v>
      </c>
      <c r="F1877">
        <v>3</v>
      </c>
      <c r="G1877" t="s">
        <v>2815</v>
      </c>
      <c r="H1877" t="s">
        <v>2554</v>
      </c>
      <c r="I1877" t="s">
        <v>2555</v>
      </c>
      <c r="J1877" t="s">
        <v>2566</v>
      </c>
      <c r="K1877">
        <v>5</v>
      </c>
      <c r="L1877" s="13" t="s">
        <v>257</v>
      </c>
    </row>
    <row r="1878" spans="1:12" x14ac:dyDescent="0.25">
      <c r="A1878" t="s">
        <v>4555</v>
      </c>
      <c r="B1878" t="s">
        <v>195</v>
      </c>
      <c r="C1878" t="str">
        <f>_xlfn.XLOOKUP(Table7[[#This Row],[app_id]],Table5[app_id],Table5[app_name],"",0)</f>
        <v>RouteGo</v>
      </c>
      <c r="D1878" t="s">
        <v>1799</v>
      </c>
      <c r="E1878" s="1">
        <v>46129</v>
      </c>
      <c r="F1878">
        <v>4</v>
      </c>
      <c r="G1878" t="s">
        <v>2687</v>
      </c>
      <c r="H1878" t="s">
        <v>2564</v>
      </c>
      <c r="I1878" t="s">
        <v>2555</v>
      </c>
      <c r="J1878" t="s">
        <v>2556</v>
      </c>
      <c r="K1878">
        <v>43</v>
      </c>
      <c r="L1878" s="13" t="s">
        <v>258</v>
      </c>
    </row>
    <row r="1879" spans="1:12" x14ac:dyDescent="0.25">
      <c r="A1879" t="s">
        <v>4556</v>
      </c>
      <c r="B1879" t="s">
        <v>197</v>
      </c>
      <c r="C1879" t="str">
        <f>_xlfn.XLOOKUP(Table7[[#This Row],[app_id]],Table5[app_id],Table5[app_name],"",0)</f>
        <v>TripGo</v>
      </c>
      <c r="D1879" t="s">
        <v>1633</v>
      </c>
      <c r="E1879" s="1">
        <v>45733</v>
      </c>
      <c r="F1879">
        <v>4</v>
      </c>
      <c r="G1879" t="s">
        <v>2931</v>
      </c>
      <c r="H1879" t="s">
        <v>2564</v>
      </c>
      <c r="I1879" t="s">
        <v>2575</v>
      </c>
      <c r="J1879" t="s">
        <v>2603</v>
      </c>
      <c r="K1879">
        <v>17</v>
      </c>
      <c r="L1879" s="13" t="s">
        <v>258</v>
      </c>
    </row>
    <row r="1880" spans="1:12" x14ac:dyDescent="0.25">
      <c r="A1880" t="s">
        <v>4557</v>
      </c>
      <c r="B1880" t="s">
        <v>199</v>
      </c>
      <c r="C1880" t="str">
        <f>_xlfn.XLOOKUP(Table7[[#This Row],[app_id]],Table5[app_id],Table5[app_name],"",0)</f>
        <v>Flyly</v>
      </c>
      <c r="D1880" t="s">
        <v>760</v>
      </c>
      <c r="E1880" s="1">
        <v>45625</v>
      </c>
      <c r="F1880">
        <v>2</v>
      </c>
      <c r="G1880" t="s">
        <v>2685</v>
      </c>
      <c r="H1880" t="s">
        <v>2587</v>
      </c>
      <c r="I1880" t="s">
        <v>2578</v>
      </c>
      <c r="J1880" t="s">
        <v>2633</v>
      </c>
      <c r="K1880">
        <v>27</v>
      </c>
      <c r="L1880" s="13" t="s">
        <v>257</v>
      </c>
    </row>
    <row r="1881" spans="1:12" x14ac:dyDescent="0.25">
      <c r="A1881" t="s">
        <v>4558</v>
      </c>
      <c r="B1881" t="s">
        <v>201</v>
      </c>
      <c r="C1881" t="str">
        <f>_xlfn.XLOOKUP(Table7[[#This Row],[app_id]],Table5[app_id],Table5[app_name],"",0)</f>
        <v>TripPro</v>
      </c>
      <c r="D1881" t="s">
        <v>1501</v>
      </c>
      <c r="E1881" s="1">
        <v>45441</v>
      </c>
      <c r="F1881">
        <v>3</v>
      </c>
      <c r="G1881" t="s">
        <v>2697</v>
      </c>
      <c r="H1881" t="s">
        <v>2554</v>
      </c>
      <c r="I1881" t="s">
        <v>2565</v>
      </c>
      <c r="J1881" t="s">
        <v>2633</v>
      </c>
      <c r="K1881">
        <v>41</v>
      </c>
      <c r="L1881" s="13" t="s">
        <v>257</v>
      </c>
    </row>
    <row r="1882" spans="1:12" x14ac:dyDescent="0.25">
      <c r="A1882" t="s">
        <v>4559</v>
      </c>
      <c r="B1882" t="s">
        <v>203</v>
      </c>
      <c r="C1882" t="str">
        <f>_xlfn.XLOOKUP(Table7[[#This Row],[app_id]],Table5[app_id],Table5[app_name],"",0)</f>
        <v>Focusly</v>
      </c>
      <c r="D1882" t="s">
        <v>1752</v>
      </c>
      <c r="E1882" s="1">
        <v>46059</v>
      </c>
      <c r="F1882">
        <v>3</v>
      </c>
      <c r="G1882" t="s">
        <v>3254</v>
      </c>
      <c r="H1882" t="s">
        <v>2554</v>
      </c>
      <c r="I1882" t="s">
        <v>2588</v>
      </c>
      <c r="J1882" t="s">
        <v>2569</v>
      </c>
      <c r="K1882">
        <v>4</v>
      </c>
      <c r="L1882" s="13" t="s">
        <v>257</v>
      </c>
    </row>
    <row r="1883" spans="1:12" x14ac:dyDescent="0.25">
      <c r="A1883" t="s">
        <v>4560</v>
      </c>
      <c r="B1883" t="s">
        <v>206</v>
      </c>
      <c r="C1883" t="str">
        <f>_xlfn.XLOOKUP(Table7[[#This Row],[app_id]],Table5[app_id],Table5[app_name],"",0)</f>
        <v>DeskX</v>
      </c>
      <c r="D1883" t="s">
        <v>1314</v>
      </c>
      <c r="E1883" s="1">
        <v>45977</v>
      </c>
      <c r="F1883">
        <v>3</v>
      </c>
      <c r="G1883" t="s">
        <v>2706</v>
      </c>
      <c r="H1883" t="s">
        <v>2554</v>
      </c>
      <c r="I1883" t="s">
        <v>2571</v>
      </c>
      <c r="J1883" t="s">
        <v>2633</v>
      </c>
      <c r="K1883">
        <v>1</v>
      </c>
      <c r="L1883" s="13" t="s">
        <v>257</v>
      </c>
    </row>
    <row r="1884" spans="1:12" x14ac:dyDescent="0.25">
      <c r="A1884" t="s">
        <v>4561</v>
      </c>
      <c r="B1884" t="s">
        <v>208</v>
      </c>
      <c r="C1884" t="str">
        <f>_xlfn.XLOOKUP(Table7[[#This Row],[app_id]],Table5[app_id],Table5[app_name],"",0)</f>
        <v>DonePro</v>
      </c>
      <c r="D1884" t="s">
        <v>848</v>
      </c>
      <c r="E1884" s="1">
        <v>45810</v>
      </c>
      <c r="F1884">
        <v>4</v>
      </c>
      <c r="G1884" t="s">
        <v>2708</v>
      </c>
      <c r="H1884" t="s">
        <v>2564</v>
      </c>
      <c r="I1884" t="s">
        <v>2565</v>
      </c>
      <c r="J1884" t="s">
        <v>2561</v>
      </c>
      <c r="K1884">
        <v>26</v>
      </c>
      <c r="L1884" s="13" t="s">
        <v>257</v>
      </c>
    </row>
    <row r="1885" spans="1:12" x14ac:dyDescent="0.25">
      <c r="A1885" t="s">
        <v>4562</v>
      </c>
      <c r="B1885" t="s">
        <v>210</v>
      </c>
      <c r="C1885" t="str">
        <f>_xlfn.XLOOKUP(Table7[[#This Row],[app_id]],Table5[app_id],Table5[app_name],"",0)</f>
        <v>NotePlus</v>
      </c>
      <c r="D1885" t="s">
        <v>1462</v>
      </c>
      <c r="E1885" s="1">
        <v>45630</v>
      </c>
      <c r="F1885">
        <v>3</v>
      </c>
      <c r="G1885" t="s">
        <v>2713</v>
      </c>
      <c r="H1885" t="s">
        <v>2554</v>
      </c>
      <c r="I1885" t="s">
        <v>2584</v>
      </c>
      <c r="J1885" t="s">
        <v>2633</v>
      </c>
      <c r="K1885">
        <v>27</v>
      </c>
      <c r="L1885" s="13" t="s">
        <v>258</v>
      </c>
    </row>
    <row r="1886" spans="1:12" x14ac:dyDescent="0.25">
      <c r="A1886" t="s">
        <v>4563</v>
      </c>
      <c r="B1886" t="s">
        <v>212</v>
      </c>
      <c r="C1886" t="str">
        <f>_xlfn.XLOOKUP(Table7[[#This Row],[app_id]],Table5[app_id],Table5[app_name],"",0)</f>
        <v>SyncPlus</v>
      </c>
      <c r="D1886" t="s">
        <v>912</v>
      </c>
      <c r="E1886" s="1">
        <v>45320</v>
      </c>
      <c r="F1886">
        <v>4</v>
      </c>
      <c r="G1886" t="s">
        <v>2700</v>
      </c>
      <c r="H1886" t="s">
        <v>2564</v>
      </c>
      <c r="I1886" t="s">
        <v>2575</v>
      </c>
      <c r="J1886" t="s">
        <v>2600</v>
      </c>
      <c r="K1886">
        <v>15</v>
      </c>
      <c r="L1886" s="13" t="s">
        <v>257</v>
      </c>
    </row>
    <row r="1887" spans="1:12" x14ac:dyDescent="0.25">
      <c r="A1887" t="s">
        <v>4564</v>
      </c>
      <c r="B1887" t="s">
        <v>214</v>
      </c>
      <c r="C1887" t="str">
        <f>_xlfn.XLOOKUP(Table7[[#This Row],[app_id]],Table5[app_id],Table5[app_name],"",0)</f>
        <v>NoteOne</v>
      </c>
      <c r="D1887" t="s">
        <v>2438</v>
      </c>
      <c r="E1887" s="1">
        <v>45417</v>
      </c>
      <c r="F1887">
        <v>4</v>
      </c>
      <c r="G1887" t="s">
        <v>2700</v>
      </c>
      <c r="H1887" t="s">
        <v>2564</v>
      </c>
      <c r="I1887" t="s">
        <v>2558</v>
      </c>
      <c r="J1887" t="s">
        <v>2581</v>
      </c>
      <c r="K1887">
        <v>11</v>
      </c>
      <c r="L1887" s="13" t="s">
        <v>257</v>
      </c>
    </row>
    <row r="1888" spans="1:12" x14ac:dyDescent="0.25">
      <c r="A1888" t="s">
        <v>4565</v>
      </c>
      <c r="B1888" t="s">
        <v>216</v>
      </c>
      <c r="C1888" t="str">
        <f>_xlfn.XLOOKUP(Table7[[#This Row],[app_id]],Table5[app_id],Table5[app_name],"",0)</f>
        <v>NoteMate</v>
      </c>
      <c r="D1888" t="s">
        <v>2222</v>
      </c>
      <c r="E1888" s="1">
        <v>45876</v>
      </c>
      <c r="F1888">
        <v>3</v>
      </c>
      <c r="G1888" t="s">
        <v>3254</v>
      </c>
      <c r="H1888" t="s">
        <v>2554</v>
      </c>
      <c r="I1888" t="s">
        <v>2555</v>
      </c>
      <c r="J1888" t="s">
        <v>2600</v>
      </c>
      <c r="K1888">
        <v>33</v>
      </c>
      <c r="L1888" s="13" t="s">
        <v>257</v>
      </c>
    </row>
    <row r="1889" spans="1:12" x14ac:dyDescent="0.25">
      <c r="A1889" t="s">
        <v>4566</v>
      </c>
      <c r="B1889" t="s">
        <v>218</v>
      </c>
      <c r="C1889" t="str">
        <f>_xlfn.XLOOKUP(Table7[[#This Row],[app_id]],Table5[app_id],Table5[app_name],"",0)</f>
        <v>PlanPlus</v>
      </c>
      <c r="D1889" t="s">
        <v>1465</v>
      </c>
      <c r="E1889" s="1">
        <v>45314</v>
      </c>
      <c r="F1889">
        <v>4</v>
      </c>
      <c r="G1889" t="s">
        <v>2700</v>
      </c>
      <c r="H1889" t="s">
        <v>2564</v>
      </c>
      <c r="I1889" t="s">
        <v>2575</v>
      </c>
      <c r="J1889" t="s">
        <v>2561</v>
      </c>
      <c r="K1889">
        <v>32</v>
      </c>
      <c r="L1889" s="13" t="s">
        <v>257</v>
      </c>
    </row>
    <row r="1890" spans="1:12" x14ac:dyDescent="0.25">
      <c r="A1890" t="s">
        <v>4567</v>
      </c>
      <c r="B1890" t="s">
        <v>220</v>
      </c>
      <c r="C1890" t="str">
        <f>_xlfn.XLOOKUP(Table7[[#This Row],[app_id]],Table5[app_id],Table5[app_name],"",0)</f>
        <v>PlanMate</v>
      </c>
      <c r="D1890" t="s">
        <v>1099</v>
      </c>
      <c r="E1890" s="1">
        <v>45837</v>
      </c>
      <c r="F1890">
        <v>3</v>
      </c>
      <c r="G1890" t="s">
        <v>2706</v>
      </c>
      <c r="H1890" t="s">
        <v>2554</v>
      </c>
      <c r="I1890" t="s">
        <v>2575</v>
      </c>
      <c r="J1890" t="s">
        <v>2569</v>
      </c>
      <c r="K1890">
        <v>7</v>
      </c>
      <c r="L1890" s="13" t="s">
        <v>258</v>
      </c>
    </row>
    <row r="1891" spans="1:12" x14ac:dyDescent="0.25">
      <c r="A1891" t="s">
        <v>4568</v>
      </c>
      <c r="B1891" t="s">
        <v>222</v>
      </c>
      <c r="C1891" t="str">
        <f>_xlfn.XLOOKUP(Table7[[#This Row],[app_id]],Table5[app_id],Table5[app_name],"",0)</f>
        <v>SyncPlus</v>
      </c>
      <c r="D1891" t="s">
        <v>1118</v>
      </c>
      <c r="E1891" s="1">
        <v>45585</v>
      </c>
      <c r="F1891">
        <v>4</v>
      </c>
      <c r="G1891" t="s">
        <v>2700</v>
      </c>
      <c r="H1891" t="s">
        <v>2564</v>
      </c>
      <c r="I1891" t="s">
        <v>2558</v>
      </c>
      <c r="J1891" t="s">
        <v>2559</v>
      </c>
      <c r="K1891">
        <v>12</v>
      </c>
      <c r="L1891" s="13" t="s">
        <v>257</v>
      </c>
    </row>
    <row r="1892" spans="1:12" x14ac:dyDescent="0.25">
      <c r="A1892" t="s">
        <v>4569</v>
      </c>
      <c r="B1892" t="s">
        <v>223</v>
      </c>
      <c r="C1892" t="str">
        <f>_xlfn.XLOOKUP(Table7[[#This Row],[app_id]],Table5[app_id],Table5[app_name],"",0)</f>
        <v>ClinicPro</v>
      </c>
      <c r="D1892" t="s">
        <v>2531</v>
      </c>
      <c r="E1892" s="1">
        <v>45364</v>
      </c>
      <c r="F1892">
        <v>5</v>
      </c>
      <c r="G1892" t="s">
        <v>2954</v>
      </c>
      <c r="H1892" t="s">
        <v>2564</v>
      </c>
      <c r="I1892" t="s">
        <v>2565</v>
      </c>
      <c r="J1892" t="s">
        <v>2581</v>
      </c>
      <c r="K1892">
        <v>16</v>
      </c>
      <c r="L1892" s="13" t="s">
        <v>257</v>
      </c>
    </row>
    <row r="1893" spans="1:12" x14ac:dyDescent="0.25">
      <c r="A1893" t="s">
        <v>4570</v>
      </c>
      <c r="B1893" t="s">
        <v>226</v>
      </c>
      <c r="C1893" t="str">
        <f>_xlfn.XLOOKUP(Table7[[#This Row],[app_id]],Table5[app_id],Table5[app_name],"",0)</f>
        <v>MindMate</v>
      </c>
      <c r="D1893" t="s">
        <v>1950</v>
      </c>
      <c r="E1893" s="1">
        <v>45555</v>
      </c>
      <c r="F1893">
        <v>4</v>
      </c>
      <c r="G1893" t="s">
        <v>2954</v>
      </c>
      <c r="H1893" t="s">
        <v>2564</v>
      </c>
      <c r="I1893" t="s">
        <v>2565</v>
      </c>
      <c r="J1893" t="s">
        <v>2603</v>
      </c>
      <c r="K1893">
        <v>40</v>
      </c>
      <c r="L1893" s="13" t="s">
        <v>257</v>
      </c>
    </row>
    <row r="1894" spans="1:12" x14ac:dyDescent="0.25">
      <c r="A1894" t="s">
        <v>4571</v>
      </c>
      <c r="B1894" t="s">
        <v>228</v>
      </c>
      <c r="C1894" t="str">
        <f>_xlfn.XLOOKUP(Table7[[#This Row],[app_id]],Table5[app_id],Table5[app_name],"",0)</f>
        <v>ClinicOne</v>
      </c>
      <c r="D1894" t="s">
        <v>793</v>
      </c>
      <c r="E1894" s="1">
        <v>46045</v>
      </c>
      <c r="F1894">
        <v>4</v>
      </c>
      <c r="G1894" t="s">
        <v>2716</v>
      </c>
      <c r="H1894" t="s">
        <v>2564</v>
      </c>
      <c r="I1894" t="s">
        <v>2565</v>
      </c>
      <c r="J1894" t="s">
        <v>2603</v>
      </c>
      <c r="K1894">
        <v>39</v>
      </c>
      <c r="L1894" s="13" t="s">
        <v>257</v>
      </c>
    </row>
    <row r="1895" spans="1:12" x14ac:dyDescent="0.25">
      <c r="A1895" t="s">
        <v>4572</v>
      </c>
      <c r="B1895" t="s">
        <v>230</v>
      </c>
      <c r="C1895" t="str">
        <f>_xlfn.XLOOKUP(Table7[[#This Row],[app_id]],Table5[app_id],Table5[app_name],"",0)</f>
        <v>WellMate</v>
      </c>
      <c r="D1895" t="s">
        <v>1119</v>
      </c>
      <c r="E1895" s="1">
        <v>45794</v>
      </c>
      <c r="F1895">
        <v>3</v>
      </c>
      <c r="G1895" t="s">
        <v>2726</v>
      </c>
      <c r="H1895" t="s">
        <v>2554</v>
      </c>
      <c r="I1895" t="s">
        <v>2584</v>
      </c>
      <c r="J1895" t="s">
        <v>2566</v>
      </c>
      <c r="K1895">
        <v>29</v>
      </c>
      <c r="L1895" s="13" t="s">
        <v>258</v>
      </c>
    </row>
    <row r="1896" spans="1:12" x14ac:dyDescent="0.25">
      <c r="A1896" t="s">
        <v>4573</v>
      </c>
      <c r="B1896" t="s">
        <v>232</v>
      </c>
      <c r="C1896" t="str">
        <f>_xlfn.XLOOKUP(Table7[[#This Row],[app_id]],Table5[app_id],Table5[app_name],"",0)</f>
        <v>MediMate</v>
      </c>
      <c r="D1896" t="s">
        <v>2080</v>
      </c>
      <c r="E1896" s="1">
        <v>45425</v>
      </c>
      <c r="F1896">
        <v>3</v>
      </c>
      <c r="G1896" t="s">
        <v>2718</v>
      </c>
      <c r="H1896" t="s">
        <v>2554</v>
      </c>
      <c r="I1896" t="s">
        <v>2571</v>
      </c>
      <c r="J1896" t="s">
        <v>2559</v>
      </c>
      <c r="K1896">
        <v>42</v>
      </c>
      <c r="L1896" s="13" t="s">
        <v>257</v>
      </c>
    </row>
    <row r="1897" spans="1:12" x14ac:dyDescent="0.25">
      <c r="A1897" t="s">
        <v>4574</v>
      </c>
      <c r="B1897" t="s">
        <v>234</v>
      </c>
      <c r="C1897" t="str">
        <f>_xlfn.XLOOKUP(Table7[[#This Row],[app_id]],Table5[app_id],Table5[app_name],"",0)</f>
        <v>WellNow</v>
      </c>
      <c r="D1897" t="s">
        <v>1011</v>
      </c>
      <c r="E1897" s="1">
        <v>46043</v>
      </c>
      <c r="F1897">
        <v>5</v>
      </c>
      <c r="G1897" t="s">
        <v>2716</v>
      </c>
      <c r="H1897" t="s">
        <v>2564</v>
      </c>
      <c r="I1897" t="s">
        <v>2575</v>
      </c>
      <c r="J1897" t="s">
        <v>2633</v>
      </c>
      <c r="K1897">
        <v>42</v>
      </c>
      <c r="L1897" s="13" t="s">
        <v>258</v>
      </c>
    </row>
    <row r="1898" spans="1:12" x14ac:dyDescent="0.25">
      <c r="A1898" t="s">
        <v>4575</v>
      </c>
      <c r="B1898" t="s">
        <v>236</v>
      </c>
      <c r="C1898" t="str">
        <f>_xlfn.XLOOKUP(Table7[[#This Row],[app_id]],Table5[app_id],Table5[app_name],"",0)</f>
        <v>CareCloud</v>
      </c>
      <c r="D1898" t="s">
        <v>1127</v>
      </c>
      <c r="E1898" s="1">
        <v>45984</v>
      </c>
      <c r="F1898">
        <v>2</v>
      </c>
      <c r="G1898" t="s">
        <v>3061</v>
      </c>
      <c r="H1898" t="s">
        <v>2587</v>
      </c>
      <c r="I1898" t="s">
        <v>2558</v>
      </c>
      <c r="J1898" t="s">
        <v>2566</v>
      </c>
      <c r="K1898">
        <v>34</v>
      </c>
      <c r="L1898" s="13" t="s">
        <v>258</v>
      </c>
    </row>
    <row r="1899" spans="1:12" x14ac:dyDescent="0.25">
      <c r="A1899" t="s">
        <v>4576</v>
      </c>
      <c r="B1899" t="s">
        <v>238</v>
      </c>
      <c r="C1899" t="str">
        <f>_xlfn.XLOOKUP(Table7[[#This Row],[app_id]],Table5[app_id],Table5[app_name],"",0)</f>
        <v>MediNow</v>
      </c>
      <c r="D1899" t="s">
        <v>1865</v>
      </c>
      <c r="E1899" s="1">
        <v>45690</v>
      </c>
      <c r="F1899">
        <v>5</v>
      </c>
      <c r="G1899" t="s">
        <v>2954</v>
      </c>
      <c r="H1899" t="s">
        <v>2564</v>
      </c>
      <c r="I1899" t="s">
        <v>2558</v>
      </c>
      <c r="J1899" t="s">
        <v>2600</v>
      </c>
      <c r="K1899">
        <v>46</v>
      </c>
      <c r="L1899" s="13" t="s">
        <v>257</v>
      </c>
    </row>
    <row r="1900" spans="1:12" x14ac:dyDescent="0.25">
      <c r="A1900" t="s">
        <v>4577</v>
      </c>
      <c r="B1900" t="s">
        <v>240</v>
      </c>
      <c r="C1900" t="str">
        <f>_xlfn.XLOOKUP(Table7[[#This Row],[app_id]],Table5[app_id],Table5[app_name],"",0)</f>
        <v>MindPlus</v>
      </c>
      <c r="D1900" t="s">
        <v>1833</v>
      </c>
      <c r="E1900" s="1">
        <v>45415</v>
      </c>
      <c r="F1900">
        <v>2</v>
      </c>
      <c r="G1900" t="s">
        <v>2844</v>
      </c>
      <c r="H1900" t="s">
        <v>2587</v>
      </c>
      <c r="I1900" t="s">
        <v>2575</v>
      </c>
      <c r="J1900" t="s">
        <v>2561</v>
      </c>
      <c r="K1900">
        <v>35</v>
      </c>
      <c r="L1900" s="13" t="s">
        <v>258</v>
      </c>
    </row>
    <row r="1901" spans="1:12" x14ac:dyDescent="0.25">
      <c r="A1901" t="s">
        <v>4578</v>
      </c>
      <c r="B1901" t="s">
        <v>242</v>
      </c>
      <c r="C1901" t="str">
        <f>_xlfn.XLOOKUP(Table7[[#This Row],[app_id]],Table5[app_id],Table5[app_name],"",0)</f>
        <v>MediCloud</v>
      </c>
      <c r="D1901" t="s">
        <v>2399</v>
      </c>
      <c r="E1901" s="1">
        <v>45953</v>
      </c>
      <c r="F1901">
        <v>4</v>
      </c>
      <c r="G1901" t="s">
        <v>2728</v>
      </c>
      <c r="H1901" t="s">
        <v>2564</v>
      </c>
      <c r="I1901" t="s">
        <v>2558</v>
      </c>
      <c r="J1901" t="s">
        <v>2556</v>
      </c>
      <c r="K1901">
        <v>42</v>
      </c>
      <c r="L1901" s="13" t="s">
        <v>257</v>
      </c>
    </row>
    <row r="1902" spans="1:12" x14ac:dyDescent="0.25">
      <c r="A1902" t="s">
        <v>4579</v>
      </c>
      <c r="B1902" t="s">
        <v>12</v>
      </c>
      <c r="C1902" t="str">
        <f>_xlfn.XLOOKUP(Table7[[#This Row],[app_id]],Table5[app_id],Table5[app_name],"",0)</f>
        <v>InvestPro</v>
      </c>
      <c r="D1902" t="s">
        <v>1891</v>
      </c>
      <c r="E1902" s="1">
        <v>45602</v>
      </c>
      <c r="F1902">
        <v>2</v>
      </c>
      <c r="G1902" t="s">
        <v>3486</v>
      </c>
      <c r="H1902" t="s">
        <v>2587</v>
      </c>
      <c r="I1902" t="s">
        <v>2588</v>
      </c>
      <c r="J1902" t="s">
        <v>2603</v>
      </c>
      <c r="K1902">
        <v>30</v>
      </c>
      <c r="L1902" s="13" t="s">
        <v>258</v>
      </c>
    </row>
    <row r="1903" spans="1:12" x14ac:dyDescent="0.25">
      <c r="A1903" t="s">
        <v>4580</v>
      </c>
      <c r="B1903" t="s">
        <v>19</v>
      </c>
      <c r="C1903" t="str">
        <f>_xlfn.XLOOKUP(Table7[[#This Row],[app_id]],Table5[app_id],Table5[app_name],"",0)</f>
        <v>BankPro</v>
      </c>
      <c r="D1903" t="s">
        <v>2435</v>
      </c>
      <c r="E1903" s="1">
        <v>46102</v>
      </c>
      <c r="F1903">
        <v>4</v>
      </c>
      <c r="G1903" t="s">
        <v>2568</v>
      </c>
      <c r="H1903" t="s">
        <v>2564</v>
      </c>
      <c r="I1903" t="s">
        <v>2555</v>
      </c>
      <c r="J1903" t="s">
        <v>2556</v>
      </c>
      <c r="K1903">
        <v>12</v>
      </c>
      <c r="L1903" s="13" t="s">
        <v>257</v>
      </c>
    </row>
    <row r="1904" spans="1:12" x14ac:dyDescent="0.25">
      <c r="A1904" t="s">
        <v>4581</v>
      </c>
      <c r="B1904" t="s">
        <v>24</v>
      </c>
      <c r="C1904" t="str">
        <f>_xlfn.XLOOKUP(Table7[[#This Row],[app_id]],Table5[app_id],Table5[app_name],"",0)</f>
        <v>BankX</v>
      </c>
      <c r="D1904" t="s">
        <v>1408</v>
      </c>
      <c r="E1904" s="1">
        <v>45448</v>
      </c>
      <c r="F1904">
        <v>4</v>
      </c>
      <c r="G1904" t="s">
        <v>2568</v>
      </c>
      <c r="H1904" t="s">
        <v>2564</v>
      </c>
      <c r="I1904" t="s">
        <v>2575</v>
      </c>
      <c r="J1904" t="s">
        <v>2566</v>
      </c>
      <c r="K1904">
        <v>22</v>
      </c>
      <c r="L1904" s="13" t="s">
        <v>257</v>
      </c>
    </row>
    <row r="1905" spans="1:12" x14ac:dyDescent="0.25">
      <c r="A1905" t="s">
        <v>4582</v>
      </c>
      <c r="B1905" t="s">
        <v>27</v>
      </c>
      <c r="C1905" t="str">
        <f>_xlfn.XLOOKUP(Table7[[#This Row],[app_id]],Table5[app_id],Table5[app_name],"",0)</f>
        <v>BankNow</v>
      </c>
      <c r="D1905" t="s">
        <v>1522</v>
      </c>
      <c r="E1905" s="1">
        <v>45641</v>
      </c>
      <c r="F1905">
        <v>3</v>
      </c>
      <c r="G1905" t="s">
        <v>2968</v>
      </c>
      <c r="H1905" t="s">
        <v>2554</v>
      </c>
      <c r="I1905" t="s">
        <v>2555</v>
      </c>
      <c r="J1905" t="s">
        <v>2566</v>
      </c>
      <c r="K1905">
        <v>3</v>
      </c>
      <c r="L1905" s="13" t="s">
        <v>257</v>
      </c>
    </row>
    <row r="1906" spans="1:12" x14ac:dyDescent="0.25">
      <c r="A1906" t="s">
        <v>4583</v>
      </c>
      <c r="B1906" t="s">
        <v>31</v>
      </c>
      <c r="C1906" t="str">
        <f>_xlfn.XLOOKUP(Table7[[#This Row],[app_id]],Table5[app_id],Table5[app_name],"",0)</f>
        <v>CreditHub</v>
      </c>
      <c r="D1906" t="s">
        <v>1532</v>
      </c>
      <c r="E1906" s="1">
        <v>45604</v>
      </c>
      <c r="F1906">
        <v>4</v>
      </c>
      <c r="G1906" t="s">
        <v>2580</v>
      </c>
      <c r="H1906" t="s">
        <v>2564</v>
      </c>
      <c r="I1906" t="s">
        <v>2575</v>
      </c>
      <c r="J1906" t="s">
        <v>2559</v>
      </c>
      <c r="K1906">
        <v>3</v>
      </c>
      <c r="L1906" s="13" t="s">
        <v>257</v>
      </c>
    </row>
    <row r="1907" spans="1:12" x14ac:dyDescent="0.25">
      <c r="A1907" t="s">
        <v>4584</v>
      </c>
      <c r="B1907" t="s">
        <v>36</v>
      </c>
      <c r="C1907" t="str">
        <f>_xlfn.XLOOKUP(Table7[[#This Row],[app_id]],Table5[app_id],Table5[app_name],"",0)</f>
        <v>PayPlus</v>
      </c>
      <c r="D1907" t="s">
        <v>1565</v>
      </c>
      <c r="E1907" s="1">
        <v>45638</v>
      </c>
      <c r="F1907">
        <v>5</v>
      </c>
      <c r="G1907" t="s">
        <v>2568</v>
      </c>
      <c r="H1907" t="s">
        <v>2564</v>
      </c>
      <c r="I1907" t="s">
        <v>2565</v>
      </c>
      <c r="J1907" t="s">
        <v>2581</v>
      </c>
      <c r="K1907">
        <v>26</v>
      </c>
      <c r="L1907" s="13" t="s">
        <v>257</v>
      </c>
    </row>
    <row r="1908" spans="1:12" x14ac:dyDescent="0.25">
      <c r="A1908" t="s">
        <v>4585</v>
      </c>
      <c r="B1908" t="s">
        <v>39</v>
      </c>
      <c r="C1908" t="str">
        <f>_xlfn.XLOOKUP(Table7[[#This Row],[app_id]],Table5[app_id],Table5[app_name],"",0)</f>
        <v>BankPlus</v>
      </c>
      <c r="D1908" t="s">
        <v>1078</v>
      </c>
      <c r="E1908" s="1">
        <v>45546</v>
      </c>
      <c r="F1908">
        <v>4</v>
      </c>
      <c r="G1908" t="s">
        <v>2573</v>
      </c>
      <c r="H1908" t="s">
        <v>2564</v>
      </c>
      <c r="I1908" t="s">
        <v>2565</v>
      </c>
      <c r="J1908" t="s">
        <v>2556</v>
      </c>
      <c r="K1908">
        <v>37</v>
      </c>
      <c r="L1908" s="13" t="s">
        <v>257</v>
      </c>
    </row>
    <row r="1909" spans="1:12" x14ac:dyDescent="0.25">
      <c r="A1909" t="s">
        <v>4586</v>
      </c>
      <c r="B1909" t="s">
        <v>42</v>
      </c>
      <c r="C1909" t="str">
        <f>_xlfn.XLOOKUP(Table7[[#This Row],[app_id]],Table5[app_id],Table5[app_name],"",0)</f>
        <v>CoinPlus</v>
      </c>
      <c r="D1909" t="s">
        <v>1444</v>
      </c>
      <c r="E1909" s="1">
        <v>45796</v>
      </c>
      <c r="F1909">
        <v>3</v>
      </c>
      <c r="G1909" t="s">
        <v>2968</v>
      </c>
      <c r="H1909" t="s">
        <v>2554</v>
      </c>
      <c r="I1909" t="s">
        <v>2565</v>
      </c>
      <c r="J1909" t="s">
        <v>2561</v>
      </c>
      <c r="K1909">
        <v>44</v>
      </c>
      <c r="L1909" s="13" t="s">
        <v>258</v>
      </c>
    </row>
    <row r="1910" spans="1:12" x14ac:dyDescent="0.25">
      <c r="A1910" t="s">
        <v>4587</v>
      </c>
      <c r="B1910" t="s">
        <v>47</v>
      </c>
      <c r="C1910" t="str">
        <f>_xlfn.XLOOKUP(Table7[[#This Row],[app_id]],Table5[app_id],Table5[app_name],"",0)</f>
        <v>CreditOne</v>
      </c>
      <c r="D1910" t="s">
        <v>1152</v>
      </c>
      <c r="E1910" s="1">
        <v>45752</v>
      </c>
      <c r="F1910">
        <v>4</v>
      </c>
      <c r="G1910" t="s">
        <v>2580</v>
      </c>
      <c r="H1910" t="s">
        <v>2564</v>
      </c>
      <c r="I1910" t="s">
        <v>2575</v>
      </c>
      <c r="J1910" t="s">
        <v>2603</v>
      </c>
      <c r="K1910">
        <v>37</v>
      </c>
      <c r="L1910" s="13" t="s">
        <v>258</v>
      </c>
    </row>
    <row r="1911" spans="1:12" x14ac:dyDescent="0.25">
      <c r="A1911" t="s">
        <v>4588</v>
      </c>
      <c r="B1911" t="s">
        <v>49</v>
      </c>
      <c r="C1911" t="str">
        <f>_xlfn.XLOOKUP(Table7[[#This Row],[app_id]],Table5[app_id],Table5[app_name],"",0)</f>
        <v>PayPro</v>
      </c>
      <c r="D1911" t="s">
        <v>1646</v>
      </c>
      <c r="E1911" s="1">
        <v>45790</v>
      </c>
      <c r="F1911">
        <v>5</v>
      </c>
      <c r="G1911" t="s">
        <v>2580</v>
      </c>
      <c r="H1911" t="s">
        <v>2564</v>
      </c>
      <c r="I1911" t="s">
        <v>2575</v>
      </c>
      <c r="J1911" t="s">
        <v>2566</v>
      </c>
      <c r="K1911">
        <v>9</v>
      </c>
      <c r="L1911" s="13" t="s">
        <v>257</v>
      </c>
    </row>
    <row r="1912" spans="1:12" x14ac:dyDescent="0.25">
      <c r="A1912" t="s">
        <v>4589</v>
      </c>
      <c r="B1912" t="s">
        <v>51</v>
      </c>
      <c r="C1912" t="str">
        <f>_xlfn.XLOOKUP(Table7[[#This Row],[app_id]],Table5[app_id],Table5[app_name],"",0)</f>
        <v>Creditly</v>
      </c>
      <c r="D1912" t="s">
        <v>1776</v>
      </c>
      <c r="E1912" s="1">
        <v>45635</v>
      </c>
      <c r="F1912">
        <v>5</v>
      </c>
      <c r="G1912" t="s">
        <v>2563</v>
      </c>
      <c r="H1912" t="s">
        <v>2564</v>
      </c>
      <c r="I1912" t="s">
        <v>2558</v>
      </c>
      <c r="J1912" t="s">
        <v>2603</v>
      </c>
      <c r="K1912">
        <v>20</v>
      </c>
      <c r="L1912" s="13" t="s">
        <v>257</v>
      </c>
    </row>
    <row r="1913" spans="1:12" x14ac:dyDescent="0.25">
      <c r="A1913" t="s">
        <v>4590</v>
      </c>
      <c r="B1913" t="s">
        <v>53</v>
      </c>
      <c r="C1913" t="str">
        <f>_xlfn.XLOOKUP(Table7[[#This Row],[app_id]],Table5[app_id],Table5[app_name],"",0)</f>
        <v>PayX</v>
      </c>
      <c r="D1913" t="s">
        <v>884</v>
      </c>
      <c r="E1913" s="1">
        <v>45738</v>
      </c>
      <c r="F1913">
        <v>3</v>
      </c>
      <c r="G1913" t="s">
        <v>2583</v>
      </c>
      <c r="H1913" t="s">
        <v>2554</v>
      </c>
      <c r="I1913" t="s">
        <v>2565</v>
      </c>
      <c r="J1913" t="s">
        <v>2633</v>
      </c>
      <c r="K1913">
        <v>3</v>
      </c>
      <c r="L1913" s="13" t="s">
        <v>258</v>
      </c>
    </row>
    <row r="1914" spans="1:12" x14ac:dyDescent="0.25">
      <c r="A1914" t="s">
        <v>4591</v>
      </c>
      <c r="B1914" t="s">
        <v>56</v>
      </c>
      <c r="C1914" t="str">
        <f>_xlfn.XLOOKUP(Table7[[#This Row],[app_id]],Table5[app_id],Table5[app_name],"",0)</f>
        <v>DealGo</v>
      </c>
      <c r="D1914" t="s">
        <v>2511</v>
      </c>
      <c r="E1914" s="1">
        <v>45715</v>
      </c>
      <c r="F1914">
        <v>4</v>
      </c>
      <c r="G1914" t="s">
        <v>2592</v>
      </c>
      <c r="H1914" t="s">
        <v>2564</v>
      </c>
      <c r="I1914" t="s">
        <v>2565</v>
      </c>
      <c r="J1914" t="s">
        <v>2600</v>
      </c>
      <c r="K1914">
        <v>7</v>
      </c>
      <c r="L1914" s="13" t="s">
        <v>258</v>
      </c>
    </row>
    <row r="1915" spans="1:12" x14ac:dyDescent="0.25">
      <c r="A1915" t="s">
        <v>4592</v>
      </c>
      <c r="B1915" t="s">
        <v>62</v>
      </c>
      <c r="C1915" t="str">
        <f>_xlfn.XLOOKUP(Table7[[#This Row],[app_id]],Table5[app_id],Table5[app_name],"",0)</f>
        <v>MallNow</v>
      </c>
      <c r="D1915" t="s">
        <v>727</v>
      </c>
      <c r="E1915" s="1">
        <v>45832</v>
      </c>
      <c r="F1915">
        <v>5</v>
      </c>
      <c r="G1915" t="s">
        <v>2592</v>
      </c>
      <c r="H1915" t="s">
        <v>2564</v>
      </c>
      <c r="I1915" t="s">
        <v>2558</v>
      </c>
      <c r="J1915" t="s">
        <v>2566</v>
      </c>
      <c r="K1915">
        <v>33</v>
      </c>
      <c r="L1915" s="13" t="s">
        <v>257</v>
      </c>
    </row>
    <row r="1916" spans="1:12" x14ac:dyDescent="0.25">
      <c r="A1916" t="s">
        <v>4593</v>
      </c>
      <c r="B1916" t="s">
        <v>65</v>
      </c>
      <c r="C1916" t="str">
        <f>_xlfn.XLOOKUP(Table7[[#This Row],[app_id]],Table5[app_id],Table5[app_name],"",0)</f>
        <v>DealPro</v>
      </c>
      <c r="D1916" t="s">
        <v>1088</v>
      </c>
      <c r="E1916" s="1">
        <v>45551</v>
      </c>
      <c r="F1916">
        <v>4</v>
      </c>
      <c r="G1916" t="s">
        <v>2867</v>
      </c>
      <c r="H1916" t="s">
        <v>2564</v>
      </c>
      <c r="I1916" t="s">
        <v>2571</v>
      </c>
      <c r="J1916" t="s">
        <v>2556</v>
      </c>
      <c r="K1916">
        <v>13</v>
      </c>
      <c r="L1916" s="13" t="s">
        <v>257</v>
      </c>
    </row>
    <row r="1917" spans="1:12" x14ac:dyDescent="0.25">
      <c r="A1917" t="s">
        <v>4594</v>
      </c>
      <c r="B1917" t="s">
        <v>67</v>
      </c>
      <c r="C1917" t="str">
        <f>_xlfn.XLOOKUP(Table7[[#This Row],[app_id]],Table5[app_id],Table5[app_name],"",0)</f>
        <v>StyleNow</v>
      </c>
      <c r="D1917" t="s">
        <v>2220</v>
      </c>
      <c r="E1917" s="1">
        <v>45968</v>
      </c>
      <c r="F1917">
        <v>3</v>
      </c>
      <c r="G1917" t="s">
        <v>2594</v>
      </c>
      <c r="H1917" t="s">
        <v>2554</v>
      </c>
      <c r="I1917" t="s">
        <v>2571</v>
      </c>
      <c r="J1917" t="s">
        <v>2633</v>
      </c>
      <c r="K1917">
        <v>20</v>
      </c>
      <c r="L1917" s="13" t="s">
        <v>257</v>
      </c>
    </row>
    <row r="1918" spans="1:12" x14ac:dyDescent="0.25">
      <c r="A1918" t="s">
        <v>4595</v>
      </c>
      <c r="B1918" t="s">
        <v>70</v>
      </c>
      <c r="C1918" t="str">
        <f>_xlfn.XLOOKUP(Table7[[#This Row],[app_id]],Table5[app_id],Table5[app_name],"",0)</f>
        <v>DealCloud</v>
      </c>
      <c r="D1918" t="s">
        <v>2024</v>
      </c>
      <c r="E1918" s="1">
        <v>45919</v>
      </c>
      <c r="F1918">
        <v>3</v>
      </c>
      <c r="G1918" t="s">
        <v>2602</v>
      </c>
      <c r="H1918" t="s">
        <v>2554</v>
      </c>
      <c r="I1918" t="s">
        <v>2588</v>
      </c>
      <c r="J1918" t="s">
        <v>2559</v>
      </c>
      <c r="K1918">
        <v>34</v>
      </c>
      <c r="L1918" s="13" t="s">
        <v>257</v>
      </c>
    </row>
    <row r="1919" spans="1:12" x14ac:dyDescent="0.25">
      <c r="A1919" t="s">
        <v>4596</v>
      </c>
      <c r="B1919" t="s">
        <v>72</v>
      </c>
      <c r="C1919" t="str">
        <f>_xlfn.XLOOKUP(Table7[[#This Row],[app_id]],Table5[app_id],Table5[app_name],"",0)</f>
        <v>CartCloud</v>
      </c>
      <c r="D1919" t="s">
        <v>2512</v>
      </c>
      <c r="E1919" s="1">
        <v>45370</v>
      </c>
      <c r="F1919">
        <v>5</v>
      </c>
      <c r="G1919" t="s">
        <v>2867</v>
      </c>
      <c r="H1919" t="s">
        <v>2564</v>
      </c>
      <c r="I1919" t="s">
        <v>2575</v>
      </c>
      <c r="J1919" t="s">
        <v>2600</v>
      </c>
      <c r="K1919">
        <v>35</v>
      </c>
      <c r="L1919" s="13" t="s">
        <v>257</v>
      </c>
    </row>
    <row r="1920" spans="1:12" x14ac:dyDescent="0.25">
      <c r="A1920" t="s">
        <v>4597</v>
      </c>
      <c r="B1920" t="s">
        <v>74</v>
      </c>
      <c r="C1920" t="str">
        <f>_xlfn.XLOOKUP(Table7[[#This Row],[app_id]],Table5[app_id],Table5[app_name],"",0)</f>
        <v>CartMate</v>
      </c>
      <c r="D1920" t="s">
        <v>1257</v>
      </c>
      <c r="E1920" s="1">
        <v>45886</v>
      </c>
      <c r="F1920">
        <v>3</v>
      </c>
      <c r="G1920" t="s">
        <v>2602</v>
      </c>
      <c r="H1920" t="s">
        <v>2554</v>
      </c>
      <c r="I1920" t="s">
        <v>2578</v>
      </c>
      <c r="J1920" t="s">
        <v>2603</v>
      </c>
      <c r="K1920">
        <v>43</v>
      </c>
      <c r="L1920" s="13" t="s">
        <v>258</v>
      </c>
    </row>
    <row r="1921" spans="1:12" x14ac:dyDescent="0.25">
      <c r="A1921" t="s">
        <v>4598</v>
      </c>
      <c r="B1921" t="s">
        <v>76</v>
      </c>
      <c r="C1921" t="str">
        <f>_xlfn.XLOOKUP(Table7[[#This Row],[app_id]],Table5[app_id],Table5[app_name],"",0)</f>
        <v>BazaarOne</v>
      </c>
      <c r="D1921" t="s">
        <v>1482</v>
      </c>
      <c r="E1921" s="1">
        <v>45622</v>
      </c>
      <c r="F1921">
        <v>3</v>
      </c>
      <c r="G1921" t="s">
        <v>2748</v>
      </c>
      <c r="H1921" t="s">
        <v>2554</v>
      </c>
      <c r="I1921" t="s">
        <v>2565</v>
      </c>
      <c r="J1921" t="s">
        <v>2556</v>
      </c>
      <c r="K1921">
        <v>48</v>
      </c>
      <c r="L1921" s="13" t="s">
        <v>257</v>
      </c>
    </row>
    <row r="1922" spans="1:12" x14ac:dyDescent="0.25">
      <c r="A1922" t="s">
        <v>4599</v>
      </c>
      <c r="B1922" t="s">
        <v>78</v>
      </c>
      <c r="C1922" t="str">
        <f>_xlfn.XLOOKUP(Table7[[#This Row],[app_id]],Table5[app_id],Table5[app_name],"",0)</f>
        <v>StyleOne</v>
      </c>
      <c r="D1922" t="s">
        <v>763</v>
      </c>
      <c r="E1922" s="1">
        <v>45846</v>
      </c>
      <c r="F1922">
        <v>3</v>
      </c>
      <c r="G1922" t="s">
        <v>2602</v>
      </c>
      <c r="H1922" t="s">
        <v>2554</v>
      </c>
      <c r="I1922" t="s">
        <v>2575</v>
      </c>
      <c r="J1922" t="s">
        <v>2603</v>
      </c>
      <c r="K1922">
        <v>28</v>
      </c>
      <c r="L1922" s="13" t="s">
        <v>257</v>
      </c>
    </row>
    <row r="1923" spans="1:12" x14ac:dyDescent="0.25">
      <c r="A1923" t="s">
        <v>4600</v>
      </c>
      <c r="B1923" t="s">
        <v>80</v>
      </c>
      <c r="C1923" t="str">
        <f>_xlfn.XLOOKUP(Table7[[#This Row],[app_id]],Table5[app_id],Table5[app_name],"",0)</f>
        <v>Cartly</v>
      </c>
      <c r="D1923" t="s">
        <v>2362</v>
      </c>
      <c r="E1923" s="1">
        <v>46042</v>
      </c>
      <c r="F1923">
        <v>5</v>
      </c>
      <c r="G1923" t="s">
        <v>2598</v>
      </c>
      <c r="H1923" t="s">
        <v>2564</v>
      </c>
      <c r="I1923" t="s">
        <v>2565</v>
      </c>
      <c r="J1923" t="s">
        <v>2603</v>
      </c>
      <c r="K1923">
        <v>12</v>
      </c>
      <c r="L1923" s="13" t="s">
        <v>257</v>
      </c>
    </row>
    <row r="1924" spans="1:12" x14ac:dyDescent="0.25">
      <c r="A1924" t="s">
        <v>4601</v>
      </c>
      <c r="B1924" t="s">
        <v>83</v>
      </c>
      <c r="C1924" t="str">
        <f>_xlfn.XLOOKUP(Table7[[#This Row],[app_id]],Table5[app_id],Table5[app_name],"",0)</f>
        <v>BazaarCloud</v>
      </c>
      <c r="D1924" t="s">
        <v>1184</v>
      </c>
      <c r="E1924" s="1">
        <v>45439</v>
      </c>
      <c r="F1924">
        <v>2</v>
      </c>
      <c r="G1924" t="s">
        <v>2586</v>
      </c>
      <c r="H1924" t="s">
        <v>2587</v>
      </c>
      <c r="I1924" t="s">
        <v>2588</v>
      </c>
      <c r="J1924" t="s">
        <v>2566</v>
      </c>
      <c r="K1924">
        <v>60</v>
      </c>
      <c r="L1924" s="13" t="s">
        <v>258</v>
      </c>
    </row>
    <row r="1925" spans="1:12" x14ac:dyDescent="0.25">
      <c r="A1925" t="s">
        <v>4602</v>
      </c>
      <c r="B1925" t="s">
        <v>85</v>
      </c>
      <c r="C1925" t="str">
        <f>_xlfn.XLOOKUP(Table7[[#This Row],[app_id]],Table5[app_id],Table5[app_name],"",0)</f>
        <v>CartPro</v>
      </c>
      <c r="D1925" t="s">
        <v>2361</v>
      </c>
      <c r="E1925" s="1">
        <v>45866</v>
      </c>
      <c r="F1925">
        <v>3</v>
      </c>
      <c r="G1925" t="s">
        <v>2602</v>
      </c>
      <c r="H1925" t="s">
        <v>2554</v>
      </c>
      <c r="I1925" t="s">
        <v>2588</v>
      </c>
      <c r="J1925" t="s">
        <v>2559</v>
      </c>
      <c r="K1925">
        <v>4</v>
      </c>
      <c r="L1925" s="13" t="s">
        <v>258</v>
      </c>
    </row>
    <row r="1926" spans="1:12" x14ac:dyDescent="0.25">
      <c r="A1926" t="s">
        <v>4603</v>
      </c>
      <c r="B1926" t="s">
        <v>87</v>
      </c>
      <c r="C1926" t="str">
        <f>_xlfn.XLOOKUP(Table7[[#This Row],[app_id]],Table5[app_id],Table5[app_name],"",0)</f>
        <v>RunPlus</v>
      </c>
      <c r="D1926" t="s">
        <v>2455</v>
      </c>
      <c r="E1926" s="1">
        <v>45737</v>
      </c>
      <c r="F1926">
        <v>3</v>
      </c>
      <c r="G1926" t="s">
        <v>2615</v>
      </c>
      <c r="H1926" t="s">
        <v>2554</v>
      </c>
      <c r="I1926" t="s">
        <v>2578</v>
      </c>
      <c r="J1926" t="s">
        <v>2603</v>
      </c>
      <c r="K1926">
        <v>33</v>
      </c>
      <c r="L1926" s="13" t="s">
        <v>258</v>
      </c>
    </row>
    <row r="1927" spans="1:12" x14ac:dyDescent="0.25">
      <c r="A1927" t="s">
        <v>4604</v>
      </c>
      <c r="B1927" t="s">
        <v>90</v>
      </c>
      <c r="C1927" t="str">
        <f>_xlfn.XLOOKUP(Table7[[#This Row],[app_id]],Table5[app_id],Table5[app_name],"",0)</f>
        <v>TrainCloud</v>
      </c>
      <c r="D1927" t="s">
        <v>1293</v>
      </c>
      <c r="E1927" s="1">
        <v>45568</v>
      </c>
      <c r="F1927">
        <v>3</v>
      </c>
      <c r="G1927" t="s">
        <v>2615</v>
      </c>
      <c r="H1927" t="s">
        <v>2554</v>
      </c>
      <c r="I1927" t="s">
        <v>2558</v>
      </c>
      <c r="J1927" t="s">
        <v>2633</v>
      </c>
      <c r="K1927">
        <v>18</v>
      </c>
      <c r="L1927" s="13" t="s">
        <v>257</v>
      </c>
    </row>
    <row r="1928" spans="1:12" x14ac:dyDescent="0.25">
      <c r="A1928" t="s">
        <v>4605</v>
      </c>
      <c r="B1928" t="s">
        <v>92</v>
      </c>
      <c r="C1928" t="str">
        <f>_xlfn.XLOOKUP(Table7[[#This Row],[app_id]],Table5[app_id],Table5[app_name],"",0)</f>
        <v>Trainly</v>
      </c>
      <c r="D1928" t="s">
        <v>2424</v>
      </c>
      <c r="E1928" s="1">
        <v>45466</v>
      </c>
      <c r="F1928">
        <v>4</v>
      </c>
      <c r="G1928" t="s">
        <v>2622</v>
      </c>
      <c r="H1928" t="s">
        <v>2564</v>
      </c>
      <c r="I1928" t="s">
        <v>2575</v>
      </c>
      <c r="J1928" t="s">
        <v>2581</v>
      </c>
      <c r="K1928">
        <v>17</v>
      </c>
      <c r="L1928" s="13" t="s">
        <v>257</v>
      </c>
    </row>
    <row r="1929" spans="1:12" x14ac:dyDescent="0.25">
      <c r="A1929" t="s">
        <v>4606</v>
      </c>
      <c r="B1929" t="s">
        <v>94</v>
      </c>
      <c r="C1929" t="str">
        <f>_xlfn.XLOOKUP(Table7[[#This Row],[app_id]],Table5[app_id],Table5[app_name],"",0)</f>
        <v>LiftCloud</v>
      </c>
      <c r="D1929" t="s">
        <v>2200</v>
      </c>
      <c r="E1929" s="1">
        <v>45647</v>
      </c>
      <c r="F1929">
        <v>4</v>
      </c>
      <c r="G1929" t="s">
        <v>2617</v>
      </c>
      <c r="H1929" t="s">
        <v>2564</v>
      </c>
      <c r="I1929" t="s">
        <v>2565</v>
      </c>
      <c r="J1929" t="s">
        <v>2603</v>
      </c>
      <c r="K1929">
        <v>8</v>
      </c>
      <c r="L1929" s="13" t="s">
        <v>257</v>
      </c>
    </row>
    <row r="1930" spans="1:12" x14ac:dyDescent="0.25">
      <c r="A1930" t="s">
        <v>4607</v>
      </c>
      <c r="B1930" t="s">
        <v>96</v>
      </c>
      <c r="C1930" t="str">
        <f>_xlfn.XLOOKUP(Table7[[#This Row],[app_id]],Table5[app_id],Table5[app_name],"",0)</f>
        <v>MoveNow</v>
      </c>
      <c r="D1930" t="s">
        <v>1483</v>
      </c>
      <c r="E1930" s="1">
        <v>45738</v>
      </c>
      <c r="F1930">
        <v>5</v>
      </c>
      <c r="G1930" t="s">
        <v>2613</v>
      </c>
      <c r="H1930" t="s">
        <v>2564</v>
      </c>
      <c r="I1930" t="s">
        <v>2575</v>
      </c>
      <c r="J1930" t="s">
        <v>2596</v>
      </c>
      <c r="K1930">
        <v>29</v>
      </c>
      <c r="L1930" s="13" t="s">
        <v>258</v>
      </c>
    </row>
    <row r="1931" spans="1:12" x14ac:dyDescent="0.25">
      <c r="A1931" t="s">
        <v>4608</v>
      </c>
      <c r="B1931" t="s">
        <v>98</v>
      </c>
      <c r="C1931" t="str">
        <f>_xlfn.XLOOKUP(Table7[[#This Row],[app_id]],Table5[app_id],Table5[app_name],"",0)</f>
        <v>ActiveMate</v>
      </c>
      <c r="D1931" t="s">
        <v>1978</v>
      </c>
      <c r="E1931" s="1">
        <v>45399</v>
      </c>
      <c r="F1931">
        <v>3</v>
      </c>
      <c r="G1931" t="s">
        <v>2611</v>
      </c>
      <c r="H1931" t="s">
        <v>2554</v>
      </c>
      <c r="I1931" t="s">
        <v>2575</v>
      </c>
      <c r="J1931" t="s">
        <v>2581</v>
      </c>
      <c r="K1931">
        <v>20</v>
      </c>
      <c r="L1931" s="13" t="s">
        <v>257</v>
      </c>
    </row>
    <row r="1932" spans="1:12" x14ac:dyDescent="0.25">
      <c r="A1932" t="s">
        <v>4609</v>
      </c>
      <c r="B1932" t="s">
        <v>100</v>
      </c>
      <c r="C1932" t="str">
        <f>_xlfn.XLOOKUP(Table7[[#This Row],[app_id]],Table5[app_id],Table5[app_name],"",0)</f>
        <v>RunGo</v>
      </c>
      <c r="D1932" t="s">
        <v>1189</v>
      </c>
      <c r="E1932" s="1">
        <v>45429</v>
      </c>
      <c r="F1932">
        <v>3</v>
      </c>
      <c r="G1932" t="s">
        <v>2770</v>
      </c>
      <c r="H1932" t="s">
        <v>2554</v>
      </c>
      <c r="I1932" t="s">
        <v>2555</v>
      </c>
      <c r="J1932" t="s">
        <v>2600</v>
      </c>
      <c r="K1932">
        <v>40</v>
      </c>
      <c r="L1932" s="13" t="s">
        <v>258</v>
      </c>
    </row>
    <row r="1933" spans="1:12" x14ac:dyDescent="0.25">
      <c r="A1933" t="s">
        <v>4610</v>
      </c>
      <c r="B1933" t="s">
        <v>102</v>
      </c>
      <c r="C1933" t="str">
        <f>_xlfn.XLOOKUP(Table7[[#This Row],[app_id]],Table5[app_id],Table5[app_name],"",0)</f>
        <v>LiftPro</v>
      </c>
      <c r="D1933" t="s">
        <v>2002</v>
      </c>
      <c r="E1933" s="1">
        <v>45948</v>
      </c>
      <c r="F1933">
        <v>3</v>
      </c>
      <c r="G1933" t="s">
        <v>2611</v>
      </c>
      <c r="H1933" t="s">
        <v>2554</v>
      </c>
      <c r="I1933" t="s">
        <v>2565</v>
      </c>
      <c r="J1933" t="s">
        <v>2596</v>
      </c>
      <c r="K1933">
        <v>43</v>
      </c>
      <c r="L1933" s="13" t="s">
        <v>257</v>
      </c>
    </row>
    <row r="1934" spans="1:12" x14ac:dyDescent="0.25">
      <c r="A1934" t="s">
        <v>4611</v>
      </c>
      <c r="B1934" t="s">
        <v>104</v>
      </c>
      <c r="C1934" t="str">
        <f>_xlfn.XLOOKUP(Table7[[#This Row],[app_id]],Table5[app_id],Table5[app_name],"",0)</f>
        <v>LiftPro</v>
      </c>
      <c r="D1934" t="s">
        <v>890</v>
      </c>
      <c r="E1934" s="1">
        <v>45905</v>
      </c>
      <c r="F1934">
        <v>5</v>
      </c>
      <c r="G1934" t="s">
        <v>2622</v>
      </c>
      <c r="H1934" t="s">
        <v>2564</v>
      </c>
      <c r="I1934" t="s">
        <v>2558</v>
      </c>
      <c r="J1934" t="s">
        <v>2566</v>
      </c>
      <c r="K1934">
        <v>29</v>
      </c>
      <c r="L1934" s="13" t="s">
        <v>257</v>
      </c>
    </row>
    <row r="1935" spans="1:12" x14ac:dyDescent="0.25">
      <c r="A1935" t="s">
        <v>4612</v>
      </c>
      <c r="B1935" t="s">
        <v>105</v>
      </c>
      <c r="C1935" t="str">
        <f>_xlfn.XLOOKUP(Table7[[#This Row],[app_id]],Table5[app_id],Table5[app_name],"",0)</f>
        <v>Liftly</v>
      </c>
      <c r="D1935" t="s">
        <v>748</v>
      </c>
      <c r="E1935" s="1">
        <v>45620</v>
      </c>
      <c r="F1935">
        <v>4</v>
      </c>
      <c r="G1935" t="s">
        <v>2617</v>
      </c>
      <c r="H1935" t="s">
        <v>2564</v>
      </c>
      <c r="I1935" t="s">
        <v>2571</v>
      </c>
      <c r="J1935" t="s">
        <v>2569</v>
      </c>
      <c r="K1935">
        <v>44</v>
      </c>
      <c r="L1935" s="13" t="s">
        <v>257</v>
      </c>
    </row>
    <row r="1936" spans="1:12" x14ac:dyDescent="0.25">
      <c r="A1936" t="s">
        <v>4613</v>
      </c>
      <c r="B1936" t="s">
        <v>107</v>
      </c>
      <c r="C1936" t="str">
        <f>_xlfn.XLOOKUP(Table7[[#This Row],[app_id]],Table5[app_id],Table5[app_name],"",0)</f>
        <v>YogaHub</v>
      </c>
      <c r="D1936" t="s">
        <v>2349</v>
      </c>
      <c r="E1936" s="1">
        <v>45550</v>
      </c>
      <c r="F1936">
        <v>4</v>
      </c>
      <c r="G1936" t="s">
        <v>2613</v>
      </c>
      <c r="H1936" t="s">
        <v>2564</v>
      </c>
      <c r="I1936" t="s">
        <v>2565</v>
      </c>
      <c r="J1936" t="s">
        <v>2556</v>
      </c>
      <c r="K1936">
        <v>22</v>
      </c>
      <c r="L1936" s="13" t="s">
        <v>257</v>
      </c>
    </row>
    <row r="1937" spans="1:12" x14ac:dyDescent="0.25">
      <c r="A1937" t="s">
        <v>4614</v>
      </c>
      <c r="B1937" t="s">
        <v>109</v>
      </c>
      <c r="C1937" t="str">
        <f>_xlfn.XLOOKUP(Table7[[#This Row],[app_id]],Table5[app_id],Table5[app_name],"",0)</f>
        <v>MoveGo</v>
      </c>
      <c r="D1937" t="s">
        <v>2423</v>
      </c>
      <c r="E1937" s="1">
        <v>45529</v>
      </c>
      <c r="F1937">
        <v>5</v>
      </c>
      <c r="G1937" t="s">
        <v>2617</v>
      </c>
      <c r="H1937" t="s">
        <v>2564</v>
      </c>
      <c r="I1937" t="s">
        <v>2565</v>
      </c>
      <c r="J1937" t="s">
        <v>2569</v>
      </c>
      <c r="K1937">
        <v>9</v>
      </c>
      <c r="L1937" s="13" t="s">
        <v>257</v>
      </c>
    </row>
    <row r="1938" spans="1:12" x14ac:dyDescent="0.25">
      <c r="A1938" t="s">
        <v>4615</v>
      </c>
      <c r="B1938" t="s">
        <v>111</v>
      </c>
      <c r="C1938" t="str">
        <f>_xlfn.XLOOKUP(Table7[[#This Row],[app_id]],Table5[app_id],Table5[app_name],"",0)</f>
        <v>BrightNow</v>
      </c>
      <c r="D1938" t="s">
        <v>2370</v>
      </c>
      <c r="E1938" s="1">
        <v>45347</v>
      </c>
      <c r="F1938">
        <v>3</v>
      </c>
      <c r="G1938" t="s">
        <v>2646</v>
      </c>
      <c r="H1938" t="s">
        <v>2554</v>
      </c>
      <c r="I1938" t="s">
        <v>2588</v>
      </c>
      <c r="J1938" t="s">
        <v>2569</v>
      </c>
      <c r="K1938">
        <v>34</v>
      </c>
      <c r="L1938" s="13" t="s">
        <v>257</v>
      </c>
    </row>
    <row r="1939" spans="1:12" x14ac:dyDescent="0.25">
      <c r="A1939" t="s">
        <v>4616</v>
      </c>
      <c r="B1939" t="s">
        <v>114</v>
      </c>
      <c r="C1939" t="str">
        <f>_xlfn.XLOOKUP(Table7[[#This Row],[app_id]],Table5[app_id],Table5[app_name],"",0)</f>
        <v>StudyCloud</v>
      </c>
      <c r="D1939" t="s">
        <v>1587</v>
      </c>
      <c r="E1939" s="1">
        <v>45796</v>
      </c>
      <c r="F1939">
        <v>4</v>
      </c>
      <c r="G1939" t="s">
        <v>2638</v>
      </c>
      <c r="H1939" t="s">
        <v>2564</v>
      </c>
      <c r="I1939" t="s">
        <v>2558</v>
      </c>
      <c r="J1939" t="s">
        <v>2600</v>
      </c>
      <c r="K1939">
        <v>28</v>
      </c>
      <c r="L1939" s="13" t="s">
        <v>257</v>
      </c>
    </row>
    <row r="1940" spans="1:12" x14ac:dyDescent="0.25">
      <c r="A1940" t="s">
        <v>4617</v>
      </c>
      <c r="B1940" t="s">
        <v>116</v>
      </c>
      <c r="C1940" t="str">
        <f>_xlfn.XLOOKUP(Table7[[#This Row],[app_id]],Table5[app_id],Table5[app_name],"",0)</f>
        <v>SkillNow</v>
      </c>
      <c r="D1940" t="s">
        <v>1426</v>
      </c>
      <c r="E1940" s="1">
        <v>45954</v>
      </c>
      <c r="F1940">
        <v>2</v>
      </c>
      <c r="G1940" t="s">
        <v>2644</v>
      </c>
      <c r="H1940" t="s">
        <v>2587</v>
      </c>
      <c r="I1940" t="s">
        <v>2584</v>
      </c>
      <c r="J1940" t="s">
        <v>2600</v>
      </c>
      <c r="K1940">
        <v>33</v>
      </c>
      <c r="L1940" s="13" t="s">
        <v>258</v>
      </c>
    </row>
    <row r="1941" spans="1:12" x14ac:dyDescent="0.25">
      <c r="A1941" t="s">
        <v>4618</v>
      </c>
      <c r="B1941" t="s">
        <v>118</v>
      </c>
      <c r="C1941" t="str">
        <f>_xlfn.XLOOKUP(Table7[[#This Row],[app_id]],Table5[app_id],Table5[app_name],"",0)</f>
        <v>LearnMate</v>
      </c>
      <c r="D1941" t="s">
        <v>1778</v>
      </c>
      <c r="E1941" s="1">
        <v>46035</v>
      </c>
      <c r="F1941">
        <v>4</v>
      </c>
      <c r="G1941" t="s">
        <v>2640</v>
      </c>
      <c r="H1941" t="s">
        <v>2564</v>
      </c>
      <c r="I1941" t="s">
        <v>2555</v>
      </c>
      <c r="J1941" t="s">
        <v>2556</v>
      </c>
      <c r="K1941">
        <v>4</v>
      </c>
      <c r="L1941" s="13" t="s">
        <v>257</v>
      </c>
    </row>
    <row r="1942" spans="1:12" x14ac:dyDescent="0.25">
      <c r="A1942" t="s">
        <v>4619</v>
      </c>
      <c r="B1942" t="s">
        <v>120</v>
      </c>
      <c r="C1942" t="str">
        <f>_xlfn.XLOOKUP(Table7[[#This Row],[app_id]],Table5[app_id],Table5[app_name],"",0)</f>
        <v>QuestNow</v>
      </c>
      <c r="D1942" t="s">
        <v>2278</v>
      </c>
      <c r="E1942" s="1">
        <v>45633</v>
      </c>
      <c r="F1942">
        <v>3</v>
      </c>
      <c r="G1942" t="s">
        <v>2778</v>
      </c>
      <c r="H1942" t="s">
        <v>2554</v>
      </c>
      <c r="I1942" t="s">
        <v>2575</v>
      </c>
      <c r="J1942" t="s">
        <v>2566</v>
      </c>
      <c r="K1942">
        <v>28</v>
      </c>
      <c r="L1942" s="13" t="s">
        <v>257</v>
      </c>
    </row>
    <row r="1943" spans="1:12" x14ac:dyDescent="0.25">
      <c r="A1943" t="s">
        <v>4620</v>
      </c>
      <c r="B1943" t="s">
        <v>122</v>
      </c>
      <c r="C1943" t="str">
        <f>_xlfn.XLOOKUP(Table7[[#This Row],[app_id]],Table5[app_id],Table5[app_name],"",0)</f>
        <v>SkillHub</v>
      </c>
      <c r="D1943" t="s">
        <v>2138</v>
      </c>
      <c r="E1943" s="1">
        <v>45826</v>
      </c>
      <c r="F1943">
        <v>5</v>
      </c>
      <c r="G1943" t="s">
        <v>2640</v>
      </c>
      <c r="H1943" t="s">
        <v>2564</v>
      </c>
      <c r="I1943" t="s">
        <v>2565</v>
      </c>
      <c r="J1943" t="s">
        <v>2600</v>
      </c>
      <c r="K1943">
        <v>18</v>
      </c>
      <c r="L1943" s="13" t="s">
        <v>257</v>
      </c>
    </row>
    <row r="1944" spans="1:12" x14ac:dyDescent="0.25">
      <c r="A1944" t="s">
        <v>4621</v>
      </c>
      <c r="B1944" t="s">
        <v>124</v>
      </c>
      <c r="C1944" t="str">
        <f>_xlfn.XLOOKUP(Table7[[#This Row],[app_id]],Table5[app_id],Table5[app_name],"",0)</f>
        <v>TutorCloud</v>
      </c>
      <c r="D1944" t="s">
        <v>602</v>
      </c>
      <c r="E1944" s="1">
        <v>45826</v>
      </c>
      <c r="F1944">
        <v>2</v>
      </c>
      <c r="G1944" t="s">
        <v>2630</v>
      </c>
      <c r="H1944" t="s">
        <v>2587</v>
      </c>
      <c r="I1944" t="s">
        <v>2588</v>
      </c>
      <c r="J1944" t="s">
        <v>2603</v>
      </c>
      <c r="K1944">
        <v>20</v>
      </c>
      <c r="L1944" s="13" t="s">
        <v>258</v>
      </c>
    </row>
    <row r="1945" spans="1:12" x14ac:dyDescent="0.25">
      <c r="A1945" t="s">
        <v>4622</v>
      </c>
      <c r="B1945" t="s">
        <v>126</v>
      </c>
      <c r="C1945" t="str">
        <f>_xlfn.XLOOKUP(Table7[[#This Row],[app_id]],Table5[app_id],Table5[app_name],"",0)</f>
        <v>SkillOne</v>
      </c>
      <c r="D1945" t="s">
        <v>2036</v>
      </c>
      <c r="E1945" s="1">
        <v>46044</v>
      </c>
      <c r="F1945">
        <v>3</v>
      </c>
      <c r="G1945" t="s">
        <v>2778</v>
      </c>
      <c r="H1945" t="s">
        <v>2554</v>
      </c>
      <c r="I1945" t="s">
        <v>2584</v>
      </c>
      <c r="J1945" t="s">
        <v>2556</v>
      </c>
      <c r="K1945">
        <v>42</v>
      </c>
      <c r="L1945" s="13" t="s">
        <v>257</v>
      </c>
    </row>
    <row r="1946" spans="1:12" x14ac:dyDescent="0.25">
      <c r="A1946" t="s">
        <v>4623</v>
      </c>
      <c r="B1946" t="s">
        <v>128</v>
      </c>
      <c r="C1946" t="str">
        <f>_xlfn.XLOOKUP(Table7[[#This Row],[app_id]],Table5[app_id],Table5[app_name],"",0)</f>
        <v>LearnOne</v>
      </c>
      <c r="D1946" t="s">
        <v>1621</v>
      </c>
      <c r="E1946" s="1">
        <v>45688</v>
      </c>
      <c r="F1946">
        <v>3</v>
      </c>
      <c r="G1946" t="s">
        <v>2646</v>
      </c>
      <c r="H1946" t="s">
        <v>2554</v>
      </c>
      <c r="I1946" t="s">
        <v>2571</v>
      </c>
      <c r="J1946" t="s">
        <v>2603</v>
      </c>
      <c r="K1946">
        <v>31</v>
      </c>
      <c r="L1946" s="13" t="s">
        <v>258</v>
      </c>
    </row>
    <row r="1947" spans="1:12" x14ac:dyDescent="0.25">
      <c r="A1947" t="s">
        <v>4624</v>
      </c>
      <c r="B1947" t="s">
        <v>130</v>
      </c>
      <c r="C1947" t="str">
        <f>_xlfn.XLOOKUP(Table7[[#This Row],[app_id]],Table5[app_id],Table5[app_name],"",0)</f>
        <v>LearnPlus</v>
      </c>
      <c r="D1947" t="s">
        <v>1697</v>
      </c>
      <c r="E1947" s="1">
        <v>45939</v>
      </c>
      <c r="F1947">
        <v>4</v>
      </c>
      <c r="G1947" t="s">
        <v>2635</v>
      </c>
      <c r="H1947" t="s">
        <v>2564</v>
      </c>
      <c r="I1947" t="s">
        <v>2558</v>
      </c>
      <c r="J1947" t="s">
        <v>2559</v>
      </c>
      <c r="K1947">
        <v>20</v>
      </c>
      <c r="L1947" s="13" t="s">
        <v>257</v>
      </c>
    </row>
    <row r="1948" spans="1:12" x14ac:dyDescent="0.25">
      <c r="A1948" t="s">
        <v>4625</v>
      </c>
      <c r="B1948" t="s">
        <v>132</v>
      </c>
      <c r="C1948" t="str">
        <f>_xlfn.XLOOKUP(Table7[[#This Row],[app_id]],Table5[app_id],Table5[app_name],"",0)</f>
        <v>StudyPlus</v>
      </c>
      <c r="D1948" t="s">
        <v>717</v>
      </c>
      <c r="E1948" s="1">
        <v>45958</v>
      </c>
      <c r="F1948">
        <v>5</v>
      </c>
      <c r="G1948" t="s">
        <v>2638</v>
      </c>
      <c r="H1948" t="s">
        <v>2564</v>
      </c>
      <c r="I1948" t="s">
        <v>2565</v>
      </c>
      <c r="J1948" t="s">
        <v>2569</v>
      </c>
      <c r="K1948">
        <v>26</v>
      </c>
      <c r="L1948" s="13" t="s">
        <v>257</v>
      </c>
    </row>
    <row r="1949" spans="1:12" x14ac:dyDescent="0.25">
      <c r="A1949" t="s">
        <v>4626</v>
      </c>
      <c r="B1949" t="s">
        <v>134</v>
      </c>
      <c r="C1949" t="str">
        <f>_xlfn.XLOOKUP(Table7[[#This Row],[app_id]],Table5[app_id],Table5[app_name],"",0)</f>
        <v>StudyX</v>
      </c>
      <c r="D1949" t="s">
        <v>824</v>
      </c>
      <c r="E1949" s="1">
        <v>45313</v>
      </c>
      <c r="F1949">
        <v>5</v>
      </c>
      <c r="G1949" t="s">
        <v>2638</v>
      </c>
      <c r="H1949" t="s">
        <v>2564</v>
      </c>
      <c r="I1949" t="s">
        <v>2565</v>
      </c>
      <c r="J1949" t="s">
        <v>2596</v>
      </c>
      <c r="K1949">
        <v>4</v>
      </c>
      <c r="L1949" s="13" t="s">
        <v>257</v>
      </c>
    </row>
    <row r="1950" spans="1:12" x14ac:dyDescent="0.25">
      <c r="A1950" t="s">
        <v>4627</v>
      </c>
      <c r="B1950" t="s">
        <v>136</v>
      </c>
      <c r="C1950" t="str">
        <f>_xlfn.XLOOKUP(Table7[[#This Row],[app_id]],Table5[app_id],Table5[app_name],"",0)</f>
        <v>PlayPlus</v>
      </c>
      <c r="D1950" t="s">
        <v>2066</v>
      </c>
      <c r="E1950" s="1">
        <v>46044</v>
      </c>
      <c r="F1950">
        <v>5</v>
      </c>
      <c r="G1950" t="s">
        <v>2652</v>
      </c>
      <c r="H1950" t="s">
        <v>2564</v>
      </c>
      <c r="I1950" t="s">
        <v>2555</v>
      </c>
      <c r="J1950" t="s">
        <v>2596</v>
      </c>
      <c r="K1950">
        <v>47</v>
      </c>
      <c r="L1950" s="13" t="s">
        <v>257</v>
      </c>
    </row>
    <row r="1951" spans="1:12" x14ac:dyDescent="0.25">
      <c r="A1951" t="s">
        <v>4628</v>
      </c>
      <c r="B1951" t="s">
        <v>139</v>
      </c>
      <c r="C1951" t="str">
        <f>_xlfn.XLOOKUP(Table7[[#This Row],[app_id]],Table5[app_id],Table5[app_name],"",0)</f>
        <v>ShowMate</v>
      </c>
      <c r="D1951" t="s">
        <v>1221</v>
      </c>
      <c r="E1951" s="1">
        <v>45848</v>
      </c>
      <c r="F1951">
        <v>2</v>
      </c>
      <c r="G1951" t="s">
        <v>2909</v>
      </c>
      <c r="H1951" t="s">
        <v>2587</v>
      </c>
      <c r="I1951" t="s">
        <v>2584</v>
      </c>
      <c r="J1951" t="s">
        <v>2566</v>
      </c>
      <c r="K1951">
        <v>10</v>
      </c>
      <c r="L1951" s="13" t="s">
        <v>258</v>
      </c>
    </row>
    <row r="1952" spans="1:12" x14ac:dyDescent="0.25">
      <c r="A1952" t="s">
        <v>4629</v>
      </c>
      <c r="B1952" t="s">
        <v>141</v>
      </c>
      <c r="C1952" t="str">
        <f>_xlfn.XLOOKUP(Table7[[#This Row],[app_id]],Table5[app_id],Table5[app_name],"",0)</f>
        <v>VibeX</v>
      </c>
      <c r="D1952" t="s">
        <v>1260</v>
      </c>
      <c r="E1952" s="1">
        <v>45347</v>
      </c>
      <c r="F1952">
        <v>3</v>
      </c>
      <c r="G1952" t="s">
        <v>2791</v>
      </c>
      <c r="H1952" t="s">
        <v>2554</v>
      </c>
      <c r="I1952" t="s">
        <v>2575</v>
      </c>
      <c r="J1952" t="s">
        <v>2561</v>
      </c>
      <c r="K1952">
        <v>30</v>
      </c>
      <c r="L1952" s="13" t="s">
        <v>257</v>
      </c>
    </row>
    <row r="1953" spans="1:12" x14ac:dyDescent="0.25">
      <c r="A1953" t="s">
        <v>4630</v>
      </c>
      <c r="B1953" t="s">
        <v>143</v>
      </c>
      <c r="C1953" t="str">
        <f>_xlfn.XLOOKUP(Table7[[#This Row],[app_id]],Table5[app_id],Table5[app_name],"",0)</f>
        <v>BuzzNow</v>
      </c>
      <c r="D1953" t="s">
        <v>1424</v>
      </c>
      <c r="E1953" s="1">
        <v>45634</v>
      </c>
      <c r="F1953">
        <v>3</v>
      </c>
      <c r="G1953" t="s">
        <v>2655</v>
      </c>
      <c r="H1953" t="s">
        <v>2554</v>
      </c>
      <c r="I1953" t="s">
        <v>2555</v>
      </c>
      <c r="J1953" t="s">
        <v>2581</v>
      </c>
      <c r="K1953">
        <v>17</v>
      </c>
      <c r="L1953" s="13" t="s">
        <v>257</v>
      </c>
    </row>
    <row r="1954" spans="1:12" x14ac:dyDescent="0.25">
      <c r="A1954" t="s">
        <v>4631</v>
      </c>
      <c r="B1954" t="s">
        <v>145</v>
      </c>
      <c r="C1954" t="str">
        <f>_xlfn.XLOOKUP(Table7[[#This Row],[app_id]],Table5[app_id],Table5[app_name],"",0)</f>
        <v>StreamPlus</v>
      </c>
      <c r="D1954" t="s">
        <v>1933</v>
      </c>
      <c r="E1954" s="1">
        <v>45441</v>
      </c>
      <c r="F1954">
        <v>3</v>
      </c>
      <c r="G1954" t="s">
        <v>2791</v>
      </c>
      <c r="H1954" t="s">
        <v>2554</v>
      </c>
      <c r="I1954" t="s">
        <v>2565</v>
      </c>
      <c r="J1954" t="s">
        <v>2559</v>
      </c>
      <c r="K1954">
        <v>19</v>
      </c>
      <c r="L1954" s="13" t="s">
        <v>257</v>
      </c>
    </row>
    <row r="1955" spans="1:12" x14ac:dyDescent="0.25">
      <c r="A1955" t="s">
        <v>4632</v>
      </c>
      <c r="B1955" t="s">
        <v>147</v>
      </c>
      <c r="C1955" t="str">
        <f>_xlfn.XLOOKUP(Table7[[#This Row],[app_id]],Table5[app_id],Table5[app_name],"",0)</f>
        <v>Showly</v>
      </c>
      <c r="D1955" t="s">
        <v>1319</v>
      </c>
      <c r="E1955" s="1">
        <v>45597</v>
      </c>
      <c r="F1955">
        <v>4</v>
      </c>
      <c r="G1955" t="s">
        <v>2650</v>
      </c>
      <c r="H1955" t="s">
        <v>2564</v>
      </c>
      <c r="I1955" t="s">
        <v>2575</v>
      </c>
      <c r="J1955" t="s">
        <v>2581</v>
      </c>
      <c r="K1955">
        <v>38</v>
      </c>
      <c r="L1955" s="13" t="s">
        <v>257</v>
      </c>
    </row>
    <row r="1956" spans="1:12" x14ac:dyDescent="0.25">
      <c r="A1956" t="s">
        <v>4633</v>
      </c>
      <c r="B1956" t="s">
        <v>149</v>
      </c>
      <c r="C1956" t="str">
        <f>_xlfn.XLOOKUP(Table7[[#This Row],[app_id]],Table5[app_id],Table5[app_name],"",0)</f>
        <v>BuzzOne</v>
      </c>
      <c r="D1956" t="s">
        <v>2383</v>
      </c>
      <c r="E1956" s="1">
        <v>45449</v>
      </c>
      <c r="F1956">
        <v>3</v>
      </c>
      <c r="G1956" t="s">
        <v>2663</v>
      </c>
      <c r="H1956" t="s">
        <v>2554</v>
      </c>
      <c r="I1956" t="s">
        <v>2588</v>
      </c>
      <c r="J1956" t="s">
        <v>2569</v>
      </c>
      <c r="K1956">
        <v>17</v>
      </c>
      <c r="L1956" s="13" t="s">
        <v>257</v>
      </c>
    </row>
    <row r="1957" spans="1:12" x14ac:dyDescent="0.25">
      <c r="A1957" t="s">
        <v>4634</v>
      </c>
      <c r="B1957" t="s">
        <v>151</v>
      </c>
      <c r="C1957" t="str">
        <f>_xlfn.XLOOKUP(Table7[[#This Row],[app_id]],Table5[app_id],Table5[app_name],"",0)</f>
        <v>PlayHub</v>
      </c>
      <c r="D1957" t="s">
        <v>774</v>
      </c>
      <c r="E1957" s="1">
        <v>45728</v>
      </c>
      <c r="F1957">
        <v>5</v>
      </c>
      <c r="G1957" t="s">
        <v>2650</v>
      </c>
      <c r="H1957" t="s">
        <v>2564</v>
      </c>
      <c r="I1957" t="s">
        <v>2558</v>
      </c>
      <c r="J1957" t="s">
        <v>2600</v>
      </c>
      <c r="K1957">
        <v>29</v>
      </c>
      <c r="L1957" s="13" t="s">
        <v>258</v>
      </c>
    </row>
    <row r="1958" spans="1:12" x14ac:dyDescent="0.25">
      <c r="A1958" t="s">
        <v>4635</v>
      </c>
      <c r="B1958" t="s">
        <v>153</v>
      </c>
      <c r="C1958" t="str">
        <f>_xlfn.XLOOKUP(Table7[[#This Row],[app_id]],Table5[app_id],Table5[app_name],"",0)</f>
        <v>CinemaGo</v>
      </c>
      <c r="D1958" t="s">
        <v>2200</v>
      </c>
      <c r="E1958" s="1">
        <v>45925</v>
      </c>
      <c r="F1958">
        <v>4</v>
      </c>
      <c r="G1958" t="s">
        <v>2650</v>
      </c>
      <c r="H1958" t="s">
        <v>2564</v>
      </c>
      <c r="I1958" t="s">
        <v>2571</v>
      </c>
      <c r="J1958" t="s">
        <v>2569</v>
      </c>
      <c r="K1958">
        <v>20</v>
      </c>
      <c r="L1958" s="13" t="s">
        <v>257</v>
      </c>
    </row>
    <row r="1959" spans="1:12" x14ac:dyDescent="0.25">
      <c r="A1959" t="s">
        <v>4636</v>
      </c>
      <c r="B1959" t="s">
        <v>155</v>
      </c>
      <c r="C1959" t="str">
        <f>_xlfn.XLOOKUP(Table7[[#This Row],[app_id]],Table5[app_id],Table5[app_name],"",0)</f>
        <v>LaughX</v>
      </c>
      <c r="D1959" t="s">
        <v>2258</v>
      </c>
      <c r="E1959" s="1">
        <v>45561</v>
      </c>
      <c r="F1959">
        <v>5</v>
      </c>
      <c r="G1959" t="s">
        <v>2789</v>
      </c>
      <c r="H1959" t="s">
        <v>2564</v>
      </c>
      <c r="I1959" t="s">
        <v>2555</v>
      </c>
      <c r="J1959" t="s">
        <v>2566</v>
      </c>
      <c r="K1959">
        <v>20</v>
      </c>
      <c r="L1959" s="13" t="s">
        <v>257</v>
      </c>
    </row>
    <row r="1960" spans="1:12" x14ac:dyDescent="0.25">
      <c r="A1960" t="s">
        <v>4637</v>
      </c>
      <c r="B1960" t="s">
        <v>157</v>
      </c>
      <c r="C1960" t="str">
        <f>_xlfn.XLOOKUP(Table7[[#This Row],[app_id]],Table5[app_id],Table5[app_name],"",0)</f>
        <v>CinemaHub</v>
      </c>
      <c r="D1960" t="s">
        <v>891</v>
      </c>
      <c r="E1960" s="1">
        <v>45927</v>
      </c>
      <c r="F1960">
        <v>4</v>
      </c>
      <c r="G1960" t="s">
        <v>2652</v>
      </c>
      <c r="H1960" t="s">
        <v>2564</v>
      </c>
      <c r="I1960" t="s">
        <v>2565</v>
      </c>
      <c r="J1960" t="s">
        <v>2561</v>
      </c>
      <c r="K1960">
        <v>15</v>
      </c>
      <c r="L1960" s="13" t="s">
        <v>257</v>
      </c>
    </row>
    <row r="1961" spans="1:12" x14ac:dyDescent="0.25">
      <c r="A1961" t="s">
        <v>4638</v>
      </c>
      <c r="B1961" t="s">
        <v>159</v>
      </c>
      <c r="C1961" t="str">
        <f>_xlfn.XLOOKUP(Table7[[#This Row],[app_id]],Table5[app_id],Table5[app_name],"",0)</f>
        <v>ShowPro</v>
      </c>
      <c r="D1961" t="s">
        <v>1470</v>
      </c>
      <c r="E1961" s="1">
        <v>45500</v>
      </c>
      <c r="F1961">
        <v>4</v>
      </c>
      <c r="G1961" t="s">
        <v>2652</v>
      </c>
      <c r="H1961" t="s">
        <v>2564</v>
      </c>
      <c r="I1961" t="s">
        <v>2555</v>
      </c>
      <c r="J1961" t="s">
        <v>2633</v>
      </c>
      <c r="K1961">
        <v>45</v>
      </c>
      <c r="L1961" s="13" t="s">
        <v>257</v>
      </c>
    </row>
    <row r="1962" spans="1:12" x14ac:dyDescent="0.25">
      <c r="A1962" t="s">
        <v>4639</v>
      </c>
      <c r="B1962" t="s">
        <v>161</v>
      </c>
      <c r="C1962" t="str">
        <f>_xlfn.XLOOKUP(Table7[[#This Row],[app_id]],Table5[app_id],Table5[app_name],"",0)</f>
        <v>FoodPlus</v>
      </c>
      <c r="D1962" t="s">
        <v>2503</v>
      </c>
      <c r="E1962" s="1">
        <v>46049</v>
      </c>
      <c r="F1962">
        <v>4</v>
      </c>
      <c r="G1962" t="s">
        <v>2806</v>
      </c>
      <c r="H1962" t="s">
        <v>2564</v>
      </c>
      <c r="I1962" t="s">
        <v>2565</v>
      </c>
      <c r="J1962" t="s">
        <v>2556</v>
      </c>
      <c r="K1962">
        <v>11</v>
      </c>
      <c r="L1962" s="13" t="s">
        <v>258</v>
      </c>
    </row>
    <row r="1963" spans="1:12" x14ac:dyDescent="0.25">
      <c r="A1963" t="s">
        <v>4640</v>
      </c>
      <c r="B1963" t="s">
        <v>164</v>
      </c>
      <c r="C1963" t="str">
        <f>_xlfn.XLOOKUP(Table7[[#This Row],[app_id]],Table5[app_id],Table5[app_name],"",0)</f>
        <v>BiteGo</v>
      </c>
      <c r="D1963" t="s">
        <v>1962</v>
      </c>
      <c r="E1963" s="1">
        <v>45599</v>
      </c>
      <c r="F1963">
        <v>4</v>
      </c>
      <c r="G1963" t="s">
        <v>2806</v>
      </c>
      <c r="H1963" t="s">
        <v>2564</v>
      </c>
      <c r="I1963" t="s">
        <v>2555</v>
      </c>
      <c r="J1963" t="s">
        <v>2566</v>
      </c>
      <c r="K1963">
        <v>42</v>
      </c>
      <c r="L1963" s="13" t="s">
        <v>258</v>
      </c>
    </row>
    <row r="1964" spans="1:12" x14ac:dyDescent="0.25">
      <c r="A1964" t="s">
        <v>4641</v>
      </c>
      <c r="B1964" t="s">
        <v>166</v>
      </c>
      <c r="C1964" t="str">
        <f>_xlfn.XLOOKUP(Table7[[#This Row],[app_id]],Table5[app_id],Table5[app_name],"",0)</f>
        <v>OrderCloud</v>
      </c>
      <c r="D1964" t="s">
        <v>2247</v>
      </c>
      <c r="E1964" s="1">
        <v>45498</v>
      </c>
      <c r="F1964">
        <v>2</v>
      </c>
      <c r="G1964" t="s">
        <v>3543</v>
      </c>
      <c r="H1964" t="s">
        <v>2587</v>
      </c>
      <c r="I1964" t="s">
        <v>2571</v>
      </c>
      <c r="J1964" t="s">
        <v>2569</v>
      </c>
      <c r="K1964">
        <v>79</v>
      </c>
      <c r="L1964" s="13" t="s">
        <v>257</v>
      </c>
    </row>
    <row r="1965" spans="1:12" x14ac:dyDescent="0.25">
      <c r="A1965" t="s">
        <v>4642</v>
      </c>
      <c r="B1965" t="s">
        <v>168</v>
      </c>
      <c r="C1965" t="str">
        <f>_xlfn.XLOOKUP(Table7[[#This Row],[app_id]],Table5[app_id],Table5[app_name],"",0)</f>
        <v>DinePlus</v>
      </c>
      <c r="D1965" t="s">
        <v>1764</v>
      </c>
      <c r="E1965" s="1">
        <v>46038</v>
      </c>
      <c r="F1965">
        <v>5</v>
      </c>
      <c r="G1965" t="s">
        <v>2679</v>
      </c>
      <c r="H1965" t="s">
        <v>2564</v>
      </c>
      <c r="I1965" t="s">
        <v>2565</v>
      </c>
      <c r="J1965" t="s">
        <v>2600</v>
      </c>
      <c r="K1965">
        <v>31</v>
      </c>
      <c r="L1965" s="13" t="s">
        <v>257</v>
      </c>
    </row>
    <row r="1966" spans="1:12" x14ac:dyDescent="0.25">
      <c r="A1966" t="s">
        <v>4643</v>
      </c>
      <c r="B1966" t="s">
        <v>170</v>
      </c>
      <c r="C1966" t="str">
        <f>_xlfn.XLOOKUP(Table7[[#This Row],[app_id]],Table5[app_id],Table5[app_name],"",0)</f>
        <v>SnackX</v>
      </c>
      <c r="D1966" t="s">
        <v>1130</v>
      </c>
      <c r="E1966" s="1">
        <v>45973</v>
      </c>
      <c r="F1966">
        <v>4</v>
      </c>
      <c r="G1966" t="s">
        <v>2806</v>
      </c>
      <c r="H1966" t="s">
        <v>2564</v>
      </c>
      <c r="I1966" t="s">
        <v>2575</v>
      </c>
      <c r="J1966" t="s">
        <v>2603</v>
      </c>
      <c r="K1966">
        <v>37</v>
      </c>
      <c r="L1966" s="13" t="s">
        <v>257</v>
      </c>
    </row>
    <row r="1967" spans="1:12" x14ac:dyDescent="0.25">
      <c r="A1967" t="s">
        <v>4644</v>
      </c>
      <c r="B1967" t="s">
        <v>172</v>
      </c>
      <c r="C1967" t="str">
        <f>_xlfn.XLOOKUP(Table7[[#This Row],[app_id]],Table5[app_id],Table5[app_name],"",0)</f>
        <v>FoodOne</v>
      </c>
      <c r="D1967" t="s">
        <v>2009</v>
      </c>
      <c r="E1967" s="1">
        <v>45902</v>
      </c>
      <c r="F1967">
        <v>4</v>
      </c>
      <c r="G1967" t="s">
        <v>2676</v>
      </c>
      <c r="H1967" t="s">
        <v>2564</v>
      </c>
      <c r="I1967" t="s">
        <v>2575</v>
      </c>
      <c r="J1967" t="s">
        <v>2559</v>
      </c>
      <c r="K1967">
        <v>15</v>
      </c>
      <c r="L1967" s="13" t="s">
        <v>257</v>
      </c>
    </row>
    <row r="1968" spans="1:12" x14ac:dyDescent="0.25">
      <c r="A1968" t="s">
        <v>4645</v>
      </c>
      <c r="B1968" t="s">
        <v>174</v>
      </c>
      <c r="C1968" t="str">
        <f>_xlfn.XLOOKUP(Table7[[#This Row],[app_id]],Table5[app_id],Table5[app_name],"",0)</f>
        <v>MealMate</v>
      </c>
      <c r="D1968" t="s">
        <v>568</v>
      </c>
      <c r="E1968" s="1">
        <v>45340</v>
      </c>
      <c r="F1968">
        <v>4</v>
      </c>
      <c r="G1968" t="s">
        <v>2679</v>
      </c>
      <c r="H1968" t="s">
        <v>2564</v>
      </c>
      <c r="I1968" t="s">
        <v>2565</v>
      </c>
      <c r="J1968" t="s">
        <v>2561</v>
      </c>
      <c r="K1968">
        <v>42</v>
      </c>
      <c r="L1968" s="13" t="s">
        <v>257</v>
      </c>
    </row>
    <row r="1969" spans="1:12" x14ac:dyDescent="0.25">
      <c r="A1969" t="s">
        <v>4646</v>
      </c>
      <c r="B1969" t="s">
        <v>176</v>
      </c>
      <c r="C1969" t="str">
        <f>_xlfn.XLOOKUP(Table7[[#This Row],[app_id]],Table5[app_id],Table5[app_name],"",0)</f>
        <v>SnackHub</v>
      </c>
      <c r="D1969" t="s">
        <v>1561</v>
      </c>
      <c r="E1969" s="1">
        <v>45359</v>
      </c>
      <c r="F1969">
        <v>2</v>
      </c>
      <c r="G1969" t="s">
        <v>3131</v>
      </c>
      <c r="H1969" t="s">
        <v>2587</v>
      </c>
      <c r="I1969" t="s">
        <v>2575</v>
      </c>
      <c r="J1969" t="s">
        <v>2559</v>
      </c>
      <c r="K1969">
        <v>28</v>
      </c>
      <c r="L1969" s="13" t="s">
        <v>257</v>
      </c>
    </row>
    <row r="1970" spans="1:12" x14ac:dyDescent="0.25">
      <c r="A1970" t="s">
        <v>4647</v>
      </c>
      <c r="B1970" t="s">
        <v>178</v>
      </c>
      <c r="C1970" t="str">
        <f>_xlfn.XLOOKUP(Table7[[#This Row],[app_id]],Table5[app_id],Table5[app_name],"",0)</f>
        <v>BiteCloud</v>
      </c>
      <c r="D1970" t="s">
        <v>1028</v>
      </c>
      <c r="E1970" s="1">
        <v>45764</v>
      </c>
      <c r="F1970">
        <v>5</v>
      </c>
      <c r="G1970" t="s">
        <v>2806</v>
      </c>
      <c r="H1970" t="s">
        <v>2564</v>
      </c>
      <c r="I1970" t="s">
        <v>2571</v>
      </c>
      <c r="J1970" t="s">
        <v>2596</v>
      </c>
      <c r="K1970">
        <v>31</v>
      </c>
      <c r="L1970" s="13" t="s">
        <v>258</v>
      </c>
    </row>
    <row r="1971" spans="1:12" x14ac:dyDescent="0.25">
      <c r="A1971" t="s">
        <v>4648</v>
      </c>
      <c r="B1971" t="s">
        <v>180</v>
      </c>
      <c r="C1971" t="str">
        <f>_xlfn.XLOOKUP(Table7[[#This Row],[app_id]],Table5[app_id],Table5[app_name],"",0)</f>
        <v>PlatePlus</v>
      </c>
      <c r="D1971" t="s">
        <v>1636</v>
      </c>
      <c r="E1971" s="1">
        <v>46141</v>
      </c>
      <c r="F1971">
        <v>4</v>
      </c>
      <c r="G1971" t="s">
        <v>2679</v>
      </c>
      <c r="H1971" t="s">
        <v>2564</v>
      </c>
      <c r="I1971" t="s">
        <v>2575</v>
      </c>
      <c r="J1971" t="s">
        <v>2559</v>
      </c>
      <c r="K1971">
        <v>3</v>
      </c>
      <c r="L1971" s="13" t="s">
        <v>257</v>
      </c>
    </row>
    <row r="1972" spans="1:12" x14ac:dyDescent="0.25">
      <c r="A1972" t="s">
        <v>4649</v>
      </c>
      <c r="B1972" t="s">
        <v>182</v>
      </c>
      <c r="C1972" t="str">
        <f>_xlfn.XLOOKUP(Table7[[#This Row],[app_id]],Table5[app_id],Table5[app_name],"",0)</f>
        <v>VoyageGo</v>
      </c>
      <c r="D1972" t="s">
        <v>632</v>
      </c>
      <c r="E1972" s="1">
        <v>45686</v>
      </c>
      <c r="F1972">
        <v>4</v>
      </c>
      <c r="G1972" t="s">
        <v>2683</v>
      </c>
      <c r="H1972" t="s">
        <v>2564</v>
      </c>
      <c r="I1972" t="s">
        <v>2555</v>
      </c>
      <c r="J1972" t="s">
        <v>2569</v>
      </c>
      <c r="K1972">
        <v>11</v>
      </c>
      <c r="L1972" s="13" t="s">
        <v>258</v>
      </c>
    </row>
    <row r="1973" spans="1:12" x14ac:dyDescent="0.25">
      <c r="A1973" t="s">
        <v>4650</v>
      </c>
      <c r="B1973" t="s">
        <v>185</v>
      </c>
      <c r="C1973" t="str">
        <f>_xlfn.XLOOKUP(Table7[[#This Row],[app_id]],Table5[app_id],Table5[app_name],"",0)</f>
        <v>TripOne</v>
      </c>
      <c r="D1973" t="s">
        <v>2427</v>
      </c>
      <c r="E1973" s="1">
        <v>46065</v>
      </c>
      <c r="F1973">
        <v>4</v>
      </c>
      <c r="G1973" t="s">
        <v>2683</v>
      </c>
      <c r="H1973" t="s">
        <v>2564</v>
      </c>
      <c r="I1973" t="s">
        <v>2558</v>
      </c>
      <c r="J1973" t="s">
        <v>2633</v>
      </c>
      <c r="K1973">
        <v>20</v>
      </c>
      <c r="L1973" s="13" t="s">
        <v>257</v>
      </c>
    </row>
    <row r="1974" spans="1:12" x14ac:dyDescent="0.25">
      <c r="A1974" t="s">
        <v>4651</v>
      </c>
      <c r="B1974" t="s">
        <v>187</v>
      </c>
      <c r="C1974" t="str">
        <f>_xlfn.XLOOKUP(Table7[[#This Row],[app_id]],Table5[app_id],Table5[app_name],"",0)</f>
        <v>FlyGo</v>
      </c>
      <c r="D1974" t="s">
        <v>1800</v>
      </c>
      <c r="E1974" s="1">
        <v>45398</v>
      </c>
      <c r="F1974">
        <v>4</v>
      </c>
      <c r="G1974" t="s">
        <v>2687</v>
      </c>
      <c r="H1974" t="s">
        <v>2564</v>
      </c>
      <c r="I1974" t="s">
        <v>2575</v>
      </c>
      <c r="J1974" t="s">
        <v>2600</v>
      </c>
      <c r="K1974">
        <v>8</v>
      </c>
      <c r="L1974" s="13" t="s">
        <v>258</v>
      </c>
    </row>
    <row r="1975" spans="1:12" x14ac:dyDescent="0.25">
      <c r="A1975" t="s">
        <v>4652</v>
      </c>
      <c r="B1975" t="s">
        <v>189</v>
      </c>
      <c r="C1975" t="str">
        <f>_xlfn.XLOOKUP(Table7[[#This Row],[app_id]],Table5[app_id],Table5[app_name],"",0)</f>
        <v>MapX</v>
      </c>
      <c r="D1975" t="s">
        <v>1733</v>
      </c>
      <c r="E1975" s="1">
        <v>45470</v>
      </c>
      <c r="F1975">
        <v>3</v>
      </c>
      <c r="G1975" t="s">
        <v>2697</v>
      </c>
      <c r="H1975" t="s">
        <v>2554</v>
      </c>
      <c r="I1975" t="s">
        <v>2571</v>
      </c>
      <c r="J1975" t="s">
        <v>2559</v>
      </c>
      <c r="K1975">
        <v>35</v>
      </c>
      <c r="L1975" s="13" t="s">
        <v>257</v>
      </c>
    </row>
    <row r="1976" spans="1:12" x14ac:dyDescent="0.25">
      <c r="A1976" t="s">
        <v>4653</v>
      </c>
      <c r="B1976" t="s">
        <v>191</v>
      </c>
      <c r="C1976" t="str">
        <f>_xlfn.XLOOKUP(Table7[[#This Row],[app_id]],Table5[app_id],Table5[app_name],"",0)</f>
        <v>StayX</v>
      </c>
      <c r="D1976" t="s">
        <v>1867</v>
      </c>
      <c r="E1976" s="1">
        <v>45826</v>
      </c>
      <c r="F1976">
        <v>4</v>
      </c>
      <c r="G1976" t="s">
        <v>2931</v>
      </c>
      <c r="H1976" t="s">
        <v>2564</v>
      </c>
      <c r="I1976" t="s">
        <v>2555</v>
      </c>
      <c r="J1976" t="s">
        <v>2603</v>
      </c>
      <c r="K1976">
        <v>13</v>
      </c>
      <c r="L1976" s="13" t="s">
        <v>257</v>
      </c>
    </row>
    <row r="1977" spans="1:12" x14ac:dyDescent="0.25">
      <c r="A1977" t="s">
        <v>4654</v>
      </c>
      <c r="B1977" t="s">
        <v>193</v>
      </c>
      <c r="C1977" t="str">
        <f>_xlfn.XLOOKUP(Table7[[#This Row],[app_id]],Table5[app_id],Table5[app_name],"",0)</f>
        <v>GoNow</v>
      </c>
      <c r="D1977" t="s">
        <v>1581</v>
      </c>
      <c r="E1977" s="1">
        <v>45988</v>
      </c>
      <c r="F1977">
        <v>4</v>
      </c>
      <c r="G1977" t="s">
        <v>2931</v>
      </c>
      <c r="H1977" t="s">
        <v>2564</v>
      </c>
      <c r="I1977" t="s">
        <v>2565</v>
      </c>
      <c r="J1977" t="s">
        <v>2581</v>
      </c>
      <c r="K1977">
        <v>4</v>
      </c>
      <c r="L1977" s="13" t="s">
        <v>257</v>
      </c>
    </row>
    <row r="1978" spans="1:12" x14ac:dyDescent="0.25">
      <c r="A1978" t="s">
        <v>4655</v>
      </c>
      <c r="B1978" t="s">
        <v>195</v>
      </c>
      <c r="C1978" t="str">
        <f>_xlfn.XLOOKUP(Table7[[#This Row],[app_id]],Table5[app_id],Table5[app_name],"",0)</f>
        <v>RouteGo</v>
      </c>
      <c r="D1978" t="s">
        <v>1706</v>
      </c>
      <c r="E1978" s="1">
        <v>45605</v>
      </c>
      <c r="F1978">
        <v>3</v>
      </c>
      <c r="G1978" t="s">
        <v>2697</v>
      </c>
      <c r="H1978" t="s">
        <v>2554</v>
      </c>
      <c r="I1978" t="s">
        <v>2555</v>
      </c>
      <c r="J1978" t="s">
        <v>2596</v>
      </c>
      <c r="K1978">
        <v>18</v>
      </c>
      <c r="L1978" s="13" t="s">
        <v>257</v>
      </c>
    </row>
    <row r="1979" spans="1:12" x14ac:dyDescent="0.25">
      <c r="A1979" t="s">
        <v>4656</v>
      </c>
      <c r="B1979" t="s">
        <v>197</v>
      </c>
      <c r="C1979" t="str">
        <f>_xlfn.XLOOKUP(Table7[[#This Row],[app_id]],Table5[app_id],Table5[app_name],"",0)</f>
        <v>TripGo</v>
      </c>
      <c r="D1979" t="s">
        <v>850</v>
      </c>
      <c r="E1979" s="1">
        <v>45927</v>
      </c>
      <c r="F1979">
        <v>4</v>
      </c>
      <c r="G1979" t="s">
        <v>2929</v>
      </c>
      <c r="H1979" t="s">
        <v>2564</v>
      </c>
      <c r="I1979" t="s">
        <v>2565</v>
      </c>
      <c r="J1979" t="s">
        <v>2561</v>
      </c>
      <c r="K1979">
        <v>2</v>
      </c>
      <c r="L1979" s="13" t="s">
        <v>257</v>
      </c>
    </row>
    <row r="1980" spans="1:12" x14ac:dyDescent="0.25">
      <c r="A1980" t="s">
        <v>4657</v>
      </c>
      <c r="B1980" t="s">
        <v>199</v>
      </c>
      <c r="C1980" t="str">
        <f>_xlfn.XLOOKUP(Table7[[#This Row],[app_id]],Table5[app_id],Table5[app_name],"",0)</f>
        <v>Flyly</v>
      </c>
      <c r="D1980" t="s">
        <v>2360</v>
      </c>
      <c r="E1980" s="1">
        <v>45808</v>
      </c>
      <c r="F1980">
        <v>4</v>
      </c>
      <c r="G1980" t="s">
        <v>2929</v>
      </c>
      <c r="H1980" t="s">
        <v>2564</v>
      </c>
      <c r="I1980" t="s">
        <v>2571</v>
      </c>
      <c r="J1980" t="s">
        <v>2633</v>
      </c>
      <c r="K1980">
        <v>7</v>
      </c>
      <c r="L1980" s="13" t="s">
        <v>258</v>
      </c>
    </row>
    <row r="1981" spans="1:12" x14ac:dyDescent="0.25">
      <c r="A1981" t="s">
        <v>4658</v>
      </c>
      <c r="B1981" t="s">
        <v>201</v>
      </c>
      <c r="C1981" t="str">
        <f>_xlfn.XLOOKUP(Table7[[#This Row],[app_id]],Table5[app_id],Table5[app_name],"",0)</f>
        <v>TripPro</v>
      </c>
      <c r="D1981" t="s">
        <v>1899</v>
      </c>
      <c r="E1981" s="1">
        <v>45844</v>
      </c>
      <c r="F1981">
        <v>3</v>
      </c>
      <c r="G1981" t="s">
        <v>2695</v>
      </c>
      <c r="H1981" t="s">
        <v>2554</v>
      </c>
      <c r="I1981" t="s">
        <v>2565</v>
      </c>
      <c r="J1981" t="s">
        <v>2596</v>
      </c>
      <c r="K1981">
        <v>17</v>
      </c>
      <c r="L1981" s="13" t="s">
        <v>258</v>
      </c>
    </row>
    <row r="1982" spans="1:12" x14ac:dyDescent="0.25">
      <c r="A1982" t="s">
        <v>4659</v>
      </c>
      <c r="B1982" t="s">
        <v>203</v>
      </c>
      <c r="C1982" t="str">
        <f>_xlfn.XLOOKUP(Table7[[#This Row],[app_id]],Table5[app_id],Table5[app_name],"",0)</f>
        <v>Focusly</v>
      </c>
      <c r="D1982" t="s">
        <v>1660</v>
      </c>
      <c r="E1982" s="1">
        <v>45324</v>
      </c>
      <c r="F1982">
        <v>3</v>
      </c>
      <c r="G1982" t="s">
        <v>3254</v>
      </c>
      <c r="H1982" t="s">
        <v>2554</v>
      </c>
      <c r="I1982" t="s">
        <v>2575</v>
      </c>
      <c r="J1982" t="s">
        <v>2596</v>
      </c>
      <c r="K1982">
        <v>47</v>
      </c>
      <c r="L1982" s="13" t="s">
        <v>257</v>
      </c>
    </row>
    <row r="1983" spans="1:12" x14ac:dyDescent="0.25">
      <c r="A1983" t="s">
        <v>4660</v>
      </c>
      <c r="B1983" t="s">
        <v>206</v>
      </c>
      <c r="C1983" t="str">
        <f>_xlfn.XLOOKUP(Table7[[#This Row],[app_id]],Table5[app_id],Table5[app_name],"",0)</f>
        <v>DeskX</v>
      </c>
      <c r="D1983" t="s">
        <v>1191</v>
      </c>
      <c r="E1983" s="1">
        <v>45628</v>
      </c>
      <c r="F1983">
        <v>4</v>
      </c>
      <c r="G1983" t="s">
        <v>2836</v>
      </c>
      <c r="H1983" t="s">
        <v>2564</v>
      </c>
      <c r="I1983" t="s">
        <v>2575</v>
      </c>
      <c r="J1983" t="s">
        <v>2581</v>
      </c>
      <c r="K1983">
        <v>46</v>
      </c>
      <c r="L1983" s="13" t="s">
        <v>258</v>
      </c>
    </row>
    <row r="1984" spans="1:12" x14ac:dyDescent="0.25">
      <c r="A1984" t="s">
        <v>4661</v>
      </c>
      <c r="B1984" t="s">
        <v>208</v>
      </c>
      <c r="C1984" t="str">
        <f>_xlfn.XLOOKUP(Table7[[#This Row],[app_id]],Table5[app_id],Table5[app_name],"",0)</f>
        <v>DonePro</v>
      </c>
      <c r="D1984" t="s">
        <v>855</v>
      </c>
      <c r="E1984" s="1">
        <v>45587</v>
      </c>
      <c r="F1984">
        <v>4</v>
      </c>
      <c r="G1984" t="s">
        <v>2836</v>
      </c>
      <c r="H1984" t="s">
        <v>2564</v>
      </c>
      <c r="I1984" t="s">
        <v>2575</v>
      </c>
      <c r="J1984" t="s">
        <v>2569</v>
      </c>
      <c r="K1984">
        <v>33</v>
      </c>
      <c r="L1984" s="13" t="s">
        <v>257</v>
      </c>
    </row>
    <row r="1985" spans="1:12" x14ac:dyDescent="0.25">
      <c r="A1985" t="s">
        <v>4662</v>
      </c>
      <c r="B1985" t="s">
        <v>210</v>
      </c>
      <c r="C1985" t="str">
        <f>_xlfn.XLOOKUP(Table7[[#This Row],[app_id]],Table5[app_id],Table5[app_name],"",0)</f>
        <v>NotePlus</v>
      </c>
      <c r="D1985" t="s">
        <v>1915</v>
      </c>
      <c r="E1985" s="1">
        <v>45828</v>
      </c>
      <c r="F1985">
        <v>4</v>
      </c>
      <c r="G1985" t="s">
        <v>2836</v>
      </c>
      <c r="H1985" t="s">
        <v>2564</v>
      </c>
      <c r="I1985" t="s">
        <v>2555</v>
      </c>
      <c r="J1985" t="s">
        <v>2596</v>
      </c>
      <c r="K1985">
        <v>27</v>
      </c>
      <c r="L1985" s="13" t="s">
        <v>257</v>
      </c>
    </row>
    <row r="1986" spans="1:12" x14ac:dyDescent="0.25">
      <c r="A1986" t="s">
        <v>4663</v>
      </c>
      <c r="B1986" t="s">
        <v>212</v>
      </c>
      <c r="C1986" t="str">
        <f>_xlfn.XLOOKUP(Table7[[#This Row],[app_id]],Table5[app_id],Table5[app_name],"",0)</f>
        <v>SyncPlus</v>
      </c>
      <c r="D1986" t="s">
        <v>1234</v>
      </c>
      <c r="E1986" s="1">
        <v>45951</v>
      </c>
      <c r="F1986">
        <v>4</v>
      </c>
      <c r="G1986" t="s">
        <v>2703</v>
      </c>
      <c r="H1986" t="s">
        <v>2564</v>
      </c>
      <c r="I1986" t="s">
        <v>2565</v>
      </c>
      <c r="J1986" t="s">
        <v>2559</v>
      </c>
      <c r="K1986">
        <v>20</v>
      </c>
      <c r="L1986" s="13" t="s">
        <v>257</v>
      </c>
    </row>
    <row r="1987" spans="1:12" x14ac:dyDescent="0.25">
      <c r="A1987" t="s">
        <v>4664</v>
      </c>
      <c r="B1987" t="s">
        <v>214</v>
      </c>
      <c r="C1987" t="str">
        <f>_xlfn.XLOOKUP(Table7[[#This Row],[app_id]],Table5[app_id],Table5[app_name],"",0)</f>
        <v>NoteOne</v>
      </c>
      <c r="D1987" t="s">
        <v>614</v>
      </c>
      <c r="E1987" s="1">
        <v>45576</v>
      </c>
      <c r="F1987">
        <v>4</v>
      </c>
      <c r="G1987" t="s">
        <v>2836</v>
      </c>
      <c r="H1987" t="s">
        <v>2564</v>
      </c>
      <c r="I1987" t="s">
        <v>2555</v>
      </c>
      <c r="J1987" t="s">
        <v>2561</v>
      </c>
      <c r="K1987">
        <v>32</v>
      </c>
      <c r="L1987" s="13" t="s">
        <v>258</v>
      </c>
    </row>
    <row r="1988" spans="1:12" x14ac:dyDescent="0.25">
      <c r="A1988" t="s">
        <v>4665</v>
      </c>
      <c r="B1988" t="s">
        <v>216</v>
      </c>
      <c r="C1988" t="str">
        <f>_xlfn.XLOOKUP(Table7[[#This Row],[app_id]],Table5[app_id],Table5[app_name],"",0)</f>
        <v>NoteMate</v>
      </c>
      <c r="D1988" t="s">
        <v>752</v>
      </c>
      <c r="E1988" s="1">
        <v>45873</v>
      </c>
      <c r="F1988">
        <v>3</v>
      </c>
      <c r="G1988" t="s">
        <v>2710</v>
      </c>
      <c r="H1988" t="s">
        <v>2554</v>
      </c>
      <c r="I1988" t="s">
        <v>2578</v>
      </c>
      <c r="J1988" t="s">
        <v>2556</v>
      </c>
      <c r="K1988">
        <v>19</v>
      </c>
      <c r="L1988" s="13" t="s">
        <v>257</v>
      </c>
    </row>
    <row r="1989" spans="1:12" x14ac:dyDescent="0.25">
      <c r="A1989" t="s">
        <v>4666</v>
      </c>
      <c r="B1989" t="s">
        <v>218</v>
      </c>
      <c r="C1989" t="str">
        <f>_xlfn.XLOOKUP(Table7[[#This Row],[app_id]],Table5[app_id],Table5[app_name],"",0)</f>
        <v>PlanPlus</v>
      </c>
      <c r="D1989" t="s">
        <v>1815</v>
      </c>
      <c r="E1989" s="1">
        <v>45620</v>
      </c>
      <c r="F1989">
        <v>3</v>
      </c>
      <c r="G1989" t="s">
        <v>2713</v>
      </c>
      <c r="H1989" t="s">
        <v>2554</v>
      </c>
      <c r="I1989" t="s">
        <v>2558</v>
      </c>
      <c r="J1989" t="s">
        <v>2566</v>
      </c>
      <c r="K1989">
        <v>10</v>
      </c>
      <c r="L1989" s="13" t="s">
        <v>257</v>
      </c>
    </row>
    <row r="1990" spans="1:12" x14ac:dyDescent="0.25">
      <c r="A1990" t="s">
        <v>4667</v>
      </c>
      <c r="B1990" t="s">
        <v>220</v>
      </c>
      <c r="C1990" t="str">
        <f>_xlfn.XLOOKUP(Table7[[#This Row],[app_id]],Table5[app_id],Table5[app_name],"",0)</f>
        <v>PlanMate</v>
      </c>
      <c r="D1990" t="s">
        <v>656</v>
      </c>
      <c r="E1990" s="1">
        <v>45387</v>
      </c>
      <c r="F1990">
        <v>3</v>
      </c>
      <c r="G1990" t="s">
        <v>2706</v>
      </c>
      <c r="H1990" t="s">
        <v>2554</v>
      </c>
      <c r="I1990" t="s">
        <v>2575</v>
      </c>
      <c r="J1990" t="s">
        <v>2633</v>
      </c>
      <c r="K1990">
        <v>39</v>
      </c>
      <c r="L1990" s="13" t="s">
        <v>258</v>
      </c>
    </row>
    <row r="1991" spans="1:12" x14ac:dyDescent="0.25">
      <c r="A1991" t="s">
        <v>4668</v>
      </c>
      <c r="B1991" t="s">
        <v>222</v>
      </c>
      <c r="C1991" t="str">
        <f>_xlfn.XLOOKUP(Table7[[#This Row],[app_id]],Table5[app_id],Table5[app_name],"",0)</f>
        <v>SyncPlus</v>
      </c>
      <c r="D1991" t="s">
        <v>641</v>
      </c>
      <c r="E1991" s="1">
        <v>45401</v>
      </c>
      <c r="F1991">
        <v>3</v>
      </c>
      <c r="G1991" t="s">
        <v>2710</v>
      </c>
      <c r="H1991" t="s">
        <v>2554</v>
      </c>
      <c r="I1991" t="s">
        <v>2565</v>
      </c>
      <c r="J1991" t="s">
        <v>2556</v>
      </c>
      <c r="K1991">
        <v>25</v>
      </c>
      <c r="L1991" s="13" t="s">
        <v>257</v>
      </c>
    </row>
    <row r="1992" spans="1:12" x14ac:dyDescent="0.25">
      <c r="A1992" t="s">
        <v>4669</v>
      </c>
      <c r="B1992" t="s">
        <v>223</v>
      </c>
      <c r="C1992" t="str">
        <f>_xlfn.XLOOKUP(Table7[[#This Row],[app_id]],Table5[app_id],Table5[app_name],"",0)</f>
        <v>ClinicPro</v>
      </c>
      <c r="D1992" t="s">
        <v>2107</v>
      </c>
      <c r="E1992" s="1">
        <v>45585</v>
      </c>
      <c r="F1992">
        <v>5</v>
      </c>
      <c r="G1992" t="s">
        <v>2954</v>
      </c>
      <c r="H1992" t="s">
        <v>2564</v>
      </c>
      <c r="I1992" t="s">
        <v>2575</v>
      </c>
      <c r="J1992" t="s">
        <v>2603</v>
      </c>
      <c r="K1992">
        <v>26</v>
      </c>
      <c r="L1992" s="13" t="s">
        <v>257</v>
      </c>
    </row>
    <row r="1993" spans="1:12" x14ac:dyDescent="0.25">
      <c r="A1993" t="s">
        <v>4670</v>
      </c>
      <c r="B1993" t="s">
        <v>226</v>
      </c>
      <c r="C1993" t="str">
        <f>_xlfn.XLOOKUP(Table7[[#This Row],[app_id]],Table5[app_id],Table5[app_name],"",0)</f>
        <v>MindMate</v>
      </c>
      <c r="D1993" t="s">
        <v>1446</v>
      </c>
      <c r="E1993" s="1">
        <v>46080</v>
      </c>
      <c r="F1993">
        <v>3</v>
      </c>
      <c r="G1993" t="s">
        <v>2720</v>
      </c>
      <c r="H1993" t="s">
        <v>2554</v>
      </c>
      <c r="I1993" t="s">
        <v>2575</v>
      </c>
      <c r="J1993" t="s">
        <v>2600</v>
      </c>
      <c r="K1993">
        <v>1</v>
      </c>
      <c r="L1993" s="13" t="s">
        <v>258</v>
      </c>
    </row>
    <row r="1994" spans="1:12" x14ac:dyDescent="0.25">
      <c r="A1994" t="s">
        <v>4671</v>
      </c>
      <c r="B1994" t="s">
        <v>228</v>
      </c>
      <c r="C1994" t="str">
        <f>_xlfn.XLOOKUP(Table7[[#This Row],[app_id]],Table5[app_id],Table5[app_name],"",0)</f>
        <v>ClinicOne</v>
      </c>
      <c r="D1994" t="s">
        <v>809</v>
      </c>
      <c r="E1994" s="1">
        <v>45693</v>
      </c>
      <c r="F1994">
        <v>5</v>
      </c>
      <c r="G1994" t="s">
        <v>2722</v>
      </c>
      <c r="H1994" t="s">
        <v>2564</v>
      </c>
      <c r="I1994" t="s">
        <v>2571</v>
      </c>
      <c r="J1994" t="s">
        <v>2566</v>
      </c>
      <c r="K1994">
        <v>1</v>
      </c>
      <c r="L1994" s="13" t="s">
        <v>257</v>
      </c>
    </row>
    <row r="1995" spans="1:12" x14ac:dyDescent="0.25">
      <c r="A1995" t="s">
        <v>4672</v>
      </c>
      <c r="B1995" t="s">
        <v>230</v>
      </c>
      <c r="C1995" t="str">
        <f>_xlfn.XLOOKUP(Table7[[#This Row],[app_id]],Table5[app_id],Table5[app_name],"",0)</f>
        <v>WellMate</v>
      </c>
      <c r="D1995" t="s">
        <v>2440</v>
      </c>
      <c r="E1995" s="1">
        <v>45919</v>
      </c>
      <c r="F1995">
        <v>5</v>
      </c>
      <c r="G1995" t="s">
        <v>2728</v>
      </c>
      <c r="H1995" t="s">
        <v>2564</v>
      </c>
      <c r="I1995" t="s">
        <v>2575</v>
      </c>
      <c r="J1995" t="s">
        <v>2596</v>
      </c>
      <c r="K1995">
        <v>6</v>
      </c>
      <c r="L1995" s="13" t="s">
        <v>257</v>
      </c>
    </row>
    <row r="1996" spans="1:12" x14ac:dyDescent="0.25">
      <c r="A1996" t="s">
        <v>4673</v>
      </c>
      <c r="B1996" t="s">
        <v>232</v>
      </c>
      <c r="C1996" t="str">
        <f>_xlfn.XLOOKUP(Table7[[#This Row],[app_id]],Table5[app_id],Table5[app_name],"",0)</f>
        <v>MediMate</v>
      </c>
      <c r="D1996" t="s">
        <v>1632</v>
      </c>
      <c r="E1996" s="1">
        <v>46099</v>
      </c>
      <c r="F1996">
        <v>4</v>
      </c>
      <c r="G1996" t="s">
        <v>2728</v>
      </c>
      <c r="H1996" t="s">
        <v>2564</v>
      </c>
      <c r="I1996" t="s">
        <v>2575</v>
      </c>
      <c r="J1996" t="s">
        <v>2603</v>
      </c>
      <c r="K1996">
        <v>2</v>
      </c>
      <c r="L1996" s="13" t="s">
        <v>257</v>
      </c>
    </row>
    <row r="1997" spans="1:12" x14ac:dyDescent="0.25">
      <c r="A1997" t="s">
        <v>4674</v>
      </c>
      <c r="B1997" t="s">
        <v>234</v>
      </c>
      <c r="C1997" t="str">
        <f>_xlfn.XLOOKUP(Table7[[#This Row],[app_id]],Table5[app_id],Table5[app_name],"",0)</f>
        <v>WellNow</v>
      </c>
      <c r="D1997" t="s">
        <v>2309</v>
      </c>
      <c r="E1997" s="1">
        <v>45853</v>
      </c>
      <c r="F1997">
        <v>3</v>
      </c>
      <c r="G1997" t="s">
        <v>2718</v>
      </c>
      <c r="H1997" t="s">
        <v>2554</v>
      </c>
      <c r="I1997" t="s">
        <v>2558</v>
      </c>
      <c r="J1997" t="s">
        <v>2569</v>
      </c>
      <c r="K1997">
        <v>45</v>
      </c>
      <c r="L1997" s="13" t="s">
        <v>257</v>
      </c>
    </row>
    <row r="1998" spans="1:12" x14ac:dyDescent="0.25">
      <c r="A1998" t="s">
        <v>4675</v>
      </c>
      <c r="B1998" t="s">
        <v>236</v>
      </c>
      <c r="C1998" t="str">
        <f>_xlfn.XLOOKUP(Table7[[#This Row],[app_id]],Table5[app_id],Table5[app_name],"",0)</f>
        <v>CareCloud</v>
      </c>
      <c r="D1998" t="s">
        <v>1235</v>
      </c>
      <c r="E1998" s="1">
        <v>45434</v>
      </c>
      <c r="F1998">
        <v>2</v>
      </c>
      <c r="G1998" t="s">
        <v>3875</v>
      </c>
      <c r="H1998" t="s">
        <v>2587</v>
      </c>
      <c r="I1998" t="s">
        <v>2575</v>
      </c>
      <c r="J1998" t="s">
        <v>2559</v>
      </c>
      <c r="K1998">
        <v>56</v>
      </c>
      <c r="L1998" s="13" t="s">
        <v>257</v>
      </c>
    </row>
    <row r="1999" spans="1:12" x14ac:dyDescent="0.25">
      <c r="A1999" t="s">
        <v>4676</v>
      </c>
      <c r="B1999" t="s">
        <v>238</v>
      </c>
      <c r="C1999" t="str">
        <f>_xlfn.XLOOKUP(Table7[[#This Row],[app_id]],Table5[app_id],Table5[app_name],"",0)</f>
        <v>MediNow</v>
      </c>
      <c r="D1999" t="s">
        <v>843</v>
      </c>
      <c r="E1999" s="1">
        <v>45725</v>
      </c>
      <c r="F1999">
        <v>5</v>
      </c>
      <c r="G1999" t="s">
        <v>2722</v>
      </c>
      <c r="H1999" t="s">
        <v>2564</v>
      </c>
      <c r="I1999" t="s">
        <v>2571</v>
      </c>
      <c r="J1999" t="s">
        <v>2569</v>
      </c>
      <c r="K1999">
        <v>10</v>
      </c>
      <c r="L1999" s="13" t="s">
        <v>257</v>
      </c>
    </row>
    <row r="2000" spans="1:12" x14ac:dyDescent="0.25">
      <c r="A2000" t="s">
        <v>4677</v>
      </c>
      <c r="B2000" t="s">
        <v>240</v>
      </c>
      <c r="C2000" t="str">
        <f>_xlfn.XLOOKUP(Table7[[#This Row],[app_id]],Table5[app_id],Table5[app_name],"",0)</f>
        <v>MindPlus</v>
      </c>
      <c r="D2000" t="s">
        <v>695</v>
      </c>
      <c r="E2000" s="1">
        <v>45298</v>
      </c>
      <c r="F2000">
        <v>3</v>
      </c>
      <c r="G2000" t="s">
        <v>2718</v>
      </c>
      <c r="H2000" t="s">
        <v>2554</v>
      </c>
      <c r="I2000" t="s">
        <v>2584</v>
      </c>
      <c r="J2000" t="s">
        <v>2566</v>
      </c>
      <c r="K2000">
        <v>25</v>
      </c>
      <c r="L2000" s="13" t="s">
        <v>257</v>
      </c>
    </row>
    <row r="2001" spans="1:12" x14ac:dyDescent="0.25">
      <c r="A2001" t="s">
        <v>4678</v>
      </c>
      <c r="B2001" t="s">
        <v>242</v>
      </c>
      <c r="C2001" t="str">
        <f>_xlfn.XLOOKUP(Table7[[#This Row],[app_id]],Table5[app_id],Table5[app_name],"",0)</f>
        <v>MediCloud</v>
      </c>
      <c r="D2001" t="s">
        <v>1561</v>
      </c>
      <c r="E2001" s="1">
        <v>45611</v>
      </c>
      <c r="F2001">
        <v>4</v>
      </c>
      <c r="G2001" t="s">
        <v>2716</v>
      </c>
      <c r="H2001" t="s">
        <v>2564</v>
      </c>
      <c r="I2001" t="s">
        <v>2565</v>
      </c>
      <c r="J2001" t="s">
        <v>2569</v>
      </c>
      <c r="K2001">
        <v>3</v>
      </c>
      <c r="L2001" s="13" t="s">
        <v>257</v>
      </c>
    </row>
    <row r="2002" spans="1:12" x14ac:dyDescent="0.25">
      <c r="A2002" t="s">
        <v>4679</v>
      </c>
      <c r="B2002" t="s">
        <v>12</v>
      </c>
      <c r="C2002" t="str">
        <f>_xlfn.XLOOKUP(Table7[[#This Row],[app_id]],Table5[app_id],Table5[app_name],"",0)</f>
        <v>InvestPro</v>
      </c>
      <c r="D2002" t="s">
        <v>2129</v>
      </c>
      <c r="E2002" s="1">
        <v>45635</v>
      </c>
      <c r="F2002">
        <v>3</v>
      </c>
      <c r="G2002" t="s">
        <v>2583</v>
      </c>
      <c r="H2002" t="s">
        <v>2554</v>
      </c>
      <c r="I2002" t="s">
        <v>2578</v>
      </c>
      <c r="J2002" t="s">
        <v>2559</v>
      </c>
      <c r="K2002">
        <v>33</v>
      </c>
      <c r="L2002" s="13" t="s">
        <v>257</v>
      </c>
    </row>
    <row r="2003" spans="1:12" x14ac:dyDescent="0.25">
      <c r="A2003" t="s">
        <v>4680</v>
      </c>
      <c r="B2003" t="s">
        <v>19</v>
      </c>
      <c r="C2003" t="str">
        <f>_xlfn.XLOOKUP(Table7[[#This Row],[app_id]],Table5[app_id],Table5[app_name],"",0)</f>
        <v>BankPro</v>
      </c>
      <c r="D2003" t="s">
        <v>2335</v>
      </c>
      <c r="E2003" s="1">
        <v>45449</v>
      </c>
      <c r="F2003">
        <v>5</v>
      </c>
      <c r="G2003" t="s">
        <v>2568</v>
      </c>
      <c r="H2003" t="s">
        <v>2564</v>
      </c>
      <c r="I2003" t="s">
        <v>2565</v>
      </c>
      <c r="J2003" t="s">
        <v>2581</v>
      </c>
      <c r="K2003">
        <v>38</v>
      </c>
      <c r="L2003" s="13" t="s">
        <v>258</v>
      </c>
    </row>
    <row r="2004" spans="1:12" x14ac:dyDescent="0.25">
      <c r="A2004" t="s">
        <v>4681</v>
      </c>
      <c r="B2004" t="s">
        <v>24</v>
      </c>
      <c r="C2004" t="str">
        <f>_xlfn.XLOOKUP(Table7[[#This Row],[app_id]],Table5[app_id],Table5[app_name],"",0)</f>
        <v>BankX</v>
      </c>
      <c r="D2004" t="s">
        <v>1321</v>
      </c>
      <c r="E2004" s="1">
        <v>46070</v>
      </c>
      <c r="F2004">
        <v>3</v>
      </c>
      <c r="G2004" t="s">
        <v>2553</v>
      </c>
      <c r="H2004" t="s">
        <v>2554</v>
      </c>
      <c r="I2004" t="s">
        <v>2558</v>
      </c>
      <c r="J2004" t="s">
        <v>2600</v>
      </c>
      <c r="K2004">
        <v>17</v>
      </c>
      <c r="L2004" s="13" t="s">
        <v>257</v>
      </c>
    </row>
    <row r="2005" spans="1:12" x14ac:dyDescent="0.25">
      <c r="A2005" t="s">
        <v>4682</v>
      </c>
      <c r="B2005" t="s">
        <v>27</v>
      </c>
      <c r="C2005" t="str">
        <f>_xlfn.XLOOKUP(Table7[[#This Row],[app_id]],Table5[app_id],Table5[app_name],"",0)</f>
        <v>BankNow</v>
      </c>
      <c r="D2005" t="s">
        <v>2016</v>
      </c>
      <c r="E2005" s="1">
        <v>45514</v>
      </c>
      <c r="F2005">
        <v>2</v>
      </c>
      <c r="G2005" t="s">
        <v>3276</v>
      </c>
      <c r="H2005" t="s">
        <v>2587</v>
      </c>
      <c r="I2005" t="s">
        <v>2555</v>
      </c>
      <c r="J2005" t="s">
        <v>2603</v>
      </c>
      <c r="K2005">
        <v>73</v>
      </c>
      <c r="L2005" s="13" t="s">
        <v>258</v>
      </c>
    </row>
    <row r="2006" spans="1:12" x14ac:dyDescent="0.25">
      <c r="A2006" t="s">
        <v>4683</v>
      </c>
      <c r="B2006" t="s">
        <v>31</v>
      </c>
      <c r="C2006" t="str">
        <f>_xlfn.XLOOKUP(Table7[[#This Row],[app_id]],Table5[app_id],Table5[app_name],"",0)</f>
        <v>CreditHub</v>
      </c>
      <c r="D2006" t="s">
        <v>2345</v>
      </c>
      <c r="E2006" s="1">
        <v>45527</v>
      </c>
      <c r="F2006">
        <v>4</v>
      </c>
      <c r="G2006" t="s">
        <v>2573</v>
      </c>
      <c r="H2006" t="s">
        <v>2564</v>
      </c>
      <c r="I2006" t="s">
        <v>2575</v>
      </c>
      <c r="J2006" t="s">
        <v>2569</v>
      </c>
      <c r="K2006">
        <v>16</v>
      </c>
      <c r="L2006" s="13" t="s">
        <v>258</v>
      </c>
    </row>
    <row r="2007" spans="1:12" x14ac:dyDescent="0.25">
      <c r="A2007" t="s">
        <v>4684</v>
      </c>
      <c r="B2007" t="s">
        <v>36</v>
      </c>
      <c r="C2007" t="str">
        <f>_xlfn.XLOOKUP(Table7[[#This Row],[app_id]],Table5[app_id],Table5[app_name],"",0)</f>
        <v>PayPlus</v>
      </c>
      <c r="D2007" t="s">
        <v>1058</v>
      </c>
      <c r="E2007" s="1">
        <v>46050</v>
      </c>
      <c r="F2007">
        <v>3</v>
      </c>
      <c r="G2007" t="s">
        <v>2583</v>
      </c>
      <c r="H2007" t="s">
        <v>2554</v>
      </c>
      <c r="I2007" t="s">
        <v>2558</v>
      </c>
      <c r="J2007" t="s">
        <v>2569</v>
      </c>
      <c r="K2007">
        <v>2</v>
      </c>
      <c r="L2007" s="13" t="s">
        <v>257</v>
      </c>
    </row>
    <row r="2008" spans="1:12" x14ac:dyDescent="0.25">
      <c r="A2008" t="s">
        <v>4685</v>
      </c>
      <c r="B2008" t="s">
        <v>39</v>
      </c>
      <c r="C2008" t="str">
        <f>_xlfn.XLOOKUP(Table7[[#This Row],[app_id]],Table5[app_id],Table5[app_name],"",0)</f>
        <v>BankPlus</v>
      </c>
      <c r="D2008" t="s">
        <v>2191</v>
      </c>
      <c r="E2008" s="1">
        <v>46113</v>
      </c>
      <c r="F2008">
        <v>3</v>
      </c>
      <c r="G2008" t="s">
        <v>2735</v>
      </c>
      <c r="H2008" t="s">
        <v>2554</v>
      </c>
      <c r="I2008" t="s">
        <v>2588</v>
      </c>
      <c r="J2008" t="s">
        <v>2561</v>
      </c>
      <c r="K2008">
        <v>28</v>
      </c>
      <c r="L2008" s="13" t="s">
        <v>257</v>
      </c>
    </row>
    <row r="2009" spans="1:12" x14ac:dyDescent="0.25">
      <c r="A2009" t="s">
        <v>4686</v>
      </c>
      <c r="B2009" t="s">
        <v>42</v>
      </c>
      <c r="C2009" t="str">
        <f>_xlfn.XLOOKUP(Table7[[#This Row],[app_id]],Table5[app_id],Table5[app_name],"",0)</f>
        <v>CoinPlus</v>
      </c>
      <c r="D2009" t="s">
        <v>2144</v>
      </c>
      <c r="E2009" s="1">
        <v>46049</v>
      </c>
      <c r="F2009">
        <v>2</v>
      </c>
      <c r="G2009" t="s">
        <v>3486</v>
      </c>
      <c r="H2009" t="s">
        <v>2587</v>
      </c>
      <c r="I2009" t="s">
        <v>2575</v>
      </c>
      <c r="J2009" t="s">
        <v>2559</v>
      </c>
      <c r="K2009">
        <v>52</v>
      </c>
      <c r="L2009" s="13" t="s">
        <v>257</v>
      </c>
    </row>
    <row r="2010" spans="1:12" x14ac:dyDescent="0.25">
      <c r="A2010" t="s">
        <v>4687</v>
      </c>
      <c r="B2010" t="s">
        <v>47</v>
      </c>
      <c r="C2010" t="str">
        <f>_xlfn.XLOOKUP(Table7[[#This Row],[app_id]],Table5[app_id],Table5[app_name],"",0)</f>
        <v>CreditOne</v>
      </c>
      <c r="D2010" t="s">
        <v>1391</v>
      </c>
      <c r="E2010" s="1">
        <v>45946</v>
      </c>
      <c r="F2010">
        <v>3</v>
      </c>
      <c r="G2010" t="s">
        <v>2968</v>
      </c>
      <c r="H2010" t="s">
        <v>2554</v>
      </c>
      <c r="I2010" t="s">
        <v>2565</v>
      </c>
      <c r="J2010" t="s">
        <v>2569</v>
      </c>
      <c r="K2010">
        <v>7</v>
      </c>
      <c r="L2010" s="13" t="s">
        <v>258</v>
      </c>
    </row>
    <row r="2011" spans="1:12" x14ac:dyDescent="0.25">
      <c r="A2011" t="s">
        <v>4688</v>
      </c>
      <c r="B2011" t="s">
        <v>49</v>
      </c>
      <c r="C2011" t="str">
        <f>_xlfn.XLOOKUP(Table7[[#This Row],[app_id]],Table5[app_id],Table5[app_name],"",0)</f>
        <v>PayPro</v>
      </c>
      <c r="D2011" t="s">
        <v>810</v>
      </c>
      <c r="E2011" s="1">
        <v>45422</v>
      </c>
      <c r="F2011">
        <v>3</v>
      </c>
      <c r="G2011" t="s">
        <v>2735</v>
      </c>
      <c r="H2011" t="s">
        <v>2554</v>
      </c>
      <c r="I2011" t="s">
        <v>2575</v>
      </c>
      <c r="J2011" t="s">
        <v>2561</v>
      </c>
      <c r="K2011">
        <v>17</v>
      </c>
      <c r="L2011" s="13" t="s">
        <v>258</v>
      </c>
    </row>
    <row r="2012" spans="1:12" x14ac:dyDescent="0.25">
      <c r="A2012" t="s">
        <v>4689</v>
      </c>
      <c r="B2012" t="s">
        <v>51</v>
      </c>
      <c r="C2012" t="str">
        <f>_xlfn.XLOOKUP(Table7[[#This Row],[app_id]],Table5[app_id],Table5[app_name],"",0)</f>
        <v>Creditly</v>
      </c>
      <c r="D2012" t="s">
        <v>642</v>
      </c>
      <c r="E2012" s="1">
        <v>45580</v>
      </c>
      <c r="F2012">
        <v>4</v>
      </c>
      <c r="G2012" t="s">
        <v>2573</v>
      </c>
      <c r="H2012" t="s">
        <v>2564</v>
      </c>
      <c r="I2012" t="s">
        <v>2555</v>
      </c>
      <c r="J2012" t="s">
        <v>2596</v>
      </c>
      <c r="K2012">
        <v>45</v>
      </c>
      <c r="L2012" s="13" t="s">
        <v>258</v>
      </c>
    </row>
    <row r="2013" spans="1:12" x14ac:dyDescent="0.25">
      <c r="A2013" t="s">
        <v>4690</v>
      </c>
      <c r="B2013" t="s">
        <v>53</v>
      </c>
      <c r="C2013" t="str">
        <f>_xlfn.XLOOKUP(Table7[[#This Row],[app_id]],Table5[app_id],Table5[app_name],"",0)</f>
        <v>PayX</v>
      </c>
      <c r="D2013" t="s">
        <v>2071</v>
      </c>
      <c r="E2013" s="1">
        <v>45487</v>
      </c>
      <c r="F2013">
        <v>4</v>
      </c>
      <c r="G2013" t="s">
        <v>2568</v>
      </c>
      <c r="H2013" t="s">
        <v>2564</v>
      </c>
      <c r="I2013" t="s">
        <v>2565</v>
      </c>
      <c r="J2013" t="s">
        <v>2600</v>
      </c>
      <c r="K2013">
        <v>5</v>
      </c>
      <c r="L2013" s="13" t="s">
        <v>257</v>
      </c>
    </row>
    <row r="2014" spans="1:12" x14ac:dyDescent="0.25">
      <c r="A2014" t="s">
        <v>4691</v>
      </c>
      <c r="B2014" t="s">
        <v>56</v>
      </c>
      <c r="C2014" t="str">
        <f>_xlfn.XLOOKUP(Table7[[#This Row],[app_id]],Table5[app_id],Table5[app_name],"",0)</f>
        <v>DealGo</v>
      </c>
      <c r="D2014" t="s">
        <v>1433</v>
      </c>
      <c r="E2014" s="1">
        <v>45937</v>
      </c>
      <c r="F2014">
        <v>3</v>
      </c>
      <c r="G2014" t="s">
        <v>2594</v>
      </c>
      <c r="H2014" t="s">
        <v>2554</v>
      </c>
      <c r="I2014" t="s">
        <v>2558</v>
      </c>
      <c r="J2014" t="s">
        <v>2559</v>
      </c>
      <c r="K2014">
        <v>24</v>
      </c>
      <c r="L2014" s="13" t="s">
        <v>257</v>
      </c>
    </row>
    <row r="2015" spans="1:12" x14ac:dyDescent="0.25">
      <c r="A2015" t="s">
        <v>4692</v>
      </c>
      <c r="B2015" t="s">
        <v>62</v>
      </c>
      <c r="C2015" t="str">
        <f>_xlfn.XLOOKUP(Table7[[#This Row],[app_id]],Table5[app_id],Table5[app_name],"",0)</f>
        <v>MallNow</v>
      </c>
      <c r="D2015" t="s">
        <v>1045</v>
      </c>
      <c r="E2015" s="1">
        <v>46039</v>
      </c>
      <c r="F2015">
        <v>4</v>
      </c>
      <c r="G2015" t="s">
        <v>2598</v>
      </c>
      <c r="H2015" t="s">
        <v>2564</v>
      </c>
      <c r="I2015" t="s">
        <v>2575</v>
      </c>
      <c r="J2015" t="s">
        <v>2566</v>
      </c>
      <c r="K2015">
        <v>15</v>
      </c>
      <c r="L2015" s="13" t="s">
        <v>257</v>
      </c>
    </row>
    <row r="2016" spans="1:12" x14ac:dyDescent="0.25">
      <c r="A2016" t="s">
        <v>4693</v>
      </c>
      <c r="B2016" t="s">
        <v>65</v>
      </c>
      <c r="C2016" t="str">
        <f>_xlfn.XLOOKUP(Table7[[#This Row],[app_id]],Table5[app_id],Table5[app_name],"",0)</f>
        <v>DealPro</v>
      </c>
      <c r="D2016" t="s">
        <v>668</v>
      </c>
      <c r="E2016" s="1">
        <v>45382</v>
      </c>
      <c r="F2016">
        <v>3</v>
      </c>
      <c r="G2016" t="s">
        <v>2609</v>
      </c>
      <c r="H2016" t="s">
        <v>2554</v>
      </c>
      <c r="I2016" t="s">
        <v>2584</v>
      </c>
      <c r="J2016" t="s">
        <v>2633</v>
      </c>
      <c r="K2016">
        <v>43</v>
      </c>
      <c r="L2016" s="13" t="s">
        <v>257</v>
      </c>
    </row>
    <row r="2017" spans="1:12" x14ac:dyDescent="0.25">
      <c r="A2017" t="s">
        <v>4694</v>
      </c>
      <c r="B2017" t="s">
        <v>67</v>
      </c>
      <c r="C2017" t="str">
        <f>_xlfn.XLOOKUP(Table7[[#This Row],[app_id]],Table5[app_id],Table5[app_name],"",0)</f>
        <v>StyleNow</v>
      </c>
      <c r="D2017" t="s">
        <v>1580</v>
      </c>
      <c r="E2017" s="1">
        <v>45832</v>
      </c>
      <c r="F2017">
        <v>4</v>
      </c>
      <c r="G2017" t="s">
        <v>2592</v>
      </c>
      <c r="H2017" t="s">
        <v>2564</v>
      </c>
      <c r="I2017" t="s">
        <v>2558</v>
      </c>
      <c r="J2017" t="s">
        <v>2581</v>
      </c>
      <c r="K2017">
        <v>22</v>
      </c>
      <c r="L2017" s="13" t="s">
        <v>257</v>
      </c>
    </row>
    <row r="2018" spans="1:12" x14ac:dyDescent="0.25">
      <c r="A2018" t="s">
        <v>4695</v>
      </c>
      <c r="B2018" t="s">
        <v>70</v>
      </c>
      <c r="C2018" t="str">
        <f>_xlfn.XLOOKUP(Table7[[#This Row],[app_id]],Table5[app_id],Table5[app_name],"",0)</f>
        <v>DealCloud</v>
      </c>
      <c r="D2018" t="s">
        <v>1292</v>
      </c>
      <c r="E2018" s="1">
        <v>45303</v>
      </c>
      <c r="F2018">
        <v>3</v>
      </c>
      <c r="G2018" t="s">
        <v>2748</v>
      </c>
      <c r="H2018" t="s">
        <v>2554</v>
      </c>
      <c r="I2018" t="s">
        <v>2584</v>
      </c>
      <c r="J2018" t="s">
        <v>2600</v>
      </c>
      <c r="K2018">
        <v>21</v>
      </c>
      <c r="L2018" s="13" t="s">
        <v>257</v>
      </c>
    </row>
    <row r="2019" spans="1:12" x14ac:dyDescent="0.25">
      <c r="A2019" t="s">
        <v>4696</v>
      </c>
      <c r="B2019" t="s">
        <v>72</v>
      </c>
      <c r="C2019" t="str">
        <f>_xlfn.XLOOKUP(Table7[[#This Row],[app_id]],Table5[app_id],Table5[app_name],"",0)</f>
        <v>CartCloud</v>
      </c>
      <c r="D2019" t="s">
        <v>875</v>
      </c>
      <c r="E2019" s="1">
        <v>45607</v>
      </c>
      <c r="F2019">
        <v>5</v>
      </c>
      <c r="G2019" t="s">
        <v>2592</v>
      </c>
      <c r="H2019" t="s">
        <v>2564</v>
      </c>
      <c r="I2019" t="s">
        <v>2558</v>
      </c>
      <c r="J2019" t="s">
        <v>2561</v>
      </c>
      <c r="K2019">
        <v>33</v>
      </c>
      <c r="L2019" s="13" t="s">
        <v>257</v>
      </c>
    </row>
    <row r="2020" spans="1:12" x14ac:dyDescent="0.25">
      <c r="A2020" t="s">
        <v>4697</v>
      </c>
      <c r="B2020" t="s">
        <v>74</v>
      </c>
      <c r="C2020" t="str">
        <f>_xlfn.XLOOKUP(Table7[[#This Row],[app_id]],Table5[app_id],Table5[app_name],"",0)</f>
        <v>CartMate</v>
      </c>
      <c r="D2020" t="s">
        <v>917</v>
      </c>
      <c r="E2020" s="1">
        <v>45487</v>
      </c>
      <c r="F2020">
        <v>5</v>
      </c>
      <c r="G2020" t="s">
        <v>2867</v>
      </c>
      <c r="H2020" t="s">
        <v>2564</v>
      </c>
      <c r="I2020" t="s">
        <v>2555</v>
      </c>
      <c r="J2020" t="s">
        <v>2600</v>
      </c>
      <c r="K2020">
        <v>28</v>
      </c>
      <c r="L2020" s="13" t="s">
        <v>257</v>
      </c>
    </row>
    <row r="2021" spans="1:12" x14ac:dyDescent="0.25">
      <c r="A2021" t="s">
        <v>4698</v>
      </c>
      <c r="B2021" t="s">
        <v>76</v>
      </c>
      <c r="C2021" t="str">
        <f>_xlfn.XLOOKUP(Table7[[#This Row],[app_id]],Table5[app_id],Table5[app_name],"",0)</f>
        <v>BazaarOne</v>
      </c>
      <c r="D2021" t="s">
        <v>2109</v>
      </c>
      <c r="E2021" s="1">
        <v>46019</v>
      </c>
      <c r="F2021">
        <v>2</v>
      </c>
      <c r="G2021" t="s">
        <v>2605</v>
      </c>
      <c r="H2021" t="s">
        <v>2587</v>
      </c>
      <c r="I2021" t="s">
        <v>2584</v>
      </c>
      <c r="J2021" t="s">
        <v>2600</v>
      </c>
      <c r="K2021">
        <v>70</v>
      </c>
      <c r="L2021" s="13" t="s">
        <v>258</v>
      </c>
    </row>
    <row r="2022" spans="1:12" x14ac:dyDescent="0.25">
      <c r="A2022" t="s">
        <v>4699</v>
      </c>
      <c r="B2022" t="s">
        <v>78</v>
      </c>
      <c r="C2022" t="str">
        <f>_xlfn.XLOOKUP(Table7[[#This Row],[app_id]],Table5[app_id],Table5[app_name],"",0)</f>
        <v>StyleOne</v>
      </c>
      <c r="D2022" t="s">
        <v>2446</v>
      </c>
      <c r="E2022" s="1">
        <v>45452</v>
      </c>
      <c r="F2022">
        <v>4</v>
      </c>
      <c r="G2022" t="s">
        <v>2598</v>
      </c>
      <c r="H2022" t="s">
        <v>2564</v>
      </c>
      <c r="I2022" t="s">
        <v>2575</v>
      </c>
      <c r="J2022" t="s">
        <v>2569</v>
      </c>
      <c r="K2022">
        <v>33</v>
      </c>
      <c r="L2022" s="13" t="s">
        <v>257</v>
      </c>
    </row>
    <row r="2023" spans="1:12" x14ac:dyDescent="0.25">
      <c r="A2023" t="s">
        <v>4700</v>
      </c>
      <c r="B2023" t="s">
        <v>80</v>
      </c>
      <c r="C2023" t="str">
        <f>_xlfn.XLOOKUP(Table7[[#This Row],[app_id]],Table5[app_id],Table5[app_name],"",0)</f>
        <v>Cartly</v>
      </c>
      <c r="D2023" t="s">
        <v>1065</v>
      </c>
      <c r="E2023" s="1">
        <v>45566</v>
      </c>
      <c r="F2023">
        <v>4</v>
      </c>
      <c r="G2023" t="s">
        <v>2867</v>
      </c>
      <c r="H2023" t="s">
        <v>2564</v>
      </c>
      <c r="I2023" t="s">
        <v>2565</v>
      </c>
      <c r="J2023" t="s">
        <v>2566</v>
      </c>
      <c r="K2023">
        <v>25</v>
      </c>
      <c r="L2023" s="13" t="s">
        <v>257</v>
      </c>
    </row>
    <row r="2024" spans="1:12" x14ac:dyDescent="0.25">
      <c r="A2024" t="s">
        <v>4701</v>
      </c>
      <c r="B2024" t="s">
        <v>83</v>
      </c>
      <c r="C2024" t="str">
        <f>_xlfn.XLOOKUP(Table7[[#This Row],[app_id]],Table5[app_id],Table5[app_name],"",0)</f>
        <v>BazaarCloud</v>
      </c>
      <c r="D2024" t="s">
        <v>697</v>
      </c>
      <c r="E2024" s="1">
        <v>45769</v>
      </c>
      <c r="F2024">
        <v>4</v>
      </c>
      <c r="G2024" t="s">
        <v>2598</v>
      </c>
      <c r="H2024" t="s">
        <v>2564</v>
      </c>
      <c r="I2024" t="s">
        <v>2555</v>
      </c>
      <c r="J2024" t="s">
        <v>2556</v>
      </c>
      <c r="K2024">
        <v>42</v>
      </c>
      <c r="L2024" s="13" t="s">
        <v>258</v>
      </c>
    </row>
    <row r="2025" spans="1:12" x14ac:dyDescent="0.25">
      <c r="A2025" t="s">
        <v>4702</v>
      </c>
      <c r="B2025" t="s">
        <v>85</v>
      </c>
      <c r="C2025" t="str">
        <f>_xlfn.XLOOKUP(Table7[[#This Row],[app_id]],Table5[app_id],Table5[app_name],"",0)</f>
        <v>CartPro</v>
      </c>
      <c r="D2025" t="s">
        <v>753</v>
      </c>
      <c r="E2025" s="1">
        <v>45315</v>
      </c>
      <c r="F2025">
        <v>3</v>
      </c>
      <c r="G2025" t="s">
        <v>2609</v>
      </c>
      <c r="H2025" t="s">
        <v>2554</v>
      </c>
      <c r="I2025" t="s">
        <v>2555</v>
      </c>
      <c r="J2025" t="s">
        <v>2566</v>
      </c>
      <c r="K2025">
        <v>11</v>
      </c>
      <c r="L2025" s="13" t="s">
        <v>257</v>
      </c>
    </row>
    <row r="2026" spans="1:12" x14ac:dyDescent="0.25">
      <c r="A2026" t="s">
        <v>4703</v>
      </c>
      <c r="B2026" t="s">
        <v>87</v>
      </c>
      <c r="C2026" t="str">
        <f>_xlfn.XLOOKUP(Table7[[#This Row],[app_id]],Table5[app_id],Table5[app_name],"",0)</f>
        <v>RunPlus</v>
      </c>
      <c r="D2026" t="s">
        <v>1029</v>
      </c>
      <c r="E2026" s="1">
        <v>45999</v>
      </c>
      <c r="F2026">
        <v>3</v>
      </c>
      <c r="G2026" t="s">
        <v>2615</v>
      </c>
      <c r="H2026" t="s">
        <v>2554</v>
      </c>
      <c r="I2026" t="s">
        <v>2565</v>
      </c>
      <c r="J2026" t="s">
        <v>2600</v>
      </c>
      <c r="K2026">
        <v>36</v>
      </c>
      <c r="L2026" s="13" t="s">
        <v>257</v>
      </c>
    </row>
    <row r="2027" spans="1:12" x14ac:dyDescent="0.25">
      <c r="A2027" t="s">
        <v>4704</v>
      </c>
      <c r="B2027" t="s">
        <v>90</v>
      </c>
      <c r="C2027" t="str">
        <f>_xlfn.XLOOKUP(Table7[[#This Row],[app_id]],Table5[app_id],Table5[app_name],"",0)</f>
        <v>TrainCloud</v>
      </c>
      <c r="D2027" t="s">
        <v>2038</v>
      </c>
      <c r="E2027" s="1">
        <v>45985</v>
      </c>
      <c r="F2027">
        <v>4</v>
      </c>
      <c r="G2027" t="s">
        <v>2625</v>
      </c>
      <c r="H2027" t="s">
        <v>2564</v>
      </c>
      <c r="I2027" t="s">
        <v>2571</v>
      </c>
      <c r="J2027" t="s">
        <v>2633</v>
      </c>
      <c r="K2027">
        <v>47</v>
      </c>
      <c r="L2027" s="13" t="s">
        <v>257</v>
      </c>
    </row>
    <row r="2028" spans="1:12" x14ac:dyDescent="0.25">
      <c r="A2028" t="s">
        <v>4705</v>
      </c>
      <c r="B2028" t="s">
        <v>92</v>
      </c>
      <c r="C2028" t="str">
        <f>_xlfn.XLOOKUP(Table7[[#This Row],[app_id]],Table5[app_id],Table5[app_name],"",0)</f>
        <v>Trainly</v>
      </c>
      <c r="D2028" t="s">
        <v>1968</v>
      </c>
      <c r="E2028" s="1">
        <v>46011</v>
      </c>
      <c r="F2028">
        <v>4</v>
      </c>
      <c r="G2028" t="s">
        <v>2625</v>
      </c>
      <c r="H2028" t="s">
        <v>2564</v>
      </c>
      <c r="I2028" t="s">
        <v>2571</v>
      </c>
      <c r="J2028" t="s">
        <v>2581</v>
      </c>
      <c r="K2028">
        <v>16</v>
      </c>
      <c r="L2028" s="13" t="s">
        <v>258</v>
      </c>
    </row>
    <row r="2029" spans="1:12" x14ac:dyDescent="0.25">
      <c r="A2029" t="s">
        <v>4706</v>
      </c>
      <c r="B2029" t="s">
        <v>94</v>
      </c>
      <c r="C2029" t="str">
        <f>_xlfn.XLOOKUP(Table7[[#This Row],[app_id]],Table5[app_id],Table5[app_name],"",0)</f>
        <v>LiftCloud</v>
      </c>
      <c r="D2029" t="s">
        <v>2264</v>
      </c>
      <c r="E2029" s="1">
        <v>45869</v>
      </c>
      <c r="F2029">
        <v>4</v>
      </c>
      <c r="G2029" t="s">
        <v>2625</v>
      </c>
      <c r="H2029" t="s">
        <v>2564</v>
      </c>
      <c r="I2029" t="s">
        <v>2565</v>
      </c>
      <c r="J2029" t="s">
        <v>2581</v>
      </c>
      <c r="K2029">
        <v>27</v>
      </c>
      <c r="L2029" s="13" t="s">
        <v>257</v>
      </c>
    </row>
    <row r="2030" spans="1:12" x14ac:dyDescent="0.25">
      <c r="A2030" t="s">
        <v>4707</v>
      </c>
      <c r="B2030" t="s">
        <v>96</v>
      </c>
      <c r="C2030" t="str">
        <f>_xlfn.XLOOKUP(Table7[[#This Row],[app_id]],Table5[app_id],Table5[app_name],"",0)</f>
        <v>MoveNow</v>
      </c>
      <c r="D2030" t="s">
        <v>1831</v>
      </c>
      <c r="E2030" s="1">
        <v>45618</v>
      </c>
      <c r="F2030">
        <v>5</v>
      </c>
      <c r="G2030" t="s">
        <v>2617</v>
      </c>
      <c r="H2030" t="s">
        <v>2564</v>
      </c>
      <c r="I2030" t="s">
        <v>2558</v>
      </c>
      <c r="J2030" t="s">
        <v>2556</v>
      </c>
      <c r="K2030">
        <v>37</v>
      </c>
      <c r="L2030" s="13" t="s">
        <v>258</v>
      </c>
    </row>
    <row r="2031" spans="1:12" x14ac:dyDescent="0.25">
      <c r="A2031" t="s">
        <v>4708</v>
      </c>
      <c r="B2031" t="s">
        <v>98</v>
      </c>
      <c r="C2031" t="str">
        <f>_xlfn.XLOOKUP(Table7[[#This Row],[app_id]],Table5[app_id],Table5[app_name],"",0)</f>
        <v>ActiveMate</v>
      </c>
      <c r="D2031" t="s">
        <v>1875</v>
      </c>
      <c r="E2031" s="1">
        <v>45568</v>
      </c>
      <c r="F2031">
        <v>3</v>
      </c>
      <c r="G2031" t="s">
        <v>2611</v>
      </c>
      <c r="H2031" t="s">
        <v>2554</v>
      </c>
      <c r="I2031" t="s">
        <v>2555</v>
      </c>
      <c r="J2031" t="s">
        <v>2633</v>
      </c>
      <c r="K2031">
        <v>22</v>
      </c>
      <c r="L2031" s="13" t="s">
        <v>257</v>
      </c>
    </row>
    <row r="2032" spans="1:12" x14ac:dyDescent="0.25">
      <c r="A2032" t="s">
        <v>4709</v>
      </c>
      <c r="B2032" t="s">
        <v>100</v>
      </c>
      <c r="C2032" t="str">
        <f>_xlfn.XLOOKUP(Table7[[#This Row],[app_id]],Table5[app_id],Table5[app_name],"",0)</f>
        <v>RunGo</v>
      </c>
      <c r="D2032" t="s">
        <v>1351</v>
      </c>
      <c r="E2032" s="1">
        <v>45901</v>
      </c>
      <c r="F2032">
        <v>2</v>
      </c>
      <c r="G2032" t="s">
        <v>2759</v>
      </c>
      <c r="H2032" t="s">
        <v>2587</v>
      </c>
      <c r="I2032" t="s">
        <v>2575</v>
      </c>
      <c r="J2032" t="s">
        <v>2596</v>
      </c>
      <c r="K2032">
        <v>27</v>
      </c>
      <c r="L2032" s="13" t="s">
        <v>257</v>
      </c>
    </row>
    <row r="2033" spans="1:12" x14ac:dyDescent="0.25">
      <c r="A2033" t="s">
        <v>4710</v>
      </c>
      <c r="B2033" t="s">
        <v>102</v>
      </c>
      <c r="C2033" t="str">
        <f>_xlfn.XLOOKUP(Table7[[#This Row],[app_id]],Table5[app_id],Table5[app_name],"",0)</f>
        <v>LiftPro</v>
      </c>
      <c r="D2033" t="s">
        <v>1048</v>
      </c>
      <c r="E2033" s="1">
        <v>45913</v>
      </c>
      <c r="F2033">
        <v>5</v>
      </c>
      <c r="G2033" t="s">
        <v>2622</v>
      </c>
      <c r="H2033" t="s">
        <v>2564</v>
      </c>
      <c r="I2033" t="s">
        <v>2565</v>
      </c>
      <c r="J2033" t="s">
        <v>2633</v>
      </c>
      <c r="K2033">
        <v>22</v>
      </c>
      <c r="L2033" s="13" t="s">
        <v>258</v>
      </c>
    </row>
    <row r="2034" spans="1:12" x14ac:dyDescent="0.25">
      <c r="A2034" t="s">
        <v>4711</v>
      </c>
      <c r="B2034" t="s">
        <v>104</v>
      </c>
      <c r="C2034" t="str">
        <f>_xlfn.XLOOKUP(Table7[[#This Row],[app_id]],Table5[app_id],Table5[app_name],"",0)</f>
        <v>LiftPro</v>
      </c>
      <c r="D2034" t="s">
        <v>2300</v>
      </c>
      <c r="E2034" s="1">
        <v>45438</v>
      </c>
      <c r="F2034">
        <v>4</v>
      </c>
      <c r="G2034" t="s">
        <v>2625</v>
      </c>
      <c r="H2034" t="s">
        <v>2564</v>
      </c>
      <c r="I2034" t="s">
        <v>2565</v>
      </c>
      <c r="J2034" t="s">
        <v>2566</v>
      </c>
      <c r="K2034">
        <v>30</v>
      </c>
      <c r="L2034" s="13" t="s">
        <v>258</v>
      </c>
    </row>
    <row r="2035" spans="1:12" x14ac:dyDescent="0.25">
      <c r="A2035" t="s">
        <v>4712</v>
      </c>
      <c r="B2035" t="s">
        <v>105</v>
      </c>
      <c r="C2035" t="str">
        <f>_xlfn.XLOOKUP(Table7[[#This Row],[app_id]],Table5[app_id],Table5[app_name],"",0)</f>
        <v>Liftly</v>
      </c>
      <c r="D2035" t="s">
        <v>2311</v>
      </c>
      <c r="E2035" s="1">
        <v>45899</v>
      </c>
      <c r="F2035">
        <v>3</v>
      </c>
      <c r="G2035" t="s">
        <v>2620</v>
      </c>
      <c r="H2035" t="s">
        <v>2554</v>
      </c>
      <c r="I2035" t="s">
        <v>2575</v>
      </c>
      <c r="J2035" t="s">
        <v>2569</v>
      </c>
      <c r="K2035">
        <v>28</v>
      </c>
      <c r="L2035" s="13" t="s">
        <v>257</v>
      </c>
    </row>
    <row r="2036" spans="1:12" x14ac:dyDescent="0.25">
      <c r="A2036" t="s">
        <v>4713</v>
      </c>
      <c r="B2036" t="s">
        <v>107</v>
      </c>
      <c r="C2036" t="str">
        <f>_xlfn.XLOOKUP(Table7[[#This Row],[app_id]],Table5[app_id],Table5[app_name],"",0)</f>
        <v>YogaHub</v>
      </c>
      <c r="D2036" t="s">
        <v>2118</v>
      </c>
      <c r="E2036" s="1">
        <v>45884</v>
      </c>
      <c r="F2036">
        <v>5</v>
      </c>
      <c r="G2036" t="s">
        <v>2622</v>
      </c>
      <c r="H2036" t="s">
        <v>2564</v>
      </c>
      <c r="I2036" t="s">
        <v>2575</v>
      </c>
      <c r="J2036" t="s">
        <v>2633</v>
      </c>
      <c r="K2036">
        <v>25</v>
      </c>
      <c r="L2036" s="13" t="s">
        <v>258</v>
      </c>
    </row>
    <row r="2037" spans="1:12" x14ac:dyDescent="0.25">
      <c r="A2037" t="s">
        <v>4714</v>
      </c>
      <c r="B2037" t="s">
        <v>109</v>
      </c>
      <c r="C2037" t="str">
        <f>_xlfn.XLOOKUP(Table7[[#This Row],[app_id]],Table5[app_id],Table5[app_name],"",0)</f>
        <v>MoveGo</v>
      </c>
      <c r="D2037" t="s">
        <v>1171</v>
      </c>
      <c r="E2037" s="1">
        <v>45709</v>
      </c>
      <c r="F2037">
        <v>4</v>
      </c>
      <c r="G2037" t="s">
        <v>2622</v>
      </c>
      <c r="H2037" t="s">
        <v>2564</v>
      </c>
      <c r="I2037" t="s">
        <v>2575</v>
      </c>
      <c r="J2037" t="s">
        <v>2600</v>
      </c>
      <c r="K2037">
        <v>42</v>
      </c>
      <c r="L2037" s="13" t="s">
        <v>257</v>
      </c>
    </row>
    <row r="2038" spans="1:12" x14ac:dyDescent="0.25">
      <c r="A2038" t="s">
        <v>4715</v>
      </c>
      <c r="B2038" t="s">
        <v>111</v>
      </c>
      <c r="C2038" t="str">
        <f>_xlfn.XLOOKUP(Table7[[#This Row],[app_id]],Table5[app_id],Table5[app_name],"",0)</f>
        <v>BrightNow</v>
      </c>
      <c r="D2038" t="s">
        <v>2537</v>
      </c>
      <c r="E2038" s="1">
        <v>45647</v>
      </c>
      <c r="F2038">
        <v>3</v>
      </c>
      <c r="G2038" t="s">
        <v>2646</v>
      </c>
      <c r="H2038" t="s">
        <v>2554</v>
      </c>
      <c r="I2038" t="s">
        <v>2565</v>
      </c>
      <c r="J2038" t="s">
        <v>2581</v>
      </c>
      <c r="K2038">
        <v>42</v>
      </c>
      <c r="L2038" s="13" t="s">
        <v>257</v>
      </c>
    </row>
    <row r="2039" spans="1:12" x14ac:dyDescent="0.25">
      <c r="A2039" t="s">
        <v>4716</v>
      </c>
      <c r="B2039" t="s">
        <v>114</v>
      </c>
      <c r="C2039" t="str">
        <f>_xlfn.XLOOKUP(Table7[[#This Row],[app_id]],Table5[app_id],Table5[app_name],"",0)</f>
        <v>StudyCloud</v>
      </c>
      <c r="D2039" t="s">
        <v>737</v>
      </c>
      <c r="E2039" s="1">
        <v>45494</v>
      </c>
      <c r="F2039">
        <v>2</v>
      </c>
      <c r="G2039" t="s">
        <v>2632</v>
      </c>
      <c r="H2039" t="s">
        <v>2587</v>
      </c>
      <c r="I2039" t="s">
        <v>2565</v>
      </c>
      <c r="J2039" t="s">
        <v>2561</v>
      </c>
      <c r="K2039">
        <v>21</v>
      </c>
      <c r="L2039" s="13" t="s">
        <v>258</v>
      </c>
    </row>
    <row r="2040" spans="1:12" x14ac:dyDescent="0.25">
      <c r="A2040" t="s">
        <v>4717</v>
      </c>
      <c r="B2040" t="s">
        <v>116</v>
      </c>
      <c r="C2040" t="str">
        <f>_xlfn.XLOOKUP(Table7[[#This Row],[app_id]],Table5[app_id],Table5[app_name],"",0)</f>
        <v>SkillNow</v>
      </c>
      <c r="D2040" t="s">
        <v>2202</v>
      </c>
      <c r="E2040" s="1">
        <v>45464</v>
      </c>
      <c r="F2040">
        <v>3</v>
      </c>
      <c r="G2040" t="s">
        <v>2646</v>
      </c>
      <c r="H2040" t="s">
        <v>2554</v>
      </c>
      <c r="I2040" t="s">
        <v>2555</v>
      </c>
      <c r="J2040" t="s">
        <v>2561</v>
      </c>
      <c r="K2040">
        <v>43</v>
      </c>
      <c r="L2040" s="13" t="s">
        <v>257</v>
      </c>
    </row>
    <row r="2041" spans="1:12" x14ac:dyDescent="0.25">
      <c r="A2041" t="s">
        <v>4718</v>
      </c>
      <c r="B2041" t="s">
        <v>118</v>
      </c>
      <c r="C2041" t="str">
        <f>_xlfn.XLOOKUP(Table7[[#This Row],[app_id]],Table5[app_id],Table5[app_name],"",0)</f>
        <v>LearnMate</v>
      </c>
      <c r="D2041" t="s">
        <v>2351</v>
      </c>
      <c r="E2041" s="1">
        <v>45853</v>
      </c>
      <c r="F2041">
        <v>4</v>
      </c>
      <c r="G2041" t="s">
        <v>2780</v>
      </c>
      <c r="H2041" t="s">
        <v>2564</v>
      </c>
      <c r="I2041" t="s">
        <v>2575</v>
      </c>
      <c r="J2041" t="s">
        <v>2600</v>
      </c>
      <c r="K2041">
        <v>46</v>
      </c>
      <c r="L2041" s="13" t="s">
        <v>257</v>
      </c>
    </row>
    <row r="2042" spans="1:12" x14ac:dyDescent="0.25">
      <c r="A2042" t="s">
        <v>4719</v>
      </c>
      <c r="B2042" t="s">
        <v>120</v>
      </c>
      <c r="C2042" t="str">
        <f>_xlfn.XLOOKUP(Table7[[#This Row],[app_id]],Table5[app_id],Table5[app_name],"",0)</f>
        <v>QuestNow</v>
      </c>
      <c r="D2042" t="s">
        <v>1301</v>
      </c>
      <c r="E2042" s="1">
        <v>45487</v>
      </c>
      <c r="F2042">
        <v>4</v>
      </c>
      <c r="G2042" t="s">
        <v>2780</v>
      </c>
      <c r="H2042" t="s">
        <v>2564</v>
      </c>
      <c r="I2042" t="s">
        <v>2565</v>
      </c>
      <c r="J2042" t="s">
        <v>2600</v>
      </c>
      <c r="K2042">
        <v>38</v>
      </c>
      <c r="L2042" s="13" t="s">
        <v>257</v>
      </c>
    </row>
    <row r="2043" spans="1:12" x14ac:dyDescent="0.25">
      <c r="A2043" t="s">
        <v>4720</v>
      </c>
      <c r="B2043" t="s">
        <v>122</v>
      </c>
      <c r="C2043" t="str">
        <f>_xlfn.XLOOKUP(Table7[[#This Row],[app_id]],Table5[app_id],Table5[app_name],"",0)</f>
        <v>SkillHub</v>
      </c>
      <c r="D2043" t="s">
        <v>2203</v>
      </c>
      <c r="E2043" s="1">
        <v>45754</v>
      </c>
      <c r="F2043">
        <v>4</v>
      </c>
      <c r="G2043" t="s">
        <v>2780</v>
      </c>
      <c r="H2043" t="s">
        <v>2564</v>
      </c>
      <c r="I2043" t="s">
        <v>2575</v>
      </c>
      <c r="J2043" t="s">
        <v>2559</v>
      </c>
      <c r="K2043">
        <v>9</v>
      </c>
      <c r="L2043" s="13" t="s">
        <v>258</v>
      </c>
    </row>
    <row r="2044" spans="1:12" x14ac:dyDescent="0.25">
      <c r="A2044" t="s">
        <v>4721</v>
      </c>
      <c r="B2044" t="s">
        <v>124</v>
      </c>
      <c r="C2044" t="str">
        <f>_xlfn.XLOOKUP(Table7[[#This Row],[app_id]],Table5[app_id],Table5[app_name],"",0)</f>
        <v>TutorCloud</v>
      </c>
      <c r="D2044" t="s">
        <v>2189</v>
      </c>
      <c r="E2044" s="1">
        <v>45752</v>
      </c>
      <c r="F2044">
        <v>4</v>
      </c>
      <c r="G2044" t="s">
        <v>2638</v>
      </c>
      <c r="H2044" t="s">
        <v>2564</v>
      </c>
      <c r="I2044" t="s">
        <v>2555</v>
      </c>
      <c r="J2044" t="s">
        <v>2596</v>
      </c>
      <c r="K2044">
        <v>34</v>
      </c>
      <c r="L2044" s="13" t="s">
        <v>257</v>
      </c>
    </row>
    <row r="2045" spans="1:12" x14ac:dyDescent="0.25">
      <c r="A2045" t="s">
        <v>4722</v>
      </c>
      <c r="B2045" t="s">
        <v>126</v>
      </c>
      <c r="C2045" t="str">
        <f>_xlfn.XLOOKUP(Table7[[#This Row],[app_id]],Table5[app_id],Table5[app_name],"",0)</f>
        <v>SkillOne</v>
      </c>
      <c r="D2045" t="s">
        <v>1964</v>
      </c>
      <c r="E2045" s="1">
        <v>45572</v>
      </c>
      <c r="F2045">
        <v>2</v>
      </c>
      <c r="G2045" t="s">
        <v>2644</v>
      </c>
      <c r="H2045" t="s">
        <v>2587</v>
      </c>
      <c r="I2045" t="s">
        <v>2584</v>
      </c>
      <c r="J2045" t="s">
        <v>2559</v>
      </c>
      <c r="K2045">
        <v>14</v>
      </c>
      <c r="L2045" s="13" t="s">
        <v>257</v>
      </c>
    </row>
    <row r="2046" spans="1:12" x14ac:dyDescent="0.25">
      <c r="A2046" t="s">
        <v>4723</v>
      </c>
      <c r="B2046" t="s">
        <v>128</v>
      </c>
      <c r="C2046" t="str">
        <f>_xlfn.XLOOKUP(Table7[[#This Row],[app_id]],Table5[app_id],Table5[app_name],"",0)</f>
        <v>LearnOne</v>
      </c>
      <c r="D2046" t="s">
        <v>2009</v>
      </c>
      <c r="E2046" s="1">
        <v>45811</v>
      </c>
      <c r="F2046">
        <v>2</v>
      </c>
      <c r="G2046" t="s">
        <v>2632</v>
      </c>
      <c r="H2046" t="s">
        <v>2587</v>
      </c>
      <c r="I2046" t="s">
        <v>2588</v>
      </c>
      <c r="J2046" t="s">
        <v>2603</v>
      </c>
      <c r="K2046">
        <v>39</v>
      </c>
      <c r="L2046" s="13" t="s">
        <v>257</v>
      </c>
    </row>
    <row r="2047" spans="1:12" x14ac:dyDescent="0.25">
      <c r="A2047" t="s">
        <v>4724</v>
      </c>
      <c r="B2047" t="s">
        <v>130</v>
      </c>
      <c r="C2047" t="str">
        <f>_xlfn.XLOOKUP(Table7[[#This Row],[app_id]],Table5[app_id],Table5[app_name],"",0)</f>
        <v>LearnPlus</v>
      </c>
      <c r="D2047" t="s">
        <v>1411</v>
      </c>
      <c r="E2047" s="1">
        <v>45858</v>
      </c>
      <c r="F2047">
        <v>3</v>
      </c>
      <c r="G2047" t="s">
        <v>2646</v>
      </c>
      <c r="H2047" t="s">
        <v>2554</v>
      </c>
      <c r="I2047" t="s">
        <v>2565</v>
      </c>
      <c r="J2047" t="s">
        <v>2561</v>
      </c>
      <c r="K2047">
        <v>43</v>
      </c>
      <c r="L2047" s="13" t="s">
        <v>257</v>
      </c>
    </row>
    <row r="2048" spans="1:12" x14ac:dyDescent="0.25">
      <c r="A2048" t="s">
        <v>4725</v>
      </c>
      <c r="B2048" t="s">
        <v>132</v>
      </c>
      <c r="C2048" t="str">
        <f>_xlfn.XLOOKUP(Table7[[#This Row],[app_id]],Table5[app_id],Table5[app_name],"",0)</f>
        <v>StudyPlus</v>
      </c>
      <c r="D2048" t="s">
        <v>1323</v>
      </c>
      <c r="E2048" s="1">
        <v>46062</v>
      </c>
      <c r="F2048">
        <v>4</v>
      </c>
      <c r="G2048" t="s">
        <v>2780</v>
      </c>
      <c r="H2048" t="s">
        <v>2564</v>
      </c>
      <c r="I2048" t="s">
        <v>2565</v>
      </c>
      <c r="J2048" t="s">
        <v>2600</v>
      </c>
      <c r="K2048">
        <v>2</v>
      </c>
      <c r="L2048" s="13" t="s">
        <v>257</v>
      </c>
    </row>
    <row r="2049" spans="1:12" x14ac:dyDescent="0.25">
      <c r="A2049" t="s">
        <v>4726</v>
      </c>
      <c r="B2049" t="s">
        <v>134</v>
      </c>
      <c r="C2049" t="str">
        <f>_xlfn.XLOOKUP(Table7[[#This Row],[app_id]],Table5[app_id],Table5[app_name],"",0)</f>
        <v>StudyX</v>
      </c>
      <c r="D2049" t="s">
        <v>1045</v>
      </c>
      <c r="E2049" s="1">
        <v>46125</v>
      </c>
      <c r="F2049">
        <v>5</v>
      </c>
      <c r="G2049" t="s">
        <v>2638</v>
      </c>
      <c r="H2049" t="s">
        <v>2564</v>
      </c>
      <c r="I2049" t="s">
        <v>2555</v>
      </c>
      <c r="J2049" t="s">
        <v>2600</v>
      </c>
      <c r="K2049">
        <v>39</v>
      </c>
      <c r="L2049" s="13" t="s">
        <v>257</v>
      </c>
    </row>
    <row r="2050" spans="1:12" x14ac:dyDescent="0.25">
      <c r="A2050" t="s">
        <v>4727</v>
      </c>
      <c r="B2050" t="s">
        <v>136</v>
      </c>
      <c r="C2050" t="str">
        <f>_xlfn.XLOOKUP(Table7[[#This Row],[app_id]],Table5[app_id],Table5[app_name],"",0)</f>
        <v>PlayPlus</v>
      </c>
      <c r="D2050" t="s">
        <v>731</v>
      </c>
      <c r="E2050" s="1">
        <v>45676</v>
      </c>
      <c r="F2050">
        <v>5</v>
      </c>
      <c r="G2050" t="s">
        <v>2789</v>
      </c>
      <c r="H2050" t="s">
        <v>2564</v>
      </c>
      <c r="I2050" t="s">
        <v>2555</v>
      </c>
      <c r="J2050" t="s">
        <v>2566</v>
      </c>
      <c r="K2050">
        <v>13</v>
      </c>
      <c r="L2050" s="13" t="s">
        <v>257</v>
      </c>
    </row>
    <row r="2051" spans="1:12" x14ac:dyDescent="0.25">
      <c r="A2051" t="s">
        <v>4728</v>
      </c>
      <c r="B2051" t="s">
        <v>139</v>
      </c>
      <c r="C2051" t="str">
        <f>_xlfn.XLOOKUP(Table7[[#This Row],[app_id]],Table5[app_id],Table5[app_name],"",0)</f>
        <v>ShowMate</v>
      </c>
      <c r="D2051" t="s">
        <v>723</v>
      </c>
      <c r="E2051" s="1">
        <v>45320</v>
      </c>
      <c r="F2051">
        <v>4</v>
      </c>
      <c r="G2051" t="s">
        <v>2789</v>
      </c>
      <c r="H2051" t="s">
        <v>2564</v>
      </c>
      <c r="I2051" t="s">
        <v>2555</v>
      </c>
      <c r="J2051" t="s">
        <v>2569</v>
      </c>
      <c r="K2051">
        <v>33</v>
      </c>
      <c r="L2051" s="13" t="s">
        <v>257</v>
      </c>
    </row>
    <row r="2052" spans="1:12" x14ac:dyDescent="0.25">
      <c r="A2052" t="s">
        <v>4729</v>
      </c>
      <c r="B2052" t="s">
        <v>141</v>
      </c>
      <c r="C2052" t="str">
        <f>_xlfn.XLOOKUP(Table7[[#This Row],[app_id]],Table5[app_id],Table5[app_name],"",0)</f>
        <v>VibeX</v>
      </c>
      <c r="D2052" t="s">
        <v>1503</v>
      </c>
      <c r="E2052" s="1">
        <v>45621</v>
      </c>
      <c r="F2052">
        <v>3</v>
      </c>
      <c r="G2052" t="s">
        <v>2655</v>
      </c>
      <c r="H2052" t="s">
        <v>2554</v>
      </c>
      <c r="I2052" t="s">
        <v>2565</v>
      </c>
      <c r="J2052" t="s">
        <v>2581</v>
      </c>
      <c r="K2052">
        <v>33</v>
      </c>
      <c r="L2052" s="13" t="s">
        <v>258</v>
      </c>
    </row>
    <row r="2053" spans="1:12" x14ac:dyDescent="0.25">
      <c r="A2053" t="s">
        <v>4730</v>
      </c>
      <c r="B2053" t="s">
        <v>143</v>
      </c>
      <c r="C2053" t="str">
        <f>_xlfn.XLOOKUP(Table7[[#This Row],[app_id]],Table5[app_id],Table5[app_name],"",0)</f>
        <v>BuzzNow</v>
      </c>
      <c r="D2053" t="s">
        <v>2280</v>
      </c>
      <c r="E2053" s="1">
        <v>45705</v>
      </c>
      <c r="F2053">
        <v>4</v>
      </c>
      <c r="G2053" t="s">
        <v>2905</v>
      </c>
      <c r="H2053" t="s">
        <v>2564</v>
      </c>
      <c r="I2053" t="s">
        <v>2565</v>
      </c>
      <c r="J2053" t="s">
        <v>2596</v>
      </c>
      <c r="K2053">
        <v>44</v>
      </c>
      <c r="L2053" s="13" t="s">
        <v>257</v>
      </c>
    </row>
    <row r="2054" spans="1:12" x14ac:dyDescent="0.25">
      <c r="A2054" t="s">
        <v>4731</v>
      </c>
      <c r="B2054" t="s">
        <v>145</v>
      </c>
      <c r="C2054" t="str">
        <f>_xlfn.XLOOKUP(Table7[[#This Row],[app_id]],Table5[app_id],Table5[app_name],"",0)</f>
        <v>StreamPlus</v>
      </c>
      <c r="D2054" t="s">
        <v>2196</v>
      </c>
      <c r="E2054" s="1">
        <v>45746</v>
      </c>
      <c r="F2054">
        <v>3</v>
      </c>
      <c r="G2054" t="s">
        <v>2793</v>
      </c>
      <c r="H2054" t="s">
        <v>2554</v>
      </c>
      <c r="I2054" t="s">
        <v>2571</v>
      </c>
      <c r="J2054" t="s">
        <v>2559</v>
      </c>
      <c r="K2054">
        <v>42</v>
      </c>
      <c r="L2054" s="13" t="s">
        <v>258</v>
      </c>
    </row>
    <row r="2055" spans="1:12" x14ac:dyDescent="0.25">
      <c r="A2055" t="s">
        <v>4732</v>
      </c>
      <c r="B2055" t="s">
        <v>147</v>
      </c>
      <c r="C2055" t="str">
        <f>_xlfn.XLOOKUP(Table7[[#This Row],[app_id]],Table5[app_id],Table5[app_name],"",0)</f>
        <v>Showly</v>
      </c>
      <c r="D2055" t="s">
        <v>2155</v>
      </c>
      <c r="E2055" s="1">
        <v>45684</v>
      </c>
      <c r="F2055">
        <v>2</v>
      </c>
      <c r="G2055" t="s">
        <v>2907</v>
      </c>
      <c r="H2055" t="s">
        <v>2587</v>
      </c>
      <c r="I2055" t="s">
        <v>2584</v>
      </c>
      <c r="J2055" t="s">
        <v>2600</v>
      </c>
      <c r="K2055">
        <v>24</v>
      </c>
      <c r="L2055" s="13" t="s">
        <v>257</v>
      </c>
    </row>
    <row r="2056" spans="1:12" x14ac:dyDescent="0.25">
      <c r="A2056" t="s">
        <v>4733</v>
      </c>
      <c r="B2056" t="s">
        <v>149</v>
      </c>
      <c r="C2056" t="str">
        <f>_xlfn.XLOOKUP(Table7[[#This Row],[app_id]],Table5[app_id],Table5[app_name],"",0)</f>
        <v>BuzzOne</v>
      </c>
      <c r="D2056" t="s">
        <v>1285</v>
      </c>
      <c r="E2056" s="1">
        <v>46108</v>
      </c>
      <c r="F2056">
        <v>4</v>
      </c>
      <c r="G2056" t="s">
        <v>2905</v>
      </c>
      <c r="H2056" t="s">
        <v>2564</v>
      </c>
      <c r="I2056" t="s">
        <v>2565</v>
      </c>
      <c r="J2056" t="s">
        <v>2633</v>
      </c>
      <c r="K2056">
        <v>5</v>
      </c>
      <c r="L2056" s="13" t="s">
        <v>257</v>
      </c>
    </row>
    <row r="2057" spans="1:12" x14ac:dyDescent="0.25">
      <c r="A2057" t="s">
        <v>4734</v>
      </c>
      <c r="B2057" t="s">
        <v>151</v>
      </c>
      <c r="C2057" t="str">
        <f>_xlfn.XLOOKUP(Table7[[#This Row],[app_id]],Table5[app_id],Table5[app_name],"",0)</f>
        <v>PlayHub</v>
      </c>
      <c r="D2057" t="s">
        <v>2015</v>
      </c>
      <c r="E2057" s="1">
        <v>45383</v>
      </c>
      <c r="F2057">
        <v>3</v>
      </c>
      <c r="G2057" t="s">
        <v>2793</v>
      </c>
      <c r="H2057" t="s">
        <v>2554</v>
      </c>
      <c r="I2057" t="s">
        <v>2578</v>
      </c>
      <c r="J2057" t="s">
        <v>2556</v>
      </c>
      <c r="K2057">
        <v>18</v>
      </c>
      <c r="L2057" s="13" t="s">
        <v>257</v>
      </c>
    </row>
    <row r="2058" spans="1:12" x14ac:dyDescent="0.25">
      <c r="A2058" t="s">
        <v>4735</v>
      </c>
      <c r="B2058" t="s">
        <v>153</v>
      </c>
      <c r="C2058" t="str">
        <f>_xlfn.XLOOKUP(Table7[[#This Row],[app_id]],Table5[app_id],Table5[app_name],"",0)</f>
        <v>CinemaGo</v>
      </c>
      <c r="D2058" t="s">
        <v>1786</v>
      </c>
      <c r="E2058" s="1">
        <v>45745</v>
      </c>
      <c r="F2058">
        <v>5</v>
      </c>
      <c r="G2058" t="s">
        <v>2650</v>
      </c>
      <c r="H2058" t="s">
        <v>2564</v>
      </c>
      <c r="I2058" t="s">
        <v>2558</v>
      </c>
      <c r="J2058" t="s">
        <v>2600</v>
      </c>
      <c r="K2058">
        <v>13</v>
      </c>
      <c r="L2058" s="13" t="s">
        <v>257</v>
      </c>
    </row>
    <row r="2059" spans="1:12" x14ac:dyDescent="0.25">
      <c r="A2059" t="s">
        <v>4736</v>
      </c>
      <c r="B2059" t="s">
        <v>155</v>
      </c>
      <c r="C2059" t="str">
        <f>_xlfn.XLOOKUP(Table7[[#This Row],[app_id]],Table5[app_id],Table5[app_name],"",0)</f>
        <v>LaughX</v>
      </c>
      <c r="D2059" t="s">
        <v>1381</v>
      </c>
      <c r="E2059" s="1">
        <v>45427</v>
      </c>
      <c r="F2059">
        <v>3</v>
      </c>
      <c r="G2059" t="s">
        <v>2791</v>
      </c>
      <c r="H2059" t="s">
        <v>2554</v>
      </c>
      <c r="I2059" t="s">
        <v>2584</v>
      </c>
      <c r="J2059" t="s">
        <v>2561</v>
      </c>
      <c r="K2059">
        <v>12</v>
      </c>
      <c r="L2059" s="13" t="s">
        <v>257</v>
      </c>
    </row>
    <row r="2060" spans="1:12" x14ac:dyDescent="0.25">
      <c r="A2060" t="s">
        <v>4737</v>
      </c>
      <c r="B2060" t="s">
        <v>157</v>
      </c>
      <c r="C2060" t="str">
        <f>_xlfn.XLOOKUP(Table7[[#This Row],[app_id]],Table5[app_id],Table5[app_name],"",0)</f>
        <v>CinemaHub</v>
      </c>
      <c r="D2060" t="s">
        <v>1882</v>
      </c>
      <c r="E2060" s="1">
        <v>45712</v>
      </c>
      <c r="F2060">
        <v>4</v>
      </c>
      <c r="G2060" t="s">
        <v>2652</v>
      </c>
      <c r="H2060" t="s">
        <v>2564</v>
      </c>
      <c r="I2060" t="s">
        <v>2571</v>
      </c>
      <c r="J2060" t="s">
        <v>2633</v>
      </c>
      <c r="K2060">
        <v>25</v>
      </c>
      <c r="L2060" s="13" t="s">
        <v>257</v>
      </c>
    </row>
    <row r="2061" spans="1:12" x14ac:dyDescent="0.25">
      <c r="A2061" t="s">
        <v>4738</v>
      </c>
      <c r="B2061" t="s">
        <v>159</v>
      </c>
      <c r="C2061" t="str">
        <f>_xlfn.XLOOKUP(Table7[[#This Row],[app_id]],Table5[app_id],Table5[app_name],"",0)</f>
        <v>ShowPro</v>
      </c>
      <c r="D2061" t="s">
        <v>2252</v>
      </c>
      <c r="E2061" s="1">
        <v>45716</v>
      </c>
      <c r="F2061">
        <v>3</v>
      </c>
      <c r="G2061" t="s">
        <v>2791</v>
      </c>
      <c r="H2061" t="s">
        <v>2554</v>
      </c>
      <c r="I2061" t="s">
        <v>2575</v>
      </c>
      <c r="J2061" t="s">
        <v>2581</v>
      </c>
      <c r="K2061">
        <v>17</v>
      </c>
      <c r="L2061" s="13" t="s">
        <v>258</v>
      </c>
    </row>
    <row r="2062" spans="1:12" x14ac:dyDescent="0.25">
      <c r="A2062" t="s">
        <v>4739</v>
      </c>
      <c r="B2062" t="s">
        <v>161</v>
      </c>
      <c r="C2062" t="str">
        <f>_xlfn.XLOOKUP(Table7[[#This Row],[app_id]],Table5[app_id],Table5[app_name],"",0)</f>
        <v>FoodPlus</v>
      </c>
      <c r="D2062" t="s">
        <v>1544</v>
      </c>
      <c r="E2062" s="1">
        <v>45301</v>
      </c>
      <c r="F2062">
        <v>3</v>
      </c>
      <c r="G2062" t="s">
        <v>2666</v>
      </c>
      <c r="H2062" t="s">
        <v>2554</v>
      </c>
      <c r="I2062" t="s">
        <v>2571</v>
      </c>
      <c r="J2062" t="s">
        <v>2556</v>
      </c>
      <c r="K2062">
        <v>12</v>
      </c>
      <c r="L2062" s="13" t="s">
        <v>257</v>
      </c>
    </row>
    <row r="2063" spans="1:12" x14ac:dyDescent="0.25">
      <c r="A2063" t="s">
        <v>4740</v>
      </c>
      <c r="B2063" t="s">
        <v>164</v>
      </c>
      <c r="C2063" t="str">
        <f>_xlfn.XLOOKUP(Table7[[#This Row],[app_id]],Table5[app_id],Table5[app_name],"",0)</f>
        <v>BiteGo</v>
      </c>
      <c r="D2063" t="s">
        <v>1730</v>
      </c>
      <c r="E2063" s="1">
        <v>45908</v>
      </c>
      <c r="F2063">
        <v>3</v>
      </c>
      <c r="G2063" t="s">
        <v>2670</v>
      </c>
      <c r="H2063" t="s">
        <v>2554</v>
      </c>
      <c r="I2063" t="s">
        <v>2565</v>
      </c>
      <c r="J2063" t="s">
        <v>2600</v>
      </c>
      <c r="K2063">
        <v>41</v>
      </c>
      <c r="L2063" s="13" t="s">
        <v>258</v>
      </c>
    </row>
    <row r="2064" spans="1:12" x14ac:dyDescent="0.25">
      <c r="A2064" t="s">
        <v>4741</v>
      </c>
      <c r="B2064" t="s">
        <v>166</v>
      </c>
      <c r="C2064" t="str">
        <f>_xlfn.XLOOKUP(Table7[[#This Row],[app_id]],Table5[app_id],Table5[app_name],"",0)</f>
        <v>OrderCloud</v>
      </c>
      <c r="D2064" t="s">
        <v>1161</v>
      </c>
      <c r="E2064" s="1">
        <v>45927</v>
      </c>
      <c r="F2064">
        <v>4</v>
      </c>
      <c r="G2064" t="s">
        <v>2806</v>
      </c>
      <c r="H2064" t="s">
        <v>2564</v>
      </c>
      <c r="I2064" t="s">
        <v>2571</v>
      </c>
      <c r="J2064" t="s">
        <v>2581</v>
      </c>
      <c r="K2064">
        <v>38</v>
      </c>
      <c r="L2064" s="13" t="s">
        <v>257</v>
      </c>
    </row>
    <row r="2065" spans="1:12" x14ac:dyDescent="0.25">
      <c r="A2065" t="s">
        <v>4742</v>
      </c>
      <c r="B2065" t="s">
        <v>168</v>
      </c>
      <c r="C2065" t="str">
        <f>_xlfn.XLOOKUP(Table7[[#This Row],[app_id]],Table5[app_id],Table5[app_name],"",0)</f>
        <v>DinePlus</v>
      </c>
      <c r="D2065" t="s">
        <v>647</v>
      </c>
      <c r="E2065" s="1">
        <v>45892</v>
      </c>
      <c r="F2065">
        <v>4</v>
      </c>
      <c r="G2065" t="s">
        <v>2806</v>
      </c>
      <c r="H2065" t="s">
        <v>2564</v>
      </c>
      <c r="I2065" t="s">
        <v>2558</v>
      </c>
      <c r="J2065" t="s">
        <v>2633</v>
      </c>
      <c r="K2065">
        <v>11</v>
      </c>
      <c r="L2065" s="13" t="s">
        <v>257</v>
      </c>
    </row>
    <row r="2066" spans="1:12" x14ac:dyDescent="0.25">
      <c r="A2066" t="s">
        <v>4743</v>
      </c>
      <c r="B2066" t="s">
        <v>170</v>
      </c>
      <c r="C2066" t="str">
        <f>_xlfn.XLOOKUP(Table7[[#This Row],[app_id]],Table5[app_id],Table5[app_name],"",0)</f>
        <v>SnackX</v>
      </c>
      <c r="D2066" t="s">
        <v>2164</v>
      </c>
      <c r="E2066" s="1">
        <v>45650</v>
      </c>
      <c r="F2066">
        <v>4</v>
      </c>
      <c r="G2066" t="s">
        <v>2679</v>
      </c>
      <c r="H2066" t="s">
        <v>2564</v>
      </c>
      <c r="I2066" t="s">
        <v>2565</v>
      </c>
      <c r="J2066" t="s">
        <v>2559</v>
      </c>
      <c r="K2066">
        <v>14</v>
      </c>
      <c r="L2066" s="13" t="s">
        <v>257</v>
      </c>
    </row>
    <row r="2067" spans="1:12" x14ac:dyDescent="0.25">
      <c r="A2067" t="s">
        <v>4744</v>
      </c>
      <c r="B2067" t="s">
        <v>172</v>
      </c>
      <c r="C2067" t="str">
        <f>_xlfn.XLOOKUP(Table7[[#This Row],[app_id]],Table5[app_id],Table5[app_name],"",0)</f>
        <v>FoodOne</v>
      </c>
      <c r="D2067" t="s">
        <v>2188</v>
      </c>
      <c r="E2067" s="1">
        <v>45418</v>
      </c>
      <c r="F2067">
        <v>3</v>
      </c>
      <c r="G2067" t="s">
        <v>2672</v>
      </c>
      <c r="H2067" t="s">
        <v>2554</v>
      </c>
      <c r="I2067" t="s">
        <v>2584</v>
      </c>
      <c r="J2067" t="s">
        <v>2633</v>
      </c>
      <c r="K2067">
        <v>12</v>
      </c>
      <c r="L2067" s="13" t="s">
        <v>257</v>
      </c>
    </row>
    <row r="2068" spans="1:12" x14ac:dyDescent="0.25">
      <c r="A2068" t="s">
        <v>4745</v>
      </c>
      <c r="B2068" t="s">
        <v>174</v>
      </c>
      <c r="C2068" t="str">
        <f>_xlfn.XLOOKUP(Table7[[#This Row],[app_id]],Table5[app_id],Table5[app_name],"",0)</f>
        <v>MealMate</v>
      </c>
      <c r="D2068" t="s">
        <v>1648</v>
      </c>
      <c r="E2068" s="1">
        <v>45607</v>
      </c>
      <c r="F2068">
        <v>4</v>
      </c>
      <c r="G2068" t="s">
        <v>2676</v>
      </c>
      <c r="H2068" t="s">
        <v>2564</v>
      </c>
      <c r="I2068" t="s">
        <v>2565</v>
      </c>
      <c r="J2068" t="s">
        <v>2566</v>
      </c>
      <c r="K2068">
        <v>25</v>
      </c>
      <c r="L2068" s="13" t="s">
        <v>258</v>
      </c>
    </row>
    <row r="2069" spans="1:12" x14ac:dyDescent="0.25">
      <c r="A2069" t="s">
        <v>4746</v>
      </c>
      <c r="B2069" t="s">
        <v>176</v>
      </c>
      <c r="C2069" t="str">
        <f>_xlfn.XLOOKUP(Table7[[#This Row],[app_id]],Table5[app_id],Table5[app_name],"",0)</f>
        <v>SnackHub</v>
      </c>
      <c r="D2069" t="s">
        <v>2515</v>
      </c>
      <c r="E2069" s="1">
        <v>45429</v>
      </c>
      <c r="F2069">
        <v>3</v>
      </c>
      <c r="G2069" t="s">
        <v>2666</v>
      </c>
      <c r="H2069" t="s">
        <v>2554</v>
      </c>
      <c r="I2069" t="s">
        <v>2588</v>
      </c>
      <c r="J2069" t="s">
        <v>2603</v>
      </c>
      <c r="K2069">
        <v>29</v>
      </c>
      <c r="L2069" s="13" t="s">
        <v>257</v>
      </c>
    </row>
    <row r="2070" spans="1:12" x14ac:dyDescent="0.25">
      <c r="A2070" t="s">
        <v>4747</v>
      </c>
      <c r="B2070" t="s">
        <v>178</v>
      </c>
      <c r="C2070" t="str">
        <f>_xlfn.XLOOKUP(Table7[[#This Row],[app_id]],Table5[app_id],Table5[app_name],"",0)</f>
        <v>BiteCloud</v>
      </c>
      <c r="D2070" t="s">
        <v>1001</v>
      </c>
      <c r="E2070" s="1">
        <v>45386</v>
      </c>
      <c r="F2070">
        <v>5</v>
      </c>
      <c r="G2070" t="s">
        <v>2674</v>
      </c>
      <c r="H2070" t="s">
        <v>2564</v>
      </c>
      <c r="I2070" t="s">
        <v>2565</v>
      </c>
      <c r="J2070" t="s">
        <v>2566</v>
      </c>
      <c r="K2070">
        <v>30</v>
      </c>
      <c r="L2070" s="13" t="s">
        <v>257</v>
      </c>
    </row>
    <row r="2071" spans="1:12" x14ac:dyDescent="0.25">
      <c r="A2071" t="s">
        <v>4748</v>
      </c>
      <c r="B2071" t="s">
        <v>180</v>
      </c>
      <c r="C2071" t="str">
        <f>_xlfn.XLOOKUP(Table7[[#This Row],[app_id]],Table5[app_id],Table5[app_name],"",0)</f>
        <v>PlatePlus</v>
      </c>
      <c r="D2071" t="s">
        <v>1396</v>
      </c>
      <c r="E2071" s="1">
        <v>45981</v>
      </c>
      <c r="F2071">
        <v>4</v>
      </c>
      <c r="G2071" t="s">
        <v>2806</v>
      </c>
      <c r="H2071" t="s">
        <v>2564</v>
      </c>
      <c r="I2071" t="s">
        <v>2565</v>
      </c>
      <c r="J2071" t="s">
        <v>2569</v>
      </c>
      <c r="K2071">
        <v>42</v>
      </c>
      <c r="L2071" s="13" t="s">
        <v>257</v>
      </c>
    </row>
    <row r="2072" spans="1:12" x14ac:dyDescent="0.25">
      <c r="A2072" t="s">
        <v>4749</v>
      </c>
      <c r="B2072" t="s">
        <v>182</v>
      </c>
      <c r="C2072" t="str">
        <f>_xlfn.XLOOKUP(Table7[[#This Row],[app_id]],Table5[app_id],Table5[app_name],"",0)</f>
        <v>VoyageGo</v>
      </c>
      <c r="D2072" t="s">
        <v>2524</v>
      </c>
      <c r="E2072" s="1">
        <v>46059</v>
      </c>
      <c r="F2072">
        <v>5</v>
      </c>
      <c r="G2072" t="s">
        <v>2931</v>
      </c>
      <c r="H2072" t="s">
        <v>2564</v>
      </c>
      <c r="I2072" t="s">
        <v>2575</v>
      </c>
      <c r="J2072" t="s">
        <v>2561</v>
      </c>
      <c r="K2072">
        <v>1</v>
      </c>
      <c r="L2072" s="13" t="s">
        <v>257</v>
      </c>
    </row>
    <row r="2073" spans="1:12" x14ac:dyDescent="0.25">
      <c r="A2073" t="s">
        <v>4750</v>
      </c>
      <c r="B2073" t="s">
        <v>185</v>
      </c>
      <c r="C2073" t="str">
        <f>_xlfn.XLOOKUP(Table7[[#This Row],[app_id]],Table5[app_id],Table5[app_name],"",0)</f>
        <v>TripOne</v>
      </c>
      <c r="D2073" t="s">
        <v>825</v>
      </c>
      <c r="E2073" s="1">
        <v>45879</v>
      </c>
      <c r="F2073">
        <v>3</v>
      </c>
      <c r="G2073" t="s">
        <v>2815</v>
      </c>
      <c r="H2073" t="s">
        <v>2554</v>
      </c>
      <c r="I2073" t="s">
        <v>2565</v>
      </c>
      <c r="J2073" t="s">
        <v>2633</v>
      </c>
      <c r="K2073">
        <v>11</v>
      </c>
      <c r="L2073" s="13" t="s">
        <v>257</v>
      </c>
    </row>
    <row r="2074" spans="1:12" x14ac:dyDescent="0.25">
      <c r="A2074" t="s">
        <v>4751</v>
      </c>
      <c r="B2074" t="s">
        <v>187</v>
      </c>
      <c r="C2074" t="str">
        <f>_xlfn.XLOOKUP(Table7[[#This Row],[app_id]],Table5[app_id],Table5[app_name],"",0)</f>
        <v>FlyGo</v>
      </c>
      <c r="D2074" t="s">
        <v>2062</v>
      </c>
      <c r="E2074" s="1">
        <v>45558</v>
      </c>
      <c r="F2074">
        <v>4</v>
      </c>
      <c r="G2074" t="s">
        <v>2929</v>
      </c>
      <c r="H2074" t="s">
        <v>2564</v>
      </c>
      <c r="I2074" t="s">
        <v>2558</v>
      </c>
      <c r="J2074" t="s">
        <v>2581</v>
      </c>
      <c r="K2074">
        <v>6</v>
      </c>
      <c r="L2074" s="13" t="s">
        <v>257</v>
      </c>
    </row>
    <row r="2075" spans="1:12" x14ac:dyDescent="0.25">
      <c r="A2075" t="s">
        <v>4752</v>
      </c>
      <c r="B2075" t="s">
        <v>189</v>
      </c>
      <c r="C2075" t="str">
        <f>_xlfn.XLOOKUP(Table7[[#This Row],[app_id]],Table5[app_id],Table5[app_name],"",0)</f>
        <v>MapX</v>
      </c>
      <c r="D2075" t="s">
        <v>1652</v>
      </c>
      <c r="E2075" s="1">
        <v>45700</v>
      </c>
      <c r="F2075">
        <v>4</v>
      </c>
      <c r="G2075" t="s">
        <v>2931</v>
      </c>
      <c r="H2075" t="s">
        <v>2564</v>
      </c>
      <c r="I2075" t="s">
        <v>2558</v>
      </c>
      <c r="J2075" t="s">
        <v>2556</v>
      </c>
      <c r="K2075">
        <v>17</v>
      </c>
      <c r="L2075" s="13" t="s">
        <v>257</v>
      </c>
    </row>
    <row r="2076" spans="1:12" x14ac:dyDescent="0.25">
      <c r="A2076" t="s">
        <v>4753</v>
      </c>
      <c r="B2076" t="s">
        <v>191</v>
      </c>
      <c r="C2076" t="str">
        <f>_xlfn.XLOOKUP(Table7[[#This Row],[app_id]],Table5[app_id],Table5[app_name],"",0)</f>
        <v>StayX</v>
      </c>
      <c r="D2076" t="s">
        <v>1625</v>
      </c>
      <c r="E2076" s="1">
        <v>45951</v>
      </c>
      <c r="F2076">
        <v>4</v>
      </c>
      <c r="G2076" t="s">
        <v>2929</v>
      </c>
      <c r="H2076" t="s">
        <v>2564</v>
      </c>
      <c r="I2076" t="s">
        <v>2575</v>
      </c>
      <c r="J2076" t="s">
        <v>2556</v>
      </c>
      <c r="K2076">
        <v>12</v>
      </c>
      <c r="L2076" s="13" t="s">
        <v>258</v>
      </c>
    </row>
    <row r="2077" spans="1:12" x14ac:dyDescent="0.25">
      <c r="A2077" t="s">
        <v>4754</v>
      </c>
      <c r="B2077" t="s">
        <v>193</v>
      </c>
      <c r="C2077" t="str">
        <f>_xlfn.XLOOKUP(Table7[[#This Row],[app_id]],Table5[app_id],Table5[app_name],"",0)</f>
        <v>GoNow</v>
      </c>
      <c r="D2077" t="s">
        <v>2204</v>
      </c>
      <c r="E2077" s="1">
        <v>45726</v>
      </c>
      <c r="F2077">
        <v>3</v>
      </c>
      <c r="G2077" t="s">
        <v>2695</v>
      </c>
      <c r="H2077" t="s">
        <v>2554</v>
      </c>
      <c r="I2077" t="s">
        <v>2565</v>
      </c>
      <c r="J2077" t="s">
        <v>2559</v>
      </c>
      <c r="K2077">
        <v>6</v>
      </c>
      <c r="L2077" s="13" t="s">
        <v>258</v>
      </c>
    </row>
    <row r="2078" spans="1:12" x14ac:dyDescent="0.25">
      <c r="A2078" t="s">
        <v>4755</v>
      </c>
      <c r="B2078" t="s">
        <v>195</v>
      </c>
      <c r="C2078" t="str">
        <f>_xlfn.XLOOKUP(Table7[[#This Row],[app_id]],Table5[app_id],Table5[app_name],"",0)</f>
        <v>RouteGo</v>
      </c>
      <c r="D2078" t="s">
        <v>2014</v>
      </c>
      <c r="E2078" s="1">
        <v>45424</v>
      </c>
      <c r="F2078">
        <v>3</v>
      </c>
      <c r="G2078" t="s">
        <v>2690</v>
      </c>
      <c r="H2078" t="s">
        <v>2554</v>
      </c>
      <c r="I2078" t="s">
        <v>2555</v>
      </c>
      <c r="J2078" t="s">
        <v>2561</v>
      </c>
      <c r="K2078">
        <v>19</v>
      </c>
      <c r="L2078" s="13" t="s">
        <v>257</v>
      </c>
    </row>
    <row r="2079" spans="1:12" x14ac:dyDescent="0.25">
      <c r="A2079" t="s">
        <v>4756</v>
      </c>
      <c r="B2079" t="s">
        <v>197</v>
      </c>
      <c r="C2079" t="str">
        <f>_xlfn.XLOOKUP(Table7[[#This Row],[app_id]],Table5[app_id],Table5[app_name],"",0)</f>
        <v>TripGo</v>
      </c>
      <c r="D2079" t="s">
        <v>911</v>
      </c>
      <c r="E2079" s="1">
        <v>45564</v>
      </c>
      <c r="F2079">
        <v>4</v>
      </c>
      <c r="G2079" t="s">
        <v>2683</v>
      </c>
      <c r="H2079" t="s">
        <v>2564</v>
      </c>
      <c r="I2079" t="s">
        <v>2555</v>
      </c>
      <c r="J2079" t="s">
        <v>2561</v>
      </c>
      <c r="K2079">
        <v>26</v>
      </c>
      <c r="L2079" s="13" t="s">
        <v>257</v>
      </c>
    </row>
    <row r="2080" spans="1:12" x14ac:dyDescent="0.25">
      <c r="A2080" t="s">
        <v>4757</v>
      </c>
      <c r="B2080" t="s">
        <v>199</v>
      </c>
      <c r="C2080" t="str">
        <f>_xlfn.XLOOKUP(Table7[[#This Row],[app_id]],Table5[app_id],Table5[app_name],"",0)</f>
        <v>Flyly</v>
      </c>
      <c r="D2080" t="s">
        <v>1445</v>
      </c>
      <c r="E2080" s="1">
        <v>45555</v>
      </c>
      <c r="F2080">
        <v>3</v>
      </c>
      <c r="G2080" t="s">
        <v>2815</v>
      </c>
      <c r="H2080" t="s">
        <v>2554</v>
      </c>
      <c r="I2080" t="s">
        <v>2571</v>
      </c>
      <c r="J2080" t="s">
        <v>2633</v>
      </c>
      <c r="K2080">
        <v>46</v>
      </c>
      <c r="L2080" s="13" t="s">
        <v>257</v>
      </c>
    </row>
    <row r="2081" spans="1:12" x14ac:dyDescent="0.25">
      <c r="A2081" t="s">
        <v>4758</v>
      </c>
      <c r="B2081" t="s">
        <v>201</v>
      </c>
      <c r="C2081" t="str">
        <f>_xlfn.XLOOKUP(Table7[[#This Row],[app_id]],Table5[app_id],Table5[app_name],"",0)</f>
        <v>TripPro</v>
      </c>
      <c r="D2081" t="s">
        <v>934</v>
      </c>
      <c r="E2081" s="1">
        <v>45485</v>
      </c>
      <c r="F2081">
        <v>5</v>
      </c>
      <c r="G2081" t="s">
        <v>2687</v>
      </c>
      <c r="H2081" t="s">
        <v>2564</v>
      </c>
      <c r="I2081" t="s">
        <v>2571</v>
      </c>
      <c r="J2081" t="s">
        <v>2569</v>
      </c>
      <c r="K2081">
        <v>22</v>
      </c>
      <c r="L2081" s="13" t="s">
        <v>257</v>
      </c>
    </row>
    <row r="2082" spans="1:12" x14ac:dyDescent="0.25">
      <c r="A2082" t="s">
        <v>4759</v>
      </c>
      <c r="B2082" t="s">
        <v>203</v>
      </c>
      <c r="C2082" t="str">
        <f>_xlfn.XLOOKUP(Table7[[#This Row],[app_id]],Table5[app_id],Table5[app_name],"",0)</f>
        <v>Focusly</v>
      </c>
      <c r="D2082" t="s">
        <v>2177</v>
      </c>
      <c r="E2082" s="1">
        <v>45847</v>
      </c>
      <c r="F2082">
        <v>4</v>
      </c>
      <c r="G2082" t="s">
        <v>2836</v>
      </c>
      <c r="H2082" t="s">
        <v>2564</v>
      </c>
      <c r="I2082" t="s">
        <v>2575</v>
      </c>
      <c r="J2082" t="s">
        <v>2561</v>
      </c>
      <c r="K2082">
        <v>35</v>
      </c>
      <c r="L2082" s="13" t="s">
        <v>257</v>
      </c>
    </row>
    <row r="2083" spans="1:12" x14ac:dyDescent="0.25">
      <c r="A2083" t="s">
        <v>4760</v>
      </c>
      <c r="B2083" t="s">
        <v>206</v>
      </c>
      <c r="C2083" t="str">
        <f>_xlfn.XLOOKUP(Table7[[#This Row],[app_id]],Table5[app_id],Table5[app_name],"",0)</f>
        <v>DeskX</v>
      </c>
      <c r="D2083" t="s">
        <v>784</v>
      </c>
      <c r="E2083" s="1">
        <v>46041</v>
      </c>
      <c r="F2083">
        <v>4</v>
      </c>
      <c r="G2083" t="s">
        <v>2700</v>
      </c>
      <c r="H2083" t="s">
        <v>2564</v>
      </c>
      <c r="I2083" t="s">
        <v>2575</v>
      </c>
      <c r="J2083" t="s">
        <v>2556</v>
      </c>
      <c r="K2083">
        <v>23</v>
      </c>
      <c r="L2083" s="13" t="s">
        <v>258</v>
      </c>
    </row>
    <row r="2084" spans="1:12" x14ac:dyDescent="0.25">
      <c r="A2084" t="s">
        <v>4761</v>
      </c>
      <c r="B2084" t="s">
        <v>208</v>
      </c>
      <c r="C2084" t="str">
        <f>_xlfn.XLOOKUP(Table7[[#This Row],[app_id]],Table5[app_id],Table5[app_name],"",0)</f>
        <v>DonePro</v>
      </c>
      <c r="D2084" t="s">
        <v>1134</v>
      </c>
      <c r="E2084" s="1">
        <v>45902</v>
      </c>
      <c r="F2084">
        <v>3</v>
      </c>
      <c r="G2084" t="s">
        <v>2710</v>
      </c>
      <c r="H2084" t="s">
        <v>2554</v>
      </c>
      <c r="I2084" t="s">
        <v>2578</v>
      </c>
      <c r="J2084" t="s">
        <v>2561</v>
      </c>
      <c r="K2084">
        <v>25</v>
      </c>
      <c r="L2084" s="13" t="s">
        <v>257</v>
      </c>
    </row>
    <row r="2085" spans="1:12" x14ac:dyDescent="0.25">
      <c r="A2085" t="s">
        <v>4762</v>
      </c>
      <c r="B2085" t="s">
        <v>210</v>
      </c>
      <c r="C2085" t="str">
        <f>_xlfn.XLOOKUP(Table7[[#This Row],[app_id]],Table5[app_id],Table5[app_name],"",0)</f>
        <v>NotePlus</v>
      </c>
      <c r="D2085" t="s">
        <v>954</v>
      </c>
      <c r="E2085" s="1">
        <v>46004</v>
      </c>
      <c r="F2085">
        <v>5</v>
      </c>
      <c r="G2085" t="s">
        <v>2708</v>
      </c>
      <c r="H2085" t="s">
        <v>2564</v>
      </c>
      <c r="I2085" t="s">
        <v>2571</v>
      </c>
      <c r="J2085" t="s">
        <v>2569</v>
      </c>
      <c r="K2085">
        <v>31</v>
      </c>
      <c r="L2085" s="13" t="s">
        <v>258</v>
      </c>
    </row>
    <row r="2086" spans="1:12" x14ac:dyDescent="0.25">
      <c r="A2086" t="s">
        <v>4763</v>
      </c>
      <c r="B2086" t="s">
        <v>212</v>
      </c>
      <c r="C2086" t="str">
        <f>_xlfn.XLOOKUP(Table7[[#This Row],[app_id]],Table5[app_id],Table5[app_name],"",0)</f>
        <v>SyncPlus</v>
      </c>
      <c r="D2086" t="s">
        <v>2530</v>
      </c>
      <c r="E2086" s="1">
        <v>45900</v>
      </c>
      <c r="F2086">
        <v>2</v>
      </c>
      <c r="G2086" t="s">
        <v>2827</v>
      </c>
      <c r="H2086" t="s">
        <v>2587</v>
      </c>
      <c r="I2086" t="s">
        <v>2558</v>
      </c>
      <c r="J2086" t="s">
        <v>2569</v>
      </c>
      <c r="K2086">
        <v>19</v>
      </c>
      <c r="L2086" s="13" t="s">
        <v>257</v>
      </c>
    </row>
    <row r="2087" spans="1:12" x14ac:dyDescent="0.25">
      <c r="A2087" t="s">
        <v>4764</v>
      </c>
      <c r="B2087" t="s">
        <v>214</v>
      </c>
      <c r="C2087" t="str">
        <f>_xlfn.XLOOKUP(Table7[[#This Row],[app_id]],Table5[app_id],Table5[app_name],"",0)</f>
        <v>NoteOne</v>
      </c>
      <c r="D2087" t="s">
        <v>2537</v>
      </c>
      <c r="E2087" s="1">
        <v>45383</v>
      </c>
      <c r="F2087">
        <v>5</v>
      </c>
      <c r="G2087" t="s">
        <v>2708</v>
      </c>
      <c r="H2087" t="s">
        <v>2564</v>
      </c>
      <c r="I2087" t="s">
        <v>2575</v>
      </c>
      <c r="J2087" t="s">
        <v>2561</v>
      </c>
      <c r="K2087">
        <v>19</v>
      </c>
      <c r="L2087" s="13" t="s">
        <v>257</v>
      </c>
    </row>
    <row r="2088" spans="1:12" x14ac:dyDescent="0.25">
      <c r="A2088" t="s">
        <v>4765</v>
      </c>
      <c r="B2088" t="s">
        <v>216</v>
      </c>
      <c r="C2088" t="str">
        <f>_xlfn.XLOOKUP(Table7[[#This Row],[app_id]],Table5[app_id],Table5[app_name],"",0)</f>
        <v>NoteMate</v>
      </c>
      <c r="D2088" t="s">
        <v>2497</v>
      </c>
      <c r="E2088" s="1">
        <v>45378</v>
      </c>
      <c r="F2088">
        <v>3</v>
      </c>
      <c r="G2088" t="s">
        <v>2706</v>
      </c>
      <c r="H2088" t="s">
        <v>2554</v>
      </c>
      <c r="I2088" t="s">
        <v>2565</v>
      </c>
      <c r="J2088" t="s">
        <v>2566</v>
      </c>
      <c r="K2088">
        <v>3</v>
      </c>
      <c r="L2088" s="13" t="s">
        <v>257</v>
      </c>
    </row>
    <row r="2089" spans="1:12" x14ac:dyDescent="0.25">
      <c r="A2089" t="s">
        <v>4766</v>
      </c>
      <c r="B2089" t="s">
        <v>218</v>
      </c>
      <c r="C2089" t="str">
        <f>_xlfn.XLOOKUP(Table7[[#This Row],[app_id]],Table5[app_id],Table5[app_name],"",0)</f>
        <v>PlanPlus</v>
      </c>
      <c r="D2089" t="s">
        <v>1858</v>
      </c>
      <c r="E2089" s="1">
        <v>45912</v>
      </c>
      <c r="F2089">
        <v>4</v>
      </c>
      <c r="G2089" t="s">
        <v>2708</v>
      </c>
      <c r="H2089" t="s">
        <v>2564</v>
      </c>
      <c r="I2089" t="s">
        <v>2558</v>
      </c>
      <c r="J2089" t="s">
        <v>2566</v>
      </c>
      <c r="K2089">
        <v>13</v>
      </c>
      <c r="L2089" s="13" t="s">
        <v>257</v>
      </c>
    </row>
    <row r="2090" spans="1:12" x14ac:dyDescent="0.25">
      <c r="A2090" t="s">
        <v>4767</v>
      </c>
      <c r="B2090" t="s">
        <v>220</v>
      </c>
      <c r="C2090" t="str">
        <f>_xlfn.XLOOKUP(Table7[[#This Row],[app_id]],Table5[app_id],Table5[app_name],"",0)</f>
        <v>PlanMate</v>
      </c>
      <c r="D2090" t="s">
        <v>1706</v>
      </c>
      <c r="E2090" s="1">
        <v>45410</v>
      </c>
      <c r="F2090">
        <v>2</v>
      </c>
      <c r="G2090" t="s">
        <v>3051</v>
      </c>
      <c r="H2090" t="s">
        <v>2587</v>
      </c>
      <c r="I2090" t="s">
        <v>2555</v>
      </c>
      <c r="J2090" t="s">
        <v>2569</v>
      </c>
      <c r="K2090">
        <v>38</v>
      </c>
      <c r="L2090" s="13" t="s">
        <v>257</v>
      </c>
    </row>
    <row r="2091" spans="1:12" x14ac:dyDescent="0.25">
      <c r="A2091" t="s">
        <v>4768</v>
      </c>
      <c r="B2091" t="s">
        <v>222</v>
      </c>
      <c r="C2091" t="str">
        <f>_xlfn.XLOOKUP(Table7[[#This Row],[app_id]],Table5[app_id],Table5[app_name],"",0)</f>
        <v>SyncPlus</v>
      </c>
      <c r="D2091" t="s">
        <v>1094</v>
      </c>
      <c r="E2091" s="1">
        <v>45572</v>
      </c>
      <c r="F2091">
        <v>5</v>
      </c>
      <c r="G2091" t="s">
        <v>2708</v>
      </c>
      <c r="H2091" t="s">
        <v>2564</v>
      </c>
      <c r="I2091" t="s">
        <v>2558</v>
      </c>
      <c r="J2091" t="s">
        <v>2561</v>
      </c>
      <c r="K2091">
        <v>36</v>
      </c>
      <c r="L2091" s="13" t="s">
        <v>257</v>
      </c>
    </row>
    <row r="2092" spans="1:12" x14ac:dyDescent="0.25">
      <c r="A2092" t="s">
        <v>4769</v>
      </c>
      <c r="B2092" t="s">
        <v>223</v>
      </c>
      <c r="C2092" t="str">
        <f>_xlfn.XLOOKUP(Table7[[#This Row],[app_id]],Table5[app_id],Table5[app_name],"",0)</f>
        <v>ClinicPro</v>
      </c>
      <c r="D2092" t="s">
        <v>1997</v>
      </c>
      <c r="E2092" s="1">
        <v>45679</v>
      </c>
      <c r="F2092">
        <v>3</v>
      </c>
      <c r="G2092" t="s">
        <v>2846</v>
      </c>
      <c r="H2092" t="s">
        <v>2554</v>
      </c>
      <c r="I2092" t="s">
        <v>2575</v>
      </c>
      <c r="J2092" t="s">
        <v>2603</v>
      </c>
      <c r="K2092">
        <v>19</v>
      </c>
      <c r="L2092" s="13" t="s">
        <v>257</v>
      </c>
    </row>
    <row r="2093" spans="1:12" x14ac:dyDescent="0.25">
      <c r="A2093" t="s">
        <v>4770</v>
      </c>
      <c r="B2093" t="s">
        <v>226</v>
      </c>
      <c r="C2093" t="str">
        <f>_xlfn.XLOOKUP(Table7[[#This Row],[app_id]],Table5[app_id],Table5[app_name],"",0)</f>
        <v>MindMate</v>
      </c>
      <c r="D2093" t="s">
        <v>899</v>
      </c>
      <c r="E2093" s="1">
        <v>45872</v>
      </c>
      <c r="F2093">
        <v>4</v>
      </c>
      <c r="G2093" t="s">
        <v>2716</v>
      </c>
      <c r="H2093" t="s">
        <v>2564</v>
      </c>
      <c r="I2093" t="s">
        <v>2565</v>
      </c>
      <c r="J2093" t="s">
        <v>2556</v>
      </c>
      <c r="K2093">
        <v>6</v>
      </c>
      <c r="L2093" s="13" t="s">
        <v>257</v>
      </c>
    </row>
    <row r="2094" spans="1:12" x14ac:dyDescent="0.25">
      <c r="A2094" t="s">
        <v>4771</v>
      </c>
      <c r="B2094" t="s">
        <v>228</v>
      </c>
      <c r="C2094" t="str">
        <f>_xlfn.XLOOKUP(Table7[[#This Row],[app_id]],Table5[app_id],Table5[app_name],"",0)</f>
        <v>ClinicOne</v>
      </c>
      <c r="D2094" t="s">
        <v>997</v>
      </c>
      <c r="E2094" s="1">
        <v>45813</v>
      </c>
      <c r="F2094">
        <v>4</v>
      </c>
      <c r="G2094" t="s">
        <v>2722</v>
      </c>
      <c r="H2094" t="s">
        <v>2564</v>
      </c>
      <c r="I2094" t="s">
        <v>2558</v>
      </c>
      <c r="J2094" t="s">
        <v>2596</v>
      </c>
      <c r="K2094">
        <v>37</v>
      </c>
      <c r="L2094" s="13" t="s">
        <v>258</v>
      </c>
    </row>
    <row r="2095" spans="1:12" x14ac:dyDescent="0.25">
      <c r="A2095" t="s">
        <v>4772</v>
      </c>
      <c r="B2095" t="s">
        <v>230</v>
      </c>
      <c r="C2095" t="str">
        <f>_xlfn.XLOOKUP(Table7[[#This Row],[app_id]],Table5[app_id],Table5[app_name],"",0)</f>
        <v>WellMate</v>
      </c>
      <c r="D2095" t="s">
        <v>1033</v>
      </c>
      <c r="E2095" s="1">
        <v>45524</v>
      </c>
      <c r="F2095">
        <v>4</v>
      </c>
      <c r="G2095" t="s">
        <v>2954</v>
      </c>
      <c r="H2095" t="s">
        <v>2564</v>
      </c>
      <c r="I2095" t="s">
        <v>2565</v>
      </c>
      <c r="J2095" t="s">
        <v>2600</v>
      </c>
      <c r="K2095">
        <v>10</v>
      </c>
      <c r="L2095" s="13" t="s">
        <v>257</v>
      </c>
    </row>
    <row r="2096" spans="1:12" x14ac:dyDescent="0.25">
      <c r="A2096" t="s">
        <v>4773</v>
      </c>
      <c r="B2096" t="s">
        <v>232</v>
      </c>
      <c r="C2096" t="str">
        <f>_xlfn.XLOOKUP(Table7[[#This Row],[app_id]],Table5[app_id],Table5[app_name],"",0)</f>
        <v>MediMate</v>
      </c>
      <c r="D2096" t="s">
        <v>752</v>
      </c>
      <c r="E2096" s="1">
        <v>45856</v>
      </c>
      <c r="F2096">
        <v>4</v>
      </c>
      <c r="G2096" t="s">
        <v>2722</v>
      </c>
      <c r="H2096" t="s">
        <v>2564</v>
      </c>
      <c r="I2096" t="s">
        <v>2575</v>
      </c>
      <c r="J2096" t="s">
        <v>2600</v>
      </c>
      <c r="K2096">
        <v>1</v>
      </c>
      <c r="L2096" s="13" t="s">
        <v>257</v>
      </c>
    </row>
    <row r="2097" spans="1:12" x14ac:dyDescent="0.25">
      <c r="A2097" t="s">
        <v>4774</v>
      </c>
      <c r="B2097" t="s">
        <v>234</v>
      </c>
      <c r="C2097" t="str">
        <f>_xlfn.XLOOKUP(Table7[[#This Row],[app_id]],Table5[app_id],Table5[app_name],"",0)</f>
        <v>WellNow</v>
      </c>
      <c r="D2097" t="s">
        <v>983</v>
      </c>
      <c r="E2097" s="1">
        <v>46026</v>
      </c>
      <c r="F2097">
        <v>3</v>
      </c>
      <c r="G2097" t="s">
        <v>2726</v>
      </c>
      <c r="H2097" t="s">
        <v>2554</v>
      </c>
      <c r="I2097" t="s">
        <v>2588</v>
      </c>
      <c r="J2097" t="s">
        <v>2569</v>
      </c>
      <c r="K2097">
        <v>10</v>
      </c>
      <c r="L2097" s="13" t="s">
        <v>257</v>
      </c>
    </row>
    <row r="2098" spans="1:12" x14ac:dyDescent="0.25">
      <c r="A2098" t="s">
        <v>4775</v>
      </c>
      <c r="B2098" t="s">
        <v>236</v>
      </c>
      <c r="C2098" t="str">
        <f>_xlfn.XLOOKUP(Table7[[#This Row],[app_id]],Table5[app_id],Table5[app_name],"",0)</f>
        <v>CareCloud</v>
      </c>
      <c r="D2098" t="s">
        <v>2348</v>
      </c>
      <c r="E2098" s="1">
        <v>45901</v>
      </c>
      <c r="F2098">
        <v>3</v>
      </c>
      <c r="G2098" t="s">
        <v>2846</v>
      </c>
      <c r="H2098" t="s">
        <v>2554</v>
      </c>
      <c r="I2098" t="s">
        <v>2558</v>
      </c>
      <c r="J2098" t="s">
        <v>2596</v>
      </c>
      <c r="K2098">
        <v>24</v>
      </c>
      <c r="L2098" s="13" t="s">
        <v>257</v>
      </c>
    </row>
    <row r="2099" spans="1:12" x14ac:dyDescent="0.25">
      <c r="A2099" t="s">
        <v>4776</v>
      </c>
      <c r="B2099" t="s">
        <v>238</v>
      </c>
      <c r="C2099" t="str">
        <f>_xlfn.XLOOKUP(Table7[[#This Row],[app_id]],Table5[app_id],Table5[app_name],"",0)</f>
        <v>MediNow</v>
      </c>
      <c r="D2099" t="s">
        <v>589</v>
      </c>
      <c r="E2099" s="1">
        <v>45336</v>
      </c>
      <c r="F2099">
        <v>5</v>
      </c>
      <c r="G2099" t="s">
        <v>2722</v>
      </c>
      <c r="H2099" t="s">
        <v>2564</v>
      </c>
      <c r="I2099" t="s">
        <v>2575</v>
      </c>
      <c r="J2099" t="s">
        <v>2561</v>
      </c>
      <c r="K2099">
        <v>29</v>
      </c>
      <c r="L2099" s="13" t="s">
        <v>257</v>
      </c>
    </row>
    <row r="2100" spans="1:12" x14ac:dyDescent="0.25">
      <c r="A2100" t="s">
        <v>4777</v>
      </c>
      <c r="B2100" t="s">
        <v>240</v>
      </c>
      <c r="C2100" t="str">
        <f>_xlfn.XLOOKUP(Table7[[#This Row],[app_id]],Table5[app_id],Table5[app_name],"",0)</f>
        <v>MindPlus</v>
      </c>
      <c r="D2100" t="s">
        <v>2536</v>
      </c>
      <c r="E2100" s="1">
        <v>45716</v>
      </c>
      <c r="F2100">
        <v>4</v>
      </c>
      <c r="G2100" t="s">
        <v>2728</v>
      </c>
      <c r="H2100" t="s">
        <v>2564</v>
      </c>
      <c r="I2100" t="s">
        <v>2558</v>
      </c>
      <c r="J2100" t="s">
        <v>2600</v>
      </c>
      <c r="K2100">
        <v>8</v>
      </c>
      <c r="L2100" s="13" t="s">
        <v>257</v>
      </c>
    </row>
    <row r="2101" spans="1:12" x14ac:dyDescent="0.25">
      <c r="A2101" t="s">
        <v>4778</v>
      </c>
      <c r="B2101" t="s">
        <v>242</v>
      </c>
      <c r="C2101" t="str">
        <f>_xlfn.XLOOKUP(Table7[[#This Row],[app_id]],Table5[app_id],Table5[app_name],"",0)</f>
        <v>MediCloud</v>
      </c>
      <c r="D2101" t="s">
        <v>674</v>
      </c>
      <c r="E2101" s="1">
        <v>46002</v>
      </c>
      <c r="F2101">
        <v>3</v>
      </c>
      <c r="G2101" t="s">
        <v>2726</v>
      </c>
      <c r="H2101" t="s">
        <v>2554</v>
      </c>
      <c r="I2101" t="s">
        <v>2584</v>
      </c>
      <c r="J2101" t="s">
        <v>2600</v>
      </c>
      <c r="K2101">
        <v>37</v>
      </c>
      <c r="L2101" s="13" t="s">
        <v>257</v>
      </c>
    </row>
    <row r="2102" spans="1:12" x14ac:dyDescent="0.25">
      <c r="A2102" t="s">
        <v>4779</v>
      </c>
      <c r="B2102" t="s">
        <v>12</v>
      </c>
      <c r="C2102" t="str">
        <f>_xlfn.XLOOKUP(Table7[[#This Row],[app_id]],Table5[app_id],Table5[app_name],"",0)</f>
        <v>InvestPro</v>
      </c>
      <c r="D2102" t="s">
        <v>2362</v>
      </c>
      <c r="E2102" s="1">
        <v>46073</v>
      </c>
      <c r="F2102">
        <v>3</v>
      </c>
      <c r="G2102" t="s">
        <v>2968</v>
      </c>
      <c r="H2102" t="s">
        <v>2554</v>
      </c>
      <c r="I2102" t="s">
        <v>2571</v>
      </c>
      <c r="J2102" t="s">
        <v>2561</v>
      </c>
      <c r="K2102">
        <v>19</v>
      </c>
      <c r="L2102" s="13" t="s">
        <v>257</v>
      </c>
    </row>
    <row r="2103" spans="1:12" x14ac:dyDescent="0.25">
      <c r="A2103" t="s">
        <v>4780</v>
      </c>
      <c r="B2103" t="s">
        <v>19</v>
      </c>
      <c r="C2103" t="str">
        <f>_xlfn.XLOOKUP(Table7[[#This Row],[app_id]],Table5[app_id],Table5[app_name],"",0)</f>
        <v>BankPro</v>
      </c>
      <c r="D2103" t="s">
        <v>1658</v>
      </c>
      <c r="E2103" s="1">
        <v>45438</v>
      </c>
      <c r="F2103">
        <v>3</v>
      </c>
      <c r="G2103" t="s">
        <v>2735</v>
      </c>
      <c r="H2103" t="s">
        <v>2554</v>
      </c>
      <c r="I2103" t="s">
        <v>2565</v>
      </c>
      <c r="J2103" t="s">
        <v>2566</v>
      </c>
      <c r="K2103">
        <v>48</v>
      </c>
      <c r="L2103" s="13" t="s">
        <v>258</v>
      </c>
    </row>
    <row r="2104" spans="1:12" x14ac:dyDescent="0.25">
      <c r="A2104" t="s">
        <v>4781</v>
      </c>
      <c r="B2104" t="s">
        <v>24</v>
      </c>
      <c r="C2104" t="str">
        <f>_xlfn.XLOOKUP(Table7[[#This Row],[app_id]],Table5[app_id],Table5[app_name],"",0)</f>
        <v>BankX</v>
      </c>
      <c r="D2104" t="s">
        <v>1782</v>
      </c>
      <c r="E2104" s="1">
        <v>45825</v>
      </c>
      <c r="F2104">
        <v>3</v>
      </c>
      <c r="G2104" t="s">
        <v>2553</v>
      </c>
      <c r="H2104" t="s">
        <v>2554</v>
      </c>
      <c r="I2104" t="s">
        <v>2588</v>
      </c>
      <c r="J2104" t="s">
        <v>2559</v>
      </c>
      <c r="K2104">
        <v>37</v>
      </c>
      <c r="L2104" s="13" t="s">
        <v>257</v>
      </c>
    </row>
    <row r="2105" spans="1:12" x14ac:dyDescent="0.25">
      <c r="A2105" t="s">
        <v>4782</v>
      </c>
      <c r="B2105" t="s">
        <v>27</v>
      </c>
      <c r="C2105" t="str">
        <f>_xlfn.XLOOKUP(Table7[[#This Row],[app_id]],Table5[app_id],Table5[app_name],"",0)</f>
        <v>BankNow</v>
      </c>
      <c r="D2105" t="s">
        <v>2193</v>
      </c>
      <c r="E2105" s="1">
        <v>45755</v>
      </c>
      <c r="F2105">
        <v>3</v>
      </c>
      <c r="G2105" t="s">
        <v>2735</v>
      </c>
      <c r="H2105" t="s">
        <v>2554</v>
      </c>
      <c r="I2105" t="s">
        <v>2555</v>
      </c>
      <c r="J2105" t="s">
        <v>2633</v>
      </c>
      <c r="K2105">
        <v>8</v>
      </c>
      <c r="L2105" s="13" t="s">
        <v>258</v>
      </c>
    </row>
    <row r="2106" spans="1:12" x14ac:dyDescent="0.25">
      <c r="A2106" t="s">
        <v>4783</v>
      </c>
      <c r="B2106" t="s">
        <v>31</v>
      </c>
      <c r="C2106" t="str">
        <f>_xlfn.XLOOKUP(Table7[[#This Row],[app_id]],Table5[app_id],Table5[app_name],"",0)</f>
        <v>CreditHub</v>
      </c>
      <c r="D2106" t="s">
        <v>2298</v>
      </c>
      <c r="E2106" s="1">
        <v>45786</v>
      </c>
      <c r="F2106">
        <v>3</v>
      </c>
      <c r="G2106" t="s">
        <v>2583</v>
      </c>
      <c r="H2106" t="s">
        <v>2554</v>
      </c>
      <c r="I2106" t="s">
        <v>2558</v>
      </c>
      <c r="J2106" t="s">
        <v>2603</v>
      </c>
      <c r="K2106">
        <v>45</v>
      </c>
      <c r="L2106" s="13" t="s">
        <v>257</v>
      </c>
    </row>
    <row r="2107" spans="1:12" x14ac:dyDescent="0.25">
      <c r="A2107" t="s">
        <v>4784</v>
      </c>
      <c r="B2107" t="s">
        <v>36</v>
      </c>
      <c r="C2107" t="str">
        <f>_xlfn.XLOOKUP(Table7[[#This Row],[app_id]],Table5[app_id],Table5[app_name],"",0)</f>
        <v>PayPlus</v>
      </c>
      <c r="D2107" t="s">
        <v>1784</v>
      </c>
      <c r="E2107" s="1">
        <v>45739</v>
      </c>
      <c r="F2107">
        <v>4</v>
      </c>
      <c r="G2107" t="s">
        <v>2573</v>
      </c>
      <c r="H2107" t="s">
        <v>2564</v>
      </c>
      <c r="I2107" t="s">
        <v>2555</v>
      </c>
      <c r="J2107" t="s">
        <v>2566</v>
      </c>
      <c r="K2107">
        <v>32</v>
      </c>
      <c r="L2107" s="13" t="s">
        <v>257</v>
      </c>
    </row>
    <row r="2108" spans="1:12" x14ac:dyDescent="0.25">
      <c r="A2108" t="s">
        <v>4785</v>
      </c>
      <c r="B2108" t="s">
        <v>39</v>
      </c>
      <c r="C2108" t="str">
        <f>_xlfn.XLOOKUP(Table7[[#This Row],[app_id]],Table5[app_id],Table5[app_name],"",0)</f>
        <v>BankPlus</v>
      </c>
      <c r="D2108" t="s">
        <v>1575</v>
      </c>
      <c r="E2108" s="1">
        <v>45806</v>
      </c>
      <c r="F2108">
        <v>3</v>
      </c>
      <c r="G2108" t="s">
        <v>2968</v>
      </c>
      <c r="H2108" t="s">
        <v>2554</v>
      </c>
      <c r="I2108" t="s">
        <v>2578</v>
      </c>
      <c r="J2108" t="s">
        <v>2556</v>
      </c>
      <c r="K2108">
        <v>20</v>
      </c>
      <c r="L2108" s="13" t="s">
        <v>257</v>
      </c>
    </row>
    <row r="2109" spans="1:12" x14ac:dyDescent="0.25">
      <c r="A2109" t="s">
        <v>4786</v>
      </c>
      <c r="B2109" t="s">
        <v>42</v>
      </c>
      <c r="C2109" t="str">
        <f>_xlfn.XLOOKUP(Table7[[#This Row],[app_id]],Table5[app_id],Table5[app_name],"",0)</f>
        <v>CoinPlus</v>
      </c>
      <c r="D2109" t="s">
        <v>1415</v>
      </c>
      <c r="E2109" s="1">
        <v>45577</v>
      </c>
      <c r="F2109">
        <v>3</v>
      </c>
      <c r="G2109" t="s">
        <v>2583</v>
      </c>
      <c r="H2109" t="s">
        <v>2554</v>
      </c>
      <c r="I2109" t="s">
        <v>2555</v>
      </c>
      <c r="J2109" t="s">
        <v>2561</v>
      </c>
      <c r="K2109">
        <v>3</v>
      </c>
      <c r="L2109" s="13" t="s">
        <v>257</v>
      </c>
    </row>
    <row r="2110" spans="1:12" x14ac:dyDescent="0.25">
      <c r="A2110" t="s">
        <v>4787</v>
      </c>
      <c r="B2110" t="s">
        <v>47</v>
      </c>
      <c r="C2110" t="str">
        <f>_xlfn.XLOOKUP(Table7[[#This Row],[app_id]],Table5[app_id],Table5[app_name],"",0)</f>
        <v>CreditOne</v>
      </c>
      <c r="D2110" t="s">
        <v>2071</v>
      </c>
      <c r="E2110" s="1">
        <v>46103</v>
      </c>
      <c r="F2110">
        <v>4</v>
      </c>
      <c r="G2110" t="s">
        <v>2563</v>
      </c>
      <c r="H2110" t="s">
        <v>2564</v>
      </c>
      <c r="I2110" t="s">
        <v>2555</v>
      </c>
      <c r="J2110" t="s">
        <v>2561</v>
      </c>
      <c r="K2110">
        <v>18</v>
      </c>
      <c r="L2110" s="13" t="s">
        <v>258</v>
      </c>
    </row>
    <row r="2111" spans="1:12" x14ac:dyDescent="0.25">
      <c r="A2111" t="s">
        <v>4788</v>
      </c>
      <c r="B2111" t="s">
        <v>49</v>
      </c>
      <c r="C2111" t="str">
        <f>_xlfn.XLOOKUP(Table7[[#This Row],[app_id]],Table5[app_id],Table5[app_name],"",0)</f>
        <v>PayPro</v>
      </c>
      <c r="D2111" t="s">
        <v>2172</v>
      </c>
      <c r="E2111" s="1">
        <v>45635</v>
      </c>
      <c r="F2111">
        <v>4</v>
      </c>
      <c r="G2111" t="s">
        <v>2580</v>
      </c>
      <c r="H2111" t="s">
        <v>2564</v>
      </c>
      <c r="I2111" t="s">
        <v>2565</v>
      </c>
      <c r="J2111" t="s">
        <v>2581</v>
      </c>
      <c r="K2111">
        <v>3</v>
      </c>
      <c r="L2111" s="13" t="s">
        <v>257</v>
      </c>
    </row>
    <row r="2112" spans="1:12" x14ac:dyDescent="0.25">
      <c r="A2112" t="s">
        <v>4789</v>
      </c>
      <c r="B2112" t="s">
        <v>51</v>
      </c>
      <c r="C2112" t="str">
        <f>_xlfn.XLOOKUP(Table7[[#This Row],[app_id]],Table5[app_id],Table5[app_name],"",0)</f>
        <v>Creditly</v>
      </c>
      <c r="D2112" t="s">
        <v>1660</v>
      </c>
      <c r="E2112" s="1">
        <v>46038</v>
      </c>
      <c r="F2112">
        <v>4</v>
      </c>
      <c r="G2112" t="s">
        <v>2580</v>
      </c>
      <c r="H2112" t="s">
        <v>2564</v>
      </c>
      <c r="I2112" t="s">
        <v>2555</v>
      </c>
      <c r="J2112" t="s">
        <v>2556</v>
      </c>
      <c r="K2112">
        <v>22</v>
      </c>
      <c r="L2112" s="13" t="s">
        <v>257</v>
      </c>
    </row>
    <row r="2113" spans="1:12" x14ac:dyDescent="0.25">
      <c r="A2113" t="s">
        <v>4790</v>
      </c>
      <c r="B2113" t="s">
        <v>53</v>
      </c>
      <c r="C2113" t="str">
        <f>_xlfn.XLOOKUP(Table7[[#This Row],[app_id]],Table5[app_id],Table5[app_name],"",0)</f>
        <v>PayX</v>
      </c>
      <c r="D2113" t="s">
        <v>1873</v>
      </c>
      <c r="E2113" s="1">
        <v>46089</v>
      </c>
      <c r="F2113">
        <v>3</v>
      </c>
      <c r="G2113" t="s">
        <v>2968</v>
      </c>
      <c r="H2113" t="s">
        <v>2554</v>
      </c>
      <c r="I2113" t="s">
        <v>2558</v>
      </c>
      <c r="J2113" t="s">
        <v>2600</v>
      </c>
      <c r="K2113">
        <v>11</v>
      </c>
      <c r="L2113" s="13" t="s">
        <v>257</v>
      </c>
    </row>
    <row r="2114" spans="1:12" x14ac:dyDescent="0.25">
      <c r="A2114" t="s">
        <v>4791</v>
      </c>
      <c r="B2114" t="s">
        <v>56</v>
      </c>
      <c r="C2114" t="str">
        <f>_xlfn.XLOOKUP(Table7[[#This Row],[app_id]],Table5[app_id],Table5[app_name],"",0)</f>
        <v>DealGo</v>
      </c>
      <c r="D2114" t="s">
        <v>2254</v>
      </c>
      <c r="E2114" s="1">
        <v>45445</v>
      </c>
      <c r="F2114">
        <v>3</v>
      </c>
      <c r="G2114" t="s">
        <v>2594</v>
      </c>
      <c r="H2114" t="s">
        <v>2554</v>
      </c>
      <c r="I2114" t="s">
        <v>2555</v>
      </c>
      <c r="J2114" t="s">
        <v>2566</v>
      </c>
      <c r="K2114">
        <v>30</v>
      </c>
      <c r="L2114" s="13" t="s">
        <v>258</v>
      </c>
    </row>
    <row r="2115" spans="1:12" x14ac:dyDescent="0.25">
      <c r="A2115" t="s">
        <v>4792</v>
      </c>
      <c r="B2115" t="s">
        <v>62</v>
      </c>
      <c r="C2115" t="str">
        <f>_xlfn.XLOOKUP(Table7[[#This Row],[app_id]],Table5[app_id],Table5[app_name],"",0)</f>
        <v>MallNow</v>
      </c>
      <c r="D2115" t="s">
        <v>1684</v>
      </c>
      <c r="E2115" s="1">
        <v>45700</v>
      </c>
      <c r="F2115">
        <v>4</v>
      </c>
      <c r="G2115" t="s">
        <v>2867</v>
      </c>
      <c r="H2115" t="s">
        <v>2564</v>
      </c>
      <c r="I2115" t="s">
        <v>2555</v>
      </c>
      <c r="J2115" t="s">
        <v>2581</v>
      </c>
      <c r="K2115">
        <v>40</v>
      </c>
      <c r="L2115" s="13" t="s">
        <v>257</v>
      </c>
    </row>
    <row r="2116" spans="1:12" x14ac:dyDescent="0.25">
      <c r="A2116" t="s">
        <v>4793</v>
      </c>
      <c r="B2116" t="s">
        <v>65</v>
      </c>
      <c r="C2116" t="str">
        <f>_xlfn.XLOOKUP(Table7[[#This Row],[app_id]],Table5[app_id],Table5[app_name],"",0)</f>
        <v>DealPro</v>
      </c>
      <c r="D2116" t="s">
        <v>2435</v>
      </c>
      <c r="E2116" s="1">
        <v>45958</v>
      </c>
      <c r="F2116">
        <v>3</v>
      </c>
      <c r="G2116" t="s">
        <v>2594</v>
      </c>
      <c r="H2116" t="s">
        <v>2554</v>
      </c>
      <c r="I2116" t="s">
        <v>2571</v>
      </c>
      <c r="J2116" t="s">
        <v>2561</v>
      </c>
      <c r="K2116">
        <v>45</v>
      </c>
      <c r="L2116" s="13" t="s">
        <v>257</v>
      </c>
    </row>
    <row r="2117" spans="1:12" x14ac:dyDescent="0.25">
      <c r="A2117" t="s">
        <v>4794</v>
      </c>
      <c r="B2117" t="s">
        <v>67</v>
      </c>
      <c r="C2117" t="str">
        <f>_xlfn.XLOOKUP(Table7[[#This Row],[app_id]],Table5[app_id],Table5[app_name],"",0)</f>
        <v>StyleNow</v>
      </c>
      <c r="D2117" t="s">
        <v>755</v>
      </c>
      <c r="E2117" s="1">
        <v>45695</v>
      </c>
      <c r="F2117">
        <v>2</v>
      </c>
      <c r="G2117" t="s">
        <v>3078</v>
      </c>
      <c r="H2117" t="s">
        <v>2587</v>
      </c>
      <c r="I2117" t="s">
        <v>2584</v>
      </c>
      <c r="J2117" t="s">
        <v>2561</v>
      </c>
      <c r="K2117">
        <v>69</v>
      </c>
      <c r="L2117" s="13" t="s">
        <v>257</v>
      </c>
    </row>
    <row r="2118" spans="1:12" x14ac:dyDescent="0.25">
      <c r="A2118" t="s">
        <v>4795</v>
      </c>
      <c r="B2118" t="s">
        <v>70</v>
      </c>
      <c r="C2118" t="str">
        <f>_xlfn.XLOOKUP(Table7[[#This Row],[app_id]],Table5[app_id],Table5[app_name],"",0)</f>
        <v>DealCloud</v>
      </c>
      <c r="D2118" t="s">
        <v>2074</v>
      </c>
      <c r="E2118" s="1">
        <v>45540</v>
      </c>
      <c r="F2118">
        <v>3</v>
      </c>
      <c r="G2118" t="s">
        <v>2594</v>
      </c>
      <c r="H2118" t="s">
        <v>2554</v>
      </c>
      <c r="I2118" t="s">
        <v>2558</v>
      </c>
      <c r="J2118" t="s">
        <v>2600</v>
      </c>
      <c r="K2118">
        <v>16</v>
      </c>
      <c r="L2118" s="13" t="s">
        <v>257</v>
      </c>
    </row>
    <row r="2119" spans="1:12" x14ac:dyDescent="0.25">
      <c r="A2119" t="s">
        <v>4796</v>
      </c>
      <c r="B2119" t="s">
        <v>72</v>
      </c>
      <c r="C2119" t="str">
        <f>_xlfn.XLOOKUP(Table7[[#This Row],[app_id]],Table5[app_id],Table5[app_name],"",0)</f>
        <v>CartCloud</v>
      </c>
      <c r="D2119" t="s">
        <v>836</v>
      </c>
      <c r="E2119" s="1">
        <v>45992</v>
      </c>
      <c r="F2119">
        <v>4</v>
      </c>
      <c r="G2119" t="s">
        <v>2592</v>
      </c>
      <c r="H2119" t="s">
        <v>2564</v>
      </c>
      <c r="I2119" t="s">
        <v>2571</v>
      </c>
      <c r="J2119" t="s">
        <v>2633</v>
      </c>
      <c r="K2119">
        <v>43</v>
      </c>
      <c r="L2119" s="13" t="s">
        <v>257</v>
      </c>
    </row>
    <row r="2120" spans="1:12" x14ac:dyDescent="0.25">
      <c r="A2120" t="s">
        <v>4797</v>
      </c>
      <c r="B2120" t="s">
        <v>74</v>
      </c>
      <c r="C2120" t="str">
        <f>_xlfn.XLOOKUP(Table7[[#This Row],[app_id]],Table5[app_id],Table5[app_name],"",0)</f>
        <v>CartMate</v>
      </c>
      <c r="D2120" t="s">
        <v>957</v>
      </c>
      <c r="E2120" s="1">
        <v>45759</v>
      </c>
      <c r="F2120">
        <v>5</v>
      </c>
      <c r="G2120" t="s">
        <v>2867</v>
      </c>
      <c r="H2120" t="s">
        <v>2564</v>
      </c>
      <c r="I2120" t="s">
        <v>2558</v>
      </c>
      <c r="J2120" t="s">
        <v>2561</v>
      </c>
      <c r="K2120">
        <v>27</v>
      </c>
      <c r="L2120" s="13" t="s">
        <v>257</v>
      </c>
    </row>
    <row r="2121" spans="1:12" x14ac:dyDescent="0.25">
      <c r="A2121" t="s">
        <v>4798</v>
      </c>
      <c r="B2121" t="s">
        <v>76</v>
      </c>
      <c r="C2121" t="str">
        <f>_xlfn.XLOOKUP(Table7[[#This Row],[app_id]],Table5[app_id],Table5[app_name],"",0)</f>
        <v>BazaarOne</v>
      </c>
      <c r="D2121" t="s">
        <v>907</v>
      </c>
      <c r="E2121" s="1">
        <v>45680</v>
      </c>
      <c r="F2121">
        <v>2</v>
      </c>
      <c r="G2121" t="s">
        <v>2871</v>
      </c>
      <c r="H2121" t="s">
        <v>2587</v>
      </c>
      <c r="I2121" t="s">
        <v>2565</v>
      </c>
      <c r="J2121" t="s">
        <v>2561</v>
      </c>
      <c r="K2121">
        <v>69</v>
      </c>
      <c r="L2121" s="13" t="s">
        <v>257</v>
      </c>
    </row>
    <row r="2122" spans="1:12" x14ac:dyDescent="0.25">
      <c r="A2122" t="s">
        <v>4799</v>
      </c>
      <c r="B2122" t="s">
        <v>78</v>
      </c>
      <c r="C2122" t="str">
        <f>_xlfn.XLOOKUP(Table7[[#This Row],[app_id]],Table5[app_id],Table5[app_name],"",0)</f>
        <v>StyleOne</v>
      </c>
      <c r="D2122" t="s">
        <v>1414</v>
      </c>
      <c r="E2122" s="1">
        <v>45471</v>
      </c>
      <c r="F2122">
        <v>3</v>
      </c>
      <c r="G2122" t="s">
        <v>2609</v>
      </c>
      <c r="H2122" t="s">
        <v>2554</v>
      </c>
      <c r="I2122" t="s">
        <v>2575</v>
      </c>
      <c r="J2122" t="s">
        <v>2603</v>
      </c>
      <c r="K2122">
        <v>40</v>
      </c>
      <c r="L2122" s="13" t="s">
        <v>257</v>
      </c>
    </row>
    <row r="2123" spans="1:12" x14ac:dyDescent="0.25">
      <c r="A2123" t="s">
        <v>4800</v>
      </c>
      <c r="B2123" t="s">
        <v>80</v>
      </c>
      <c r="C2123" t="str">
        <f>_xlfn.XLOOKUP(Table7[[#This Row],[app_id]],Table5[app_id],Table5[app_name],"",0)</f>
        <v>Cartly</v>
      </c>
      <c r="D2123" t="s">
        <v>1801</v>
      </c>
      <c r="E2123" s="1">
        <v>46049</v>
      </c>
      <c r="F2123">
        <v>4</v>
      </c>
      <c r="G2123" t="s">
        <v>2598</v>
      </c>
      <c r="H2123" t="s">
        <v>2564</v>
      </c>
      <c r="I2123" t="s">
        <v>2575</v>
      </c>
      <c r="J2123" t="s">
        <v>2600</v>
      </c>
      <c r="K2123">
        <v>15</v>
      </c>
      <c r="L2123" s="13" t="s">
        <v>258</v>
      </c>
    </row>
    <row r="2124" spans="1:12" x14ac:dyDescent="0.25">
      <c r="A2124" t="s">
        <v>4801</v>
      </c>
      <c r="B2124" t="s">
        <v>83</v>
      </c>
      <c r="C2124" t="str">
        <f>_xlfn.XLOOKUP(Table7[[#This Row],[app_id]],Table5[app_id],Table5[app_name],"",0)</f>
        <v>BazaarCloud</v>
      </c>
      <c r="D2124" t="s">
        <v>938</v>
      </c>
      <c r="E2124" s="1">
        <v>45542</v>
      </c>
      <c r="F2124">
        <v>4</v>
      </c>
      <c r="G2124" t="s">
        <v>2590</v>
      </c>
      <c r="H2124" t="s">
        <v>2564</v>
      </c>
      <c r="I2124" t="s">
        <v>2575</v>
      </c>
      <c r="J2124" t="s">
        <v>2566</v>
      </c>
      <c r="K2124">
        <v>38</v>
      </c>
      <c r="L2124" s="13" t="s">
        <v>257</v>
      </c>
    </row>
    <row r="2125" spans="1:12" x14ac:dyDescent="0.25">
      <c r="A2125" t="s">
        <v>4802</v>
      </c>
      <c r="B2125" t="s">
        <v>85</v>
      </c>
      <c r="C2125" t="str">
        <f>_xlfn.XLOOKUP(Table7[[#This Row],[app_id]],Table5[app_id],Table5[app_name],"",0)</f>
        <v>CartPro</v>
      </c>
      <c r="D2125" t="s">
        <v>830</v>
      </c>
      <c r="E2125" s="1">
        <v>45964</v>
      </c>
      <c r="F2125">
        <v>5</v>
      </c>
      <c r="G2125" t="s">
        <v>2867</v>
      </c>
      <c r="H2125" t="s">
        <v>2564</v>
      </c>
      <c r="I2125" t="s">
        <v>2555</v>
      </c>
      <c r="J2125" t="s">
        <v>2596</v>
      </c>
      <c r="K2125">
        <v>32</v>
      </c>
      <c r="L2125" s="13" t="s">
        <v>257</v>
      </c>
    </row>
    <row r="2126" spans="1:12" x14ac:dyDescent="0.25">
      <c r="A2126" t="s">
        <v>4803</v>
      </c>
      <c r="B2126" t="s">
        <v>87</v>
      </c>
      <c r="C2126" t="str">
        <f>_xlfn.XLOOKUP(Table7[[#This Row],[app_id]],Table5[app_id],Table5[app_name],"",0)</f>
        <v>RunPlus</v>
      </c>
      <c r="D2126" t="s">
        <v>816</v>
      </c>
      <c r="E2126" s="1">
        <v>45930</v>
      </c>
      <c r="F2126">
        <v>3</v>
      </c>
      <c r="G2126" t="s">
        <v>2770</v>
      </c>
      <c r="H2126" t="s">
        <v>2554</v>
      </c>
      <c r="I2126" t="s">
        <v>2558</v>
      </c>
      <c r="J2126" t="s">
        <v>2566</v>
      </c>
      <c r="K2126">
        <v>8</v>
      </c>
      <c r="L2126" s="13" t="s">
        <v>257</v>
      </c>
    </row>
    <row r="2127" spans="1:12" x14ac:dyDescent="0.25">
      <c r="A2127" t="s">
        <v>4804</v>
      </c>
      <c r="B2127" t="s">
        <v>90</v>
      </c>
      <c r="C2127" t="str">
        <f>_xlfn.XLOOKUP(Table7[[#This Row],[app_id]],Table5[app_id],Table5[app_name],"",0)</f>
        <v>TrainCloud</v>
      </c>
      <c r="D2127" t="s">
        <v>2408</v>
      </c>
      <c r="E2127" s="1">
        <v>45744</v>
      </c>
      <c r="F2127">
        <v>3</v>
      </c>
      <c r="G2127" t="s">
        <v>2620</v>
      </c>
      <c r="H2127" t="s">
        <v>2554</v>
      </c>
      <c r="I2127" t="s">
        <v>2575</v>
      </c>
      <c r="J2127" t="s">
        <v>2561</v>
      </c>
      <c r="K2127">
        <v>16</v>
      </c>
      <c r="L2127" s="13" t="s">
        <v>258</v>
      </c>
    </row>
    <row r="2128" spans="1:12" x14ac:dyDescent="0.25">
      <c r="A2128" t="s">
        <v>4805</v>
      </c>
      <c r="B2128" t="s">
        <v>92</v>
      </c>
      <c r="C2128" t="str">
        <f>_xlfn.XLOOKUP(Table7[[#This Row],[app_id]],Table5[app_id],Table5[app_name],"",0)</f>
        <v>Trainly</v>
      </c>
      <c r="D2128" t="s">
        <v>747</v>
      </c>
      <c r="E2128" s="1">
        <v>45314</v>
      </c>
      <c r="F2128">
        <v>3</v>
      </c>
      <c r="G2128" t="s">
        <v>2615</v>
      </c>
      <c r="H2128" t="s">
        <v>2554</v>
      </c>
      <c r="I2128" t="s">
        <v>2575</v>
      </c>
      <c r="J2128" t="s">
        <v>2600</v>
      </c>
      <c r="K2128">
        <v>36</v>
      </c>
      <c r="L2128" s="13" t="s">
        <v>257</v>
      </c>
    </row>
    <row r="2129" spans="1:12" x14ac:dyDescent="0.25">
      <c r="A2129" t="s">
        <v>4806</v>
      </c>
      <c r="B2129" t="s">
        <v>94</v>
      </c>
      <c r="C2129" t="str">
        <f>_xlfn.XLOOKUP(Table7[[#This Row],[app_id]],Table5[app_id],Table5[app_name],"",0)</f>
        <v>LiftCloud</v>
      </c>
      <c r="D2129" t="s">
        <v>681</v>
      </c>
      <c r="E2129" s="1">
        <v>45945</v>
      </c>
      <c r="F2129">
        <v>4</v>
      </c>
      <c r="G2129" t="s">
        <v>2622</v>
      </c>
      <c r="H2129" t="s">
        <v>2564</v>
      </c>
      <c r="I2129" t="s">
        <v>2571</v>
      </c>
      <c r="J2129" t="s">
        <v>2566</v>
      </c>
      <c r="K2129">
        <v>10</v>
      </c>
      <c r="L2129" s="13" t="s">
        <v>257</v>
      </c>
    </row>
    <row r="2130" spans="1:12" x14ac:dyDescent="0.25">
      <c r="A2130" t="s">
        <v>4807</v>
      </c>
      <c r="B2130" t="s">
        <v>96</v>
      </c>
      <c r="C2130" t="str">
        <f>_xlfn.XLOOKUP(Table7[[#This Row],[app_id]],Table5[app_id],Table5[app_name],"",0)</f>
        <v>MoveNow</v>
      </c>
      <c r="D2130" t="s">
        <v>1475</v>
      </c>
      <c r="E2130" s="1">
        <v>45817</v>
      </c>
      <c r="F2130">
        <v>3</v>
      </c>
      <c r="G2130" t="s">
        <v>2611</v>
      </c>
      <c r="H2130" t="s">
        <v>2554</v>
      </c>
      <c r="I2130" t="s">
        <v>2578</v>
      </c>
      <c r="J2130" t="s">
        <v>2600</v>
      </c>
      <c r="K2130">
        <v>3</v>
      </c>
      <c r="L2130" s="13" t="s">
        <v>257</v>
      </c>
    </row>
    <row r="2131" spans="1:12" x14ac:dyDescent="0.25">
      <c r="A2131" t="s">
        <v>4808</v>
      </c>
      <c r="B2131" t="s">
        <v>98</v>
      </c>
      <c r="C2131" t="str">
        <f>_xlfn.XLOOKUP(Table7[[#This Row],[app_id]],Table5[app_id],Table5[app_name],"",0)</f>
        <v>ActiveMate</v>
      </c>
      <c r="D2131" t="s">
        <v>2144</v>
      </c>
      <c r="E2131" s="1">
        <v>46130</v>
      </c>
      <c r="F2131">
        <v>4</v>
      </c>
      <c r="G2131" t="s">
        <v>2622</v>
      </c>
      <c r="H2131" t="s">
        <v>2564</v>
      </c>
      <c r="I2131" t="s">
        <v>2565</v>
      </c>
      <c r="J2131" t="s">
        <v>2581</v>
      </c>
      <c r="K2131">
        <v>21</v>
      </c>
      <c r="L2131" s="13" t="s">
        <v>258</v>
      </c>
    </row>
    <row r="2132" spans="1:12" x14ac:dyDescent="0.25">
      <c r="A2132" t="s">
        <v>4809</v>
      </c>
      <c r="B2132" t="s">
        <v>100</v>
      </c>
      <c r="C2132" t="str">
        <f>_xlfn.XLOOKUP(Table7[[#This Row],[app_id]],Table5[app_id],Table5[app_name],"",0)</f>
        <v>RunGo</v>
      </c>
      <c r="D2132" t="s">
        <v>1408</v>
      </c>
      <c r="E2132" s="1">
        <v>45839</v>
      </c>
      <c r="F2132">
        <v>4</v>
      </c>
      <c r="G2132" t="s">
        <v>2622</v>
      </c>
      <c r="H2132" t="s">
        <v>2564</v>
      </c>
      <c r="I2132" t="s">
        <v>2565</v>
      </c>
      <c r="J2132" t="s">
        <v>2559</v>
      </c>
      <c r="K2132">
        <v>14</v>
      </c>
      <c r="L2132" s="13" t="s">
        <v>257</v>
      </c>
    </row>
    <row r="2133" spans="1:12" x14ac:dyDescent="0.25">
      <c r="A2133" t="s">
        <v>4810</v>
      </c>
      <c r="B2133" t="s">
        <v>102</v>
      </c>
      <c r="C2133" t="str">
        <f>_xlfn.XLOOKUP(Table7[[#This Row],[app_id]],Table5[app_id],Table5[app_name],"",0)</f>
        <v>LiftPro</v>
      </c>
      <c r="D2133" t="s">
        <v>2274</v>
      </c>
      <c r="E2133" s="1">
        <v>45356</v>
      </c>
      <c r="F2133">
        <v>4</v>
      </c>
      <c r="G2133" t="s">
        <v>2625</v>
      </c>
      <c r="H2133" t="s">
        <v>2564</v>
      </c>
      <c r="I2133" t="s">
        <v>2565</v>
      </c>
      <c r="J2133" t="s">
        <v>2559</v>
      </c>
      <c r="K2133">
        <v>8</v>
      </c>
      <c r="L2133" s="13" t="s">
        <v>257</v>
      </c>
    </row>
    <row r="2134" spans="1:12" x14ac:dyDescent="0.25">
      <c r="A2134" t="s">
        <v>4811</v>
      </c>
      <c r="B2134" t="s">
        <v>104</v>
      </c>
      <c r="C2134" t="str">
        <f>_xlfn.XLOOKUP(Table7[[#This Row],[app_id]],Table5[app_id],Table5[app_name],"",0)</f>
        <v>LiftPro</v>
      </c>
      <c r="D2134" t="s">
        <v>1245</v>
      </c>
      <c r="E2134" s="1">
        <v>45635</v>
      </c>
      <c r="F2134">
        <v>3</v>
      </c>
      <c r="G2134" t="s">
        <v>2615</v>
      </c>
      <c r="H2134" t="s">
        <v>2554</v>
      </c>
      <c r="I2134" t="s">
        <v>2588</v>
      </c>
      <c r="J2134" t="s">
        <v>2633</v>
      </c>
      <c r="K2134">
        <v>47</v>
      </c>
      <c r="L2134" s="13" t="s">
        <v>257</v>
      </c>
    </row>
    <row r="2135" spans="1:12" x14ac:dyDescent="0.25">
      <c r="A2135" t="s">
        <v>4812</v>
      </c>
      <c r="B2135" t="s">
        <v>105</v>
      </c>
      <c r="C2135" t="str">
        <f>_xlfn.XLOOKUP(Table7[[#This Row],[app_id]],Table5[app_id],Table5[app_name],"",0)</f>
        <v>Liftly</v>
      </c>
      <c r="D2135" t="s">
        <v>2149</v>
      </c>
      <c r="E2135" s="1">
        <v>46043</v>
      </c>
      <c r="F2135">
        <v>3</v>
      </c>
      <c r="G2135" t="s">
        <v>2620</v>
      </c>
      <c r="H2135" t="s">
        <v>2554</v>
      </c>
      <c r="I2135" t="s">
        <v>2571</v>
      </c>
      <c r="J2135" t="s">
        <v>2569</v>
      </c>
      <c r="K2135">
        <v>17</v>
      </c>
      <c r="L2135" s="13" t="s">
        <v>257</v>
      </c>
    </row>
    <row r="2136" spans="1:12" x14ac:dyDescent="0.25">
      <c r="A2136" t="s">
        <v>4813</v>
      </c>
      <c r="B2136" t="s">
        <v>107</v>
      </c>
      <c r="C2136" t="str">
        <f>_xlfn.XLOOKUP(Table7[[#This Row],[app_id]],Table5[app_id],Table5[app_name],"",0)</f>
        <v>YogaHub</v>
      </c>
      <c r="D2136" t="s">
        <v>600</v>
      </c>
      <c r="E2136" s="1">
        <v>46090</v>
      </c>
      <c r="F2136">
        <v>3</v>
      </c>
      <c r="G2136" t="s">
        <v>2620</v>
      </c>
      <c r="H2136" t="s">
        <v>2554</v>
      </c>
      <c r="I2136" t="s">
        <v>2575</v>
      </c>
      <c r="J2136" t="s">
        <v>2569</v>
      </c>
      <c r="K2136">
        <v>45</v>
      </c>
      <c r="L2136" s="13" t="s">
        <v>257</v>
      </c>
    </row>
    <row r="2137" spans="1:12" x14ac:dyDescent="0.25">
      <c r="A2137" t="s">
        <v>4814</v>
      </c>
      <c r="B2137" t="s">
        <v>109</v>
      </c>
      <c r="C2137" t="str">
        <f>_xlfn.XLOOKUP(Table7[[#This Row],[app_id]],Table5[app_id],Table5[app_name],"",0)</f>
        <v>MoveGo</v>
      </c>
      <c r="D2137" t="s">
        <v>1079</v>
      </c>
      <c r="E2137" s="1">
        <v>45960</v>
      </c>
      <c r="F2137">
        <v>4</v>
      </c>
      <c r="G2137" t="s">
        <v>2625</v>
      </c>
      <c r="H2137" t="s">
        <v>2564</v>
      </c>
      <c r="I2137" t="s">
        <v>2575</v>
      </c>
      <c r="J2137" t="s">
        <v>2561</v>
      </c>
      <c r="K2137">
        <v>28</v>
      </c>
      <c r="L2137" s="13" t="s">
        <v>257</v>
      </c>
    </row>
    <row r="2138" spans="1:12" x14ac:dyDescent="0.25">
      <c r="A2138" t="s">
        <v>4815</v>
      </c>
      <c r="B2138" t="s">
        <v>111</v>
      </c>
      <c r="C2138" t="str">
        <f>_xlfn.XLOOKUP(Table7[[#This Row],[app_id]],Table5[app_id],Table5[app_name],"",0)</f>
        <v>BrightNow</v>
      </c>
      <c r="D2138" t="s">
        <v>634</v>
      </c>
      <c r="E2138" s="1">
        <v>45799</v>
      </c>
      <c r="F2138">
        <v>4</v>
      </c>
      <c r="G2138" t="s">
        <v>2640</v>
      </c>
      <c r="H2138" t="s">
        <v>2564</v>
      </c>
      <c r="I2138" t="s">
        <v>2565</v>
      </c>
      <c r="J2138" t="s">
        <v>2603</v>
      </c>
      <c r="K2138">
        <v>2</v>
      </c>
      <c r="L2138" s="13" t="s">
        <v>257</v>
      </c>
    </row>
    <row r="2139" spans="1:12" x14ac:dyDescent="0.25">
      <c r="A2139" t="s">
        <v>4816</v>
      </c>
      <c r="B2139" t="s">
        <v>114</v>
      </c>
      <c r="C2139" t="str">
        <f>_xlfn.XLOOKUP(Table7[[#This Row],[app_id]],Table5[app_id],Table5[app_name],"",0)</f>
        <v>StudyCloud</v>
      </c>
      <c r="D2139" t="s">
        <v>1223</v>
      </c>
      <c r="E2139" s="1">
        <v>45499</v>
      </c>
      <c r="F2139">
        <v>3</v>
      </c>
      <c r="G2139" t="s">
        <v>2889</v>
      </c>
      <c r="H2139" t="s">
        <v>2554</v>
      </c>
      <c r="I2139" t="s">
        <v>2571</v>
      </c>
      <c r="J2139" t="s">
        <v>2633</v>
      </c>
      <c r="K2139">
        <v>44</v>
      </c>
      <c r="L2139" s="13" t="s">
        <v>257</v>
      </c>
    </row>
    <row r="2140" spans="1:12" x14ac:dyDescent="0.25">
      <c r="A2140" t="s">
        <v>4817</v>
      </c>
      <c r="B2140" t="s">
        <v>116</v>
      </c>
      <c r="C2140" t="str">
        <f>_xlfn.XLOOKUP(Table7[[#This Row],[app_id]],Table5[app_id],Table5[app_name],"",0)</f>
        <v>SkillNow</v>
      </c>
      <c r="D2140" t="s">
        <v>665</v>
      </c>
      <c r="E2140" s="1">
        <v>45796</v>
      </c>
      <c r="F2140">
        <v>5</v>
      </c>
      <c r="G2140" t="s">
        <v>2635</v>
      </c>
      <c r="H2140" t="s">
        <v>2564</v>
      </c>
      <c r="I2140" t="s">
        <v>2558</v>
      </c>
      <c r="J2140" t="s">
        <v>2596</v>
      </c>
      <c r="K2140">
        <v>47</v>
      </c>
      <c r="L2140" s="13" t="s">
        <v>257</v>
      </c>
    </row>
    <row r="2141" spans="1:12" x14ac:dyDescent="0.25">
      <c r="A2141" t="s">
        <v>4818</v>
      </c>
      <c r="B2141" t="s">
        <v>118</v>
      </c>
      <c r="C2141" t="str">
        <f>_xlfn.XLOOKUP(Table7[[#This Row],[app_id]],Table5[app_id],Table5[app_name],"",0)</f>
        <v>LearnMate</v>
      </c>
      <c r="D2141" t="s">
        <v>2222</v>
      </c>
      <c r="E2141" s="1">
        <v>45604</v>
      </c>
      <c r="F2141">
        <v>4</v>
      </c>
      <c r="G2141" t="s">
        <v>2780</v>
      </c>
      <c r="H2141" t="s">
        <v>2564</v>
      </c>
      <c r="I2141" t="s">
        <v>2565</v>
      </c>
      <c r="J2141" t="s">
        <v>2569</v>
      </c>
      <c r="K2141">
        <v>32</v>
      </c>
      <c r="L2141" s="13" t="s">
        <v>257</v>
      </c>
    </row>
    <row r="2142" spans="1:12" x14ac:dyDescent="0.25">
      <c r="A2142" t="s">
        <v>4819</v>
      </c>
      <c r="B2142" t="s">
        <v>120</v>
      </c>
      <c r="C2142" t="str">
        <f>_xlfn.XLOOKUP(Table7[[#This Row],[app_id]],Table5[app_id],Table5[app_name],"",0)</f>
        <v>QuestNow</v>
      </c>
      <c r="D2142" t="s">
        <v>808</v>
      </c>
      <c r="E2142" s="1">
        <v>45778</v>
      </c>
      <c r="F2142">
        <v>2</v>
      </c>
      <c r="G2142" t="s">
        <v>3107</v>
      </c>
      <c r="H2142" t="s">
        <v>2587</v>
      </c>
      <c r="I2142" t="s">
        <v>2565</v>
      </c>
      <c r="J2142" t="s">
        <v>2559</v>
      </c>
      <c r="K2142">
        <v>19</v>
      </c>
      <c r="L2142" s="13" t="s">
        <v>257</v>
      </c>
    </row>
    <row r="2143" spans="1:12" x14ac:dyDescent="0.25">
      <c r="A2143" t="s">
        <v>4820</v>
      </c>
      <c r="B2143" t="s">
        <v>122</v>
      </c>
      <c r="C2143" t="str">
        <f>_xlfn.XLOOKUP(Table7[[#This Row],[app_id]],Table5[app_id],Table5[app_name],"",0)</f>
        <v>SkillHub</v>
      </c>
      <c r="D2143" t="s">
        <v>1819</v>
      </c>
      <c r="E2143" s="1">
        <v>45699</v>
      </c>
      <c r="F2143">
        <v>5</v>
      </c>
      <c r="G2143" t="s">
        <v>2780</v>
      </c>
      <c r="H2143" t="s">
        <v>2564</v>
      </c>
      <c r="I2143" t="s">
        <v>2565</v>
      </c>
      <c r="J2143" t="s">
        <v>2581</v>
      </c>
      <c r="K2143">
        <v>12</v>
      </c>
      <c r="L2143" s="13" t="s">
        <v>258</v>
      </c>
    </row>
    <row r="2144" spans="1:12" x14ac:dyDescent="0.25">
      <c r="A2144" t="s">
        <v>4821</v>
      </c>
      <c r="B2144" t="s">
        <v>124</v>
      </c>
      <c r="C2144" t="str">
        <f>_xlfn.XLOOKUP(Table7[[#This Row],[app_id]],Table5[app_id],Table5[app_name],"",0)</f>
        <v>TutorCloud</v>
      </c>
      <c r="D2144" t="s">
        <v>591</v>
      </c>
      <c r="E2144" s="1">
        <v>45441</v>
      </c>
      <c r="F2144">
        <v>4</v>
      </c>
      <c r="G2144" t="s">
        <v>2780</v>
      </c>
      <c r="H2144" t="s">
        <v>2564</v>
      </c>
      <c r="I2144" t="s">
        <v>2555</v>
      </c>
      <c r="J2144" t="s">
        <v>2566</v>
      </c>
      <c r="K2144">
        <v>17</v>
      </c>
      <c r="L2144" s="13" t="s">
        <v>257</v>
      </c>
    </row>
    <row r="2145" spans="1:12" x14ac:dyDescent="0.25">
      <c r="A2145" t="s">
        <v>4822</v>
      </c>
      <c r="B2145" t="s">
        <v>126</v>
      </c>
      <c r="C2145" t="str">
        <f>_xlfn.XLOOKUP(Table7[[#This Row],[app_id]],Table5[app_id],Table5[app_name],"",0)</f>
        <v>SkillOne</v>
      </c>
      <c r="D2145" t="s">
        <v>2486</v>
      </c>
      <c r="E2145" s="1">
        <v>45866</v>
      </c>
      <c r="F2145">
        <v>3</v>
      </c>
      <c r="G2145" t="s">
        <v>2778</v>
      </c>
      <c r="H2145" t="s">
        <v>2554</v>
      </c>
      <c r="I2145" t="s">
        <v>2588</v>
      </c>
      <c r="J2145" t="s">
        <v>2569</v>
      </c>
      <c r="K2145">
        <v>43</v>
      </c>
      <c r="L2145" s="13" t="s">
        <v>258</v>
      </c>
    </row>
    <row r="2146" spans="1:12" x14ac:dyDescent="0.25">
      <c r="A2146" t="s">
        <v>4823</v>
      </c>
      <c r="B2146" t="s">
        <v>128</v>
      </c>
      <c r="C2146" t="str">
        <f>_xlfn.XLOOKUP(Table7[[#This Row],[app_id]],Table5[app_id],Table5[app_name],"",0)</f>
        <v>LearnOne</v>
      </c>
      <c r="D2146" t="s">
        <v>1588</v>
      </c>
      <c r="E2146" s="1">
        <v>45799</v>
      </c>
      <c r="F2146">
        <v>2</v>
      </c>
      <c r="G2146" t="s">
        <v>2632</v>
      </c>
      <c r="H2146" t="s">
        <v>2587</v>
      </c>
      <c r="I2146" t="s">
        <v>2588</v>
      </c>
      <c r="J2146" t="s">
        <v>2561</v>
      </c>
      <c r="K2146">
        <v>77</v>
      </c>
      <c r="L2146" s="13" t="s">
        <v>258</v>
      </c>
    </row>
    <row r="2147" spans="1:12" x14ac:dyDescent="0.25">
      <c r="A2147" t="s">
        <v>4824</v>
      </c>
      <c r="B2147" t="s">
        <v>130</v>
      </c>
      <c r="C2147" t="str">
        <f>_xlfn.XLOOKUP(Table7[[#This Row],[app_id]],Table5[app_id],Table5[app_name],"",0)</f>
        <v>LearnPlus</v>
      </c>
      <c r="D2147" t="s">
        <v>2048</v>
      </c>
      <c r="E2147" s="1">
        <v>45624</v>
      </c>
      <c r="F2147">
        <v>3</v>
      </c>
      <c r="G2147" t="s">
        <v>2646</v>
      </c>
      <c r="H2147" t="s">
        <v>2554</v>
      </c>
      <c r="I2147" t="s">
        <v>2575</v>
      </c>
      <c r="J2147" t="s">
        <v>2633</v>
      </c>
      <c r="K2147">
        <v>30</v>
      </c>
      <c r="L2147" s="13" t="s">
        <v>257</v>
      </c>
    </row>
    <row r="2148" spans="1:12" x14ac:dyDescent="0.25">
      <c r="A2148" t="s">
        <v>4825</v>
      </c>
      <c r="B2148" t="s">
        <v>132</v>
      </c>
      <c r="C2148" t="str">
        <f>_xlfn.XLOOKUP(Table7[[#This Row],[app_id]],Table5[app_id],Table5[app_name],"",0)</f>
        <v>StudyPlus</v>
      </c>
      <c r="D2148" t="s">
        <v>2032</v>
      </c>
      <c r="E2148" s="1">
        <v>45418</v>
      </c>
      <c r="F2148">
        <v>5</v>
      </c>
      <c r="G2148" t="s">
        <v>2780</v>
      </c>
      <c r="H2148" t="s">
        <v>2564</v>
      </c>
      <c r="I2148" t="s">
        <v>2565</v>
      </c>
      <c r="J2148" t="s">
        <v>2596</v>
      </c>
      <c r="K2148">
        <v>34</v>
      </c>
      <c r="L2148" s="13" t="s">
        <v>257</v>
      </c>
    </row>
    <row r="2149" spans="1:12" x14ac:dyDescent="0.25">
      <c r="A2149" t="s">
        <v>4826</v>
      </c>
      <c r="B2149" t="s">
        <v>134</v>
      </c>
      <c r="C2149" t="str">
        <f>_xlfn.XLOOKUP(Table7[[#This Row],[app_id]],Table5[app_id],Table5[app_name],"",0)</f>
        <v>StudyX</v>
      </c>
      <c r="D2149" t="s">
        <v>2309</v>
      </c>
      <c r="E2149" s="1">
        <v>46106</v>
      </c>
      <c r="F2149">
        <v>3</v>
      </c>
      <c r="G2149" t="s">
        <v>2778</v>
      </c>
      <c r="H2149" t="s">
        <v>2554</v>
      </c>
      <c r="I2149" t="s">
        <v>2565</v>
      </c>
      <c r="J2149" t="s">
        <v>2566</v>
      </c>
      <c r="K2149">
        <v>43</v>
      </c>
      <c r="L2149" s="13" t="s">
        <v>257</v>
      </c>
    </row>
    <row r="2150" spans="1:12" x14ac:dyDescent="0.25">
      <c r="A2150" t="s">
        <v>4827</v>
      </c>
      <c r="B2150" t="s">
        <v>136</v>
      </c>
      <c r="C2150" t="str">
        <f>_xlfn.XLOOKUP(Table7[[#This Row],[app_id]],Table5[app_id],Table5[app_name],"",0)</f>
        <v>PlayPlus</v>
      </c>
      <c r="D2150" t="s">
        <v>1452</v>
      </c>
      <c r="E2150" s="1">
        <v>45995</v>
      </c>
      <c r="F2150">
        <v>4</v>
      </c>
      <c r="G2150" t="s">
        <v>2789</v>
      </c>
      <c r="H2150" t="s">
        <v>2564</v>
      </c>
      <c r="I2150" t="s">
        <v>2565</v>
      </c>
      <c r="J2150" t="s">
        <v>2603</v>
      </c>
      <c r="K2150">
        <v>13</v>
      </c>
      <c r="L2150" s="13" t="s">
        <v>257</v>
      </c>
    </row>
    <row r="2151" spans="1:12" x14ac:dyDescent="0.25">
      <c r="A2151" t="s">
        <v>4828</v>
      </c>
      <c r="B2151" t="s">
        <v>139</v>
      </c>
      <c r="C2151" t="str">
        <f>_xlfn.XLOOKUP(Table7[[#This Row],[app_id]],Table5[app_id],Table5[app_name],"",0)</f>
        <v>ShowMate</v>
      </c>
      <c r="D2151" t="s">
        <v>1676</v>
      </c>
      <c r="E2151" s="1">
        <v>45438</v>
      </c>
      <c r="F2151">
        <v>2</v>
      </c>
      <c r="G2151" t="s">
        <v>2907</v>
      </c>
      <c r="H2151" t="s">
        <v>2587</v>
      </c>
      <c r="I2151" t="s">
        <v>2571</v>
      </c>
      <c r="J2151" t="s">
        <v>2581</v>
      </c>
      <c r="K2151">
        <v>55</v>
      </c>
      <c r="L2151" s="13" t="s">
        <v>258</v>
      </c>
    </row>
    <row r="2152" spans="1:12" x14ac:dyDescent="0.25">
      <c r="A2152" t="s">
        <v>4829</v>
      </c>
      <c r="B2152" t="s">
        <v>141</v>
      </c>
      <c r="C2152" t="str">
        <f>_xlfn.XLOOKUP(Table7[[#This Row],[app_id]],Table5[app_id],Table5[app_name],"",0)</f>
        <v>VibeX</v>
      </c>
      <c r="D2152" t="s">
        <v>1291</v>
      </c>
      <c r="E2152" s="1">
        <v>46029</v>
      </c>
      <c r="F2152">
        <v>4</v>
      </c>
      <c r="G2152" t="s">
        <v>2789</v>
      </c>
      <c r="H2152" t="s">
        <v>2564</v>
      </c>
      <c r="I2152" t="s">
        <v>2565</v>
      </c>
      <c r="J2152" t="s">
        <v>2603</v>
      </c>
      <c r="K2152">
        <v>19</v>
      </c>
      <c r="L2152" s="13" t="s">
        <v>257</v>
      </c>
    </row>
    <row r="2153" spans="1:12" x14ac:dyDescent="0.25">
      <c r="A2153" t="s">
        <v>4830</v>
      </c>
      <c r="B2153" t="s">
        <v>143</v>
      </c>
      <c r="C2153" t="str">
        <f>_xlfn.XLOOKUP(Table7[[#This Row],[app_id]],Table5[app_id],Table5[app_name],"",0)</f>
        <v>BuzzNow</v>
      </c>
      <c r="D2153" t="s">
        <v>1786</v>
      </c>
      <c r="E2153" s="1">
        <v>46016</v>
      </c>
      <c r="F2153">
        <v>3</v>
      </c>
      <c r="G2153" t="s">
        <v>2655</v>
      </c>
      <c r="H2153" t="s">
        <v>2554</v>
      </c>
      <c r="I2153" t="s">
        <v>2555</v>
      </c>
      <c r="J2153" t="s">
        <v>2559</v>
      </c>
      <c r="K2153">
        <v>25</v>
      </c>
      <c r="L2153" s="13" t="s">
        <v>257</v>
      </c>
    </row>
    <row r="2154" spans="1:12" x14ac:dyDescent="0.25">
      <c r="A2154" t="s">
        <v>4831</v>
      </c>
      <c r="B2154" t="s">
        <v>145</v>
      </c>
      <c r="C2154" t="str">
        <f>_xlfn.XLOOKUP(Table7[[#This Row],[app_id]],Table5[app_id],Table5[app_name],"",0)</f>
        <v>StreamPlus</v>
      </c>
      <c r="D2154" t="s">
        <v>1535</v>
      </c>
      <c r="E2154" s="1">
        <v>45556</v>
      </c>
      <c r="F2154">
        <v>3</v>
      </c>
      <c r="G2154" t="s">
        <v>2791</v>
      </c>
      <c r="H2154" t="s">
        <v>2554</v>
      </c>
      <c r="I2154" t="s">
        <v>2584</v>
      </c>
      <c r="J2154" t="s">
        <v>2581</v>
      </c>
      <c r="K2154">
        <v>26</v>
      </c>
      <c r="L2154" s="13" t="s">
        <v>257</v>
      </c>
    </row>
    <row r="2155" spans="1:12" x14ac:dyDescent="0.25">
      <c r="A2155" t="s">
        <v>4832</v>
      </c>
      <c r="B2155" t="s">
        <v>147</v>
      </c>
      <c r="C2155" t="str">
        <f>_xlfn.XLOOKUP(Table7[[#This Row],[app_id]],Table5[app_id],Table5[app_name],"",0)</f>
        <v>Showly</v>
      </c>
      <c r="D2155" t="s">
        <v>2128</v>
      </c>
      <c r="E2155" s="1">
        <v>45636</v>
      </c>
      <c r="F2155">
        <v>4</v>
      </c>
      <c r="G2155" t="s">
        <v>2652</v>
      </c>
      <c r="H2155" t="s">
        <v>2564</v>
      </c>
      <c r="I2155" t="s">
        <v>2565</v>
      </c>
      <c r="J2155" t="s">
        <v>2556</v>
      </c>
      <c r="K2155">
        <v>34</v>
      </c>
      <c r="L2155" s="13" t="s">
        <v>257</v>
      </c>
    </row>
    <row r="2156" spans="1:12" x14ac:dyDescent="0.25">
      <c r="A2156" t="s">
        <v>4833</v>
      </c>
      <c r="B2156" t="s">
        <v>149</v>
      </c>
      <c r="C2156" t="str">
        <f>_xlfn.XLOOKUP(Table7[[#This Row],[app_id]],Table5[app_id],Table5[app_name],"",0)</f>
        <v>BuzzOne</v>
      </c>
      <c r="D2156" t="s">
        <v>1332</v>
      </c>
      <c r="E2156" s="1">
        <v>45778</v>
      </c>
      <c r="F2156">
        <v>5</v>
      </c>
      <c r="G2156" t="s">
        <v>2905</v>
      </c>
      <c r="H2156" t="s">
        <v>2564</v>
      </c>
      <c r="I2156" t="s">
        <v>2575</v>
      </c>
      <c r="J2156" t="s">
        <v>2561</v>
      </c>
      <c r="K2156">
        <v>24</v>
      </c>
      <c r="L2156" s="13" t="s">
        <v>258</v>
      </c>
    </row>
    <row r="2157" spans="1:12" x14ac:dyDescent="0.25">
      <c r="A2157" t="s">
        <v>4834</v>
      </c>
      <c r="B2157" t="s">
        <v>151</v>
      </c>
      <c r="C2157" t="str">
        <f>_xlfn.XLOOKUP(Table7[[#This Row],[app_id]],Table5[app_id],Table5[app_name],"",0)</f>
        <v>PlayHub</v>
      </c>
      <c r="D2157" t="s">
        <v>669</v>
      </c>
      <c r="E2157" s="1">
        <v>45620</v>
      </c>
      <c r="F2157">
        <v>3</v>
      </c>
      <c r="G2157" t="s">
        <v>2793</v>
      </c>
      <c r="H2157" t="s">
        <v>2554</v>
      </c>
      <c r="I2157" t="s">
        <v>2584</v>
      </c>
      <c r="J2157" t="s">
        <v>2559</v>
      </c>
      <c r="K2157">
        <v>39</v>
      </c>
      <c r="L2157" s="13" t="s">
        <v>257</v>
      </c>
    </row>
    <row r="2158" spans="1:12" x14ac:dyDescent="0.25">
      <c r="A2158" t="s">
        <v>4835</v>
      </c>
      <c r="B2158" t="s">
        <v>153</v>
      </c>
      <c r="C2158" t="str">
        <f>_xlfn.XLOOKUP(Table7[[#This Row],[app_id]],Table5[app_id],Table5[app_name],"",0)</f>
        <v>CinemaGo</v>
      </c>
      <c r="D2158" t="s">
        <v>1625</v>
      </c>
      <c r="E2158" s="1">
        <v>46132</v>
      </c>
      <c r="F2158">
        <v>4</v>
      </c>
      <c r="G2158" t="s">
        <v>2905</v>
      </c>
      <c r="H2158" t="s">
        <v>2564</v>
      </c>
      <c r="I2158" t="s">
        <v>2565</v>
      </c>
      <c r="J2158" t="s">
        <v>2581</v>
      </c>
      <c r="K2158">
        <v>12</v>
      </c>
      <c r="L2158" s="13" t="s">
        <v>257</v>
      </c>
    </row>
    <row r="2159" spans="1:12" x14ac:dyDescent="0.25">
      <c r="A2159" t="s">
        <v>4836</v>
      </c>
      <c r="B2159" t="s">
        <v>155</v>
      </c>
      <c r="C2159" t="str">
        <f>_xlfn.XLOOKUP(Table7[[#This Row],[app_id]],Table5[app_id],Table5[app_name],"",0)</f>
        <v>LaughX</v>
      </c>
      <c r="D2159" t="s">
        <v>2482</v>
      </c>
      <c r="E2159" s="1">
        <v>45347</v>
      </c>
      <c r="F2159">
        <v>4</v>
      </c>
      <c r="G2159" t="s">
        <v>2789</v>
      </c>
      <c r="H2159" t="s">
        <v>2564</v>
      </c>
      <c r="I2159" t="s">
        <v>2575</v>
      </c>
      <c r="J2159" t="s">
        <v>2603</v>
      </c>
      <c r="K2159">
        <v>2</v>
      </c>
      <c r="L2159" s="13" t="s">
        <v>257</v>
      </c>
    </row>
    <row r="2160" spans="1:12" x14ac:dyDescent="0.25">
      <c r="A2160" t="s">
        <v>4837</v>
      </c>
      <c r="B2160" t="s">
        <v>157</v>
      </c>
      <c r="C2160" t="str">
        <f>_xlfn.XLOOKUP(Table7[[#This Row],[app_id]],Table5[app_id],Table5[app_name],"",0)</f>
        <v>CinemaHub</v>
      </c>
      <c r="D2160" t="s">
        <v>1772</v>
      </c>
      <c r="E2160" s="1">
        <v>45630</v>
      </c>
      <c r="F2160">
        <v>3</v>
      </c>
      <c r="G2160" t="s">
        <v>2791</v>
      </c>
      <c r="H2160" t="s">
        <v>2554</v>
      </c>
      <c r="I2160" t="s">
        <v>2575</v>
      </c>
      <c r="J2160" t="s">
        <v>2581</v>
      </c>
      <c r="K2160">
        <v>37</v>
      </c>
      <c r="L2160" s="13" t="s">
        <v>257</v>
      </c>
    </row>
    <row r="2161" spans="1:12" x14ac:dyDescent="0.25">
      <c r="A2161" t="s">
        <v>4838</v>
      </c>
      <c r="B2161" t="s">
        <v>159</v>
      </c>
      <c r="C2161" t="str">
        <f>_xlfn.XLOOKUP(Table7[[#This Row],[app_id]],Table5[app_id],Table5[app_name],"",0)</f>
        <v>ShowPro</v>
      </c>
      <c r="D2161" t="s">
        <v>2365</v>
      </c>
      <c r="E2161" s="1">
        <v>46125</v>
      </c>
      <c r="F2161">
        <v>3</v>
      </c>
      <c r="G2161" t="s">
        <v>2793</v>
      </c>
      <c r="H2161" t="s">
        <v>2554</v>
      </c>
      <c r="I2161" t="s">
        <v>2555</v>
      </c>
      <c r="J2161" t="s">
        <v>2596</v>
      </c>
      <c r="K2161">
        <v>1</v>
      </c>
      <c r="L2161" s="13" t="s">
        <v>257</v>
      </c>
    </row>
    <row r="2162" spans="1:12" x14ac:dyDescent="0.25">
      <c r="A2162" t="s">
        <v>4839</v>
      </c>
      <c r="B2162" t="s">
        <v>161</v>
      </c>
      <c r="C2162" t="str">
        <f>_xlfn.XLOOKUP(Table7[[#This Row],[app_id]],Table5[app_id],Table5[app_name],"",0)</f>
        <v>FoodPlus</v>
      </c>
      <c r="D2162" t="s">
        <v>2171</v>
      </c>
      <c r="E2162" s="1">
        <v>45877</v>
      </c>
      <c r="F2162">
        <v>5</v>
      </c>
      <c r="G2162" t="s">
        <v>2674</v>
      </c>
      <c r="H2162" t="s">
        <v>2564</v>
      </c>
      <c r="I2162" t="s">
        <v>2575</v>
      </c>
      <c r="J2162" t="s">
        <v>2603</v>
      </c>
      <c r="K2162">
        <v>37</v>
      </c>
      <c r="L2162" s="13" t="s">
        <v>257</v>
      </c>
    </row>
    <row r="2163" spans="1:12" x14ac:dyDescent="0.25">
      <c r="A2163" t="s">
        <v>4840</v>
      </c>
      <c r="B2163" t="s">
        <v>164</v>
      </c>
      <c r="C2163" t="str">
        <f>_xlfn.XLOOKUP(Table7[[#This Row],[app_id]],Table5[app_id],Table5[app_name],"",0)</f>
        <v>BiteGo</v>
      </c>
      <c r="D2163" t="s">
        <v>1474</v>
      </c>
      <c r="E2163" s="1">
        <v>45729</v>
      </c>
      <c r="F2163">
        <v>3</v>
      </c>
      <c r="G2163" t="s">
        <v>2668</v>
      </c>
      <c r="H2163" t="s">
        <v>2554</v>
      </c>
      <c r="I2163" t="s">
        <v>2555</v>
      </c>
      <c r="J2163" t="s">
        <v>2603</v>
      </c>
      <c r="K2163">
        <v>29</v>
      </c>
      <c r="L2163" s="13" t="s">
        <v>257</v>
      </c>
    </row>
    <row r="2164" spans="1:12" x14ac:dyDescent="0.25">
      <c r="A2164" t="s">
        <v>4841</v>
      </c>
      <c r="B2164" t="s">
        <v>166</v>
      </c>
      <c r="C2164" t="str">
        <f>_xlfn.XLOOKUP(Table7[[#This Row],[app_id]],Table5[app_id],Table5[app_name],"",0)</f>
        <v>OrderCloud</v>
      </c>
      <c r="D2164" t="s">
        <v>887</v>
      </c>
      <c r="E2164" s="1">
        <v>45606</v>
      </c>
      <c r="F2164">
        <v>3</v>
      </c>
      <c r="G2164" t="s">
        <v>2666</v>
      </c>
      <c r="H2164" t="s">
        <v>2554</v>
      </c>
      <c r="I2164" t="s">
        <v>2558</v>
      </c>
      <c r="J2164" t="s">
        <v>2596</v>
      </c>
      <c r="K2164">
        <v>32</v>
      </c>
      <c r="L2164" s="13" t="s">
        <v>257</v>
      </c>
    </row>
    <row r="2165" spans="1:12" x14ac:dyDescent="0.25">
      <c r="A2165" t="s">
        <v>4842</v>
      </c>
      <c r="B2165" t="s">
        <v>168</v>
      </c>
      <c r="C2165" t="str">
        <f>_xlfn.XLOOKUP(Table7[[#This Row],[app_id]],Table5[app_id],Table5[app_name],"",0)</f>
        <v>DinePlus</v>
      </c>
      <c r="D2165" t="s">
        <v>1938</v>
      </c>
      <c r="E2165" s="1">
        <v>45669</v>
      </c>
      <c r="F2165">
        <v>3</v>
      </c>
      <c r="G2165" t="s">
        <v>2666</v>
      </c>
      <c r="H2165" t="s">
        <v>2554</v>
      </c>
      <c r="I2165" t="s">
        <v>2575</v>
      </c>
      <c r="J2165" t="s">
        <v>2559</v>
      </c>
      <c r="K2165">
        <v>30</v>
      </c>
      <c r="L2165" s="13" t="s">
        <v>257</v>
      </c>
    </row>
    <row r="2166" spans="1:12" x14ac:dyDescent="0.25">
      <c r="A2166" t="s">
        <v>4843</v>
      </c>
      <c r="B2166" t="s">
        <v>170</v>
      </c>
      <c r="C2166" t="str">
        <f>_xlfn.XLOOKUP(Table7[[#This Row],[app_id]],Table5[app_id],Table5[app_name],"",0)</f>
        <v>SnackX</v>
      </c>
      <c r="D2166" t="s">
        <v>2275</v>
      </c>
      <c r="E2166" s="1">
        <v>45402</v>
      </c>
      <c r="F2166">
        <v>5</v>
      </c>
      <c r="G2166" t="s">
        <v>2806</v>
      </c>
      <c r="H2166" t="s">
        <v>2564</v>
      </c>
      <c r="I2166" t="s">
        <v>2558</v>
      </c>
      <c r="J2166" t="s">
        <v>2603</v>
      </c>
      <c r="K2166">
        <v>10</v>
      </c>
      <c r="L2166" s="13" t="s">
        <v>257</v>
      </c>
    </row>
    <row r="2167" spans="1:12" x14ac:dyDescent="0.25">
      <c r="A2167" t="s">
        <v>4844</v>
      </c>
      <c r="B2167" t="s">
        <v>172</v>
      </c>
      <c r="C2167" t="str">
        <f>_xlfn.XLOOKUP(Table7[[#This Row],[app_id]],Table5[app_id],Table5[app_name],"",0)</f>
        <v>FoodOne</v>
      </c>
      <c r="D2167" t="s">
        <v>1495</v>
      </c>
      <c r="E2167" s="1">
        <v>45725</v>
      </c>
      <c r="F2167">
        <v>4</v>
      </c>
      <c r="G2167" t="s">
        <v>2679</v>
      </c>
      <c r="H2167" t="s">
        <v>2564</v>
      </c>
      <c r="I2167" t="s">
        <v>2558</v>
      </c>
      <c r="J2167" t="s">
        <v>2561</v>
      </c>
      <c r="K2167">
        <v>35</v>
      </c>
      <c r="L2167" s="13" t="s">
        <v>257</v>
      </c>
    </row>
    <row r="2168" spans="1:12" x14ac:dyDescent="0.25">
      <c r="A2168" t="s">
        <v>4845</v>
      </c>
      <c r="B2168" t="s">
        <v>174</v>
      </c>
      <c r="C2168" t="str">
        <f>_xlfn.XLOOKUP(Table7[[#This Row],[app_id]],Table5[app_id],Table5[app_name],"",0)</f>
        <v>MealMate</v>
      </c>
      <c r="D2168" t="s">
        <v>1607</v>
      </c>
      <c r="E2168" s="1">
        <v>45633</v>
      </c>
      <c r="F2168">
        <v>4</v>
      </c>
      <c r="G2168" t="s">
        <v>2679</v>
      </c>
      <c r="H2168" t="s">
        <v>2564</v>
      </c>
      <c r="I2168" t="s">
        <v>2558</v>
      </c>
      <c r="J2168" t="s">
        <v>2581</v>
      </c>
      <c r="K2168">
        <v>18</v>
      </c>
      <c r="L2168" s="13" t="s">
        <v>257</v>
      </c>
    </row>
    <row r="2169" spans="1:12" x14ac:dyDescent="0.25">
      <c r="A2169" t="s">
        <v>4846</v>
      </c>
      <c r="B2169" t="s">
        <v>176</v>
      </c>
      <c r="C2169" t="str">
        <f>_xlfn.XLOOKUP(Table7[[#This Row],[app_id]],Table5[app_id],Table5[app_name],"",0)</f>
        <v>SnackHub</v>
      </c>
      <c r="D2169" t="s">
        <v>2108</v>
      </c>
      <c r="E2169" s="1">
        <v>46121</v>
      </c>
      <c r="F2169">
        <v>3</v>
      </c>
      <c r="G2169" t="s">
        <v>2668</v>
      </c>
      <c r="H2169" t="s">
        <v>2554</v>
      </c>
      <c r="I2169" t="s">
        <v>2558</v>
      </c>
      <c r="J2169" t="s">
        <v>2569</v>
      </c>
      <c r="K2169">
        <v>12</v>
      </c>
      <c r="L2169" s="13" t="s">
        <v>257</v>
      </c>
    </row>
    <row r="2170" spans="1:12" x14ac:dyDescent="0.25">
      <c r="A2170" t="s">
        <v>4847</v>
      </c>
      <c r="B2170" t="s">
        <v>178</v>
      </c>
      <c r="C2170" t="str">
        <f>_xlfn.XLOOKUP(Table7[[#This Row],[app_id]],Table5[app_id],Table5[app_name],"",0)</f>
        <v>BiteCloud</v>
      </c>
      <c r="D2170" t="s">
        <v>1695</v>
      </c>
      <c r="E2170" s="1">
        <v>46077</v>
      </c>
      <c r="F2170">
        <v>5</v>
      </c>
      <c r="G2170" t="s">
        <v>2674</v>
      </c>
      <c r="H2170" t="s">
        <v>2564</v>
      </c>
      <c r="I2170" t="s">
        <v>2575</v>
      </c>
      <c r="J2170" t="s">
        <v>2581</v>
      </c>
      <c r="K2170">
        <v>13</v>
      </c>
      <c r="L2170" s="13" t="s">
        <v>257</v>
      </c>
    </row>
    <row r="2171" spans="1:12" x14ac:dyDescent="0.25">
      <c r="A2171" t="s">
        <v>4848</v>
      </c>
      <c r="B2171" t="s">
        <v>180</v>
      </c>
      <c r="C2171" t="str">
        <f>_xlfn.XLOOKUP(Table7[[#This Row],[app_id]],Table5[app_id],Table5[app_name],"",0)</f>
        <v>PlatePlus</v>
      </c>
      <c r="D2171" t="s">
        <v>593</v>
      </c>
      <c r="E2171" s="1">
        <v>45458</v>
      </c>
      <c r="F2171">
        <v>3</v>
      </c>
      <c r="G2171" t="s">
        <v>2672</v>
      </c>
      <c r="H2171" t="s">
        <v>2554</v>
      </c>
      <c r="I2171" t="s">
        <v>2565</v>
      </c>
      <c r="J2171" t="s">
        <v>2566</v>
      </c>
      <c r="K2171">
        <v>45</v>
      </c>
      <c r="L2171" s="13" t="s">
        <v>258</v>
      </c>
    </row>
    <row r="2172" spans="1:12" x14ac:dyDescent="0.25">
      <c r="A2172" t="s">
        <v>4849</v>
      </c>
      <c r="B2172" t="s">
        <v>182</v>
      </c>
      <c r="C2172" t="str">
        <f>_xlfn.XLOOKUP(Table7[[#This Row],[app_id]],Table5[app_id],Table5[app_name],"",0)</f>
        <v>VoyageGo</v>
      </c>
      <c r="D2172" t="s">
        <v>1519</v>
      </c>
      <c r="E2172" s="1">
        <v>45547</v>
      </c>
      <c r="F2172">
        <v>4</v>
      </c>
      <c r="G2172" t="s">
        <v>2931</v>
      </c>
      <c r="H2172" t="s">
        <v>2564</v>
      </c>
      <c r="I2172" t="s">
        <v>2555</v>
      </c>
      <c r="J2172" t="s">
        <v>2566</v>
      </c>
      <c r="K2172">
        <v>38</v>
      </c>
      <c r="L2172" s="13" t="s">
        <v>257</v>
      </c>
    </row>
    <row r="2173" spans="1:12" x14ac:dyDescent="0.25">
      <c r="A2173" t="s">
        <v>4850</v>
      </c>
      <c r="B2173" t="s">
        <v>185</v>
      </c>
      <c r="C2173" t="str">
        <f>_xlfn.XLOOKUP(Table7[[#This Row],[app_id]],Table5[app_id],Table5[app_name],"",0)</f>
        <v>TripOne</v>
      </c>
      <c r="D2173" t="s">
        <v>1250</v>
      </c>
      <c r="E2173" s="1">
        <v>45435</v>
      </c>
      <c r="F2173">
        <v>4</v>
      </c>
      <c r="G2173" t="s">
        <v>2687</v>
      </c>
      <c r="H2173" t="s">
        <v>2564</v>
      </c>
      <c r="I2173" t="s">
        <v>2555</v>
      </c>
      <c r="J2173" t="s">
        <v>2559</v>
      </c>
      <c r="K2173">
        <v>38</v>
      </c>
      <c r="L2173" s="13" t="s">
        <v>257</v>
      </c>
    </row>
    <row r="2174" spans="1:12" x14ac:dyDescent="0.25">
      <c r="A2174" t="s">
        <v>4851</v>
      </c>
      <c r="B2174" t="s">
        <v>187</v>
      </c>
      <c r="C2174" t="str">
        <f>_xlfn.XLOOKUP(Table7[[#This Row],[app_id]],Table5[app_id],Table5[app_name],"",0)</f>
        <v>FlyGo</v>
      </c>
      <c r="D2174" t="s">
        <v>847</v>
      </c>
      <c r="E2174" s="1">
        <v>45777</v>
      </c>
      <c r="F2174">
        <v>4</v>
      </c>
      <c r="G2174" t="s">
        <v>2683</v>
      </c>
      <c r="H2174" t="s">
        <v>2564</v>
      </c>
      <c r="I2174" t="s">
        <v>2555</v>
      </c>
      <c r="J2174" t="s">
        <v>2569</v>
      </c>
      <c r="K2174">
        <v>23</v>
      </c>
      <c r="L2174" s="13" t="s">
        <v>257</v>
      </c>
    </row>
    <row r="2175" spans="1:12" x14ac:dyDescent="0.25">
      <c r="A2175" t="s">
        <v>4852</v>
      </c>
      <c r="B2175" t="s">
        <v>189</v>
      </c>
      <c r="C2175" t="str">
        <f>_xlfn.XLOOKUP(Table7[[#This Row],[app_id]],Table5[app_id],Table5[app_name],"",0)</f>
        <v>MapX</v>
      </c>
      <c r="D2175" t="s">
        <v>2476</v>
      </c>
      <c r="E2175" s="1">
        <v>45384</v>
      </c>
      <c r="F2175">
        <v>4</v>
      </c>
      <c r="G2175" t="s">
        <v>2683</v>
      </c>
      <c r="H2175" t="s">
        <v>2564</v>
      </c>
      <c r="I2175" t="s">
        <v>2555</v>
      </c>
      <c r="J2175" t="s">
        <v>2600</v>
      </c>
      <c r="K2175">
        <v>44</v>
      </c>
      <c r="L2175" s="13" t="s">
        <v>257</v>
      </c>
    </row>
    <row r="2176" spans="1:12" x14ac:dyDescent="0.25">
      <c r="A2176" t="s">
        <v>4853</v>
      </c>
      <c r="B2176" t="s">
        <v>191</v>
      </c>
      <c r="C2176" t="str">
        <f>_xlfn.XLOOKUP(Table7[[#This Row],[app_id]],Table5[app_id],Table5[app_name],"",0)</f>
        <v>StayX</v>
      </c>
      <c r="D2176" t="s">
        <v>866</v>
      </c>
      <c r="E2176" s="1">
        <v>45940</v>
      </c>
      <c r="F2176">
        <v>3</v>
      </c>
      <c r="G2176" t="s">
        <v>2815</v>
      </c>
      <c r="H2176" t="s">
        <v>2554</v>
      </c>
      <c r="I2176" t="s">
        <v>2571</v>
      </c>
      <c r="J2176" t="s">
        <v>2581</v>
      </c>
      <c r="K2176">
        <v>21</v>
      </c>
      <c r="L2176" s="13" t="s">
        <v>257</v>
      </c>
    </row>
    <row r="2177" spans="1:12" x14ac:dyDescent="0.25">
      <c r="A2177" t="s">
        <v>4854</v>
      </c>
      <c r="B2177" t="s">
        <v>193</v>
      </c>
      <c r="C2177" t="str">
        <f>_xlfn.XLOOKUP(Table7[[#This Row],[app_id]],Table5[app_id],Table5[app_name],"",0)</f>
        <v>GoNow</v>
      </c>
      <c r="D2177" t="s">
        <v>1398</v>
      </c>
      <c r="E2177" s="1">
        <v>45294</v>
      </c>
      <c r="F2177">
        <v>4</v>
      </c>
      <c r="G2177" t="s">
        <v>2931</v>
      </c>
      <c r="H2177" t="s">
        <v>2564</v>
      </c>
      <c r="I2177" t="s">
        <v>2555</v>
      </c>
      <c r="J2177" t="s">
        <v>2633</v>
      </c>
      <c r="K2177">
        <v>15</v>
      </c>
      <c r="L2177" s="13" t="s">
        <v>257</v>
      </c>
    </row>
    <row r="2178" spans="1:12" x14ac:dyDescent="0.25">
      <c r="A2178" t="s">
        <v>4855</v>
      </c>
      <c r="B2178" t="s">
        <v>195</v>
      </c>
      <c r="C2178" t="str">
        <f>_xlfn.XLOOKUP(Table7[[#This Row],[app_id]],Table5[app_id],Table5[app_name],"",0)</f>
        <v>RouteGo</v>
      </c>
      <c r="D2178" t="s">
        <v>803</v>
      </c>
      <c r="E2178" s="1">
        <v>45685</v>
      </c>
      <c r="F2178">
        <v>2</v>
      </c>
      <c r="G2178" t="s">
        <v>2685</v>
      </c>
      <c r="H2178" t="s">
        <v>2587</v>
      </c>
      <c r="I2178" t="s">
        <v>2555</v>
      </c>
      <c r="J2178" t="s">
        <v>2556</v>
      </c>
      <c r="K2178">
        <v>8</v>
      </c>
      <c r="L2178" s="13" t="s">
        <v>258</v>
      </c>
    </row>
    <row r="2179" spans="1:12" x14ac:dyDescent="0.25">
      <c r="A2179" t="s">
        <v>4856</v>
      </c>
      <c r="B2179" t="s">
        <v>197</v>
      </c>
      <c r="C2179" t="str">
        <f>_xlfn.XLOOKUP(Table7[[#This Row],[app_id]],Table5[app_id],Table5[app_name],"",0)</f>
        <v>TripGo</v>
      </c>
      <c r="D2179" t="s">
        <v>2500</v>
      </c>
      <c r="E2179" s="1">
        <v>45442</v>
      </c>
      <c r="F2179">
        <v>3</v>
      </c>
      <c r="G2179" t="s">
        <v>2815</v>
      </c>
      <c r="H2179" t="s">
        <v>2554</v>
      </c>
      <c r="I2179" t="s">
        <v>2555</v>
      </c>
      <c r="J2179" t="s">
        <v>2600</v>
      </c>
      <c r="K2179">
        <v>29</v>
      </c>
      <c r="L2179" s="13" t="s">
        <v>257</v>
      </c>
    </row>
    <row r="2180" spans="1:12" x14ac:dyDescent="0.25">
      <c r="A2180" t="s">
        <v>4857</v>
      </c>
      <c r="B2180" t="s">
        <v>199</v>
      </c>
      <c r="C2180" t="str">
        <f>_xlfn.XLOOKUP(Table7[[#This Row],[app_id]],Table5[app_id],Table5[app_name],"",0)</f>
        <v>Flyly</v>
      </c>
      <c r="D2180" t="s">
        <v>545</v>
      </c>
      <c r="E2180" s="1">
        <v>45610</v>
      </c>
      <c r="F2180">
        <v>4</v>
      </c>
      <c r="G2180" t="s">
        <v>2931</v>
      </c>
      <c r="H2180" t="s">
        <v>2564</v>
      </c>
      <c r="I2180" t="s">
        <v>2571</v>
      </c>
      <c r="J2180" t="s">
        <v>2603</v>
      </c>
      <c r="K2180">
        <v>31</v>
      </c>
      <c r="L2180" s="13" t="s">
        <v>257</v>
      </c>
    </row>
    <row r="2181" spans="1:12" x14ac:dyDescent="0.25">
      <c r="A2181" t="s">
        <v>4858</v>
      </c>
      <c r="B2181" t="s">
        <v>201</v>
      </c>
      <c r="C2181" t="str">
        <f>_xlfn.XLOOKUP(Table7[[#This Row],[app_id]],Table5[app_id],Table5[app_name],"",0)</f>
        <v>TripPro</v>
      </c>
      <c r="D2181" t="s">
        <v>2240</v>
      </c>
      <c r="E2181" s="1">
        <v>46016</v>
      </c>
      <c r="F2181">
        <v>5</v>
      </c>
      <c r="G2181" t="s">
        <v>2687</v>
      </c>
      <c r="H2181" t="s">
        <v>2564</v>
      </c>
      <c r="I2181" t="s">
        <v>2565</v>
      </c>
      <c r="J2181" t="s">
        <v>2596</v>
      </c>
      <c r="K2181">
        <v>2</v>
      </c>
      <c r="L2181" s="13" t="s">
        <v>257</v>
      </c>
    </row>
    <row r="2182" spans="1:12" x14ac:dyDescent="0.25">
      <c r="A2182" t="s">
        <v>4859</v>
      </c>
      <c r="B2182" t="s">
        <v>203</v>
      </c>
      <c r="C2182" t="str">
        <f>_xlfn.XLOOKUP(Table7[[#This Row],[app_id]],Table5[app_id],Table5[app_name],"",0)</f>
        <v>Focusly</v>
      </c>
      <c r="D2182" t="s">
        <v>1290</v>
      </c>
      <c r="E2182" s="1">
        <v>46042</v>
      </c>
      <c r="F2182">
        <v>3</v>
      </c>
      <c r="G2182" t="s">
        <v>2713</v>
      </c>
      <c r="H2182" t="s">
        <v>2554</v>
      </c>
      <c r="I2182" t="s">
        <v>2555</v>
      </c>
      <c r="J2182" t="s">
        <v>2596</v>
      </c>
      <c r="K2182">
        <v>36</v>
      </c>
      <c r="L2182" s="13" t="s">
        <v>257</v>
      </c>
    </row>
    <row r="2183" spans="1:12" x14ac:dyDescent="0.25">
      <c r="A2183" t="s">
        <v>4860</v>
      </c>
      <c r="B2183" t="s">
        <v>206</v>
      </c>
      <c r="C2183" t="str">
        <f>_xlfn.XLOOKUP(Table7[[#This Row],[app_id]],Table5[app_id],Table5[app_name],"",0)</f>
        <v>DeskX</v>
      </c>
      <c r="D2183" t="s">
        <v>1683</v>
      </c>
      <c r="E2183" s="1">
        <v>45900</v>
      </c>
      <c r="F2183">
        <v>4</v>
      </c>
      <c r="G2183" t="s">
        <v>2836</v>
      </c>
      <c r="H2183" t="s">
        <v>2564</v>
      </c>
      <c r="I2183" t="s">
        <v>2558</v>
      </c>
      <c r="J2183" t="s">
        <v>2561</v>
      </c>
      <c r="K2183">
        <v>6</v>
      </c>
      <c r="L2183" s="13" t="s">
        <v>257</v>
      </c>
    </row>
    <row r="2184" spans="1:12" x14ac:dyDescent="0.25">
      <c r="A2184" t="s">
        <v>4861</v>
      </c>
      <c r="B2184" t="s">
        <v>208</v>
      </c>
      <c r="C2184" t="str">
        <f>_xlfn.XLOOKUP(Table7[[#This Row],[app_id]],Table5[app_id],Table5[app_name],"",0)</f>
        <v>DonePro</v>
      </c>
      <c r="D2184" t="s">
        <v>2124</v>
      </c>
      <c r="E2184" s="1">
        <v>45814</v>
      </c>
      <c r="F2184">
        <v>3</v>
      </c>
      <c r="G2184" t="s">
        <v>2713</v>
      </c>
      <c r="H2184" t="s">
        <v>2554</v>
      </c>
      <c r="I2184" t="s">
        <v>2575</v>
      </c>
      <c r="J2184" t="s">
        <v>2603</v>
      </c>
      <c r="K2184">
        <v>19</v>
      </c>
      <c r="L2184" s="13" t="s">
        <v>257</v>
      </c>
    </row>
    <row r="2185" spans="1:12" x14ac:dyDescent="0.25">
      <c r="A2185" t="s">
        <v>4862</v>
      </c>
      <c r="B2185" t="s">
        <v>210</v>
      </c>
      <c r="C2185" t="str">
        <f>_xlfn.XLOOKUP(Table7[[#This Row],[app_id]],Table5[app_id],Table5[app_name],"",0)</f>
        <v>NotePlus</v>
      </c>
      <c r="D2185" t="s">
        <v>1121</v>
      </c>
      <c r="E2185" s="1">
        <v>45697</v>
      </c>
      <c r="F2185">
        <v>4</v>
      </c>
      <c r="G2185" t="s">
        <v>2836</v>
      </c>
      <c r="H2185" t="s">
        <v>2564</v>
      </c>
      <c r="I2185" t="s">
        <v>2555</v>
      </c>
      <c r="J2185" t="s">
        <v>2596</v>
      </c>
      <c r="K2185">
        <v>25</v>
      </c>
      <c r="L2185" s="13" t="s">
        <v>257</v>
      </c>
    </row>
    <row r="2186" spans="1:12" x14ac:dyDescent="0.25">
      <c r="A2186" t="s">
        <v>4863</v>
      </c>
      <c r="B2186" t="s">
        <v>212</v>
      </c>
      <c r="C2186" t="str">
        <f>_xlfn.XLOOKUP(Table7[[#This Row],[app_id]],Table5[app_id],Table5[app_name],"",0)</f>
        <v>SyncPlus</v>
      </c>
      <c r="D2186" t="s">
        <v>693</v>
      </c>
      <c r="E2186" s="1">
        <v>45295</v>
      </c>
      <c r="F2186">
        <v>4</v>
      </c>
      <c r="G2186" t="s">
        <v>2836</v>
      </c>
      <c r="H2186" t="s">
        <v>2564</v>
      </c>
      <c r="I2186" t="s">
        <v>2555</v>
      </c>
      <c r="J2186" t="s">
        <v>2569</v>
      </c>
      <c r="K2186">
        <v>12</v>
      </c>
      <c r="L2186" s="13" t="s">
        <v>257</v>
      </c>
    </row>
    <row r="2187" spans="1:12" x14ac:dyDescent="0.25">
      <c r="A2187" t="s">
        <v>4864</v>
      </c>
      <c r="B2187" t="s">
        <v>214</v>
      </c>
      <c r="C2187" t="str">
        <f>_xlfn.XLOOKUP(Table7[[#This Row],[app_id]],Table5[app_id],Table5[app_name],"",0)</f>
        <v>NoteOne</v>
      </c>
      <c r="D2187" t="s">
        <v>700</v>
      </c>
      <c r="E2187" s="1">
        <v>45661</v>
      </c>
      <c r="F2187">
        <v>4</v>
      </c>
      <c r="G2187" t="s">
        <v>2708</v>
      </c>
      <c r="H2187" t="s">
        <v>2564</v>
      </c>
      <c r="I2187" t="s">
        <v>2571</v>
      </c>
      <c r="J2187" t="s">
        <v>2569</v>
      </c>
      <c r="K2187">
        <v>38</v>
      </c>
      <c r="L2187" s="13" t="s">
        <v>257</v>
      </c>
    </row>
    <row r="2188" spans="1:12" x14ac:dyDescent="0.25">
      <c r="A2188" t="s">
        <v>4865</v>
      </c>
      <c r="B2188" t="s">
        <v>216</v>
      </c>
      <c r="C2188" t="str">
        <f>_xlfn.XLOOKUP(Table7[[#This Row],[app_id]],Table5[app_id],Table5[app_name],"",0)</f>
        <v>NoteMate</v>
      </c>
      <c r="D2188" t="s">
        <v>1802</v>
      </c>
      <c r="E2188" s="1">
        <v>46015</v>
      </c>
      <c r="F2188">
        <v>3</v>
      </c>
      <c r="G2188" t="s">
        <v>2706</v>
      </c>
      <c r="H2188" t="s">
        <v>2554</v>
      </c>
      <c r="I2188" t="s">
        <v>2555</v>
      </c>
      <c r="J2188" t="s">
        <v>2556</v>
      </c>
      <c r="K2188">
        <v>16</v>
      </c>
      <c r="L2188" s="13" t="s">
        <v>257</v>
      </c>
    </row>
    <row r="2189" spans="1:12" x14ac:dyDescent="0.25">
      <c r="A2189" t="s">
        <v>4866</v>
      </c>
      <c r="B2189" t="s">
        <v>218</v>
      </c>
      <c r="C2189" t="str">
        <f>_xlfn.XLOOKUP(Table7[[#This Row],[app_id]],Table5[app_id],Table5[app_name],"",0)</f>
        <v>PlanPlus</v>
      </c>
      <c r="D2189" t="s">
        <v>1043</v>
      </c>
      <c r="E2189" s="1">
        <v>45320</v>
      </c>
      <c r="F2189">
        <v>3</v>
      </c>
      <c r="G2189" t="s">
        <v>2713</v>
      </c>
      <c r="H2189" t="s">
        <v>2554</v>
      </c>
      <c r="I2189" t="s">
        <v>2565</v>
      </c>
      <c r="J2189" t="s">
        <v>2556</v>
      </c>
      <c r="K2189">
        <v>17</v>
      </c>
      <c r="L2189" s="13" t="s">
        <v>258</v>
      </c>
    </row>
    <row r="2190" spans="1:12" x14ac:dyDescent="0.25">
      <c r="A2190" t="s">
        <v>4867</v>
      </c>
      <c r="B2190" t="s">
        <v>220</v>
      </c>
      <c r="C2190" t="str">
        <f>_xlfn.XLOOKUP(Table7[[#This Row],[app_id]],Table5[app_id],Table5[app_name],"",0)</f>
        <v>PlanMate</v>
      </c>
      <c r="D2190" t="s">
        <v>2051</v>
      </c>
      <c r="E2190" s="1">
        <v>46047</v>
      </c>
      <c r="F2190">
        <v>2</v>
      </c>
      <c r="G2190" t="s">
        <v>3051</v>
      </c>
      <c r="H2190" t="s">
        <v>2587</v>
      </c>
      <c r="I2190" t="s">
        <v>2584</v>
      </c>
      <c r="J2190" t="s">
        <v>2603</v>
      </c>
      <c r="K2190">
        <v>80</v>
      </c>
      <c r="L2190" s="13" t="s">
        <v>257</v>
      </c>
    </row>
    <row r="2191" spans="1:12" x14ac:dyDescent="0.25">
      <c r="A2191" t="s">
        <v>4868</v>
      </c>
      <c r="B2191" t="s">
        <v>222</v>
      </c>
      <c r="C2191" t="str">
        <f>_xlfn.XLOOKUP(Table7[[#This Row],[app_id]],Table5[app_id],Table5[app_name],"",0)</f>
        <v>SyncPlus</v>
      </c>
      <c r="D2191" t="s">
        <v>1878</v>
      </c>
      <c r="E2191" s="1">
        <v>45659</v>
      </c>
      <c r="F2191">
        <v>4</v>
      </c>
      <c r="G2191" t="s">
        <v>2703</v>
      </c>
      <c r="H2191" t="s">
        <v>2564</v>
      </c>
      <c r="I2191" t="s">
        <v>2558</v>
      </c>
      <c r="J2191" t="s">
        <v>2581</v>
      </c>
      <c r="K2191">
        <v>7</v>
      </c>
      <c r="L2191" s="13" t="s">
        <v>257</v>
      </c>
    </row>
    <row r="2192" spans="1:12" x14ac:dyDescent="0.25">
      <c r="A2192" t="s">
        <v>4869</v>
      </c>
      <c r="B2192" t="s">
        <v>223</v>
      </c>
      <c r="C2192" t="str">
        <f>_xlfn.XLOOKUP(Table7[[#This Row],[app_id]],Table5[app_id],Table5[app_name],"",0)</f>
        <v>ClinicPro</v>
      </c>
      <c r="D2192" t="s">
        <v>2452</v>
      </c>
      <c r="E2192" s="1">
        <v>45582</v>
      </c>
      <c r="F2192">
        <v>4</v>
      </c>
      <c r="G2192" t="s">
        <v>2716</v>
      </c>
      <c r="H2192" t="s">
        <v>2564</v>
      </c>
      <c r="I2192" t="s">
        <v>2565</v>
      </c>
      <c r="J2192" t="s">
        <v>2581</v>
      </c>
      <c r="K2192">
        <v>43</v>
      </c>
      <c r="L2192" s="13" t="s">
        <v>257</v>
      </c>
    </row>
    <row r="2193" spans="1:12" x14ac:dyDescent="0.25">
      <c r="A2193" t="s">
        <v>4870</v>
      </c>
      <c r="B2193" t="s">
        <v>226</v>
      </c>
      <c r="C2193" t="str">
        <f>_xlfn.XLOOKUP(Table7[[#This Row],[app_id]],Table5[app_id],Table5[app_name],"",0)</f>
        <v>MindMate</v>
      </c>
      <c r="D2193" t="s">
        <v>662</v>
      </c>
      <c r="E2193" s="1">
        <v>45346</v>
      </c>
      <c r="F2193">
        <v>3</v>
      </c>
      <c r="G2193" t="s">
        <v>2718</v>
      </c>
      <c r="H2193" t="s">
        <v>2554</v>
      </c>
      <c r="I2193" t="s">
        <v>2565</v>
      </c>
      <c r="J2193" t="s">
        <v>2559</v>
      </c>
      <c r="K2193">
        <v>23</v>
      </c>
      <c r="L2193" s="13" t="s">
        <v>257</v>
      </c>
    </row>
    <row r="2194" spans="1:12" x14ac:dyDescent="0.25">
      <c r="A2194" t="s">
        <v>4871</v>
      </c>
      <c r="B2194" t="s">
        <v>228</v>
      </c>
      <c r="C2194" t="str">
        <f>_xlfn.XLOOKUP(Table7[[#This Row],[app_id]],Table5[app_id],Table5[app_name],"",0)</f>
        <v>ClinicOne</v>
      </c>
      <c r="D2194" t="s">
        <v>1061</v>
      </c>
      <c r="E2194" s="1">
        <v>45709</v>
      </c>
      <c r="F2194">
        <v>3</v>
      </c>
      <c r="G2194" t="s">
        <v>2720</v>
      </c>
      <c r="H2194" t="s">
        <v>2554</v>
      </c>
      <c r="I2194" t="s">
        <v>2565</v>
      </c>
      <c r="J2194" t="s">
        <v>2561</v>
      </c>
      <c r="K2194">
        <v>23</v>
      </c>
      <c r="L2194" s="13" t="s">
        <v>258</v>
      </c>
    </row>
    <row r="2195" spans="1:12" x14ac:dyDescent="0.25">
      <c r="A2195" t="s">
        <v>4872</v>
      </c>
      <c r="B2195" t="s">
        <v>230</v>
      </c>
      <c r="C2195" t="str">
        <f>_xlfn.XLOOKUP(Table7[[#This Row],[app_id]],Table5[app_id],Table5[app_name],"",0)</f>
        <v>WellMate</v>
      </c>
      <c r="D2195" t="s">
        <v>1204</v>
      </c>
      <c r="E2195" s="1">
        <v>45460</v>
      </c>
      <c r="F2195">
        <v>3</v>
      </c>
      <c r="G2195" t="s">
        <v>2726</v>
      </c>
      <c r="H2195" t="s">
        <v>2554</v>
      </c>
      <c r="I2195" t="s">
        <v>2565</v>
      </c>
      <c r="J2195" t="s">
        <v>2561</v>
      </c>
      <c r="K2195">
        <v>42</v>
      </c>
      <c r="L2195" s="13" t="s">
        <v>257</v>
      </c>
    </row>
    <row r="2196" spans="1:12" x14ac:dyDescent="0.25">
      <c r="A2196" t="s">
        <v>4873</v>
      </c>
      <c r="B2196" t="s">
        <v>232</v>
      </c>
      <c r="C2196" t="str">
        <f>_xlfn.XLOOKUP(Table7[[#This Row],[app_id]],Table5[app_id],Table5[app_name],"",0)</f>
        <v>MediMate</v>
      </c>
      <c r="D2196" t="s">
        <v>1599</v>
      </c>
      <c r="E2196" s="1">
        <v>45493</v>
      </c>
      <c r="F2196">
        <v>3</v>
      </c>
      <c r="G2196" t="s">
        <v>2720</v>
      </c>
      <c r="H2196" t="s">
        <v>2554</v>
      </c>
      <c r="I2196" t="s">
        <v>2575</v>
      </c>
      <c r="J2196" t="s">
        <v>2581</v>
      </c>
      <c r="K2196">
        <v>7</v>
      </c>
      <c r="L2196" s="13" t="s">
        <v>257</v>
      </c>
    </row>
    <row r="2197" spans="1:12" x14ac:dyDescent="0.25">
      <c r="A2197" t="s">
        <v>4874</v>
      </c>
      <c r="B2197" t="s">
        <v>234</v>
      </c>
      <c r="C2197" t="str">
        <f>_xlfn.XLOOKUP(Table7[[#This Row],[app_id]],Table5[app_id],Table5[app_name],"",0)</f>
        <v>WellNow</v>
      </c>
      <c r="D2197" t="s">
        <v>2293</v>
      </c>
      <c r="E2197" s="1">
        <v>45719</v>
      </c>
      <c r="F2197">
        <v>4</v>
      </c>
      <c r="G2197" t="s">
        <v>2954</v>
      </c>
      <c r="H2197" t="s">
        <v>2564</v>
      </c>
      <c r="I2197" t="s">
        <v>2558</v>
      </c>
      <c r="J2197" t="s">
        <v>2600</v>
      </c>
      <c r="K2197">
        <v>45</v>
      </c>
      <c r="L2197" s="13" t="s">
        <v>257</v>
      </c>
    </row>
    <row r="2198" spans="1:12" x14ac:dyDescent="0.25">
      <c r="A2198" t="s">
        <v>4875</v>
      </c>
      <c r="B2198" t="s">
        <v>236</v>
      </c>
      <c r="C2198" t="str">
        <f>_xlfn.XLOOKUP(Table7[[#This Row],[app_id]],Table5[app_id],Table5[app_name],"",0)</f>
        <v>CareCloud</v>
      </c>
      <c r="D2198" t="s">
        <v>2077</v>
      </c>
      <c r="E2198" s="1">
        <v>45850</v>
      </c>
      <c r="F2198">
        <v>4</v>
      </c>
      <c r="G2198" t="s">
        <v>2728</v>
      </c>
      <c r="H2198" t="s">
        <v>2564</v>
      </c>
      <c r="I2198" t="s">
        <v>2555</v>
      </c>
      <c r="J2198" t="s">
        <v>2561</v>
      </c>
      <c r="K2198">
        <v>42</v>
      </c>
      <c r="L2198" s="13" t="s">
        <v>257</v>
      </c>
    </row>
    <row r="2199" spans="1:12" x14ac:dyDescent="0.25">
      <c r="A2199" t="s">
        <v>4876</v>
      </c>
      <c r="B2199" t="s">
        <v>238</v>
      </c>
      <c r="C2199" t="str">
        <f>_xlfn.XLOOKUP(Table7[[#This Row],[app_id]],Table5[app_id],Table5[app_name],"",0)</f>
        <v>MediNow</v>
      </c>
      <c r="D2199" t="s">
        <v>2320</v>
      </c>
      <c r="E2199" s="1">
        <v>45811</v>
      </c>
      <c r="F2199">
        <v>4</v>
      </c>
      <c r="G2199" t="s">
        <v>2716</v>
      </c>
      <c r="H2199" t="s">
        <v>2564</v>
      </c>
      <c r="I2199" t="s">
        <v>2565</v>
      </c>
      <c r="J2199" t="s">
        <v>2600</v>
      </c>
      <c r="K2199">
        <v>47</v>
      </c>
      <c r="L2199" s="13" t="s">
        <v>257</v>
      </c>
    </row>
    <row r="2200" spans="1:12" x14ac:dyDescent="0.25">
      <c r="A2200" t="s">
        <v>4877</v>
      </c>
      <c r="B2200" t="s">
        <v>240</v>
      </c>
      <c r="C2200" t="str">
        <f>_xlfn.XLOOKUP(Table7[[#This Row],[app_id]],Table5[app_id],Table5[app_name],"",0)</f>
        <v>MindPlus</v>
      </c>
      <c r="D2200" t="s">
        <v>1423</v>
      </c>
      <c r="E2200" s="1">
        <v>45782</v>
      </c>
      <c r="F2200">
        <v>4</v>
      </c>
      <c r="G2200" t="s">
        <v>2728</v>
      </c>
      <c r="H2200" t="s">
        <v>2564</v>
      </c>
      <c r="I2200" t="s">
        <v>2555</v>
      </c>
      <c r="J2200" t="s">
        <v>2581</v>
      </c>
      <c r="K2200">
        <v>42</v>
      </c>
      <c r="L2200" s="13" t="s">
        <v>257</v>
      </c>
    </row>
    <row r="2201" spans="1:12" x14ac:dyDescent="0.25">
      <c r="A2201" t="s">
        <v>4878</v>
      </c>
      <c r="B2201" t="s">
        <v>242</v>
      </c>
      <c r="C2201" t="str">
        <f>_xlfn.XLOOKUP(Table7[[#This Row],[app_id]],Table5[app_id],Table5[app_name],"",0)</f>
        <v>MediCloud</v>
      </c>
      <c r="D2201" t="s">
        <v>1905</v>
      </c>
      <c r="E2201" s="1">
        <v>45867</v>
      </c>
      <c r="F2201">
        <v>4</v>
      </c>
      <c r="G2201" t="s">
        <v>2722</v>
      </c>
      <c r="H2201" t="s">
        <v>2564</v>
      </c>
      <c r="I2201" t="s">
        <v>2558</v>
      </c>
      <c r="J2201" t="s">
        <v>2581</v>
      </c>
      <c r="K2201">
        <v>1</v>
      </c>
      <c r="L2201" s="13" t="s">
        <v>257</v>
      </c>
    </row>
    <row r="2202" spans="1:12" x14ac:dyDescent="0.25">
      <c r="A2202" t="s">
        <v>4879</v>
      </c>
      <c r="B2202" t="s">
        <v>12</v>
      </c>
      <c r="C2202" t="str">
        <f>_xlfn.XLOOKUP(Table7[[#This Row],[app_id]],Table5[app_id],Table5[app_name],"",0)</f>
        <v>InvestPro</v>
      </c>
      <c r="D2202" t="s">
        <v>2106</v>
      </c>
      <c r="E2202" s="1">
        <v>45395</v>
      </c>
      <c r="F2202">
        <v>4</v>
      </c>
      <c r="G2202" t="s">
        <v>2573</v>
      </c>
      <c r="H2202" t="s">
        <v>2564</v>
      </c>
      <c r="I2202" t="s">
        <v>2575</v>
      </c>
      <c r="J2202" t="s">
        <v>2559</v>
      </c>
      <c r="K2202">
        <v>21</v>
      </c>
      <c r="L2202" s="13" t="s">
        <v>257</v>
      </c>
    </row>
    <row r="2203" spans="1:12" x14ac:dyDescent="0.25">
      <c r="A2203" t="s">
        <v>4880</v>
      </c>
      <c r="B2203" t="s">
        <v>19</v>
      </c>
      <c r="C2203" t="str">
        <f>_xlfn.XLOOKUP(Table7[[#This Row],[app_id]],Table5[app_id],Table5[app_name],"",0)</f>
        <v>BankPro</v>
      </c>
      <c r="D2203" t="s">
        <v>2523</v>
      </c>
      <c r="E2203" s="1">
        <v>46093</v>
      </c>
      <c r="F2203">
        <v>3</v>
      </c>
      <c r="G2203" t="s">
        <v>2735</v>
      </c>
      <c r="H2203" t="s">
        <v>2554</v>
      </c>
      <c r="I2203" t="s">
        <v>2584</v>
      </c>
      <c r="J2203" t="s">
        <v>2556</v>
      </c>
      <c r="K2203">
        <v>25</v>
      </c>
      <c r="L2203" s="13" t="s">
        <v>257</v>
      </c>
    </row>
    <row r="2204" spans="1:12" x14ac:dyDescent="0.25">
      <c r="A2204" t="s">
        <v>4881</v>
      </c>
      <c r="B2204" t="s">
        <v>24</v>
      </c>
      <c r="C2204" t="str">
        <f>_xlfn.XLOOKUP(Table7[[#This Row],[app_id]],Table5[app_id],Table5[app_name],"",0)</f>
        <v>BankX</v>
      </c>
      <c r="D2204" t="s">
        <v>762</v>
      </c>
      <c r="E2204" s="1">
        <v>45539</v>
      </c>
      <c r="F2204">
        <v>3</v>
      </c>
      <c r="G2204" t="s">
        <v>2968</v>
      </c>
      <c r="H2204" t="s">
        <v>2554</v>
      </c>
      <c r="I2204" t="s">
        <v>2584</v>
      </c>
      <c r="J2204" t="s">
        <v>2566</v>
      </c>
      <c r="K2204">
        <v>30</v>
      </c>
      <c r="L2204" s="13" t="s">
        <v>257</v>
      </c>
    </row>
    <row r="2205" spans="1:12" x14ac:dyDescent="0.25">
      <c r="A2205" t="s">
        <v>4882</v>
      </c>
      <c r="B2205" t="s">
        <v>27</v>
      </c>
      <c r="C2205" t="str">
        <f>_xlfn.XLOOKUP(Table7[[#This Row],[app_id]],Table5[app_id],Table5[app_name],"",0)</f>
        <v>BankNow</v>
      </c>
      <c r="D2205" t="s">
        <v>1125</v>
      </c>
      <c r="E2205" s="1">
        <v>45548</v>
      </c>
      <c r="F2205">
        <v>2</v>
      </c>
      <c r="G2205" t="s">
        <v>3276</v>
      </c>
      <c r="H2205" t="s">
        <v>2587</v>
      </c>
      <c r="I2205" t="s">
        <v>2575</v>
      </c>
      <c r="J2205" t="s">
        <v>2556</v>
      </c>
      <c r="K2205">
        <v>27</v>
      </c>
      <c r="L2205" s="13" t="s">
        <v>258</v>
      </c>
    </row>
    <row r="2206" spans="1:12" x14ac:dyDescent="0.25">
      <c r="A2206" t="s">
        <v>4883</v>
      </c>
      <c r="B2206" t="s">
        <v>31</v>
      </c>
      <c r="C2206" t="str">
        <f>_xlfn.XLOOKUP(Table7[[#This Row],[app_id]],Table5[app_id],Table5[app_name],"",0)</f>
        <v>CreditHub</v>
      </c>
      <c r="D2206" t="s">
        <v>815</v>
      </c>
      <c r="E2206" s="1">
        <v>45727</v>
      </c>
      <c r="F2206">
        <v>4</v>
      </c>
      <c r="G2206" t="s">
        <v>2580</v>
      </c>
      <c r="H2206" t="s">
        <v>2564</v>
      </c>
      <c r="I2206" t="s">
        <v>2565</v>
      </c>
      <c r="J2206" t="s">
        <v>2596</v>
      </c>
      <c r="K2206">
        <v>12</v>
      </c>
      <c r="L2206" s="13" t="s">
        <v>258</v>
      </c>
    </row>
    <row r="2207" spans="1:12" x14ac:dyDescent="0.25">
      <c r="A2207" t="s">
        <v>4884</v>
      </c>
      <c r="B2207" t="s">
        <v>36</v>
      </c>
      <c r="C2207" t="str">
        <f>_xlfn.XLOOKUP(Table7[[#This Row],[app_id]],Table5[app_id],Table5[app_name],"",0)</f>
        <v>PayPlus</v>
      </c>
      <c r="D2207" t="s">
        <v>768</v>
      </c>
      <c r="E2207" s="1">
        <v>46018</v>
      </c>
      <c r="F2207">
        <v>5</v>
      </c>
      <c r="G2207" t="s">
        <v>2580</v>
      </c>
      <c r="H2207" t="s">
        <v>2564</v>
      </c>
      <c r="I2207" t="s">
        <v>2558</v>
      </c>
      <c r="J2207" t="s">
        <v>2559</v>
      </c>
      <c r="K2207">
        <v>43</v>
      </c>
      <c r="L2207" s="13" t="s">
        <v>258</v>
      </c>
    </row>
    <row r="2208" spans="1:12" x14ac:dyDescent="0.25">
      <c r="A2208" t="s">
        <v>4885</v>
      </c>
      <c r="B2208" t="s">
        <v>39</v>
      </c>
      <c r="C2208" t="str">
        <f>_xlfn.XLOOKUP(Table7[[#This Row],[app_id]],Table5[app_id],Table5[app_name],"",0)</f>
        <v>BankPlus</v>
      </c>
      <c r="D2208" t="s">
        <v>1108</v>
      </c>
      <c r="E2208" s="1">
        <v>45465</v>
      </c>
      <c r="F2208">
        <v>4</v>
      </c>
      <c r="G2208" t="s">
        <v>2568</v>
      </c>
      <c r="H2208" t="s">
        <v>2564</v>
      </c>
      <c r="I2208" t="s">
        <v>2558</v>
      </c>
      <c r="J2208" t="s">
        <v>2581</v>
      </c>
      <c r="K2208">
        <v>27</v>
      </c>
      <c r="L2208" s="13" t="s">
        <v>257</v>
      </c>
    </row>
    <row r="2209" spans="1:12" x14ac:dyDescent="0.25">
      <c r="A2209" t="s">
        <v>4886</v>
      </c>
      <c r="B2209" t="s">
        <v>42</v>
      </c>
      <c r="C2209" t="str">
        <f>_xlfn.XLOOKUP(Table7[[#This Row],[app_id]],Table5[app_id],Table5[app_name],"",0)</f>
        <v>CoinPlus</v>
      </c>
      <c r="D2209" t="s">
        <v>1235</v>
      </c>
      <c r="E2209" s="1">
        <v>45702</v>
      </c>
      <c r="F2209">
        <v>4</v>
      </c>
      <c r="G2209" t="s">
        <v>2568</v>
      </c>
      <c r="H2209" t="s">
        <v>2564</v>
      </c>
      <c r="I2209" t="s">
        <v>2575</v>
      </c>
      <c r="J2209" t="s">
        <v>2556</v>
      </c>
      <c r="K2209">
        <v>12</v>
      </c>
      <c r="L2209" s="13" t="s">
        <v>257</v>
      </c>
    </row>
    <row r="2210" spans="1:12" x14ac:dyDescent="0.25">
      <c r="A2210" t="s">
        <v>4887</v>
      </c>
      <c r="B2210" t="s">
        <v>47</v>
      </c>
      <c r="C2210" t="str">
        <f>_xlfn.XLOOKUP(Table7[[#This Row],[app_id]],Table5[app_id],Table5[app_name],"",0)</f>
        <v>CreditOne</v>
      </c>
      <c r="D2210" t="s">
        <v>2525</v>
      </c>
      <c r="E2210" s="1">
        <v>45583</v>
      </c>
      <c r="F2210">
        <v>4</v>
      </c>
      <c r="G2210" t="s">
        <v>2568</v>
      </c>
      <c r="H2210" t="s">
        <v>2564</v>
      </c>
      <c r="I2210" t="s">
        <v>2555</v>
      </c>
      <c r="J2210" t="s">
        <v>2566</v>
      </c>
      <c r="K2210">
        <v>6</v>
      </c>
      <c r="L2210" s="13" t="s">
        <v>257</v>
      </c>
    </row>
    <row r="2211" spans="1:12" x14ac:dyDescent="0.25">
      <c r="A2211" t="s">
        <v>4888</v>
      </c>
      <c r="B2211" t="s">
        <v>49</v>
      </c>
      <c r="C2211" t="str">
        <f>_xlfn.XLOOKUP(Table7[[#This Row],[app_id]],Table5[app_id],Table5[app_name],"",0)</f>
        <v>PayPro</v>
      </c>
      <c r="D2211" t="s">
        <v>1665</v>
      </c>
      <c r="E2211" s="1">
        <v>45630</v>
      </c>
      <c r="F2211">
        <v>3</v>
      </c>
      <c r="G2211" t="s">
        <v>2735</v>
      </c>
      <c r="H2211" t="s">
        <v>2554</v>
      </c>
      <c r="I2211" t="s">
        <v>2578</v>
      </c>
      <c r="J2211" t="s">
        <v>2600</v>
      </c>
      <c r="K2211">
        <v>31</v>
      </c>
      <c r="L2211" s="13" t="s">
        <v>258</v>
      </c>
    </row>
    <row r="2212" spans="1:12" x14ac:dyDescent="0.25">
      <c r="A2212" t="s">
        <v>4889</v>
      </c>
      <c r="B2212" t="s">
        <v>51</v>
      </c>
      <c r="C2212" t="str">
        <f>_xlfn.XLOOKUP(Table7[[#This Row],[app_id]],Table5[app_id],Table5[app_name],"",0)</f>
        <v>Creditly</v>
      </c>
      <c r="D2212" t="s">
        <v>612</v>
      </c>
      <c r="E2212" s="1">
        <v>45312</v>
      </c>
      <c r="F2212">
        <v>4</v>
      </c>
      <c r="G2212" t="s">
        <v>2573</v>
      </c>
      <c r="H2212" t="s">
        <v>2564</v>
      </c>
      <c r="I2212" t="s">
        <v>2575</v>
      </c>
      <c r="J2212" t="s">
        <v>2596</v>
      </c>
      <c r="K2212">
        <v>29</v>
      </c>
      <c r="L2212" s="13" t="s">
        <v>257</v>
      </c>
    </row>
    <row r="2213" spans="1:12" x14ac:dyDescent="0.25">
      <c r="A2213" t="s">
        <v>4890</v>
      </c>
      <c r="B2213" t="s">
        <v>53</v>
      </c>
      <c r="C2213" t="str">
        <f>_xlfn.XLOOKUP(Table7[[#This Row],[app_id]],Table5[app_id],Table5[app_name],"",0)</f>
        <v>PayX</v>
      </c>
      <c r="D2213" t="s">
        <v>1174</v>
      </c>
      <c r="E2213" s="1">
        <v>45902</v>
      </c>
      <c r="F2213">
        <v>4</v>
      </c>
      <c r="G2213" t="s">
        <v>2563</v>
      </c>
      <c r="H2213" t="s">
        <v>2564</v>
      </c>
      <c r="I2213" t="s">
        <v>2558</v>
      </c>
      <c r="J2213" t="s">
        <v>2559</v>
      </c>
      <c r="K2213">
        <v>47</v>
      </c>
      <c r="L2213" s="13" t="s">
        <v>257</v>
      </c>
    </row>
    <row r="2214" spans="1:12" x14ac:dyDescent="0.25">
      <c r="A2214" t="s">
        <v>4891</v>
      </c>
      <c r="B2214" t="s">
        <v>56</v>
      </c>
      <c r="C2214" t="str">
        <f>_xlfn.XLOOKUP(Table7[[#This Row],[app_id]],Table5[app_id],Table5[app_name],"",0)</f>
        <v>DealGo</v>
      </c>
      <c r="D2214" t="s">
        <v>2213</v>
      </c>
      <c r="E2214" s="1">
        <v>45311</v>
      </c>
      <c r="F2214">
        <v>4</v>
      </c>
      <c r="G2214" t="s">
        <v>2590</v>
      </c>
      <c r="H2214" t="s">
        <v>2564</v>
      </c>
      <c r="I2214" t="s">
        <v>2575</v>
      </c>
      <c r="J2214" t="s">
        <v>2569</v>
      </c>
      <c r="K2214">
        <v>27</v>
      </c>
      <c r="L2214" s="13" t="s">
        <v>257</v>
      </c>
    </row>
    <row r="2215" spans="1:12" x14ac:dyDescent="0.25">
      <c r="A2215" t="s">
        <v>4892</v>
      </c>
      <c r="B2215" t="s">
        <v>62</v>
      </c>
      <c r="C2215" t="str">
        <f>_xlfn.XLOOKUP(Table7[[#This Row],[app_id]],Table5[app_id],Table5[app_name],"",0)</f>
        <v>MallNow</v>
      </c>
      <c r="D2215" t="s">
        <v>1482</v>
      </c>
      <c r="E2215" s="1">
        <v>45305</v>
      </c>
      <c r="F2215">
        <v>4</v>
      </c>
      <c r="G2215" t="s">
        <v>2598</v>
      </c>
      <c r="H2215" t="s">
        <v>2564</v>
      </c>
      <c r="I2215" t="s">
        <v>2575</v>
      </c>
      <c r="J2215" t="s">
        <v>2581</v>
      </c>
      <c r="K2215">
        <v>23</v>
      </c>
      <c r="L2215" s="13" t="s">
        <v>257</v>
      </c>
    </row>
    <row r="2216" spans="1:12" x14ac:dyDescent="0.25">
      <c r="A2216" t="s">
        <v>4893</v>
      </c>
      <c r="B2216" t="s">
        <v>65</v>
      </c>
      <c r="C2216" t="str">
        <f>_xlfn.XLOOKUP(Table7[[#This Row],[app_id]],Table5[app_id],Table5[app_name],"",0)</f>
        <v>DealPro</v>
      </c>
      <c r="D2216" t="s">
        <v>2081</v>
      </c>
      <c r="E2216" s="1">
        <v>45595</v>
      </c>
      <c r="F2216">
        <v>4</v>
      </c>
      <c r="G2216" t="s">
        <v>2592</v>
      </c>
      <c r="H2216" t="s">
        <v>2564</v>
      </c>
      <c r="I2216" t="s">
        <v>2565</v>
      </c>
      <c r="J2216" t="s">
        <v>2561</v>
      </c>
      <c r="K2216">
        <v>17</v>
      </c>
      <c r="L2216" s="13" t="s">
        <v>257</v>
      </c>
    </row>
    <row r="2217" spans="1:12" x14ac:dyDescent="0.25">
      <c r="A2217" t="s">
        <v>4894</v>
      </c>
      <c r="B2217" t="s">
        <v>67</v>
      </c>
      <c r="C2217" t="str">
        <f>_xlfn.XLOOKUP(Table7[[#This Row],[app_id]],Table5[app_id],Table5[app_name],"",0)</f>
        <v>StyleNow</v>
      </c>
      <c r="D2217" t="s">
        <v>1537</v>
      </c>
      <c r="E2217" s="1">
        <v>46052</v>
      </c>
      <c r="F2217">
        <v>3</v>
      </c>
      <c r="G2217" t="s">
        <v>2748</v>
      </c>
      <c r="H2217" t="s">
        <v>2554</v>
      </c>
      <c r="I2217" t="s">
        <v>2588</v>
      </c>
      <c r="J2217" t="s">
        <v>2559</v>
      </c>
      <c r="K2217">
        <v>24</v>
      </c>
      <c r="L2217" s="13" t="s">
        <v>257</v>
      </c>
    </row>
    <row r="2218" spans="1:12" x14ac:dyDescent="0.25">
      <c r="A2218" t="s">
        <v>4895</v>
      </c>
      <c r="B2218" t="s">
        <v>70</v>
      </c>
      <c r="C2218" t="str">
        <f>_xlfn.XLOOKUP(Table7[[#This Row],[app_id]],Table5[app_id],Table5[app_name],"",0)</f>
        <v>DealCloud</v>
      </c>
      <c r="D2218" t="s">
        <v>1514</v>
      </c>
      <c r="E2218" s="1">
        <v>46014</v>
      </c>
      <c r="F2218">
        <v>3</v>
      </c>
      <c r="G2218" t="s">
        <v>2748</v>
      </c>
      <c r="H2218" t="s">
        <v>2554</v>
      </c>
      <c r="I2218" t="s">
        <v>2555</v>
      </c>
      <c r="J2218" t="s">
        <v>2556</v>
      </c>
      <c r="K2218">
        <v>38</v>
      </c>
      <c r="L2218" s="13" t="s">
        <v>257</v>
      </c>
    </row>
    <row r="2219" spans="1:12" x14ac:dyDescent="0.25">
      <c r="A2219" t="s">
        <v>4896</v>
      </c>
      <c r="B2219" t="s">
        <v>72</v>
      </c>
      <c r="C2219" t="str">
        <f>_xlfn.XLOOKUP(Table7[[#This Row],[app_id]],Table5[app_id],Table5[app_name],"",0)</f>
        <v>CartCloud</v>
      </c>
      <c r="D2219" t="s">
        <v>2141</v>
      </c>
      <c r="E2219" s="1">
        <v>45752</v>
      </c>
      <c r="F2219">
        <v>3</v>
      </c>
      <c r="G2219" t="s">
        <v>2594</v>
      </c>
      <c r="H2219" t="s">
        <v>2554</v>
      </c>
      <c r="I2219" t="s">
        <v>2571</v>
      </c>
      <c r="J2219" t="s">
        <v>2566</v>
      </c>
      <c r="K2219">
        <v>17</v>
      </c>
      <c r="L2219" s="13" t="s">
        <v>257</v>
      </c>
    </row>
    <row r="2220" spans="1:12" x14ac:dyDescent="0.25">
      <c r="A2220" t="s">
        <v>4897</v>
      </c>
      <c r="B2220" t="s">
        <v>74</v>
      </c>
      <c r="C2220" t="str">
        <f>_xlfn.XLOOKUP(Table7[[#This Row],[app_id]],Table5[app_id],Table5[app_name],"",0)</f>
        <v>CartMate</v>
      </c>
      <c r="D2220" t="s">
        <v>975</v>
      </c>
      <c r="E2220" s="1">
        <v>45881</v>
      </c>
      <c r="F2220">
        <v>4</v>
      </c>
      <c r="G2220" t="s">
        <v>2598</v>
      </c>
      <c r="H2220" t="s">
        <v>2564</v>
      </c>
      <c r="I2220" t="s">
        <v>2558</v>
      </c>
      <c r="J2220" t="s">
        <v>2556</v>
      </c>
      <c r="K2220">
        <v>6</v>
      </c>
      <c r="L2220" s="13" t="s">
        <v>257</v>
      </c>
    </row>
    <row r="2221" spans="1:12" x14ac:dyDescent="0.25">
      <c r="A2221" t="s">
        <v>4898</v>
      </c>
      <c r="B2221" t="s">
        <v>76</v>
      </c>
      <c r="C2221" t="str">
        <f>_xlfn.XLOOKUP(Table7[[#This Row],[app_id]],Table5[app_id],Table5[app_name],"",0)</f>
        <v>BazaarOne</v>
      </c>
      <c r="D2221" t="s">
        <v>574</v>
      </c>
      <c r="E2221" s="1">
        <v>45540</v>
      </c>
      <c r="F2221">
        <v>3</v>
      </c>
      <c r="G2221" t="s">
        <v>2748</v>
      </c>
      <c r="H2221" t="s">
        <v>2554</v>
      </c>
      <c r="I2221" t="s">
        <v>2584</v>
      </c>
      <c r="J2221" t="s">
        <v>2569</v>
      </c>
      <c r="K2221">
        <v>6</v>
      </c>
      <c r="L2221" s="13" t="s">
        <v>257</v>
      </c>
    </row>
    <row r="2222" spans="1:12" x14ac:dyDescent="0.25">
      <c r="A2222" t="s">
        <v>4899</v>
      </c>
      <c r="B2222" t="s">
        <v>78</v>
      </c>
      <c r="C2222" t="str">
        <f>_xlfn.XLOOKUP(Table7[[#This Row],[app_id]],Table5[app_id],Table5[app_name],"",0)</f>
        <v>StyleOne</v>
      </c>
      <c r="D2222" t="s">
        <v>717</v>
      </c>
      <c r="E2222" s="1">
        <v>45302</v>
      </c>
      <c r="F2222">
        <v>2</v>
      </c>
      <c r="G2222" t="s">
        <v>2586</v>
      </c>
      <c r="H2222" t="s">
        <v>2587</v>
      </c>
      <c r="I2222" t="s">
        <v>2571</v>
      </c>
      <c r="J2222" t="s">
        <v>2569</v>
      </c>
      <c r="K2222">
        <v>70</v>
      </c>
      <c r="L2222" s="13" t="s">
        <v>258</v>
      </c>
    </row>
    <row r="2223" spans="1:12" x14ac:dyDescent="0.25">
      <c r="A2223" t="s">
        <v>4900</v>
      </c>
      <c r="B2223" t="s">
        <v>80</v>
      </c>
      <c r="C2223" t="str">
        <f>_xlfn.XLOOKUP(Table7[[#This Row],[app_id]],Table5[app_id],Table5[app_name],"",0)</f>
        <v>Cartly</v>
      </c>
      <c r="D2223" t="s">
        <v>1222</v>
      </c>
      <c r="E2223" s="1">
        <v>45460</v>
      </c>
      <c r="F2223">
        <v>3</v>
      </c>
      <c r="G2223" t="s">
        <v>2609</v>
      </c>
      <c r="H2223" t="s">
        <v>2554</v>
      </c>
      <c r="I2223" t="s">
        <v>2565</v>
      </c>
      <c r="J2223" t="s">
        <v>2600</v>
      </c>
      <c r="K2223">
        <v>22</v>
      </c>
      <c r="L2223" s="13" t="s">
        <v>257</v>
      </c>
    </row>
    <row r="2224" spans="1:12" x14ac:dyDescent="0.25">
      <c r="A2224" t="s">
        <v>4901</v>
      </c>
      <c r="B2224" t="s">
        <v>83</v>
      </c>
      <c r="C2224" t="str">
        <f>_xlfn.XLOOKUP(Table7[[#This Row],[app_id]],Table5[app_id],Table5[app_name],"",0)</f>
        <v>BazaarCloud</v>
      </c>
      <c r="D2224" t="s">
        <v>1412</v>
      </c>
      <c r="E2224" s="1">
        <v>45648</v>
      </c>
      <c r="F2224">
        <v>3</v>
      </c>
      <c r="G2224" t="s">
        <v>2748</v>
      </c>
      <c r="H2224" t="s">
        <v>2554</v>
      </c>
      <c r="I2224" t="s">
        <v>2575</v>
      </c>
      <c r="J2224" t="s">
        <v>2603</v>
      </c>
      <c r="K2224">
        <v>45</v>
      </c>
      <c r="L2224" s="13" t="s">
        <v>257</v>
      </c>
    </row>
    <row r="2225" spans="1:12" x14ac:dyDescent="0.25">
      <c r="A2225" t="s">
        <v>4902</v>
      </c>
      <c r="B2225" t="s">
        <v>85</v>
      </c>
      <c r="C2225" t="str">
        <f>_xlfn.XLOOKUP(Table7[[#This Row],[app_id]],Table5[app_id],Table5[app_name],"",0)</f>
        <v>CartPro</v>
      </c>
      <c r="D2225" t="s">
        <v>2196</v>
      </c>
      <c r="E2225" s="1">
        <v>45784</v>
      </c>
      <c r="F2225">
        <v>5</v>
      </c>
      <c r="G2225" t="s">
        <v>2592</v>
      </c>
      <c r="H2225" t="s">
        <v>2564</v>
      </c>
      <c r="I2225" t="s">
        <v>2575</v>
      </c>
      <c r="J2225" t="s">
        <v>2596</v>
      </c>
      <c r="K2225">
        <v>18</v>
      </c>
      <c r="L2225" s="13" t="s">
        <v>258</v>
      </c>
    </row>
    <row r="2226" spans="1:12" x14ac:dyDescent="0.25">
      <c r="A2226" t="s">
        <v>4903</v>
      </c>
      <c r="B2226" t="s">
        <v>87</v>
      </c>
      <c r="C2226" t="str">
        <f>_xlfn.XLOOKUP(Table7[[#This Row],[app_id]],Table5[app_id],Table5[app_name],"",0)</f>
        <v>RunPlus</v>
      </c>
      <c r="D2226" t="s">
        <v>771</v>
      </c>
      <c r="E2226" s="1">
        <v>45792</v>
      </c>
      <c r="F2226">
        <v>2</v>
      </c>
      <c r="G2226" t="s">
        <v>2992</v>
      </c>
      <c r="H2226" t="s">
        <v>2587</v>
      </c>
      <c r="I2226" t="s">
        <v>2575</v>
      </c>
      <c r="J2226" t="s">
        <v>2569</v>
      </c>
      <c r="K2226">
        <v>91</v>
      </c>
      <c r="L2226" s="13" t="s">
        <v>257</v>
      </c>
    </row>
    <row r="2227" spans="1:12" x14ac:dyDescent="0.25">
      <c r="A2227" t="s">
        <v>4904</v>
      </c>
      <c r="B2227" t="s">
        <v>90</v>
      </c>
      <c r="C2227" t="str">
        <f>_xlfn.XLOOKUP(Table7[[#This Row],[app_id]],Table5[app_id],Table5[app_name],"",0)</f>
        <v>TrainCloud</v>
      </c>
      <c r="D2227" t="s">
        <v>1961</v>
      </c>
      <c r="E2227" s="1">
        <v>45801</v>
      </c>
      <c r="F2227">
        <v>4</v>
      </c>
      <c r="G2227" t="s">
        <v>2613</v>
      </c>
      <c r="H2227" t="s">
        <v>2564</v>
      </c>
      <c r="I2227" t="s">
        <v>2558</v>
      </c>
      <c r="J2227" t="s">
        <v>2559</v>
      </c>
      <c r="K2227">
        <v>5</v>
      </c>
      <c r="L2227" s="13" t="s">
        <v>257</v>
      </c>
    </row>
    <row r="2228" spans="1:12" x14ac:dyDescent="0.25">
      <c r="A2228" t="s">
        <v>4905</v>
      </c>
      <c r="B2228" t="s">
        <v>92</v>
      </c>
      <c r="C2228" t="str">
        <f>_xlfn.XLOOKUP(Table7[[#This Row],[app_id]],Table5[app_id],Table5[app_name],"",0)</f>
        <v>Trainly</v>
      </c>
      <c r="D2228" t="s">
        <v>2169</v>
      </c>
      <c r="E2228" s="1">
        <v>45979</v>
      </c>
      <c r="F2228">
        <v>3</v>
      </c>
      <c r="G2228" t="s">
        <v>2611</v>
      </c>
      <c r="H2228" t="s">
        <v>2554</v>
      </c>
      <c r="I2228" t="s">
        <v>2588</v>
      </c>
      <c r="J2228" t="s">
        <v>2569</v>
      </c>
      <c r="K2228">
        <v>24</v>
      </c>
      <c r="L2228" s="13" t="s">
        <v>257</v>
      </c>
    </row>
    <row r="2229" spans="1:12" x14ac:dyDescent="0.25">
      <c r="A2229" t="s">
        <v>4906</v>
      </c>
      <c r="B2229" t="s">
        <v>94</v>
      </c>
      <c r="C2229" t="str">
        <f>_xlfn.XLOOKUP(Table7[[#This Row],[app_id]],Table5[app_id],Table5[app_name],"",0)</f>
        <v>LiftCloud</v>
      </c>
      <c r="D2229" t="s">
        <v>1962</v>
      </c>
      <c r="E2229" s="1">
        <v>45985</v>
      </c>
      <c r="F2229">
        <v>5</v>
      </c>
      <c r="G2229" t="s">
        <v>2625</v>
      </c>
      <c r="H2229" t="s">
        <v>2564</v>
      </c>
      <c r="I2229" t="s">
        <v>2575</v>
      </c>
      <c r="J2229" t="s">
        <v>2581</v>
      </c>
      <c r="K2229">
        <v>44</v>
      </c>
      <c r="L2229" s="13" t="s">
        <v>258</v>
      </c>
    </row>
    <row r="2230" spans="1:12" x14ac:dyDescent="0.25">
      <c r="A2230" t="s">
        <v>4907</v>
      </c>
      <c r="B2230" t="s">
        <v>96</v>
      </c>
      <c r="C2230" t="str">
        <f>_xlfn.XLOOKUP(Table7[[#This Row],[app_id]],Table5[app_id],Table5[app_name],"",0)</f>
        <v>MoveNow</v>
      </c>
      <c r="D2230" t="s">
        <v>1276</v>
      </c>
      <c r="E2230" s="1">
        <v>45759</v>
      </c>
      <c r="F2230">
        <v>3</v>
      </c>
      <c r="G2230" t="s">
        <v>2770</v>
      </c>
      <c r="H2230" t="s">
        <v>2554</v>
      </c>
      <c r="I2230" t="s">
        <v>2555</v>
      </c>
      <c r="J2230" t="s">
        <v>2581</v>
      </c>
      <c r="K2230">
        <v>39</v>
      </c>
      <c r="L2230" s="13" t="s">
        <v>257</v>
      </c>
    </row>
    <row r="2231" spans="1:12" x14ac:dyDescent="0.25">
      <c r="A2231" t="s">
        <v>4908</v>
      </c>
      <c r="B2231" t="s">
        <v>98</v>
      </c>
      <c r="C2231" t="str">
        <f>_xlfn.XLOOKUP(Table7[[#This Row],[app_id]],Table5[app_id],Table5[app_name],"",0)</f>
        <v>ActiveMate</v>
      </c>
      <c r="D2231" t="s">
        <v>1248</v>
      </c>
      <c r="E2231" s="1">
        <v>45930</v>
      </c>
      <c r="F2231">
        <v>2</v>
      </c>
      <c r="G2231" t="s">
        <v>2992</v>
      </c>
      <c r="H2231" t="s">
        <v>2587</v>
      </c>
      <c r="I2231" t="s">
        <v>2571</v>
      </c>
      <c r="J2231" t="s">
        <v>2559</v>
      </c>
      <c r="K2231">
        <v>84</v>
      </c>
      <c r="L2231" s="13" t="s">
        <v>257</v>
      </c>
    </row>
    <row r="2232" spans="1:12" x14ac:dyDescent="0.25">
      <c r="A2232" t="s">
        <v>4909</v>
      </c>
      <c r="B2232" t="s">
        <v>100</v>
      </c>
      <c r="C2232" t="str">
        <f>_xlfn.XLOOKUP(Table7[[#This Row],[app_id]],Table5[app_id],Table5[app_name],"",0)</f>
        <v>RunGo</v>
      </c>
      <c r="D2232" t="s">
        <v>676</v>
      </c>
      <c r="E2232" s="1">
        <v>45314</v>
      </c>
      <c r="F2232">
        <v>4</v>
      </c>
      <c r="G2232" t="s">
        <v>2613</v>
      </c>
      <c r="H2232" t="s">
        <v>2564</v>
      </c>
      <c r="I2232" t="s">
        <v>2575</v>
      </c>
      <c r="J2232" t="s">
        <v>2600</v>
      </c>
      <c r="K2232">
        <v>12</v>
      </c>
      <c r="L2232" s="13" t="s">
        <v>257</v>
      </c>
    </row>
    <row r="2233" spans="1:12" x14ac:dyDescent="0.25">
      <c r="A2233" t="s">
        <v>4910</v>
      </c>
      <c r="B2233" t="s">
        <v>102</v>
      </c>
      <c r="C2233" t="str">
        <f>_xlfn.XLOOKUP(Table7[[#This Row],[app_id]],Table5[app_id],Table5[app_name],"",0)</f>
        <v>LiftPro</v>
      </c>
      <c r="D2233" t="s">
        <v>1095</v>
      </c>
      <c r="E2233" s="1">
        <v>45676</v>
      </c>
      <c r="F2233">
        <v>3</v>
      </c>
      <c r="G2233" t="s">
        <v>2620</v>
      </c>
      <c r="H2233" t="s">
        <v>2554</v>
      </c>
      <c r="I2233" t="s">
        <v>2584</v>
      </c>
      <c r="J2233" t="s">
        <v>2556</v>
      </c>
      <c r="K2233">
        <v>33</v>
      </c>
      <c r="L2233" s="13" t="s">
        <v>258</v>
      </c>
    </row>
    <row r="2234" spans="1:12" x14ac:dyDescent="0.25">
      <c r="A2234" t="s">
        <v>4911</v>
      </c>
      <c r="B2234" t="s">
        <v>104</v>
      </c>
      <c r="C2234" t="str">
        <f>_xlfn.XLOOKUP(Table7[[#This Row],[app_id]],Table5[app_id],Table5[app_name],"",0)</f>
        <v>LiftPro</v>
      </c>
      <c r="D2234" t="s">
        <v>2493</v>
      </c>
      <c r="E2234" s="1">
        <v>45934</v>
      </c>
      <c r="F2234">
        <v>4</v>
      </c>
      <c r="G2234" t="s">
        <v>2622</v>
      </c>
      <c r="H2234" t="s">
        <v>2564</v>
      </c>
      <c r="I2234" t="s">
        <v>2565</v>
      </c>
      <c r="J2234" t="s">
        <v>2581</v>
      </c>
      <c r="K2234">
        <v>15</v>
      </c>
      <c r="L2234" s="13" t="s">
        <v>257</v>
      </c>
    </row>
    <row r="2235" spans="1:12" x14ac:dyDescent="0.25">
      <c r="A2235" t="s">
        <v>4912</v>
      </c>
      <c r="B2235" t="s">
        <v>105</v>
      </c>
      <c r="C2235" t="str">
        <f>_xlfn.XLOOKUP(Table7[[#This Row],[app_id]],Table5[app_id],Table5[app_name],"",0)</f>
        <v>Liftly</v>
      </c>
      <c r="D2235" t="s">
        <v>1633</v>
      </c>
      <c r="E2235" s="1">
        <v>45334</v>
      </c>
      <c r="F2235">
        <v>5</v>
      </c>
      <c r="G2235" t="s">
        <v>2613</v>
      </c>
      <c r="H2235" t="s">
        <v>2564</v>
      </c>
      <c r="I2235" t="s">
        <v>2558</v>
      </c>
      <c r="J2235" t="s">
        <v>2569</v>
      </c>
      <c r="K2235">
        <v>25</v>
      </c>
      <c r="L2235" s="13" t="s">
        <v>257</v>
      </c>
    </row>
    <row r="2236" spans="1:12" x14ac:dyDescent="0.25">
      <c r="A2236" t="s">
        <v>4913</v>
      </c>
      <c r="B2236" t="s">
        <v>107</v>
      </c>
      <c r="C2236" t="str">
        <f>_xlfn.XLOOKUP(Table7[[#This Row],[app_id]],Table5[app_id],Table5[app_name],"",0)</f>
        <v>YogaHub</v>
      </c>
      <c r="D2236" t="s">
        <v>1019</v>
      </c>
      <c r="E2236" s="1">
        <v>45400</v>
      </c>
      <c r="F2236">
        <v>5</v>
      </c>
      <c r="G2236" t="s">
        <v>2617</v>
      </c>
      <c r="H2236" t="s">
        <v>2564</v>
      </c>
      <c r="I2236" t="s">
        <v>2565</v>
      </c>
      <c r="J2236" t="s">
        <v>2559</v>
      </c>
      <c r="K2236">
        <v>15</v>
      </c>
      <c r="L2236" s="13" t="s">
        <v>257</v>
      </c>
    </row>
    <row r="2237" spans="1:12" x14ac:dyDescent="0.25">
      <c r="A2237" t="s">
        <v>4914</v>
      </c>
      <c r="B2237" t="s">
        <v>109</v>
      </c>
      <c r="C2237" t="str">
        <f>_xlfn.XLOOKUP(Table7[[#This Row],[app_id]],Table5[app_id],Table5[app_name],"",0)</f>
        <v>MoveGo</v>
      </c>
      <c r="D2237" t="s">
        <v>2471</v>
      </c>
      <c r="E2237" s="1">
        <v>45570</v>
      </c>
      <c r="F2237">
        <v>5</v>
      </c>
      <c r="G2237" t="s">
        <v>2617</v>
      </c>
      <c r="H2237" t="s">
        <v>2564</v>
      </c>
      <c r="I2237" t="s">
        <v>2565</v>
      </c>
      <c r="J2237" t="s">
        <v>2596</v>
      </c>
      <c r="K2237">
        <v>38</v>
      </c>
      <c r="L2237" s="13" t="s">
        <v>257</v>
      </c>
    </row>
    <row r="2238" spans="1:12" x14ac:dyDescent="0.25">
      <c r="A2238" t="s">
        <v>4915</v>
      </c>
      <c r="B2238" t="s">
        <v>111</v>
      </c>
      <c r="C2238" t="str">
        <f>_xlfn.XLOOKUP(Table7[[#This Row],[app_id]],Table5[app_id],Table5[app_name],"",0)</f>
        <v>BrightNow</v>
      </c>
      <c r="D2238" t="s">
        <v>1336</v>
      </c>
      <c r="E2238" s="1">
        <v>46106</v>
      </c>
      <c r="F2238">
        <v>3</v>
      </c>
      <c r="G2238" t="s">
        <v>2773</v>
      </c>
      <c r="H2238" t="s">
        <v>2554</v>
      </c>
      <c r="I2238" t="s">
        <v>2571</v>
      </c>
      <c r="J2238" t="s">
        <v>2581</v>
      </c>
      <c r="K2238">
        <v>10</v>
      </c>
      <c r="L2238" s="13" t="s">
        <v>257</v>
      </c>
    </row>
    <row r="2239" spans="1:12" x14ac:dyDescent="0.25">
      <c r="A2239" t="s">
        <v>4916</v>
      </c>
      <c r="B2239" t="s">
        <v>114</v>
      </c>
      <c r="C2239" t="str">
        <f>_xlfn.XLOOKUP(Table7[[#This Row],[app_id]],Table5[app_id],Table5[app_name],"",0)</f>
        <v>StudyCloud</v>
      </c>
      <c r="D2239" t="s">
        <v>1320</v>
      </c>
      <c r="E2239" s="1">
        <v>45530</v>
      </c>
      <c r="F2239">
        <v>4</v>
      </c>
      <c r="G2239" t="s">
        <v>2638</v>
      </c>
      <c r="H2239" t="s">
        <v>2564</v>
      </c>
      <c r="I2239" t="s">
        <v>2555</v>
      </c>
      <c r="J2239" t="s">
        <v>2559</v>
      </c>
      <c r="K2239">
        <v>48</v>
      </c>
      <c r="L2239" s="13" t="s">
        <v>257</v>
      </c>
    </row>
    <row r="2240" spans="1:12" x14ac:dyDescent="0.25">
      <c r="A2240" t="s">
        <v>4917</v>
      </c>
      <c r="B2240" t="s">
        <v>116</v>
      </c>
      <c r="C2240" t="str">
        <f>_xlfn.XLOOKUP(Table7[[#This Row],[app_id]],Table5[app_id],Table5[app_name],"",0)</f>
        <v>SkillNow</v>
      </c>
      <c r="D2240" t="s">
        <v>1943</v>
      </c>
      <c r="E2240" s="1">
        <v>45342</v>
      </c>
      <c r="F2240">
        <v>4</v>
      </c>
      <c r="G2240" t="s">
        <v>2640</v>
      </c>
      <c r="H2240" t="s">
        <v>2564</v>
      </c>
      <c r="I2240" t="s">
        <v>2571</v>
      </c>
      <c r="J2240" t="s">
        <v>2569</v>
      </c>
      <c r="K2240">
        <v>24</v>
      </c>
      <c r="L2240" s="13" t="s">
        <v>257</v>
      </c>
    </row>
    <row r="2241" spans="1:12" x14ac:dyDescent="0.25">
      <c r="A2241" t="s">
        <v>4918</v>
      </c>
      <c r="B2241" t="s">
        <v>118</v>
      </c>
      <c r="C2241" t="str">
        <f>_xlfn.XLOOKUP(Table7[[#This Row],[app_id]],Table5[app_id],Table5[app_name],"",0)</f>
        <v>LearnMate</v>
      </c>
      <c r="D2241" t="s">
        <v>621</v>
      </c>
      <c r="E2241" s="1">
        <v>45866</v>
      </c>
      <c r="F2241">
        <v>4</v>
      </c>
      <c r="G2241" t="s">
        <v>2638</v>
      </c>
      <c r="H2241" t="s">
        <v>2564</v>
      </c>
      <c r="I2241" t="s">
        <v>2571</v>
      </c>
      <c r="J2241" t="s">
        <v>2559</v>
      </c>
      <c r="K2241">
        <v>26</v>
      </c>
      <c r="L2241" s="13" t="s">
        <v>257</v>
      </c>
    </row>
    <row r="2242" spans="1:12" x14ac:dyDescent="0.25">
      <c r="A2242" t="s">
        <v>4919</v>
      </c>
      <c r="B2242" t="s">
        <v>120</v>
      </c>
      <c r="C2242" t="str">
        <f>_xlfn.XLOOKUP(Table7[[#This Row],[app_id]],Table5[app_id],Table5[app_name],"",0)</f>
        <v>QuestNow</v>
      </c>
      <c r="D2242" t="s">
        <v>1378</v>
      </c>
      <c r="E2242" s="1">
        <v>45970</v>
      </c>
      <c r="F2242">
        <v>4</v>
      </c>
      <c r="G2242" t="s">
        <v>2640</v>
      </c>
      <c r="H2242" t="s">
        <v>2564</v>
      </c>
      <c r="I2242" t="s">
        <v>2565</v>
      </c>
      <c r="J2242" t="s">
        <v>2569</v>
      </c>
      <c r="K2242">
        <v>44</v>
      </c>
      <c r="L2242" s="13" t="s">
        <v>257</v>
      </c>
    </row>
    <row r="2243" spans="1:12" x14ac:dyDescent="0.25">
      <c r="A2243" t="s">
        <v>4920</v>
      </c>
      <c r="B2243" t="s">
        <v>122</v>
      </c>
      <c r="C2243" t="str">
        <f>_xlfn.XLOOKUP(Table7[[#This Row],[app_id]],Table5[app_id],Table5[app_name],"",0)</f>
        <v>SkillHub</v>
      </c>
      <c r="D2243" t="s">
        <v>2169</v>
      </c>
      <c r="E2243" s="1">
        <v>45819</v>
      </c>
      <c r="F2243">
        <v>4</v>
      </c>
      <c r="G2243" t="s">
        <v>2780</v>
      </c>
      <c r="H2243" t="s">
        <v>2564</v>
      </c>
      <c r="I2243" t="s">
        <v>2558</v>
      </c>
      <c r="J2243" t="s">
        <v>2556</v>
      </c>
      <c r="K2243">
        <v>24</v>
      </c>
      <c r="L2243" s="13" t="s">
        <v>257</v>
      </c>
    </row>
    <row r="2244" spans="1:12" x14ac:dyDescent="0.25">
      <c r="A2244" t="s">
        <v>4921</v>
      </c>
      <c r="B2244" t="s">
        <v>124</v>
      </c>
      <c r="C2244" t="str">
        <f>_xlfn.XLOOKUP(Table7[[#This Row],[app_id]],Table5[app_id],Table5[app_name],"",0)</f>
        <v>TutorCloud</v>
      </c>
      <c r="D2244" t="s">
        <v>846</v>
      </c>
      <c r="E2244" s="1">
        <v>45852</v>
      </c>
      <c r="F2244">
        <v>4</v>
      </c>
      <c r="G2244" t="s">
        <v>2780</v>
      </c>
      <c r="H2244" t="s">
        <v>2564</v>
      </c>
      <c r="I2244" t="s">
        <v>2558</v>
      </c>
      <c r="J2244" t="s">
        <v>2603</v>
      </c>
      <c r="K2244">
        <v>17</v>
      </c>
      <c r="L2244" s="13" t="s">
        <v>257</v>
      </c>
    </row>
    <row r="2245" spans="1:12" x14ac:dyDescent="0.25">
      <c r="A2245" t="s">
        <v>4922</v>
      </c>
      <c r="B2245" t="s">
        <v>126</v>
      </c>
      <c r="C2245" t="str">
        <f>_xlfn.XLOOKUP(Table7[[#This Row],[app_id]],Table5[app_id],Table5[app_name],"",0)</f>
        <v>SkillOne</v>
      </c>
      <c r="D2245" t="s">
        <v>1736</v>
      </c>
      <c r="E2245" s="1">
        <v>45392</v>
      </c>
      <c r="F2245">
        <v>3</v>
      </c>
      <c r="G2245" t="s">
        <v>2889</v>
      </c>
      <c r="H2245" t="s">
        <v>2554</v>
      </c>
      <c r="I2245" t="s">
        <v>2578</v>
      </c>
      <c r="J2245" t="s">
        <v>2566</v>
      </c>
      <c r="K2245">
        <v>23</v>
      </c>
      <c r="L2245" s="13" t="s">
        <v>257</v>
      </c>
    </row>
    <row r="2246" spans="1:12" x14ac:dyDescent="0.25">
      <c r="A2246" t="s">
        <v>4923</v>
      </c>
      <c r="B2246" t="s">
        <v>128</v>
      </c>
      <c r="C2246" t="str">
        <f>_xlfn.XLOOKUP(Table7[[#This Row],[app_id]],Table5[app_id],Table5[app_name],"",0)</f>
        <v>LearnOne</v>
      </c>
      <c r="D2246" t="s">
        <v>845</v>
      </c>
      <c r="E2246" s="1">
        <v>45979</v>
      </c>
      <c r="F2246">
        <v>2</v>
      </c>
      <c r="G2246" t="s">
        <v>3107</v>
      </c>
      <c r="H2246" t="s">
        <v>2587</v>
      </c>
      <c r="I2246" t="s">
        <v>2584</v>
      </c>
      <c r="J2246" t="s">
        <v>2600</v>
      </c>
      <c r="K2246">
        <v>57</v>
      </c>
      <c r="L2246" s="13" t="s">
        <v>257</v>
      </c>
    </row>
    <row r="2247" spans="1:12" x14ac:dyDescent="0.25">
      <c r="A2247" t="s">
        <v>4924</v>
      </c>
      <c r="B2247" t="s">
        <v>130</v>
      </c>
      <c r="C2247" t="str">
        <f>_xlfn.XLOOKUP(Table7[[#This Row],[app_id]],Table5[app_id],Table5[app_name],"",0)</f>
        <v>LearnPlus</v>
      </c>
      <c r="D2247" t="s">
        <v>1697</v>
      </c>
      <c r="E2247" s="1">
        <v>45833</v>
      </c>
      <c r="F2247">
        <v>3</v>
      </c>
      <c r="G2247" t="s">
        <v>2646</v>
      </c>
      <c r="H2247" t="s">
        <v>2554</v>
      </c>
      <c r="I2247" t="s">
        <v>2565</v>
      </c>
      <c r="J2247" t="s">
        <v>2600</v>
      </c>
      <c r="K2247">
        <v>19</v>
      </c>
      <c r="L2247" s="13" t="s">
        <v>257</v>
      </c>
    </row>
    <row r="2248" spans="1:12" x14ac:dyDescent="0.25">
      <c r="A2248" t="s">
        <v>4925</v>
      </c>
      <c r="B2248" t="s">
        <v>132</v>
      </c>
      <c r="C2248" t="str">
        <f>_xlfn.XLOOKUP(Table7[[#This Row],[app_id]],Table5[app_id],Table5[app_name],"",0)</f>
        <v>StudyPlus</v>
      </c>
      <c r="D2248" t="s">
        <v>1786</v>
      </c>
      <c r="E2248" s="1">
        <v>45848</v>
      </c>
      <c r="F2248">
        <v>5</v>
      </c>
      <c r="G2248" t="s">
        <v>2638</v>
      </c>
      <c r="H2248" t="s">
        <v>2564</v>
      </c>
      <c r="I2248" t="s">
        <v>2565</v>
      </c>
      <c r="J2248" t="s">
        <v>2633</v>
      </c>
      <c r="K2248">
        <v>4</v>
      </c>
      <c r="L2248" s="13" t="s">
        <v>257</v>
      </c>
    </row>
    <row r="2249" spans="1:12" x14ac:dyDescent="0.25">
      <c r="A2249" t="s">
        <v>4926</v>
      </c>
      <c r="B2249" t="s">
        <v>134</v>
      </c>
      <c r="C2249" t="str">
        <f>_xlfn.XLOOKUP(Table7[[#This Row],[app_id]],Table5[app_id],Table5[app_name],"",0)</f>
        <v>StudyX</v>
      </c>
      <c r="D2249" t="s">
        <v>1658</v>
      </c>
      <c r="E2249" s="1">
        <v>45859</v>
      </c>
      <c r="F2249">
        <v>3</v>
      </c>
      <c r="G2249" t="s">
        <v>2773</v>
      </c>
      <c r="H2249" t="s">
        <v>2554</v>
      </c>
      <c r="I2249" t="s">
        <v>2558</v>
      </c>
      <c r="J2249" t="s">
        <v>2603</v>
      </c>
      <c r="K2249">
        <v>14</v>
      </c>
      <c r="L2249" s="13" t="s">
        <v>257</v>
      </c>
    </row>
    <row r="2250" spans="1:12" x14ac:dyDescent="0.25">
      <c r="A2250" t="s">
        <v>4927</v>
      </c>
      <c r="B2250" t="s">
        <v>136</v>
      </c>
      <c r="C2250" t="str">
        <f>_xlfn.XLOOKUP(Table7[[#This Row],[app_id]],Table5[app_id],Table5[app_name],"",0)</f>
        <v>PlayPlus</v>
      </c>
      <c r="D2250" t="s">
        <v>621</v>
      </c>
      <c r="E2250" s="1">
        <v>45642</v>
      </c>
      <c r="F2250">
        <v>4</v>
      </c>
      <c r="G2250" t="s">
        <v>2652</v>
      </c>
      <c r="H2250" t="s">
        <v>2564</v>
      </c>
      <c r="I2250" t="s">
        <v>2565</v>
      </c>
      <c r="J2250" t="s">
        <v>2633</v>
      </c>
      <c r="K2250">
        <v>47</v>
      </c>
      <c r="L2250" s="13" t="s">
        <v>257</v>
      </c>
    </row>
    <row r="2251" spans="1:12" x14ac:dyDescent="0.25">
      <c r="A2251" t="s">
        <v>4928</v>
      </c>
      <c r="B2251" t="s">
        <v>139</v>
      </c>
      <c r="C2251" t="str">
        <f>_xlfn.XLOOKUP(Table7[[#This Row],[app_id]],Table5[app_id],Table5[app_name],"",0)</f>
        <v>ShowMate</v>
      </c>
      <c r="D2251" t="s">
        <v>1078</v>
      </c>
      <c r="E2251" s="1">
        <v>45537</v>
      </c>
      <c r="F2251">
        <v>4</v>
      </c>
      <c r="G2251" t="s">
        <v>2652</v>
      </c>
      <c r="H2251" t="s">
        <v>2564</v>
      </c>
      <c r="I2251" t="s">
        <v>2565</v>
      </c>
      <c r="J2251" t="s">
        <v>2569</v>
      </c>
      <c r="K2251">
        <v>11</v>
      </c>
      <c r="L2251" s="13" t="s">
        <v>257</v>
      </c>
    </row>
    <row r="2252" spans="1:12" x14ac:dyDescent="0.25">
      <c r="A2252" t="s">
        <v>4929</v>
      </c>
      <c r="B2252" t="s">
        <v>141</v>
      </c>
      <c r="C2252" t="str">
        <f>_xlfn.XLOOKUP(Table7[[#This Row],[app_id]],Table5[app_id],Table5[app_name],"",0)</f>
        <v>VibeX</v>
      </c>
      <c r="D2252" t="s">
        <v>1473</v>
      </c>
      <c r="E2252" s="1">
        <v>45855</v>
      </c>
      <c r="F2252">
        <v>3</v>
      </c>
      <c r="G2252" t="s">
        <v>2791</v>
      </c>
      <c r="H2252" t="s">
        <v>2554</v>
      </c>
      <c r="I2252" t="s">
        <v>2575</v>
      </c>
      <c r="J2252" t="s">
        <v>2561</v>
      </c>
      <c r="K2252">
        <v>32</v>
      </c>
      <c r="L2252" s="13" t="s">
        <v>258</v>
      </c>
    </row>
    <row r="2253" spans="1:12" x14ac:dyDescent="0.25">
      <c r="A2253" t="s">
        <v>4930</v>
      </c>
      <c r="B2253" t="s">
        <v>143</v>
      </c>
      <c r="C2253" t="str">
        <f>_xlfn.XLOOKUP(Table7[[#This Row],[app_id]],Table5[app_id],Table5[app_name],"",0)</f>
        <v>BuzzNow</v>
      </c>
      <c r="D2253" t="s">
        <v>1891</v>
      </c>
      <c r="E2253" s="1">
        <v>45910</v>
      </c>
      <c r="F2253">
        <v>4</v>
      </c>
      <c r="G2253" t="s">
        <v>2789</v>
      </c>
      <c r="H2253" t="s">
        <v>2564</v>
      </c>
      <c r="I2253" t="s">
        <v>2558</v>
      </c>
      <c r="J2253" t="s">
        <v>2603</v>
      </c>
      <c r="K2253">
        <v>45</v>
      </c>
      <c r="L2253" s="13" t="s">
        <v>257</v>
      </c>
    </row>
    <row r="2254" spans="1:12" x14ac:dyDescent="0.25">
      <c r="A2254" t="s">
        <v>4931</v>
      </c>
      <c r="B2254" t="s">
        <v>145</v>
      </c>
      <c r="C2254" t="str">
        <f>_xlfn.XLOOKUP(Table7[[#This Row],[app_id]],Table5[app_id],Table5[app_name],"",0)</f>
        <v>StreamPlus</v>
      </c>
      <c r="D2254" t="s">
        <v>2250</v>
      </c>
      <c r="E2254" s="1">
        <v>46075</v>
      </c>
      <c r="F2254">
        <v>3</v>
      </c>
      <c r="G2254" t="s">
        <v>2655</v>
      </c>
      <c r="H2254" t="s">
        <v>2554</v>
      </c>
      <c r="I2254" t="s">
        <v>2555</v>
      </c>
      <c r="J2254" t="s">
        <v>2561</v>
      </c>
      <c r="K2254">
        <v>35</v>
      </c>
      <c r="L2254" s="13" t="s">
        <v>257</v>
      </c>
    </row>
    <row r="2255" spans="1:12" x14ac:dyDescent="0.25">
      <c r="A2255" t="s">
        <v>4932</v>
      </c>
      <c r="B2255" t="s">
        <v>147</v>
      </c>
      <c r="C2255" t="str">
        <f>_xlfn.XLOOKUP(Table7[[#This Row],[app_id]],Table5[app_id],Table5[app_name],"",0)</f>
        <v>Showly</v>
      </c>
      <c r="D2255" t="s">
        <v>1139</v>
      </c>
      <c r="E2255" s="1">
        <v>46077</v>
      </c>
      <c r="F2255">
        <v>4</v>
      </c>
      <c r="G2255" t="s">
        <v>2652</v>
      </c>
      <c r="H2255" t="s">
        <v>2564</v>
      </c>
      <c r="I2255" t="s">
        <v>2565</v>
      </c>
      <c r="J2255" t="s">
        <v>2569</v>
      </c>
      <c r="K2255">
        <v>38</v>
      </c>
      <c r="L2255" s="13" t="s">
        <v>257</v>
      </c>
    </row>
    <row r="2256" spans="1:12" x14ac:dyDescent="0.25">
      <c r="A2256" t="s">
        <v>4933</v>
      </c>
      <c r="B2256" t="s">
        <v>149</v>
      </c>
      <c r="C2256" t="str">
        <f>_xlfn.XLOOKUP(Table7[[#This Row],[app_id]],Table5[app_id],Table5[app_name],"",0)</f>
        <v>BuzzOne</v>
      </c>
      <c r="D2256" t="s">
        <v>1277</v>
      </c>
      <c r="E2256" s="1">
        <v>45457</v>
      </c>
      <c r="F2256">
        <v>2</v>
      </c>
      <c r="G2256" t="s">
        <v>2909</v>
      </c>
      <c r="H2256" t="s">
        <v>2587</v>
      </c>
      <c r="I2256" t="s">
        <v>2588</v>
      </c>
      <c r="J2256" t="s">
        <v>2566</v>
      </c>
      <c r="K2256">
        <v>71</v>
      </c>
      <c r="L2256" s="13" t="s">
        <v>258</v>
      </c>
    </row>
    <row r="2257" spans="1:12" x14ac:dyDescent="0.25">
      <c r="A2257" t="s">
        <v>4934</v>
      </c>
      <c r="B2257" t="s">
        <v>151</v>
      </c>
      <c r="C2257" t="str">
        <f>_xlfn.XLOOKUP(Table7[[#This Row],[app_id]],Table5[app_id],Table5[app_name],"",0)</f>
        <v>PlayHub</v>
      </c>
      <c r="D2257" t="s">
        <v>1591</v>
      </c>
      <c r="E2257" s="1">
        <v>45369</v>
      </c>
      <c r="F2257">
        <v>5</v>
      </c>
      <c r="G2257" t="s">
        <v>2905</v>
      </c>
      <c r="H2257" t="s">
        <v>2564</v>
      </c>
      <c r="I2257" t="s">
        <v>2571</v>
      </c>
      <c r="J2257" t="s">
        <v>2569</v>
      </c>
      <c r="K2257">
        <v>25</v>
      </c>
      <c r="L2257" s="13" t="s">
        <v>257</v>
      </c>
    </row>
    <row r="2258" spans="1:12" x14ac:dyDescent="0.25">
      <c r="A2258" t="s">
        <v>4935</v>
      </c>
      <c r="B2258" t="s">
        <v>153</v>
      </c>
      <c r="C2258" t="str">
        <f>_xlfn.XLOOKUP(Table7[[#This Row],[app_id]],Table5[app_id],Table5[app_name],"",0)</f>
        <v>CinemaGo</v>
      </c>
      <c r="D2258" t="s">
        <v>1924</v>
      </c>
      <c r="E2258" s="1">
        <v>45753</v>
      </c>
      <c r="F2258">
        <v>5</v>
      </c>
      <c r="G2258" t="s">
        <v>2652</v>
      </c>
      <c r="H2258" t="s">
        <v>2564</v>
      </c>
      <c r="I2258" t="s">
        <v>2571</v>
      </c>
      <c r="J2258" t="s">
        <v>2600</v>
      </c>
      <c r="K2258">
        <v>1</v>
      </c>
      <c r="L2258" s="13" t="s">
        <v>257</v>
      </c>
    </row>
    <row r="2259" spans="1:12" x14ac:dyDescent="0.25">
      <c r="A2259" t="s">
        <v>4936</v>
      </c>
      <c r="B2259" t="s">
        <v>155</v>
      </c>
      <c r="C2259" t="str">
        <f>_xlfn.XLOOKUP(Table7[[#This Row],[app_id]],Table5[app_id],Table5[app_name],"",0)</f>
        <v>LaughX</v>
      </c>
      <c r="D2259" t="s">
        <v>2368</v>
      </c>
      <c r="E2259" s="1">
        <v>45531</v>
      </c>
      <c r="F2259">
        <v>4</v>
      </c>
      <c r="G2259" t="s">
        <v>2789</v>
      </c>
      <c r="H2259" t="s">
        <v>2564</v>
      </c>
      <c r="I2259" t="s">
        <v>2575</v>
      </c>
      <c r="J2259" t="s">
        <v>2633</v>
      </c>
      <c r="K2259">
        <v>3</v>
      </c>
      <c r="L2259" s="13" t="s">
        <v>257</v>
      </c>
    </row>
    <row r="2260" spans="1:12" x14ac:dyDescent="0.25">
      <c r="A2260" t="s">
        <v>4937</v>
      </c>
      <c r="B2260" t="s">
        <v>157</v>
      </c>
      <c r="C2260" t="str">
        <f>_xlfn.XLOOKUP(Table7[[#This Row],[app_id]],Table5[app_id],Table5[app_name],"",0)</f>
        <v>CinemaHub</v>
      </c>
      <c r="D2260" t="s">
        <v>1223</v>
      </c>
      <c r="E2260" s="1">
        <v>45842</v>
      </c>
      <c r="F2260">
        <v>4</v>
      </c>
      <c r="G2260" t="s">
        <v>2789</v>
      </c>
      <c r="H2260" t="s">
        <v>2564</v>
      </c>
      <c r="I2260" t="s">
        <v>2565</v>
      </c>
      <c r="J2260" t="s">
        <v>2633</v>
      </c>
      <c r="K2260">
        <v>28</v>
      </c>
      <c r="L2260" s="13" t="s">
        <v>257</v>
      </c>
    </row>
    <row r="2261" spans="1:12" x14ac:dyDescent="0.25">
      <c r="A2261" t="s">
        <v>4938</v>
      </c>
      <c r="B2261" t="s">
        <v>159</v>
      </c>
      <c r="C2261" t="str">
        <f>_xlfn.XLOOKUP(Table7[[#This Row],[app_id]],Table5[app_id],Table5[app_name],"",0)</f>
        <v>ShowPro</v>
      </c>
      <c r="D2261" t="s">
        <v>1572</v>
      </c>
      <c r="E2261" s="1">
        <v>46095</v>
      </c>
      <c r="F2261">
        <v>4</v>
      </c>
      <c r="G2261" t="s">
        <v>2905</v>
      </c>
      <c r="H2261" t="s">
        <v>2564</v>
      </c>
      <c r="I2261" t="s">
        <v>2565</v>
      </c>
      <c r="J2261" t="s">
        <v>2556</v>
      </c>
      <c r="K2261">
        <v>19</v>
      </c>
      <c r="L2261" s="13" t="s">
        <v>257</v>
      </c>
    </row>
    <row r="2262" spans="1:12" x14ac:dyDescent="0.25">
      <c r="A2262" t="s">
        <v>4939</v>
      </c>
      <c r="B2262" t="s">
        <v>161</v>
      </c>
      <c r="C2262" t="str">
        <f>_xlfn.XLOOKUP(Table7[[#This Row],[app_id]],Table5[app_id],Table5[app_name],"",0)</f>
        <v>FoodPlus</v>
      </c>
      <c r="D2262" t="s">
        <v>2498</v>
      </c>
      <c r="E2262" s="1">
        <v>45606</v>
      </c>
      <c r="F2262">
        <v>4</v>
      </c>
      <c r="G2262" t="s">
        <v>2806</v>
      </c>
      <c r="H2262" t="s">
        <v>2564</v>
      </c>
      <c r="I2262" t="s">
        <v>2571</v>
      </c>
      <c r="J2262" t="s">
        <v>2566</v>
      </c>
      <c r="K2262">
        <v>39</v>
      </c>
      <c r="L2262" s="13" t="s">
        <v>257</v>
      </c>
    </row>
    <row r="2263" spans="1:12" x14ac:dyDescent="0.25">
      <c r="A2263" t="s">
        <v>4940</v>
      </c>
      <c r="B2263" t="s">
        <v>164</v>
      </c>
      <c r="C2263" t="str">
        <f>_xlfn.XLOOKUP(Table7[[#This Row],[app_id]],Table5[app_id],Table5[app_name],"",0)</f>
        <v>BiteGo</v>
      </c>
      <c r="D2263" t="s">
        <v>906</v>
      </c>
      <c r="E2263" s="1">
        <v>45711</v>
      </c>
      <c r="F2263">
        <v>3</v>
      </c>
      <c r="G2263" t="s">
        <v>2670</v>
      </c>
      <c r="H2263" t="s">
        <v>2554</v>
      </c>
      <c r="I2263" t="s">
        <v>2565</v>
      </c>
      <c r="J2263" t="s">
        <v>2561</v>
      </c>
      <c r="K2263">
        <v>12</v>
      </c>
      <c r="L2263" s="13" t="s">
        <v>257</v>
      </c>
    </row>
    <row r="2264" spans="1:12" x14ac:dyDescent="0.25">
      <c r="A2264" t="s">
        <v>4941</v>
      </c>
      <c r="B2264" t="s">
        <v>166</v>
      </c>
      <c r="C2264" t="str">
        <f>_xlfn.XLOOKUP(Table7[[#This Row],[app_id]],Table5[app_id],Table5[app_name],"",0)</f>
        <v>OrderCloud</v>
      </c>
      <c r="D2264" t="s">
        <v>1990</v>
      </c>
      <c r="E2264" s="1">
        <v>45558</v>
      </c>
      <c r="F2264">
        <v>4</v>
      </c>
      <c r="G2264" t="s">
        <v>2806</v>
      </c>
      <c r="H2264" t="s">
        <v>2564</v>
      </c>
      <c r="I2264" t="s">
        <v>2575</v>
      </c>
      <c r="J2264" t="s">
        <v>2633</v>
      </c>
      <c r="K2264">
        <v>15</v>
      </c>
      <c r="L2264" s="13" t="s">
        <v>257</v>
      </c>
    </row>
    <row r="2265" spans="1:12" x14ac:dyDescent="0.25">
      <c r="A2265" t="s">
        <v>4942</v>
      </c>
      <c r="B2265" t="s">
        <v>168</v>
      </c>
      <c r="C2265" t="str">
        <f>_xlfn.XLOOKUP(Table7[[#This Row],[app_id]],Table5[app_id],Table5[app_name],"",0)</f>
        <v>DinePlus</v>
      </c>
      <c r="D2265" t="s">
        <v>2304</v>
      </c>
      <c r="E2265" s="1">
        <v>46025</v>
      </c>
      <c r="F2265">
        <v>4</v>
      </c>
      <c r="G2265" t="s">
        <v>2676</v>
      </c>
      <c r="H2265" t="s">
        <v>2564</v>
      </c>
      <c r="I2265" t="s">
        <v>2575</v>
      </c>
      <c r="J2265" t="s">
        <v>2581</v>
      </c>
      <c r="K2265">
        <v>3</v>
      </c>
      <c r="L2265" s="13" t="s">
        <v>257</v>
      </c>
    </row>
    <row r="2266" spans="1:12" x14ac:dyDescent="0.25">
      <c r="A2266" t="s">
        <v>4943</v>
      </c>
      <c r="B2266" t="s">
        <v>170</v>
      </c>
      <c r="C2266" t="str">
        <f>_xlfn.XLOOKUP(Table7[[#This Row],[app_id]],Table5[app_id],Table5[app_name],"",0)</f>
        <v>SnackX</v>
      </c>
      <c r="D2266" t="s">
        <v>1480</v>
      </c>
      <c r="E2266" s="1">
        <v>45621</v>
      </c>
      <c r="F2266">
        <v>4</v>
      </c>
      <c r="G2266" t="s">
        <v>2679</v>
      </c>
      <c r="H2266" t="s">
        <v>2564</v>
      </c>
      <c r="I2266" t="s">
        <v>2571</v>
      </c>
      <c r="J2266" t="s">
        <v>2559</v>
      </c>
      <c r="K2266">
        <v>37</v>
      </c>
      <c r="L2266" s="13" t="s">
        <v>258</v>
      </c>
    </row>
    <row r="2267" spans="1:12" x14ac:dyDescent="0.25">
      <c r="A2267" t="s">
        <v>4944</v>
      </c>
      <c r="B2267" t="s">
        <v>172</v>
      </c>
      <c r="C2267" t="str">
        <f>_xlfn.XLOOKUP(Table7[[#This Row],[app_id]],Table5[app_id],Table5[app_name],"",0)</f>
        <v>FoodOne</v>
      </c>
      <c r="D2267" t="s">
        <v>549</v>
      </c>
      <c r="E2267" s="1">
        <v>45358</v>
      </c>
      <c r="F2267">
        <v>3</v>
      </c>
      <c r="G2267" t="s">
        <v>2668</v>
      </c>
      <c r="H2267" t="s">
        <v>2554</v>
      </c>
      <c r="I2267" t="s">
        <v>2584</v>
      </c>
      <c r="J2267" t="s">
        <v>2603</v>
      </c>
      <c r="K2267">
        <v>34</v>
      </c>
      <c r="L2267" s="13" t="s">
        <v>258</v>
      </c>
    </row>
    <row r="2268" spans="1:12" x14ac:dyDescent="0.25">
      <c r="A2268" t="s">
        <v>4945</v>
      </c>
      <c r="B2268" t="s">
        <v>174</v>
      </c>
      <c r="C2268" t="str">
        <f>_xlfn.XLOOKUP(Table7[[#This Row],[app_id]],Table5[app_id],Table5[app_name],"",0)</f>
        <v>MealMate</v>
      </c>
      <c r="D2268" t="s">
        <v>916</v>
      </c>
      <c r="E2268" s="1">
        <v>45607</v>
      </c>
      <c r="F2268">
        <v>4</v>
      </c>
      <c r="G2268" t="s">
        <v>2674</v>
      </c>
      <c r="H2268" t="s">
        <v>2564</v>
      </c>
      <c r="I2268" t="s">
        <v>2555</v>
      </c>
      <c r="J2268" t="s">
        <v>2600</v>
      </c>
      <c r="K2268">
        <v>32</v>
      </c>
      <c r="L2268" s="13" t="s">
        <v>257</v>
      </c>
    </row>
    <row r="2269" spans="1:12" x14ac:dyDescent="0.25">
      <c r="A2269" t="s">
        <v>4946</v>
      </c>
      <c r="B2269" t="s">
        <v>176</v>
      </c>
      <c r="C2269" t="str">
        <f>_xlfn.XLOOKUP(Table7[[#This Row],[app_id]],Table5[app_id],Table5[app_name],"",0)</f>
        <v>SnackHub</v>
      </c>
      <c r="D2269" t="s">
        <v>1913</v>
      </c>
      <c r="E2269" s="1">
        <v>45981</v>
      </c>
      <c r="F2269">
        <v>4</v>
      </c>
      <c r="G2269" t="s">
        <v>2674</v>
      </c>
      <c r="H2269" t="s">
        <v>2564</v>
      </c>
      <c r="I2269" t="s">
        <v>2575</v>
      </c>
      <c r="J2269" t="s">
        <v>2561</v>
      </c>
      <c r="K2269">
        <v>14</v>
      </c>
      <c r="L2269" s="13" t="s">
        <v>257</v>
      </c>
    </row>
    <row r="2270" spans="1:12" x14ac:dyDescent="0.25">
      <c r="A2270" t="s">
        <v>4947</v>
      </c>
      <c r="B2270" t="s">
        <v>178</v>
      </c>
      <c r="C2270" t="str">
        <f>_xlfn.XLOOKUP(Table7[[#This Row],[app_id]],Table5[app_id],Table5[app_name],"",0)</f>
        <v>BiteCloud</v>
      </c>
      <c r="D2270" t="s">
        <v>1036</v>
      </c>
      <c r="E2270" s="1">
        <v>45693</v>
      </c>
      <c r="F2270">
        <v>5</v>
      </c>
      <c r="G2270" t="s">
        <v>2806</v>
      </c>
      <c r="H2270" t="s">
        <v>2564</v>
      </c>
      <c r="I2270" t="s">
        <v>2575</v>
      </c>
      <c r="J2270" t="s">
        <v>2633</v>
      </c>
      <c r="K2270">
        <v>10</v>
      </c>
      <c r="L2270" s="13" t="s">
        <v>257</v>
      </c>
    </row>
    <row r="2271" spans="1:12" x14ac:dyDescent="0.25">
      <c r="A2271" t="s">
        <v>4948</v>
      </c>
      <c r="B2271" t="s">
        <v>180</v>
      </c>
      <c r="C2271" t="str">
        <f>_xlfn.XLOOKUP(Table7[[#This Row],[app_id]],Table5[app_id],Table5[app_name],"",0)</f>
        <v>PlatePlus</v>
      </c>
      <c r="D2271" t="s">
        <v>758</v>
      </c>
      <c r="E2271" s="1">
        <v>46097</v>
      </c>
      <c r="F2271">
        <v>3</v>
      </c>
      <c r="G2271" t="s">
        <v>2672</v>
      </c>
      <c r="H2271" t="s">
        <v>2554</v>
      </c>
      <c r="I2271" t="s">
        <v>2558</v>
      </c>
      <c r="J2271" t="s">
        <v>2600</v>
      </c>
      <c r="K2271">
        <v>2</v>
      </c>
      <c r="L2271" s="13" t="s">
        <v>257</v>
      </c>
    </row>
    <row r="2272" spans="1:12" x14ac:dyDescent="0.25">
      <c r="A2272" t="s">
        <v>4949</v>
      </c>
      <c r="B2272" t="s">
        <v>182</v>
      </c>
      <c r="C2272" t="str">
        <f>_xlfn.XLOOKUP(Table7[[#This Row],[app_id]],Table5[app_id],Table5[app_name],"",0)</f>
        <v>VoyageGo</v>
      </c>
      <c r="D2272" t="s">
        <v>1995</v>
      </c>
      <c r="E2272" s="1">
        <v>46051</v>
      </c>
      <c r="F2272">
        <v>5</v>
      </c>
      <c r="G2272" t="s">
        <v>2683</v>
      </c>
      <c r="H2272" t="s">
        <v>2564</v>
      </c>
      <c r="I2272" t="s">
        <v>2575</v>
      </c>
      <c r="J2272" t="s">
        <v>2561</v>
      </c>
      <c r="K2272">
        <v>4</v>
      </c>
      <c r="L2272" s="13" t="s">
        <v>257</v>
      </c>
    </row>
    <row r="2273" spans="1:12" x14ac:dyDescent="0.25">
      <c r="A2273" t="s">
        <v>4950</v>
      </c>
      <c r="B2273" t="s">
        <v>185</v>
      </c>
      <c r="C2273" t="str">
        <f>_xlfn.XLOOKUP(Table7[[#This Row],[app_id]],Table5[app_id],Table5[app_name],"",0)</f>
        <v>TripOne</v>
      </c>
      <c r="D2273" t="s">
        <v>2182</v>
      </c>
      <c r="E2273" s="1">
        <v>45416</v>
      </c>
      <c r="F2273">
        <v>4</v>
      </c>
      <c r="G2273" t="s">
        <v>2687</v>
      </c>
      <c r="H2273" t="s">
        <v>2564</v>
      </c>
      <c r="I2273" t="s">
        <v>2575</v>
      </c>
      <c r="J2273" t="s">
        <v>2566</v>
      </c>
      <c r="K2273">
        <v>1</v>
      </c>
      <c r="L2273" s="13" t="s">
        <v>257</v>
      </c>
    </row>
    <row r="2274" spans="1:12" x14ac:dyDescent="0.25">
      <c r="A2274" t="s">
        <v>4951</v>
      </c>
      <c r="B2274" t="s">
        <v>187</v>
      </c>
      <c r="C2274" t="str">
        <f>_xlfn.XLOOKUP(Table7[[#This Row],[app_id]],Table5[app_id],Table5[app_name],"",0)</f>
        <v>FlyGo</v>
      </c>
      <c r="D2274" t="s">
        <v>1987</v>
      </c>
      <c r="E2274" s="1">
        <v>45625</v>
      </c>
      <c r="F2274">
        <v>3</v>
      </c>
      <c r="G2274" t="s">
        <v>2690</v>
      </c>
      <c r="H2274" t="s">
        <v>2554</v>
      </c>
      <c r="I2274" t="s">
        <v>2584</v>
      </c>
      <c r="J2274" t="s">
        <v>2561</v>
      </c>
      <c r="K2274">
        <v>11</v>
      </c>
      <c r="L2274" s="13" t="s">
        <v>257</v>
      </c>
    </row>
    <row r="2275" spans="1:12" x14ac:dyDescent="0.25">
      <c r="A2275" t="s">
        <v>4952</v>
      </c>
      <c r="B2275" t="s">
        <v>189</v>
      </c>
      <c r="C2275" t="str">
        <f>_xlfn.XLOOKUP(Table7[[#This Row],[app_id]],Table5[app_id],Table5[app_name],"",0)</f>
        <v>MapX</v>
      </c>
      <c r="D2275" t="s">
        <v>637</v>
      </c>
      <c r="E2275" s="1">
        <v>45635</v>
      </c>
      <c r="F2275">
        <v>5</v>
      </c>
      <c r="G2275" t="s">
        <v>2683</v>
      </c>
      <c r="H2275" t="s">
        <v>2564</v>
      </c>
      <c r="I2275" t="s">
        <v>2575</v>
      </c>
      <c r="J2275" t="s">
        <v>2581</v>
      </c>
      <c r="K2275">
        <v>1</v>
      </c>
      <c r="L2275" s="13" t="s">
        <v>257</v>
      </c>
    </row>
    <row r="2276" spans="1:12" x14ac:dyDescent="0.25">
      <c r="A2276" t="s">
        <v>4953</v>
      </c>
      <c r="B2276" t="s">
        <v>191</v>
      </c>
      <c r="C2276" t="str">
        <f>_xlfn.XLOOKUP(Table7[[#This Row],[app_id]],Table5[app_id],Table5[app_name],"",0)</f>
        <v>StayX</v>
      </c>
      <c r="D2276" t="s">
        <v>1876</v>
      </c>
      <c r="E2276" s="1">
        <v>46008</v>
      </c>
      <c r="F2276">
        <v>4</v>
      </c>
      <c r="G2276" t="s">
        <v>2931</v>
      </c>
      <c r="H2276" t="s">
        <v>2564</v>
      </c>
      <c r="I2276" t="s">
        <v>2565</v>
      </c>
      <c r="J2276" t="s">
        <v>2569</v>
      </c>
      <c r="K2276">
        <v>34</v>
      </c>
      <c r="L2276" s="13" t="s">
        <v>257</v>
      </c>
    </row>
    <row r="2277" spans="1:12" x14ac:dyDescent="0.25">
      <c r="A2277" t="s">
        <v>4954</v>
      </c>
      <c r="B2277" t="s">
        <v>193</v>
      </c>
      <c r="C2277" t="str">
        <f>_xlfn.XLOOKUP(Table7[[#This Row],[app_id]],Table5[app_id],Table5[app_name],"",0)</f>
        <v>GoNow</v>
      </c>
      <c r="D2277" t="s">
        <v>545</v>
      </c>
      <c r="E2277" s="1">
        <v>45815</v>
      </c>
      <c r="F2277">
        <v>4</v>
      </c>
      <c r="G2277" t="s">
        <v>2687</v>
      </c>
      <c r="H2277" t="s">
        <v>2564</v>
      </c>
      <c r="I2277" t="s">
        <v>2575</v>
      </c>
      <c r="J2277" t="s">
        <v>2603</v>
      </c>
      <c r="K2277">
        <v>18</v>
      </c>
      <c r="L2277" s="13" t="s">
        <v>257</v>
      </c>
    </row>
    <row r="2278" spans="1:12" x14ac:dyDescent="0.25">
      <c r="A2278" t="s">
        <v>4955</v>
      </c>
      <c r="B2278" t="s">
        <v>195</v>
      </c>
      <c r="C2278" t="str">
        <f>_xlfn.XLOOKUP(Table7[[#This Row],[app_id]],Table5[app_id],Table5[app_name],"",0)</f>
        <v>RouteGo</v>
      </c>
      <c r="D2278" t="s">
        <v>1812</v>
      </c>
      <c r="E2278" s="1">
        <v>45974</v>
      </c>
      <c r="F2278">
        <v>4</v>
      </c>
      <c r="G2278" t="s">
        <v>2687</v>
      </c>
      <c r="H2278" t="s">
        <v>2564</v>
      </c>
      <c r="I2278" t="s">
        <v>2565</v>
      </c>
      <c r="J2278" t="s">
        <v>2566</v>
      </c>
      <c r="K2278">
        <v>26</v>
      </c>
      <c r="L2278" s="13" t="s">
        <v>257</v>
      </c>
    </row>
    <row r="2279" spans="1:12" x14ac:dyDescent="0.25">
      <c r="A2279" t="s">
        <v>4956</v>
      </c>
      <c r="B2279" t="s">
        <v>197</v>
      </c>
      <c r="C2279" t="str">
        <f>_xlfn.XLOOKUP(Table7[[#This Row],[app_id]],Table5[app_id],Table5[app_name],"",0)</f>
        <v>TripGo</v>
      </c>
      <c r="D2279" t="s">
        <v>954</v>
      </c>
      <c r="E2279" s="1">
        <v>45411</v>
      </c>
      <c r="F2279">
        <v>4</v>
      </c>
      <c r="G2279" t="s">
        <v>2687</v>
      </c>
      <c r="H2279" t="s">
        <v>2564</v>
      </c>
      <c r="I2279" t="s">
        <v>2571</v>
      </c>
      <c r="J2279" t="s">
        <v>2581</v>
      </c>
      <c r="K2279">
        <v>33</v>
      </c>
      <c r="L2279" s="13" t="s">
        <v>257</v>
      </c>
    </row>
    <row r="2280" spans="1:12" x14ac:dyDescent="0.25">
      <c r="A2280" t="s">
        <v>4957</v>
      </c>
      <c r="B2280" t="s">
        <v>199</v>
      </c>
      <c r="C2280" t="str">
        <f>_xlfn.XLOOKUP(Table7[[#This Row],[app_id]],Table5[app_id],Table5[app_name],"",0)</f>
        <v>Flyly</v>
      </c>
      <c r="D2280" t="s">
        <v>1865</v>
      </c>
      <c r="E2280" s="1">
        <v>45352</v>
      </c>
      <c r="F2280">
        <v>2</v>
      </c>
      <c r="G2280" t="s">
        <v>2693</v>
      </c>
      <c r="H2280" t="s">
        <v>2587</v>
      </c>
      <c r="I2280" t="s">
        <v>2558</v>
      </c>
      <c r="J2280" t="s">
        <v>2569</v>
      </c>
      <c r="K2280">
        <v>45</v>
      </c>
      <c r="L2280" s="13" t="s">
        <v>257</v>
      </c>
    </row>
    <row r="2281" spans="1:12" x14ac:dyDescent="0.25">
      <c r="A2281" t="s">
        <v>4958</v>
      </c>
      <c r="B2281" t="s">
        <v>201</v>
      </c>
      <c r="C2281" t="str">
        <f>_xlfn.XLOOKUP(Table7[[#This Row],[app_id]],Table5[app_id],Table5[app_name],"",0)</f>
        <v>TripPro</v>
      </c>
      <c r="D2281" t="s">
        <v>2111</v>
      </c>
      <c r="E2281" s="1">
        <v>45596</v>
      </c>
      <c r="F2281">
        <v>3</v>
      </c>
      <c r="G2281" t="s">
        <v>2695</v>
      </c>
      <c r="H2281" t="s">
        <v>2554</v>
      </c>
      <c r="I2281" t="s">
        <v>2555</v>
      </c>
      <c r="J2281" t="s">
        <v>2600</v>
      </c>
      <c r="K2281">
        <v>34</v>
      </c>
      <c r="L2281" s="13" t="s">
        <v>257</v>
      </c>
    </row>
    <row r="2282" spans="1:12" x14ac:dyDescent="0.25">
      <c r="A2282" t="s">
        <v>4959</v>
      </c>
      <c r="B2282" t="s">
        <v>203</v>
      </c>
      <c r="C2282" t="str">
        <f>_xlfn.XLOOKUP(Table7[[#This Row],[app_id]],Table5[app_id],Table5[app_name],"",0)</f>
        <v>Focusly</v>
      </c>
      <c r="D2282" t="s">
        <v>644</v>
      </c>
      <c r="E2282" s="1">
        <v>45507</v>
      </c>
      <c r="F2282">
        <v>3</v>
      </c>
      <c r="G2282" t="s">
        <v>3254</v>
      </c>
      <c r="H2282" t="s">
        <v>2554</v>
      </c>
      <c r="I2282" t="s">
        <v>2565</v>
      </c>
      <c r="J2282" t="s">
        <v>2561</v>
      </c>
      <c r="K2282">
        <v>31</v>
      </c>
      <c r="L2282" s="13" t="s">
        <v>257</v>
      </c>
    </row>
    <row r="2283" spans="1:12" x14ac:dyDescent="0.25">
      <c r="A2283" t="s">
        <v>4960</v>
      </c>
      <c r="B2283" t="s">
        <v>206</v>
      </c>
      <c r="C2283" t="str">
        <f>_xlfn.XLOOKUP(Table7[[#This Row],[app_id]],Table5[app_id],Table5[app_name],"",0)</f>
        <v>DeskX</v>
      </c>
      <c r="D2283" t="s">
        <v>2134</v>
      </c>
      <c r="E2283" s="1">
        <v>45494</v>
      </c>
      <c r="F2283">
        <v>4</v>
      </c>
      <c r="G2283" t="s">
        <v>2700</v>
      </c>
      <c r="H2283" t="s">
        <v>2564</v>
      </c>
      <c r="I2283" t="s">
        <v>2575</v>
      </c>
      <c r="J2283" t="s">
        <v>2633</v>
      </c>
      <c r="K2283">
        <v>9</v>
      </c>
      <c r="L2283" s="13" t="s">
        <v>258</v>
      </c>
    </row>
    <row r="2284" spans="1:12" x14ac:dyDescent="0.25">
      <c r="A2284" t="s">
        <v>4961</v>
      </c>
      <c r="B2284" t="s">
        <v>208</v>
      </c>
      <c r="C2284" t="str">
        <f>_xlfn.XLOOKUP(Table7[[#This Row],[app_id]],Table5[app_id],Table5[app_name],"",0)</f>
        <v>DonePro</v>
      </c>
      <c r="D2284" t="s">
        <v>1924</v>
      </c>
      <c r="E2284" s="1">
        <v>45565</v>
      </c>
      <c r="F2284">
        <v>4</v>
      </c>
      <c r="G2284" t="s">
        <v>2703</v>
      </c>
      <c r="H2284" t="s">
        <v>2564</v>
      </c>
      <c r="I2284" t="s">
        <v>2571</v>
      </c>
      <c r="J2284" t="s">
        <v>2556</v>
      </c>
      <c r="K2284">
        <v>38</v>
      </c>
      <c r="L2284" s="13" t="s">
        <v>257</v>
      </c>
    </row>
    <row r="2285" spans="1:12" x14ac:dyDescent="0.25">
      <c r="A2285" t="s">
        <v>4962</v>
      </c>
      <c r="B2285" t="s">
        <v>210</v>
      </c>
      <c r="C2285" t="str">
        <f>_xlfn.XLOOKUP(Table7[[#This Row],[app_id]],Table5[app_id],Table5[app_name],"",0)</f>
        <v>NotePlus</v>
      </c>
      <c r="D2285" t="s">
        <v>1616</v>
      </c>
      <c r="E2285" s="1">
        <v>46056</v>
      </c>
      <c r="F2285">
        <v>5</v>
      </c>
      <c r="G2285" t="s">
        <v>2703</v>
      </c>
      <c r="H2285" t="s">
        <v>2564</v>
      </c>
      <c r="I2285" t="s">
        <v>2555</v>
      </c>
      <c r="J2285" t="s">
        <v>2559</v>
      </c>
      <c r="K2285">
        <v>28</v>
      </c>
      <c r="L2285" s="13" t="s">
        <v>257</v>
      </c>
    </row>
    <row r="2286" spans="1:12" x14ac:dyDescent="0.25">
      <c r="A2286" t="s">
        <v>4963</v>
      </c>
      <c r="B2286" t="s">
        <v>212</v>
      </c>
      <c r="C2286" t="str">
        <f>_xlfn.XLOOKUP(Table7[[#This Row],[app_id]],Table5[app_id],Table5[app_name],"",0)</f>
        <v>SyncPlus</v>
      </c>
      <c r="D2286" t="s">
        <v>1273</v>
      </c>
      <c r="E2286" s="1">
        <v>45446</v>
      </c>
      <c r="F2286">
        <v>3</v>
      </c>
      <c r="G2286" t="s">
        <v>3254</v>
      </c>
      <c r="H2286" t="s">
        <v>2554</v>
      </c>
      <c r="I2286" t="s">
        <v>2575</v>
      </c>
      <c r="J2286" t="s">
        <v>2596</v>
      </c>
      <c r="K2286">
        <v>32</v>
      </c>
      <c r="L2286" s="13" t="s">
        <v>257</v>
      </c>
    </row>
    <row r="2287" spans="1:12" x14ac:dyDescent="0.25">
      <c r="A2287" t="s">
        <v>4964</v>
      </c>
      <c r="B2287" t="s">
        <v>214</v>
      </c>
      <c r="C2287" t="str">
        <f>_xlfn.XLOOKUP(Table7[[#This Row],[app_id]],Table5[app_id],Table5[app_name],"",0)</f>
        <v>NoteOne</v>
      </c>
      <c r="D2287" t="s">
        <v>2254</v>
      </c>
      <c r="E2287" s="1">
        <v>45438</v>
      </c>
      <c r="F2287">
        <v>3</v>
      </c>
      <c r="G2287" t="s">
        <v>3254</v>
      </c>
      <c r="H2287" t="s">
        <v>2554</v>
      </c>
      <c r="I2287" t="s">
        <v>2558</v>
      </c>
      <c r="J2287" t="s">
        <v>2556</v>
      </c>
      <c r="K2287">
        <v>46</v>
      </c>
      <c r="L2287" s="13" t="s">
        <v>257</v>
      </c>
    </row>
    <row r="2288" spans="1:12" x14ac:dyDescent="0.25">
      <c r="A2288" t="s">
        <v>4965</v>
      </c>
      <c r="B2288" t="s">
        <v>216</v>
      </c>
      <c r="C2288" t="str">
        <f>_xlfn.XLOOKUP(Table7[[#This Row],[app_id]],Table5[app_id],Table5[app_name],"",0)</f>
        <v>NoteMate</v>
      </c>
      <c r="D2288" t="s">
        <v>672</v>
      </c>
      <c r="E2288" s="1">
        <v>45486</v>
      </c>
      <c r="F2288">
        <v>3</v>
      </c>
      <c r="G2288" t="s">
        <v>2706</v>
      </c>
      <c r="H2288" t="s">
        <v>2554</v>
      </c>
      <c r="I2288" t="s">
        <v>2588</v>
      </c>
      <c r="J2288" t="s">
        <v>2556</v>
      </c>
      <c r="K2288">
        <v>3</v>
      </c>
      <c r="L2288" s="13" t="s">
        <v>257</v>
      </c>
    </row>
    <row r="2289" spans="1:12" x14ac:dyDescent="0.25">
      <c r="A2289" t="s">
        <v>4966</v>
      </c>
      <c r="B2289" t="s">
        <v>218</v>
      </c>
      <c r="C2289" t="str">
        <f>_xlfn.XLOOKUP(Table7[[#This Row],[app_id]],Table5[app_id],Table5[app_name],"",0)</f>
        <v>PlanPlus</v>
      </c>
      <c r="D2289" t="s">
        <v>1474</v>
      </c>
      <c r="E2289" s="1">
        <v>45429</v>
      </c>
      <c r="F2289">
        <v>4</v>
      </c>
      <c r="G2289" t="s">
        <v>2703</v>
      </c>
      <c r="H2289" t="s">
        <v>2564</v>
      </c>
      <c r="I2289" t="s">
        <v>2555</v>
      </c>
      <c r="J2289" t="s">
        <v>2603</v>
      </c>
      <c r="K2289">
        <v>36</v>
      </c>
      <c r="L2289" s="13" t="s">
        <v>257</v>
      </c>
    </row>
    <row r="2290" spans="1:12" x14ac:dyDescent="0.25">
      <c r="A2290" t="s">
        <v>4967</v>
      </c>
      <c r="B2290" t="s">
        <v>220</v>
      </c>
      <c r="C2290" t="str">
        <f>_xlfn.XLOOKUP(Table7[[#This Row],[app_id]],Table5[app_id],Table5[app_name],"",0)</f>
        <v>PlanMate</v>
      </c>
      <c r="D2290" t="s">
        <v>1146</v>
      </c>
      <c r="E2290" s="1">
        <v>46071</v>
      </c>
      <c r="F2290">
        <v>3</v>
      </c>
      <c r="G2290" t="s">
        <v>2710</v>
      </c>
      <c r="H2290" t="s">
        <v>2554</v>
      </c>
      <c r="I2290" t="s">
        <v>2578</v>
      </c>
      <c r="J2290" t="s">
        <v>2603</v>
      </c>
      <c r="K2290">
        <v>24</v>
      </c>
      <c r="L2290" s="13" t="s">
        <v>257</v>
      </c>
    </row>
    <row r="2291" spans="1:12" x14ac:dyDescent="0.25">
      <c r="A2291" t="s">
        <v>4968</v>
      </c>
      <c r="B2291" t="s">
        <v>222</v>
      </c>
      <c r="C2291" t="str">
        <f>_xlfn.XLOOKUP(Table7[[#This Row],[app_id]],Table5[app_id],Table5[app_name],"",0)</f>
        <v>SyncPlus</v>
      </c>
      <c r="D2291" t="s">
        <v>1052</v>
      </c>
      <c r="E2291" s="1">
        <v>45978</v>
      </c>
      <c r="F2291">
        <v>4</v>
      </c>
      <c r="G2291" t="s">
        <v>2703</v>
      </c>
      <c r="H2291" t="s">
        <v>2564</v>
      </c>
      <c r="I2291" t="s">
        <v>2558</v>
      </c>
      <c r="J2291" t="s">
        <v>2600</v>
      </c>
      <c r="K2291">
        <v>29</v>
      </c>
      <c r="L2291" s="13" t="s">
        <v>257</v>
      </c>
    </row>
    <row r="2292" spans="1:12" x14ac:dyDescent="0.25">
      <c r="A2292" t="s">
        <v>4969</v>
      </c>
      <c r="B2292" t="s">
        <v>223</v>
      </c>
      <c r="C2292" t="str">
        <f>_xlfn.XLOOKUP(Table7[[#This Row],[app_id]],Table5[app_id],Table5[app_name],"",0)</f>
        <v>ClinicPro</v>
      </c>
      <c r="D2292" t="s">
        <v>1384</v>
      </c>
      <c r="E2292" s="1">
        <v>45560</v>
      </c>
      <c r="F2292">
        <v>3</v>
      </c>
      <c r="G2292" t="s">
        <v>2718</v>
      </c>
      <c r="H2292" t="s">
        <v>2554</v>
      </c>
      <c r="I2292" t="s">
        <v>2571</v>
      </c>
      <c r="J2292" t="s">
        <v>2559</v>
      </c>
      <c r="K2292">
        <v>9</v>
      </c>
      <c r="L2292" s="13" t="s">
        <v>257</v>
      </c>
    </row>
    <row r="2293" spans="1:12" x14ac:dyDescent="0.25">
      <c r="A2293" t="s">
        <v>4970</v>
      </c>
      <c r="B2293" t="s">
        <v>226</v>
      </c>
      <c r="C2293" t="str">
        <f>_xlfn.XLOOKUP(Table7[[#This Row],[app_id]],Table5[app_id],Table5[app_name],"",0)</f>
        <v>MindMate</v>
      </c>
      <c r="D2293" t="s">
        <v>1747</v>
      </c>
      <c r="E2293" s="1">
        <v>45676</v>
      </c>
      <c r="F2293">
        <v>5</v>
      </c>
      <c r="G2293" t="s">
        <v>2728</v>
      </c>
      <c r="H2293" t="s">
        <v>2564</v>
      </c>
      <c r="I2293" t="s">
        <v>2571</v>
      </c>
      <c r="J2293" t="s">
        <v>2600</v>
      </c>
      <c r="K2293">
        <v>8</v>
      </c>
      <c r="L2293" s="13" t="s">
        <v>257</v>
      </c>
    </row>
    <row r="2294" spans="1:12" x14ac:dyDescent="0.25">
      <c r="A2294" t="s">
        <v>4971</v>
      </c>
      <c r="B2294" t="s">
        <v>228</v>
      </c>
      <c r="C2294" t="str">
        <f>_xlfn.XLOOKUP(Table7[[#This Row],[app_id]],Table5[app_id],Table5[app_name],"",0)</f>
        <v>ClinicOne</v>
      </c>
      <c r="D2294" t="s">
        <v>2366</v>
      </c>
      <c r="E2294" s="1">
        <v>45869</v>
      </c>
      <c r="F2294">
        <v>3</v>
      </c>
      <c r="G2294" t="s">
        <v>2720</v>
      </c>
      <c r="H2294" t="s">
        <v>2554</v>
      </c>
      <c r="I2294" t="s">
        <v>2571</v>
      </c>
      <c r="J2294" t="s">
        <v>2596</v>
      </c>
      <c r="K2294">
        <v>34</v>
      </c>
      <c r="L2294" s="13" t="s">
        <v>257</v>
      </c>
    </row>
    <row r="2295" spans="1:12" x14ac:dyDescent="0.25">
      <c r="A2295" t="s">
        <v>4972</v>
      </c>
      <c r="B2295" t="s">
        <v>230</v>
      </c>
      <c r="C2295" t="str">
        <f>_xlfn.XLOOKUP(Table7[[#This Row],[app_id]],Table5[app_id],Table5[app_name],"",0)</f>
        <v>WellMate</v>
      </c>
      <c r="D2295" t="s">
        <v>1918</v>
      </c>
      <c r="E2295" s="1">
        <v>45630</v>
      </c>
      <c r="F2295">
        <v>4</v>
      </c>
      <c r="G2295" t="s">
        <v>2954</v>
      </c>
      <c r="H2295" t="s">
        <v>2564</v>
      </c>
      <c r="I2295" t="s">
        <v>2575</v>
      </c>
      <c r="J2295" t="s">
        <v>2566</v>
      </c>
      <c r="K2295">
        <v>44</v>
      </c>
      <c r="L2295" s="13" t="s">
        <v>258</v>
      </c>
    </row>
    <row r="2296" spans="1:12" x14ac:dyDescent="0.25">
      <c r="A2296" t="s">
        <v>4973</v>
      </c>
      <c r="B2296" t="s">
        <v>232</v>
      </c>
      <c r="C2296" t="str">
        <f>_xlfn.XLOOKUP(Table7[[#This Row],[app_id]],Table5[app_id],Table5[app_name],"",0)</f>
        <v>MediMate</v>
      </c>
      <c r="D2296" t="s">
        <v>1990</v>
      </c>
      <c r="E2296" s="1">
        <v>46141</v>
      </c>
      <c r="F2296">
        <v>4</v>
      </c>
      <c r="G2296" t="s">
        <v>2722</v>
      </c>
      <c r="H2296" t="s">
        <v>2564</v>
      </c>
      <c r="I2296" t="s">
        <v>2558</v>
      </c>
      <c r="J2296" t="s">
        <v>2596</v>
      </c>
      <c r="K2296">
        <v>43</v>
      </c>
      <c r="L2296" s="13" t="s">
        <v>258</v>
      </c>
    </row>
    <row r="2297" spans="1:12" x14ac:dyDescent="0.25">
      <c r="A2297" t="s">
        <v>4974</v>
      </c>
      <c r="B2297" t="s">
        <v>234</v>
      </c>
      <c r="C2297" t="str">
        <f>_xlfn.XLOOKUP(Table7[[#This Row],[app_id]],Table5[app_id],Table5[app_name],"",0)</f>
        <v>WellNow</v>
      </c>
      <c r="D2297" t="s">
        <v>2156</v>
      </c>
      <c r="E2297" s="1">
        <v>45693</v>
      </c>
      <c r="F2297">
        <v>4</v>
      </c>
      <c r="G2297" t="s">
        <v>2954</v>
      </c>
      <c r="H2297" t="s">
        <v>2564</v>
      </c>
      <c r="I2297" t="s">
        <v>2565</v>
      </c>
      <c r="J2297" t="s">
        <v>2556</v>
      </c>
      <c r="K2297">
        <v>47</v>
      </c>
      <c r="L2297" s="13" t="s">
        <v>257</v>
      </c>
    </row>
    <row r="2298" spans="1:12" x14ac:dyDescent="0.25">
      <c r="A2298" t="s">
        <v>4975</v>
      </c>
      <c r="B2298" t="s">
        <v>236</v>
      </c>
      <c r="C2298" t="str">
        <f>_xlfn.XLOOKUP(Table7[[#This Row],[app_id]],Table5[app_id],Table5[app_name],"",0)</f>
        <v>CareCloud</v>
      </c>
      <c r="D2298" t="s">
        <v>1692</v>
      </c>
      <c r="E2298" s="1">
        <v>45784</v>
      </c>
      <c r="F2298">
        <v>3</v>
      </c>
      <c r="G2298" t="s">
        <v>2846</v>
      </c>
      <c r="H2298" t="s">
        <v>2554</v>
      </c>
      <c r="I2298" t="s">
        <v>2571</v>
      </c>
      <c r="J2298" t="s">
        <v>2566</v>
      </c>
      <c r="K2298">
        <v>28</v>
      </c>
      <c r="L2298" s="13" t="s">
        <v>258</v>
      </c>
    </row>
    <row r="2299" spans="1:12" x14ac:dyDescent="0.25">
      <c r="A2299" t="s">
        <v>4976</v>
      </c>
      <c r="B2299" t="s">
        <v>238</v>
      </c>
      <c r="C2299" t="str">
        <f>_xlfn.XLOOKUP(Table7[[#This Row],[app_id]],Table5[app_id],Table5[app_name],"",0)</f>
        <v>MediNow</v>
      </c>
      <c r="D2299" t="s">
        <v>1902</v>
      </c>
      <c r="E2299" s="1">
        <v>45793</v>
      </c>
      <c r="F2299">
        <v>5</v>
      </c>
      <c r="G2299" t="s">
        <v>2728</v>
      </c>
      <c r="H2299" t="s">
        <v>2564</v>
      </c>
      <c r="I2299" t="s">
        <v>2565</v>
      </c>
      <c r="J2299" t="s">
        <v>2581</v>
      </c>
      <c r="K2299">
        <v>44</v>
      </c>
      <c r="L2299" s="13" t="s">
        <v>257</v>
      </c>
    </row>
    <row r="2300" spans="1:12" x14ac:dyDescent="0.25">
      <c r="A2300" t="s">
        <v>4977</v>
      </c>
      <c r="B2300" t="s">
        <v>240</v>
      </c>
      <c r="C2300" t="str">
        <f>_xlfn.XLOOKUP(Table7[[#This Row],[app_id]],Table5[app_id],Table5[app_name],"",0)</f>
        <v>MindPlus</v>
      </c>
      <c r="D2300" t="s">
        <v>1077</v>
      </c>
      <c r="E2300" s="1">
        <v>45789</v>
      </c>
      <c r="F2300">
        <v>3</v>
      </c>
      <c r="G2300" t="s">
        <v>2718</v>
      </c>
      <c r="H2300" t="s">
        <v>2554</v>
      </c>
      <c r="I2300" t="s">
        <v>2575</v>
      </c>
      <c r="J2300" t="s">
        <v>2581</v>
      </c>
      <c r="K2300">
        <v>24</v>
      </c>
      <c r="L2300" s="13" t="s">
        <v>257</v>
      </c>
    </row>
    <row r="2301" spans="1:12" x14ac:dyDescent="0.25">
      <c r="A2301" t="s">
        <v>4978</v>
      </c>
      <c r="B2301" t="s">
        <v>242</v>
      </c>
      <c r="C2301" t="str">
        <f>_xlfn.XLOOKUP(Table7[[#This Row],[app_id]],Table5[app_id],Table5[app_name],"",0)</f>
        <v>MediCloud</v>
      </c>
      <c r="D2301" t="s">
        <v>2077</v>
      </c>
      <c r="E2301" s="1">
        <v>45558</v>
      </c>
      <c r="F2301">
        <v>4</v>
      </c>
      <c r="G2301" t="s">
        <v>2722</v>
      </c>
      <c r="H2301" t="s">
        <v>2564</v>
      </c>
      <c r="I2301" t="s">
        <v>2555</v>
      </c>
      <c r="J2301" t="s">
        <v>2600</v>
      </c>
      <c r="K2301">
        <v>26</v>
      </c>
      <c r="L2301" s="13" t="s">
        <v>258</v>
      </c>
    </row>
    <row r="2302" spans="1:12" x14ac:dyDescent="0.25">
      <c r="A2302" t="s">
        <v>4979</v>
      </c>
      <c r="B2302" t="s">
        <v>12</v>
      </c>
      <c r="C2302" t="str">
        <f>_xlfn.XLOOKUP(Table7[[#This Row],[app_id]],Table5[app_id],Table5[app_name],"",0)</f>
        <v>InvestPro</v>
      </c>
      <c r="D2302" t="s">
        <v>2539</v>
      </c>
      <c r="E2302" s="1">
        <v>45817</v>
      </c>
      <c r="F2302">
        <v>3</v>
      </c>
      <c r="G2302" t="s">
        <v>2553</v>
      </c>
      <c r="H2302" t="s">
        <v>2554</v>
      </c>
      <c r="I2302" t="s">
        <v>2584</v>
      </c>
      <c r="J2302" t="s">
        <v>2633</v>
      </c>
      <c r="K2302">
        <v>3</v>
      </c>
      <c r="L2302" s="13" t="s">
        <v>257</v>
      </c>
    </row>
    <row r="2303" spans="1:12" x14ac:dyDescent="0.25">
      <c r="A2303" t="s">
        <v>4980</v>
      </c>
      <c r="B2303" t="s">
        <v>19</v>
      </c>
      <c r="C2303" t="str">
        <f>_xlfn.XLOOKUP(Table7[[#This Row],[app_id]],Table5[app_id],Table5[app_name],"",0)</f>
        <v>BankPro</v>
      </c>
      <c r="D2303" t="s">
        <v>1706</v>
      </c>
      <c r="E2303" s="1">
        <v>45648</v>
      </c>
      <c r="F2303">
        <v>3</v>
      </c>
      <c r="G2303" t="s">
        <v>2735</v>
      </c>
      <c r="H2303" t="s">
        <v>2554</v>
      </c>
      <c r="I2303" t="s">
        <v>2558</v>
      </c>
      <c r="J2303" t="s">
        <v>2569</v>
      </c>
      <c r="K2303">
        <v>39</v>
      </c>
      <c r="L2303" s="13" t="s">
        <v>257</v>
      </c>
    </row>
    <row r="2304" spans="1:12" x14ac:dyDescent="0.25">
      <c r="A2304" t="s">
        <v>4981</v>
      </c>
      <c r="B2304" t="s">
        <v>24</v>
      </c>
      <c r="C2304" t="str">
        <f>_xlfn.XLOOKUP(Table7[[#This Row],[app_id]],Table5[app_id],Table5[app_name],"",0)</f>
        <v>BankX</v>
      </c>
      <c r="D2304" t="s">
        <v>1889</v>
      </c>
      <c r="E2304" s="1">
        <v>45520</v>
      </c>
      <c r="F2304">
        <v>5</v>
      </c>
      <c r="G2304" t="s">
        <v>2568</v>
      </c>
      <c r="H2304" t="s">
        <v>2564</v>
      </c>
      <c r="I2304" t="s">
        <v>2558</v>
      </c>
      <c r="J2304" t="s">
        <v>2556</v>
      </c>
      <c r="K2304">
        <v>6</v>
      </c>
      <c r="L2304" s="13" t="s">
        <v>257</v>
      </c>
    </row>
    <row r="2305" spans="1:12" x14ac:dyDescent="0.25">
      <c r="A2305" t="s">
        <v>4982</v>
      </c>
      <c r="B2305" t="s">
        <v>27</v>
      </c>
      <c r="C2305" t="str">
        <f>_xlfn.XLOOKUP(Table7[[#This Row],[app_id]],Table5[app_id],Table5[app_name],"",0)</f>
        <v>BankNow</v>
      </c>
      <c r="D2305" t="s">
        <v>532</v>
      </c>
      <c r="E2305" s="1">
        <v>45680</v>
      </c>
      <c r="F2305">
        <v>3</v>
      </c>
      <c r="G2305" t="s">
        <v>2968</v>
      </c>
      <c r="H2305" t="s">
        <v>2554</v>
      </c>
      <c r="I2305" t="s">
        <v>2578</v>
      </c>
      <c r="J2305" t="s">
        <v>2569</v>
      </c>
      <c r="K2305">
        <v>22</v>
      </c>
      <c r="L2305" s="13" t="s">
        <v>257</v>
      </c>
    </row>
    <row r="2306" spans="1:12" x14ac:dyDescent="0.25">
      <c r="A2306" t="s">
        <v>4983</v>
      </c>
      <c r="B2306" t="s">
        <v>31</v>
      </c>
      <c r="C2306" t="str">
        <f>_xlfn.XLOOKUP(Table7[[#This Row],[app_id]],Table5[app_id],Table5[app_name],"",0)</f>
        <v>CreditHub</v>
      </c>
      <c r="D2306" t="s">
        <v>978</v>
      </c>
      <c r="E2306" s="1">
        <v>45875</v>
      </c>
      <c r="F2306">
        <v>5</v>
      </c>
      <c r="G2306" t="s">
        <v>2568</v>
      </c>
      <c r="H2306" t="s">
        <v>2564</v>
      </c>
      <c r="I2306" t="s">
        <v>2575</v>
      </c>
      <c r="J2306" t="s">
        <v>2556</v>
      </c>
      <c r="K2306">
        <v>40</v>
      </c>
      <c r="L2306" s="13" t="s">
        <v>258</v>
      </c>
    </row>
    <row r="2307" spans="1:12" x14ac:dyDescent="0.25">
      <c r="A2307" t="s">
        <v>4984</v>
      </c>
      <c r="B2307" t="s">
        <v>36</v>
      </c>
      <c r="C2307" t="str">
        <f>_xlfn.XLOOKUP(Table7[[#This Row],[app_id]],Table5[app_id],Table5[app_name],"",0)</f>
        <v>PayPlus</v>
      </c>
      <c r="D2307" t="s">
        <v>1693</v>
      </c>
      <c r="E2307" s="1">
        <v>45557</v>
      </c>
      <c r="F2307">
        <v>4</v>
      </c>
      <c r="G2307" t="s">
        <v>2580</v>
      </c>
      <c r="H2307" t="s">
        <v>2564</v>
      </c>
      <c r="I2307" t="s">
        <v>2575</v>
      </c>
      <c r="J2307" t="s">
        <v>2603</v>
      </c>
      <c r="K2307">
        <v>1</v>
      </c>
      <c r="L2307" s="13" t="s">
        <v>257</v>
      </c>
    </row>
    <row r="2308" spans="1:12" x14ac:dyDescent="0.25">
      <c r="A2308" t="s">
        <v>4985</v>
      </c>
      <c r="B2308" t="s">
        <v>39</v>
      </c>
      <c r="C2308" t="str">
        <f>_xlfn.XLOOKUP(Table7[[#This Row],[app_id]],Table5[app_id],Table5[app_name],"",0)</f>
        <v>BankPlus</v>
      </c>
      <c r="D2308" t="s">
        <v>2325</v>
      </c>
      <c r="E2308" s="1">
        <v>45408</v>
      </c>
      <c r="F2308">
        <v>5</v>
      </c>
      <c r="G2308" t="s">
        <v>2580</v>
      </c>
      <c r="H2308" t="s">
        <v>2564</v>
      </c>
      <c r="I2308" t="s">
        <v>2571</v>
      </c>
      <c r="J2308" t="s">
        <v>2556</v>
      </c>
      <c r="K2308">
        <v>25</v>
      </c>
      <c r="L2308" s="13" t="s">
        <v>257</v>
      </c>
    </row>
    <row r="2309" spans="1:12" x14ac:dyDescent="0.25">
      <c r="A2309" t="s">
        <v>4986</v>
      </c>
      <c r="B2309" t="s">
        <v>42</v>
      </c>
      <c r="C2309" t="str">
        <f>_xlfn.XLOOKUP(Table7[[#This Row],[app_id]],Table5[app_id],Table5[app_name],"",0)</f>
        <v>CoinPlus</v>
      </c>
      <c r="D2309" t="s">
        <v>2241</v>
      </c>
      <c r="E2309" s="1">
        <v>45949</v>
      </c>
      <c r="F2309">
        <v>4</v>
      </c>
      <c r="G2309" t="s">
        <v>2568</v>
      </c>
      <c r="H2309" t="s">
        <v>2564</v>
      </c>
      <c r="I2309" t="s">
        <v>2558</v>
      </c>
      <c r="J2309" t="s">
        <v>2559</v>
      </c>
      <c r="K2309">
        <v>23</v>
      </c>
      <c r="L2309" s="13" t="s">
        <v>258</v>
      </c>
    </row>
    <row r="2310" spans="1:12" x14ac:dyDescent="0.25">
      <c r="A2310" t="s">
        <v>4987</v>
      </c>
      <c r="B2310" t="s">
        <v>47</v>
      </c>
      <c r="C2310" t="str">
        <f>_xlfn.XLOOKUP(Table7[[#This Row],[app_id]],Table5[app_id],Table5[app_name],"",0)</f>
        <v>CreditOne</v>
      </c>
      <c r="D2310" t="s">
        <v>1738</v>
      </c>
      <c r="E2310" s="1">
        <v>45775</v>
      </c>
      <c r="F2310">
        <v>2</v>
      </c>
      <c r="G2310" t="s">
        <v>3486</v>
      </c>
      <c r="H2310" t="s">
        <v>2587</v>
      </c>
      <c r="I2310" t="s">
        <v>2588</v>
      </c>
      <c r="J2310" t="s">
        <v>2596</v>
      </c>
      <c r="K2310">
        <v>35</v>
      </c>
      <c r="L2310" s="13" t="s">
        <v>258</v>
      </c>
    </row>
    <row r="2311" spans="1:12" x14ac:dyDescent="0.25">
      <c r="A2311" t="s">
        <v>4988</v>
      </c>
      <c r="B2311" t="s">
        <v>49</v>
      </c>
      <c r="C2311" t="str">
        <f>_xlfn.XLOOKUP(Table7[[#This Row],[app_id]],Table5[app_id],Table5[app_name],"",0)</f>
        <v>PayPro</v>
      </c>
      <c r="D2311" t="s">
        <v>1878</v>
      </c>
      <c r="E2311" s="1">
        <v>45366</v>
      </c>
      <c r="F2311">
        <v>3</v>
      </c>
      <c r="G2311" t="s">
        <v>2968</v>
      </c>
      <c r="H2311" t="s">
        <v>2554</v>
      </c>
      <c r="I2311" t="s">
        <v>2571</v>
      </c>
      <c r="J2311" t="s">
        <v>2561</v>
      </c>
      <c r="K2311">
        <v>8</v>
      </c>
      <c r="L2311" s="13" t="s">
        <v>257</v>
      </c>
    </row>
    <row r="2312" spans="1:12" x14ac:dyDescent="0.25">
      <c r="A2312" t="s">
        <v>4989</v>
      </c>
      <c r="B2312" t="s">
        <v>51</v>
      </c>
      <c r="C2312" t="str">
        <f>_xlfn.XLOOKUP(Table7[[#This Row],[app_id]],Table5[app_id],Table5[app_name],"",0)</f>
        <v>Creditly</v>
      </c>
      <c r="D2312" t="s">
        <v>942</v>
      </c>
      <c r="E2312" s="1">
        <v>45435</v>
      </c>
      <c r="F2312">
        <v>3</v>
      </c>
      <c r="G2312" t="s">
        <v>2583</v>
      </c>
      <c r="H2312" t="s">
        <v>2554</v>
      </c>
      <c r="I2312" t="s">
        <v>2555</v>
      </c>
      <c r="J2312" t="s">
        <v>2566</v>
      </c>
      <c r="K2312">
        <v>8</v>
      </c>
      <c r="L2312" s="13" t="s">
        <v>257</v>
      </c>
    </row>
    <row r="2313" spans="1:12" x14ac:dyDescent="0.25">
      <c r="A2313" t="s">
        <v>4990</v>
      </c>
      <c r="B2313" t="s">
        <v>53</v>
      </c>
      <c r="C2313" t="str">
        <f>_xlfn.XLOOKUP(Table7[[#This Row],[app_id]],Table5[app_id],Table5[app_name],"",0)</f>
        <v>PayX</v>
      </c>
      <c r="D2313" t="s">
        <v>1518</v>
      </c>
      <c r="E2313" s="1">
        <v>45740</v>
      </c>
      <c r="F2313">
        <v>4</v>
      </c>
      <c r="G2313" t="s">
        <v>2563</v>
      </c>
      <c r="H2313" t="s">
        <v>2564</v>
      </c>
      <c r="I2313" t="s">
        <v>2558</v>
      </c>
      <c r="J2313" t="s">
        <v>2600</v>
      </c>
      <c r="K2313">
        <v>27</v>
      </c>
      <c r="L2313" s="13" t="s">
        <v>258</v>
      </c>
    </row>
    <row r="2314" spans="1:12" x14ac:dyDescent="0.25">
      <c r="A2314" t="s">
        <v>4991</v>
      </c>
      <c r="B2314" t="s">
        <v>56</v>
      </c>
      <c r="C2314" t="str">
        <f>_xlfn.XLOOKUP(Table7[[#This Row],[app_id]],Table5[app_id],Table5[app_name],"",0)</f>
        <v>DealGo</v>
      </c>
      <c r="D2314" t="s">
        <v>2203</v>
      </c>
      <c r="E2314" s="1">
        <v>46087</v>
      </c>
      <c r="F2314">
        <v>3</v>
      </c>
      <c r="G2314" t="s">
        <v>2609</v>
      </c>
      <c r="H2314" t="s">
        <v>2554</v>
      </c>
      <c r="I2314" t="s">
        <v>2558</v>
      </c>
      <c r="J2314" t="s">
        <v>2596</v>
      </c>
      <c r="K2314">
        <v>27</v>
      </c>
      <c r="L2314" s="13" t="s">
        <v>258</v>
      </c>
    </row>
    <row r="2315" spans="1:12" x14ac:dyDescent="0.25">
      <c r="A2315" t="s">
        <v>4992</v>
      </c>
      <c r="B2315" t="s">
        <v>62</v>
      </c>
      <c r="C2315" t="str">
        <f>_xlfn.XLOOKUP(Table7[[#This Row],[app_id]],Table5[app_id],Table5[app_name],"",0)</f>
        <v>MallNow</v>
      </c>
      <c r="D2315" t="s">
        <v>1934</v>
      </c>
      <c r="E2315" s="1">
        <v>46102</v>
      </c>
      <c r="F2315">
        <v>4</v>
      </c>
      <c r="G2315" t="s">
        <v>2590</v>
      </c>
      <c r="H2315" t="s">
        <v>2564</v>
      </c>
      <c r="I2315" t="s">
        <v>2555</v>
      </c>
      <c r="J2315" t="s">
        <v>2596</v>
      </c>
      <c r="K2315">
        <v>4</v>
      </c>
      <c r="L2315" s="13" t="s">
        <v>257</v>
      </c>
    </row>
    <row r="2316" spans="1:12" x14ac:dyDescent="0.25">
      <c r="A2316" t="s">
        <v>4993</v>
      </c>
      <c r="B2316" t="s">
        <v>65</v>
      </c>
      <c r="C2316" t="str">
        <f>_xlfn.XLOOKUP(Table7[[#This Row],[app_id]],Table5[app_id],Table5[app_name],"",0)</f>
        <v>DealPro</v>
      </c>
      <c r="D2316" t="s">
        <v>952</v>
      </c>
      <c r="E2316" s="1">
        <v>45489</v>
      </c>
      <c r="F2316">
        <v>3</v>
      </c>
      <c r="G2316" t="s">
        <v>2594</v>
      </c>
      <c r="H2316" t="s">
        <v>2554</v>
      </c>
      <c r="I2316" t="s">
        <v>2565</v>
      </c>
      <c r="J2316" t="s">
        <v>2633</v>
      </c>
      <c r="K2316">
        <v>14</v>
      </c>
      <c r="L2316" s="13" t="s">
        <v>257</v>
      </c>
    </row>
    <row r="2317" spans="1:12" x14ac:dyDescent="0.25">
      <c r="A2317" t="s">
        <v>4994</v>
      </c>
      <c r="B2317" t="s">
        <v>67</v>
      </c>
      <c r="C2317" t="str">
        <f>_xlfn.XLOOKUP(Table7[[#This Row],[app_id]],Table5[app_id],Table5[app_name],"",0)</f>
        <v>StyleNow</v>
      </c>
      <c r="D2317" t="s">
        <v>2375</v>
      </c>
      <c r="E2317" s="1">
        <v>45608</v>
      </c>
      <c r="F2317">
        <v>3</v>
      </c>
      <c r="G2317" t="s">
        <v>2594</v>
      </c>
      <c r="H2317" t="s">
        <v>2554</v>
      </c>
      <c r="I2317" t="s">
        <v>2565</v>
      </c>
      <c r="J2317" t="s">
        <v>2603</v>
      </c>
      <c r="K2317">
        <v>43</v>
      </c>
      <c r="L2317" s="13" t="s">
        <v>257</v>
      </c>
    </row>
    <row r="2318" spans="1:12" x14ac:dyDescent="0.25">
      <c r="A2318" t="s">
        <v>4995</v>
      </c>
      <c r="B2318" t="s">
        <v>70</v>
      </c>
      <c r="C2318" t="str">
        <f>_xlfn.XLOOKUP(Table7[[#This Row],[app_id]],Table5[app_id],Table5[app_name],"",0)</f>
        <v>DealCloud</v>
      </c>
      <c r="D2318" t="s">
        <v>2412</v>
      </c>
      <c r="E2318" s="1">
        <v>45591</v>
      </c>
      <c r="F2318">
        <v>5</v>
      </c>
      <c r="G2318" t="s">
        <v>2592</v>
      </c>
      <c r="H2318" t="s">
        <v>2564</v>
      </c>
      <c r="I2318" t="s">
        <v>2565</v>
      </c>
      <c r="J2318" t="s">
        <v>2556</v>
      </c>
      <c r="K2318">
        <v>17</v>
      </c>
      <c r="L2318" s="13" t="s">
        <v>257</v>
      </c>
    </row>
    <row r="2319" spans="1:12" x14ac:dyDescent="0.25">
      <c r="A2319" t="s">
        <v>4996</v>
      </c>
      <c r="B2319" t="s">
        <v>72</v>
      </c>
      <c r="C2319" t="str">
        <f>_xlfn.XLOOKUP(Table7[[#This Row],[app_id]],Table5[app_id],Table5[app_name],"",0)</f>
        <v>CartCloud</v>
      </c>
      <c r="D2319" t="s">
        <v>1192</v>
      </c>
      <c r="E2319" s="1">
        <v>45723</v>
      </c>
      <c r="F2319">
        <v>4</v>
      </c>
      <c r="G2319" t="s">
        <v>2598</v>
      </c>
      <c r="H2319" t="s">
        <v>2564</v>
      </c>
      <c r="I2319" t="s">
        <v>2565</v>
      </c>
      <c r="J2319" t="s">
        <v>2603</v>
      </c>
      <c r="K2319">
        <v>38</v>
      </c>
      <c r="L2319" s="13" t="s">
        <v>258</v>
      </c>
    </row>
    <row r="2320" spans="1:12" x14ac:dyDescent="0.25">
      <c r="A2320" t="s">
        <v>4997</v>
      </c>
      <c r="B2320" t="s">
        <v>74</v>
      </c>
      <c r="C2320" t="str">
        <f>_xlfn.XLOOKUP(Table7[[#This Row],[app_id]],Table5[app_id],Table5[app_name],"",0)</f>
        <v>CartMate</v>
      </c>
      <c r="D2320" t="s">
        <v>2222</v>
      </c>
      <c r="E2320" s="1">
        <v>45363</v>
      </c>
      <c r="F2320">
        <v>3</v>
      </c>
      <c r="G2320" t="s">
        <v>2602</v>
      </c>
      <c r="H2320" t="s">
        <v>2554</v>
      </c>
      <c r="I2320" t="s">
        <v>2584</v>
      </c>
      <c r="J2320" t="s">
        <v>2556</v>
      </c>
      <c r="K2320">
        <v>36</v>
      </c>
      <c r="L2320" s="13" t="s">
        <v>257</v>
      </c>
    </row>
    <row r="2321" spans="1:12" x14ac:dyDescent="0.25">
      <c r="A2321" t="s">
        <v>4998</v>
      </c>
      <c r="B2321" t="s">
        <v>76</v>
      </c>
      <c r="C2321" t="str">
        <f>_xlfn.XLOOKUP(Table7[[#This Row],[app_id]],Table5[app_id],Table5[app_name],"",0)</f>
        <v>BazaarOne</v>
      </c>
      <c r="D2321" t="s">
        <v>2468</v>
      </c>
      <c r="E2321" s="1">
        <v>45591</v>
      </c>
      <c r="F2321">
        <v>2</v>
      </c>
      <c r="G2321" t="s">
        <v>2605</v>
      </c>
      <c r="H2321" t="s">
        <v>2587</v>
      </c>
      <c r="I2321" t="s">
        <v>2588</v>
      </c>
      <c r="J2321" t="s">
        <v>2561</v>
      </c>
      <c r="K2321">
        <v>84</v>
      </c>
      <c r="L2321" s="13" t="s">
        <v>258</v>
      </c>
    </row>
    <row r="2322" spans="1:12" x14ac:dyDescent="0.25">
      <c r="A2322" t="s">
        <v>4999</v>
      </c>
      <c r="B2322" t="s">
        <v>78</v>
      </c>
      <c r="C2322" t="str">
        <f>_xlfn.XLOOKUP(Table7[[#This Row],[app_id]],Table5[app_id],Table5[app_name],"",0)</f>
        <v>StyleOne</v>
      </c>
      <c r="D2322" t="s">
        <v>1062</v>
      </c>
      <c r="E2322" s="1">
        <v>45523</v>
      </c>
      <c r="F2322">
        <v>3</v>
      </c>
      <c r="G2322" t="s">
        <v>2748</v>
      </c>
      <c r="H2322" t="s">
        <v>2554</v>
      </c>
      <c r="I2322" t="s">
        <v>2571</v>
      </c>
      <c r="J2322" t="s">
        <v>2559</v>
      </c>
      <c r="K2322">
        <v>10</v>
      </c>
      <c r="L2322" s="13" t="s">
        <v>257</v>
      </c>
    </row>
    <row r="2323" spans="1:12" x14ac:dyDescent="0.25">
      <c r="A2323" t="s">
        <v>5000</v>
      </c>
      <c r="B2323" t="s">
        <v>80</v>
      </c>
      <c r="C2323" t="str">
        <f>_xlfn.XLOOKUP(Table7[[#This Row],[app_id]],Table5[app_id],Table5[app_name],"",0)</f>
        <v>Cartly</v>
      </c>
      <c r="D2323" t="s">
        <v>637</v>
      </c>
      <c r="E2323" s="1">
        <v>45920</v>
      </c>
      <c r="F2323">
        <v>4</v>
      </c>
      <c r="G2323" t="s">
        <v>2867</v>
      </c>
      <c r="H2323" t="s">
        <v>2564</v>
      </c>
      <c r="I2323" t="s">
        <v>2565</v>
      </c>
      <c r="J2323" t="s">
        <v>2566</v>
      </c>
      <c r="K2323">
        <v>24</v>
      </c>
      <c r="L2323" s="13" t="s">
        <v>257</v>
      </c>
    </row>
    <row r="2324" spans="1:12" x14ac:dyDescent="0.25">
      <c r="A2324" t="s">
        <v>5001</v>
      </c>
      <c r="B2324" t="s">
        <v>83</v>
      </c>
      <c r="C2324" t="str">
        <f>_xlfn.XLOOKUP(Table7[[#This Row],[app_id]],Table5[app_id],Table5[app_name],"",0)</f>
        <v>BazaarCloud</v>
      </c>
      <c r="D2324" t="s">
        <v>1278</v>
      </c>
      <c r="E2324" s="1">
        <v>45612</v>
      </c>
      <c r="F2324">
        <v>3</v>
      </c>
      <c r="G2324" t="s">
        <v>2594</v>
      </c>
      <c r="H2324" t="s">
        <v>2554</v>
      </c>
      <c r="I2324" t="s">
        <v>2571</v>
      </c>
      <c r="J2324" t="s">
        <v>2633</v>
      </c>
      <c r="K2324">
        <v>7</v>
      </c>
      <c r="L2324" s="13" t="s">
        <v>258</v>
      </c>
    </row>
    <row r="2325" spans="1:12" x14ac:dyDescent="0.25">
      <c r="A2325" t="s">
        <v>5002</v>
      </c>
      <c r="B2325" t="s">
        <v>85</v>
      </c>
      <c r="C2325" t="str">
        <f>_xlfn.XLOOKUP(Table7[[#This Row],[app_id]],Table5[app_id],Table5[app_name],"",0)</f>
        <v>CartPro</v>
      </c>
      <c r="D2325" t="s">
        <v>1112</v>
      </c>
      <c r="E2325" s="1">
        <v>46057</v>
      </c>
      <c r="F2325">
        <v>4</v>
      </c>
      <c r="G2325" t="s">
        <v>2592</v>
      </c>
      <c r="H2325" t="s">
        <v>2564</v>
      </c>
      <c r="I2325" t="s">
        <v>2575</v>
      </c>
      <c r="J2325" t="s">
        <v>2603</v>
      </c>
      <c r="K2325">
        <v>2</v>
      </c>
      <c r="L2325" s="13" t="s">
        <v>257</v>
      </c>
    </row>
    <row r="2326" spans="1:12" x14ac:dyDescent="0.25">
      <c r="A2326" t="s">
        <v>5003</v>
      </c>
      <c r="B2326" t="s">
        <v>87</v>
      </c>
      <c r="C2326" t="str">
        <f>_xlfn.XLOOKUP(Table7[[#This Row],[app_id]],Table5[app_id],Table5[app_name],"",0)</f>
        <v>RunPlus</v>
      </c>
      <c r="D2326" t="s">
        <v>1507</v>
      </c>
      <c r="E2326" s="1">
        <v>45326</v>
      </c>
      <c r="F2326">
        <v>4</v>
      </c>
      <c r="G2326" t="s">
        <v>2625</v>
      </c>
      <c r="H2326" t="s">
        <v>2564</v>
      </c>
      <c r="I2326" t="s">
        <v>2575</v>
      </c>
      <c r="J2326" t="s">
        <v>2600</v>
      </c>
      <c r="K2326">
        <v>15</v>
      </c>
      <c r="L2326" s="13" t="s">
        <v>257</v>
      </c>
    </row>
    <row r="2327" spans="1:12" x14ac:dyDescent="0.25">
      <c r="A2327" t="s">
        <v>5004</v>
      </c>
      <c r="B2327" t="s">
        <v>90</v>
      </c>
      <c r="C2327" t="str">
        <f>_xlfn.XLOOKUP(Table7[[#This Row],[app_id]],Table5[app_id],Table5[app_name],"",0)</f>
        <v>TrainCloud</v>
      </c>
      <c r="D2327" t="s">
        <v>910</v>
      </c>
      <c r="E2327" s="1">
        <v>45317</v>
      </c>
      <c r="F2327">
        <v>3</v>
      </c>
      <c r="G2327" t="s">
        <v>2620</v>
      </c>
      <c r="H2327" t="s">
        <v>2554</v>
      </c>
      <c r="I2327" t="s">
        <v>2565</v>
      </c>
      <c r="J2327" t="s">
        <v>2569</v>
      </c>
      <c r="K2327">
        <v>32</v>
      </c>
      <c r="L2327" s="13" t="s">
        <v>257</v>
      </c>
    </row>
    <row r="2328" spans="1:12" x14ac:dyDescent="0.25">
      <c r="A2328" t="s">
        <v>5005</v>
      </c>
      <c r="B2328" t="s">
        <v>92</v>
      </c>
      <c r="C2328" t="str">
        <f>_xlfn.XLOOKUP(Table7[[#This Row],[app_id]],Table5[app_id],Table5[app_name],"",0)</f>
        <v>Trainly</v>
      </c>
      <c r="D2328" t="s">
        <v>1301</v>
      </c>
      <c r="E2328" s="1">
        <v>45843</v>
      </c>
      <c r="F2328">
        <v>3</v>
      </c>
      <c r="G2328" t="s">
        <v>2611</v>
      </c>
      <c r="H2328" t="s">
        <v>2554</v>
      </c>
      <c r="I2328" t="s">
        <v>2578</v>
      </c>
      <c r="J2328" t="s">
        <v>2596</v>
      </c>
      <c r="K2328">
        <v>37</v>
      </c>
      <c r="L2328" s="13" t="s">
        <v>257</v>
      </c>
    </row>
    <row r="2329" spans="1:12" x14ac:dyDescent="0.25">
      <c r="A2329" t="s">
        <v>5006</v>
      </c>
      <c r="B2329" t="s">
        <v>94</v>
      </c>
      <c r="C2329" t="str">
        <f>_xlfn.XLOOKUP(Table7[[#This Row],[app_id]],Table5[app_id],Table5[app_name],"",0)</f>
        <v>LiftCloud</v>
      </c>
      <c r="D2329" t="s">
        <v>1276</v>
      </c>
      <c r="E2329" s="1">
        <v>46009</v>
      </c>
      <c r="F2329">
        <v>3</v>
      </c>
      <c r="G2329" t="s">
        <v>2770</v>
      </c>
      <c r="H2329" t="s">
        <v>2554</v>
      </c>
      <c r="I2329" t="s">
        <v>2575</v>
      </c>
      <c r="J2329" t="s">
        <v>2569</v>
      </c>
      <c r="K2329">
        <v>10</v>
      </c>
      <c r="L2329" s="13" t="s">
        <v>258</v>
      </c>
    </row>
    <row r="2330" spans="1:12" x14ac:dyDescent="0.25">
      <c r="A2330" t="s">
        <v>5007</v>
      </c>
      <c r="B2330" t="s">
        <v>96</v>
      </c>
      <c r="C2330" t="str">
        <f>_xlfn.XLOOKUP(Table7[[#This Row],[app_id]],Table5[app_id],Table5[app_name],"",0)</f>
        <v>MoveNow</v>
      </c>
      <c r="D2330" t="s">
        <v>1754</v>
      </c>
      <c r="E2330" s="1">
        <v>46051</v>
      </c>
      <c r="F2330">
        <v>4</v>
      </c>
      <c r="G2330" t="s">
        <v>2613</v>
      </c>
      <c r="H2330" t="s">
        <v>2564</v>
      </c>
      <c r="I2330" t="s">
        <v>2575</v>
      </c>
      <c r="J2330" t="s">
        <v>2569</v>
      </c>
      <c r="K2330">
        <v>27</v>
      </c>
      <c r="L2330" s="13" t="s">
        <v>258</v>
      </c>
    </row>
    <row r="2331" spans="1:12" x14ac:dyDescent="0.25">
      <c r="A2331" t="s">
        <v>5008</v>
      </c>
      <c r="B2331" t="s">
        <v>98</v>
      </c>
      <c r="C2331" t="str">
        <f>_xlfn.XLOOKUP(Table7[[#This Row],[app_id]],Table5[app_id],Table5[app_name],"",0)</f>
        <v>ActiveMate</v>
      </c>
      <c r="D2331" t="s">
        <v>2309</v>
      </c>
      <c r="E2331" s="1">
        <v>45418</v>
      </c>
      <c r="F2331">
        <v>4</v>
      </c>
      <c r="G2331" t="s">
        <v>2622</v>
      </c>
      <c r="H2331" t="s">
        <v>2564</v>
      </c>
      <c r="I2331" t="s">
        <v>2555</v>
      </c>
      <c r="J2331" t="s">
        <v>2581</v>
      </c>
      <c r="K2331">
        <v>45</v>
      </c>
      <c r="L2331" s="13" t="s">
        <v>257</v>
      </c>
    </row>
    <row r="2332" spans="1:12" x14ac:dyDescent="0.25">
      <c r="A2332" t="s">
        <v>5009</v>
      </c>
      <c r="B2332" t="s">
        <v>100</v>
      </c>
      <c r="C2332" t="str">
        <f>_xlfn.XLOOKUP(Table7[[#This Row],[app_id]],Table5[app_id],Table5[app_name],"",0)</f>
        <v>RunGo</v>
      </c>
      <c r="D2332" t="s">
        <v>2127</v>
      </c>
      <c r="E2332" s="1">
        <v>45574</v>
      </c>
      <c r="F2332">
        <v>4</v>
      </c>
      <c r="G2332" t="s">
        <v>2613</v>
      </c>
      <c r="H2332" t="s">
        <v>2564</v>
      </c>
      <c r="I2332" t="s">
        <v>2555</v>
      </c>
      <c r="J2332" t="s">
        <v>2600</v>
      </c>
      <c r="K2332">
        <v>30</v>
      </c>
      <c r="L2332" s="13" t="s">
        <v>257</v>
      </c>
    </row>
    <row r="2333" spans="1:12" x14ac:dyDescent="0.25">
      <c r="A2333" t="s">
        <v>5010</v>
      </c>
      <c r="B2333" t="s">
        <v>102</v>
      </c>
      <c r="C2333" t="str">
        <f>_xlfn.XLOOKUP(Table7[[#This Row],[app_id]],Table5[app_id],Table5[app_name],"",0)</f>
        <v>LiftPro</v>
      </c>
      <c r="D2333" t="s">
        <v>1587</v>
      </c>
      <c r="E2333" s="1">
        <v>45630</v>
      </c>
      <c r="F2333">
        <v>4</v>
      </c>
      <c r="G2333" t="s">
        <v>2617</v>
      </c>
      <c r="H2333" t="s">
        <v>2564</v>
      </c>
      <c r="I2333" t="s">
        <v>2565</v>
      </c>
      <c r="J2333" t="s">
        <v>2561</v>
      </c>
      <c r="K2333">
        <v>18</v>
      </c>
      <c r="L2333" s="13" t="s">
        <v>257</v>
      </c>
    </row>
    <row r="2334" spans="1:12" x14ac:dyDescent="0.25">
      <c r="A2334" t="s">
        <v>5011</v>
      </c>
      <c r="B2334" t="s">
        <v>104</v>
      </c>
      <c r="C2334" t="str">
        <f>_xlfn.XLOOKUP(Table7[[#This Row],[app_id]],Table5[app_id],Table5[app_name],"",0)</f>
        <v>LiftPro</v>
      </c>
      <c r="D2334" t="s">
        <v>2470</v>
      </c>
      <c r="E2334" s="1">
        <v>46104</v>
      </c>
      <c r="F2334">
        <v>3</v>
      </c>
      <c r="G2334" t="s">
        <v>2615</v>
      </c>
      <c r="H2334" t="s">
        <v>2554</v>
      </c>
      <c r="I2334" t="s">
        <v>2558</v>
      </c>
      <c r="J2334" t="s">
        <v>2596</v>
      </c>
      <c r="K2334">
        <v>26</v>
      </c>
      <c r="L2334" s="13" t="s">
        <v>257</v>
      </c>
    </row>
    <row r="2335" spans="1:12" x14ac:dyDescent="0.25">
      <c r="A2335" t="s">
        <v>5012</v>
      </c>
      <c r="B2335" t="s">
        <v>105</v>
      </c>
      <c r="C2335" t="str">
        <f>_xlfn.XLOOKUP(Table7[[#This Row],[app_id]],Table5[app_id],Table5[app_name],"",0)</f>
        <v>Liftly</v>
      </c>
      <c r="D2335" t="s">
        <v>790</v>
      </c>
      <c r="E2335" s="1">
        <v>45510</v>
      </c>
      <c r="F2335">
        <v>4</v>
      </c>
      <c r="G2335" t="s">
        <v>2625</v>
      </c>
      <c r="H2335" t="s">
        <v>2564</v>
      </c>
      <c r="I2335" t="s">
        <v>2575</v>
      </c>
      <c r="J2335" t="s">
        <v>2603</v>
      </c>
      <c r="K2335">
        <v>6</v>
      </c>
      <c r="L2335" s="13" t="s">
        <v>257</v>
      </c>
    </row>
    <row r="2336" spans="1:12" x14ac:dyDescent="0.25">
      <c r="A2336" t="s">
        <v>5013</v>
      </c>
      <c r="B2336" t="s">
        <v>107</v>
      </c>
      <c r="C2336" t="str">
        <f>_xlfn.XLOOKUP(Table7[[#This Row],[app_id]],Table5[app_id],Table5[app_name],"",0)</f>
        <v>YogaHub</v>
      </c>
      <c r="D2336" t="s">
        <v>2250</v>
      </c>
      <c r="E2336" s="1">
        <v>45926</v>
      </c>
      <c r="F2336">
        <v>3</v>
      </c>
      <c r="G2336" t="s">
        <v>2620</v>
      </c>
      <c r="H2336" t="s">
        <v>2554</v>
      </c>
      <c r="I2336" t="s">
        <v>2588</v>
      </c>
      <c r="J2336" t="s">
        <v>2556</v>
      </c>
      <c r="K2336">
        <v>20</v>
      </c>
      <c r="L2336" s="13" t="s">
        <v>257</v>
      </c>
    </row>
    <row r="2337" spans="1:12" x14ac:dyDescent="0.25">
      <c r="A2337" t="s">
        <v>5014</v>
      </c>
      <c r="B2337" t="s">
        <v>109</v>
      </c>
      <c r="C2337" t="str">
        <f>_xlfn.XLOOKUP(Table7[[#This Row],[app_id]],Table5[app_id],Table5[app_name],"",0)</f>
        <v>MoveGo</v>
      </c>
      <c r="D2337" t="s">
        <v>2327</v>
      </c>
      <c r="E2337" s="1">
        <v>45435</v>
      </c>
      <c r="F2337">
        <v>5</v>
      </c>
      <c r="G2337" t="s">
        <v>2613</v>
      </c>
      <c r="H2337" t="s">
        <v>2564</v>
      </c>
      <c r="I2337" t="s">
        <v>2558</v>
      </c>
      <c r="J2337" t="s">
        <v>2566</v>
      </c>
      <c r="K2337">
        <v>34</v>
      </c>
      <c r="L2337" s="13" t="s">
        <v>257</v>
      </c>
    </row>
    <row r="2338" spans="1:12" x14ac:dyDescent="0.25">
      <c r="A2338" t="s">
        <v>5015</v>
      </c>
      <c r="B2338" t="s">
        <v>111</v>
      </c>
      <c r="C2338" t="str">
        <f>_xlfn.XLOOKUP(Table7[[#This Row],[app_id]],Table5[app_id],Table5[app_name],"",0)</f>
        <v>BrightNow</v>
      </c>
      <c r="D2338" t="s">
        <v>976</v>
      </c>
      <c r="E2338" s="1">
        <v>45499</v>
      </c>
      <c r="F2338">
        <v>2</v>
      </c>
      <c r="G2338" t="s">
        <v>2644</v>
      </c>
      <c r="H2338" t="s">
        <v>2587</v>
      </c>
      <c r="I2338" t="s">
        <v>2584</v>
      </c>
      <c r="J2338" t="s">
        <v>2600</v>
      </c>
      <c r="K2338">
        <v>59</v>
      </c>
      <c r="L2338" s="13" t="s">
        <v>258</v>
      </c>
    </row>
    <row r="2339" spans="1:12" x14ac:dyDescent="0.25">
      <c r="A2339" t="s">
        <v>5016</v>
      </c>
      <c r="B2339" t="s">
        <v>114</v>
      </c>
      <c r="C2339" t="str">
        <f>_xlfn.XLOOKUP(Table7[[#This Row],[app_id]],Table5[app_id],Table5[app_name],"",0)</f>
        <v>StudyCloud</v>
      </c>
      <c r="D2339" t="s">
        <v>1962</v>
      </c>
      <c r="E2339" s="1">
        <v>46064</v>
      </c>
      <c r="F2339">
        <v>3</v>
      </c>
      <c r="G2339" t="s">
        <v>2646</v>
      </c>
      <c r="H2339" t="s">
        <v>2554</v>
      </c>
      <c r="I2339" t="s">
        <v>2558</v>
      </c>
      <c r="J2339" t="s">
        <v>2600</v>
      </c>
      <c r="K2339">
        <v>14</v>
      </c>
      <c r="L2339" s="13" t="s">
        <v>258</v>
      </c>
    </row>
    <row r="2340" spans="1:12" x14ac:dyDescent="0.25">
      <c r="A2340" t="s">
        <v>5017</v>
      </c>
      <c r="B2340" t="s">
        <v>116</v>
      </c>
      <c r="C2340" t="str">
        <f>_xlfn.XLOOKUP(Table7[[#This Row],[app_id]],Table5[app_id],Table5[app_name],"",0)</f>
        <v>SkillNow</v>
      </c>
      <c r="D2340" t="s">
        <v>821</v>
      </c>
      <c r="E2340" s="1">
        <v>45381</v>
      </c>
      <c r="F2340">
        <v>2</v>
      </c>
      <c r="G2340" t="s">
        <v>2630</v>
      </c>
      <c r="H2340" t="s">
        <v>2587</v>
      </c>
      <c r="I2340" t="s">
        <v>2588</v>
      </c>
      <c r="J2340" t="s">
        <v>2566</v>
      </c>
      <c r="K2340">
        <v>56</v>
      </c>
      <c r="L2340" s="13" t="s">
        <v>257</v>
      </c>
    </row>
    <row r="2341" spans="1:12" x14ac:dyDescent="0.25">
      <c r="A2341" t="s">
        <v>5018</v>
      </c>
      <c r="B2341" t="s">
        <v>118</v>
      </c>
      <c r="C2341" t="str">
        <f>_xlfn.XLOOKUP(Table7[[#This Row],[app_id]],Table5[app_id],Table5[app_name],"",0)</f>
        <v>LearnMate</v>
      </c>
      <c r="D2341" t="s">
        <v>1436</v>
      </c>
      <c r="E2341" s="1">
        <v>45422</v>
      </c>
      <c r="F2341">
        <v>3</v>
      </c>
      <c r="G2341" t="s">
        <v>2773</v>
      </c>
      <c r="H2341" t="s">
        <v>2554</v>
      </c>
      <c r="I2341" t="s">
        <v>2578</v>
      </c>
      <c r="J2341" t="s">
        <v>2556</v>
      </c>
      <c r="K2341">
        <v>29</v>
      </c>
      <c r="L2341" s="13" t="s">
        <v>257</v>
      </c>
    </row>
    <row r="2342" spans="1:12" x14ac:dyDescent="0.25">
      <c r="A2342" t="s">
        <v>5019</v>
      </c>
      <c r="B2342" t="s">
        <v>120</v>
      </c>
      <c r="C2342" t="str">
        <f>_xlfn.XLOOKUP(Table7[[#This Row],[app_id]],Table5[app_id],Table5[app_name],"",0)</f>
        <v>QuestNow</v>
      </c>
      <c r="D2342" t="s">
        <v>1249</v>
      </c>
      <c r="E2342" s="1">
        <v>45859</v>
      </c>
      <c r="F2342">
        <v>3</v>
      </c>
      <c r="G2342" t="s">
        <v>2889</v>
      </c>
      <c r="H2342" t="s">
        <v>2554</v>
      </c>
      <c r="I2342" t="s">
        <v>2575</v>
      </c>
      <c r="J2342" t="s">
        <v>2581</v>
      </c>
      <c r="K2342">
        <v>33</v>
      </c>
      <c r="L2342" s="13" t="s">
        <v>258</v>
      </c>
    </row>
    <row r="2343" spans="1:12" x14ac:dyDescent="0.25">
      <c r="A2343" t="s">
        <v>5020</v>
      </c>
      <c r="B2343" t="s">
        <v>122</v>
      </c>
      <c r="C2343" t="str">
        <f>_xlfn.XLOOKUP(Table7[[#This Row],[app_id]],Table5[app_id],Table5[app_name],"",0)</f>
        <v>SkillHub</v>
      </c>
      <c r="D2343" t="s">
        <v>1093</v>
      </c>
      <c r="E2343" s="1">
        <v>45328</v>
      </c>
      <c r="F2343">
        <v>5</v>
      </c>
      <c r="G2343" t="s">
        <v>2640</v>
      </c>
      <c r="H2343" t="s">
        <v>2564</v>
      </c>
      <c r="I2343" t="s">
        <v>2558</v>
      </c>
      <c r="J2343" t="s">
        <v>2633</v>
      </c>
      <c r="K2343">
        <v>32</v>
      </c>
      <c r="L2343" s="13" t="s">
        <v>257</v>
      </c>
    </row>
    <row r="2344" spans="1:12" x14ac:dyDescent="0.25">
      <c r="A2344" t="s">
        <v>5021</v>
      </c>
      <c r="B2344" t="s">
        <v>124</v>
      </c>
      <c r="C2344" t="str">
        <f>_xlfn.XLOOKUP(Table7[[#This Row],[app_id]],Table5[app_id],Table5[app_name],"",0)</f>
        <v>TutorCloud</v>
      </c>
      <c r="D2344" t="s">
        <v>1643</v>
      </c>
      <c r="E2344" s="1">
        <v>45726</v>
      </c>
      <c r="F2344">
        <v>3</v>
      </c>
      <c r="G2344" t="s">
        <v>2778</v>
      </c>
      <c r="H2344" t="s">
        <v>2554</v>
      </c>
      <c r="I2344" t="s">
        <v>2558</v>
      </c>
      <c r="J2344" t="s">
        <v>2566</v>
      </c>
      <c r="K2344">
        <v>7</v>
      </c>
      <c r="L2344" s="13" t="s">
        <v>258</v>
      </c>
    </row>
    <row r="2345" spans="1:12" x14ac:dyDescent="0.25">
      <c r="A2345" t="s">
        <v>5022</v>
      </c>
      <c r="B2345" t="s">
        <v>126</v>
      </c>
      <c r="C2345" t="str">
        <f>_xlfn.XLOOKUP(Table7[[#This Row],[app_id]],Table5[app_id],Table5[app_name],"",0)</f>
        <v>SkillOne</v>
      </c>
      <c r="D2345" t="s">
        <v>2507</v>
      </c>
      <c r="E2345" s="1">
        <v>45921</v>
      </c>
      <c r="F2345">
        <v>3</v>
      </c>
      <c r="G2345" t="s">
        <v>2773</v>
      </c>
      <c r="H2345" t="s">
        <v>2554</v>
      </c>
      <c r="I2345" t="s">
        <v>2578</v>
      </c>
      <c r="J2345" t="s">
        <v>2561</v>
      </c>
      <c r="K2345">
        <v>32</v>
      </c>
      <c r="L2345" s="13" t="s">
        <v>257</v>
      </c>
    </row>
    <row r="2346" spans="1:12" x14ac:dyDescent="0.25">
      <c r="A2346" t="s">
        <v>5023</v>
      </c>
      <c r="B2346" t="s">
        <v>128</v>
      </c>
      <c r="C2346" t="str">
        <f>_xlfn.XLOOKUP(Table7[[#This Row],[app_id]],Table5[app_id],Table5[app_name],"",0)</f>
        <v>LearnOne</v>
      </c>
      <c r="D2346" t="s">
        <v>1925</v>
      </c>
      <c r="E2346" s="1">
        <v>45310</v>
      </c>
      <c r="F2346">
        <v>3</v>
      </c>
      <c r="G2346" t="s">
        <v>2778</v>
      </c>
      <c r="H2346" t="s">
        <v>2554</v>
      </c>
      <c r="I2346" t="s">
        <v>2555</v>
      </c>
      <c r="J2346" t="s">
        <v>2633</v>
      </c>
      <c r="K2346">
        <v>27</v>
      </c>
      <c r="L2346" s="13" t="s">
        <v>257</v>
      </c>
    </row>
    <row r="2347" spans="1:12" x14ac:dyDescent="0.25">
      <c r="A2347" t="s">
        <v>5024</v>
      </c>
      <c r="B2347" t="s">
        <v>130</v>
      </c>
      <c r="C2347" t="str">
        <f>_xlfn.XLOOKUP(Table7[[#This Row],[app_id]],Table5[app_id],Table5[app_name],"",0)</f>
        <v>LearnPlus</v>
      </c>
      <c r="D2347" t="s">
        <v>1105</v>
      </c>
      <c r="E2347" s="1">
        <v>46138</v>
      </c>
      <c r="F2347">
        <v>2</v>
      </c>
      <c r="G2347" t="s">
        <v>2630</v>
      </c>
      <c r="H2347" t="s">
        <v>2587</v>
      </c>
      <c r="I2347" t="s">
        <v>2584</v>
      </c>
      <c r="J2347" t="s">
        <v>2559</v>
      </c>
      <c r="K2347">
        <v>69</v>
      </c>
      <c r="L2347" s="13" t="s">
        <v>258</v>
      </c>
    </row>
    <row r="2348" spans="1:12" x14ac:dyDescent="0.25">
      <c r="A2348" t="s">
        <v>5025</v>
      </c>
      <c r="B2348" t="s">
        <v>132</v>
      </c>
      <c r="C2348" t="str">
        <f>_xlfn.XLOOKUP(Table7[[#This Row],[app_id]],Table5[app_id],Table5[app_name],"",0)</f>
        <v>StudyPlus</v>
      </c>
      <c r="D2348" t="s">
        <v>1181</v>
      </c>
      <c r="E2348" s="1">
        <v>46104</v>
      </c>
      <c r="F2348">
        <v>4</v>
      </c>
      <c r="G2348" t="s">
        <v>2780</v>
      </c>
      <c r="H2348" t="s">
        <v>2564</v>
      </c>
      <c r="I2348" t="s">
        <v>2571</v>
      </c>
      <c r="J2348" t="s">
        <v>2566</v>
      </c>
      <c r="K2348">
        <v>47</v>
      </c>
      <c r="L2348" s="13" t="s">
        <v>257</v>
      </c>
    </row>
    <row r="2349" spans="1:12" x14ac:dyDescent="0.25">
      <c r="A2349" t="s">
        <v>5026</v>
      </c>
      <c r="B2349" t="s">
        <v>134</v>
      </c>
      <c r="C2349" t="str">
        <f>_xlfn.XLOOKUP(Table7[[#This Row],[app_id]],Table5[app_id],Table5[app_name],"",0)</f>
        <v>StudyX</v>
      </c>
      <c r="D2349" t="s">
        <v>792</v>
      </c>
      <c r="E2349" s="1">
        <v>45894</v>
      </c>
      <c r="F2349">
        <v>4</v>
      </c>
      <c r="G2349" t="s">
        <v>2638</v>
      </c>
      <c r="H2349" t="s">
        <v>2564</v>
      </c>
      <c r="I2349" t="s">
        <v>2558</v>
      </c>
      <c r="J2349" t="s">
        <v>2556</v>
      </c>
      <c r="K2349">
        <v>33</v>
      </c>
      <c r="L2349" s="13" t="s">
        <v>257</v>
      </c>
    </row>
    <row r="2350" spans="1:12" x14ac:dyDescent="0.25">
      <c r="A2350" t="s">
        <v>5027</v>
      </c>
      <c r="B2350" t="s">
        <v>136</v>
      </c>
      <c r="C2350" t="str">
        <f>_xlfn.XLOOKUP(Table7[[#This Row],[app_id]],Table5[app_id],Table5[app_name],"",0)</f>
        <v>PlayPlus</v>
      </c>
      <c r="D2350" t="s">
        <v>2292</v>
      </c>
      <c r="E2350" s="1">
        <v>46139</v>
      </c>
      <c r="F2350">
        <v>4</v>
      </c>
      <c r="G2350" t="s">
        <v>2652</v>
      </c>
      <c r="H2350" t="s">
        <v>2564</v>
      </c>
      <c r="I2350" t="s">
        <v>2555</v>
      </c>
      <c r="J2350" t="s">
        <v>2603</v>
      </c>
      <c r="K2350">
        <v>29</v>
      </c>
      <c r="L2350" s="13" t="s">
        <v>258</v>
      </c>
    </row>
    <row r="2351" spans="1:12" x14ac:dyDescent="0.25">
      <c r="A2351" t="s">
        <v>5028</v>
      </c>
      <c r="B2351" t="s">
        <v>139</v>
      </c>
      <c r="C2351" t="str">
        <f>_xlfn.XLOOKUP(Table7[[#This Row],[app_id]],Table5[app_id],Table5[app_name],"",0)</f>
        <v>ShowMate</v>
      </c>
      <c r="D2351" t="s">
        <v>577</v>
      </c>
      <c r="E2351" s="1">
        <v>45708</v>
      </c>
      <c r="F2351">
        <v>3</v>
      </c>
      <c r="G2351" t="s">
        <v>2655</v>
      </c>
      <c r="H2351" t="s">
        <v>2554</v>
      </c>
      <c r="I2351" t="s">
        <v>2555</v>
      </c>
      <c r="J2351" t="s">
        <v>2603</v>
      </c>
      <c r="K2351">
        <v>3</v>
      </c>
      <c r="L2351" s="13" t="s">
        <v>257</v>
      </c>
    </row>
    <row r="2352" spans="1:12" x14ac:dyDescent="0.25">
      <c r="A2352" t="s">
        <v>5029</v>
      </c>
      <c r="B2352" t="s">
        <v>141</v>
      </c>
      <c r="C2352" t="str">
        <f>_xlfn.XLOOKUP(Table7[[#This Row],[app_id]],Table5[app_id],Table5[app_name],"",0)</f>
        <v>VibeX</v>
      </c>
      <c r="D2352" t="s">
        <v>549</v>
      </c>
      <c r="E2352" s="1">
        <v>45568</v>
      </c>
      <c r="F2352">
        <v>3</v>
      </c>
      <c r="G2352" t="s">
        <v>2655</v>
      </c>
      <c r="H2352" t="s">
        <v>2554</v>
      </c>
      <c r="I2352" t="s">
        <v>2571</v>
      </c>
      <c r="J2352" t="s">
        <v>2569</v>
      </c>
      <c r="K2352">
        <v>29</v>
      </c>
      <c r="L2352" s="13" t="s">
        <v>257</v>
      </c>
    </row>
    <row r="2353" spans="1:12" x14ac:dyDescent="0.25">
      <c r="A2353" t="s">
        <v>5030</v>
      </c>
      <c r="B2353" t="s">
        <v>143</v>
      </c>
      <c r="C2353" t="str">
        <f>_xlfn.XLOOKUP(Table7[[#This Row],[app_id]],Table5[app_id],Table5[app_name],"",0)</f>
        <v>BuzzNow</v>
      </c>
      <c r="D2353" t="s">
        <v>1199</v>
      </c>
      <c r="E2353" s="1">
        <v>45484</v>
      </c>
      <c r="F2353">
        <v>4</v>
      </c>
      <c r="G2353" t="s">
        <v>2905</v>
      </c>
      <c r="H2353" t="s">
        <v>2564</v>
      </c>
      <c r="I2353" t="s">
        <v>2558</v>
      </c>
      <c r="J2353" t="s">
        <v>2596</v>
      </c>
      <c r="K2353">
        <v>33</v>
      </c>
      <c r="L2353" s="13" t="s">
        <v>257</v>
      </c>
    </row>
    <row r="2354" spans="1:12" x14ac:dyDescent="0.25">
      <c r="A2354" t="s">
        <v>5031</v>
      </c>
      <c r="B2354" t="s">
        <v>145</v>
      </c>
      <c r="C2354" t="str">
        <f>_xlfn.XLOOKUP(Table7[[#This Row],[app_id]],Table5[app_id],Table5[app_name],"",0)</f>
        <v>StreamPlus</v>
      </c>
      <c r="D2354" t="s">
        <v>2297</v>
      </c>
      <c r="E2354" s="1">
        <v>45438</v>
      </c>
      <c r="F2354">
        <v>3</v>
      </c>
      <c r="G2354" t="s">
        <v>2663</v>
      </c>
      <c r="H2354" t="s">
        <v>2554</v>
      </c>
      <c r="I2354" t="s">
        <v>2588</v>
      </c>
      <c r="J2354" t="s">
        <v>2559</v>
      </c>
      <c r="K2354">
        <v>46</v>
      </c>
      <c r="L2354" s="13" t="s">
        <v>257</v>
      </c>
    </row>
    <row r="2355" spans="1:12" x14ac:dyDescent="0.25">
      <c r="A2355" t="s">
        <v>5032</v>
      </c>
      <c r="B2355" t="s">
        <v>147</v>
      </c>
      <c r="C2355" t="str">
        <f>_xlfn.XLOOKUP(Table7[[#This Row],[app_id]],Table5[app_id],Table5[app_name],"",0)</f>
        <v>Showly</v>
      </c>
      <c r="D2355" t="s">
        <v>1747</v>
      </c>
      <c r="E2355" s="1">
        <v>45835</v>
      </c>
      <c r="F2355">
        <v>3</v>
      </c>
      <c r="G2355" t="s">
        <v>2663</v>
      </c>
      <c r="H2355" t="s">
        <v>2554</v>
      </c>
      <c r="I2355" t="s">
        <v>2558</v>
      </c>
      <c r="J2355" t="s">
        <v>2556</v>
      </c>
      <c r="K2355">
        <v>28</v>
      </c>
      <c r="L2355" s="13" t="s">
        <v>257</v>
      </c>
    </row>
    <row r="2356" spans="1:12" x14ac:dyDescent="0.25">
      <c r="A2356" t="s">
        <v>5033</v>
      </c>
      <c r="B2356" t="s">
        <v>149</v>
      </c>
      <c r="C2356" t="str">
        <f>_xlfn.XLOOKUP(Table7[[#This Row],[app_id]],Table5[app_id],Table5[app_name],"",0)</f>
        <v>BuzzOne</v>
      </c>
      <c r="D2356" t="s">
        <v>1531</v>
      </c>
      <c r="E2356" s="1">
        <v>45625</v>
      </c>
      <c r="F2356">
        <v>2</v>
      </c>
      <c r="G2356" t="s">
        <v>2907</v>
      </c>
      <c r="H2356" t="s">
        <v>2587</v>
      </c>
      <c r="I2356" t="s">
        <v>2578</v>
      </c>
      <c r="J2356" t="s">
        <v>2556</v>
      </c>
      <c r="K2356">
        <v>27</v>
      </c>
      <c r="L2356" s="13" t="s">
        <v>258</v>
      </c>
    </row>
    <row r="2357" spans="1:12" x14ac:dyDescent="0.25">
      <c r="A2357" t="s">
        <v>5034</v>
      </c>
      <c r="B2357" t="s">
        <v>151</v>
      </c>
      <c r="C2357" t="str">
        <f>_xlfn.XLOOKUP(Table7[[#This Row],[app_id]],Table5[app_id],Table5[app_name],"",0)</f>
        <v>PlayHub</v>
      </c>
      <c r="D2357" t="s">
        <v>2292</v>
      </c>
      <c r="E2357" s="1">
        <v>46016</v>
      </c>
      <c r="F2357">
        <v>5</v>
      </c>
      <c r="G2357" t="s">
        <v>2789</v>
      </c>
      <c r="H2357" t="s">
        <v>2564</v>
      </c>
      <c r="I2357" t="s">
        <v>2558</v>
      </c>
      <c r="J2357" t="s">
        <v>2596</v>
      </c>
      <c r="K2357">
        <v>41</v>
      </c>
      <c r="L2357" s="13" t="s">
        <v>257</v>
      </c>
    </row>
    <row r="2358" spans="1:12" x14ac:dyDescent="0.25">
      <c r="A2358" t="s">
        <v>5035</v>
      </c>
      <c r="B2358" t="s">
        <v>153</v>
      </c>
      <c r="C2358" t="str">
        <f>_xlfn.XLOOKUP(Table7[[#This Row],[app_id]],Table5[app_id],Table5[app_name],"",0)</f>
        <v>CinemaGo</v>
      </c>
      <c r="D2358" t="s">
        <v>536</v>
      </c>
      <c r="E2358" s="1">
        <v>45306</v>
      </c>
      <c r="F2358">
        <v>5</v>
      </c>
      <c r="G2358" t="s">
        <v>2789</v>
      </c>
      <c r="H2358" t="s">
        <v>2564</v>
      </c>
      <c r="I2358" t="s">
        <v>2565</v>
      </c>
      <c r="J2358" t="s">
        <v>2596</v>
      </c>
      <c r="K2358">
        <v>20</v>
      </c>
      <c r="L2358" s="13" t="s">
        <v>257</v>
      </c>
    </row>
    <row r="2359" spans="1:12" x14ac:dyDescent="0.25">
      <c r="A2359" t="s">
        <v>5036</v>
      </c>
      <c r="B2359" t="s">
        <v>155</v>
      </c>
      <c r="C2359" t="str">
        <f>_xlfn.XLOOKUP(Table7[[#This Row],[app_id]],Table5[app_id],Table5[app_name],"",0)</f>
        <v>LaughX</v>
      </c>
      <c r="D2359" t="s">
        <v>2505</v>
      </c>
      <c r="E2359" s="1">
        <v>46099</v>
      </c>
      <c r="F2359">
        <v>3</v>
      </c>
      <c r="G2359" t="s">
        <v>2655</v>
      </c>
      <c r="H2359" t="s">
        <v>2554</v>
      </c>
      <c r="I2359" t="s">
        <v>2584</v>
      </c>
      <c r="J2359" t="s">
        <v>2581</v>
      </c>
      <c r="K2359">
        <v>17</v>
      </c>
      <c r="L2359" s="13" t="s">
        <v>257</v>
      </c>
    </row>
    <row r="2360" spans="1:12" x14ac:dyDescent="0.25">
      <c r="A2360" t="s">
        <v>5037</v>
      </c>
      <c r="B2360" t="s">
        <v>157</v>
      </c>
      <c r="C2360" t="str">
        <f>_xlfn.XLOOKUP(Table7[[#This Row],[app_id]],Table5[app_id],Table5[app_name],"",0)</f>
        <v>CinemaHub</v>
      </c>
      <c r="D2360" t="s">
        <v>543</v>
      </c>
      <c r="E2360" s="1">
        <v>45992</v>
      </c>
      <c r="F2360">
        <v>3</v>
      </c>
      <c r="G2360" t="s">
        <v>2791</v>
      </c>
      <c r="H2360" t="s">
        <v>2554</v>
      </c>
      <c r="I2360" t="s">
        <v>2578</v>
      </c>
      <c r="J2360" t="s">
        <v>2561</v>
      </c>
      <c r="K2360">
        <v>37</v>
      </c>
      <c r="L2360" s="13" t="s">
        <v>257</v>
      </c>
    </row>
    <row r="2361" spans="1:12" x14ac:dyDescent="0.25">
      <c r="A2361" t="s">
        <v>5038</v>
      </c>
      <c r="B2361" t="s">
        <v>159</v>
      </c>
      <c r="C2361" t="str">
        <f>_xlfn.XLOOKUP(Table7[[#This Row],[app_id]],Table5[app_id],Table5[app_name],"",0)</f>
        <v>ShowPro</v>
      </c>
      <c r="D2361" t="s">
        <v>2289</v>
      </c>
      <c r="E2361" s="1">
        <v>45750</v>
      </c>
      <c r="F2361">
        <v>5</v>
      </c>
      <c r="G2361" t="s">
        <v>2652</v>
      </c>
      <c r="H2361" t="s">
        <v>2564</v>
      </c>
      <c r="I2361" t="s">
        <v>2575</v>
      </c>
      <c r="J2361" t="s">
        <v>2603</v>
      </c>
      <c r="K2361">
        <v>29</v>
      </c>
      <c r="L2361" s="13" t="s">
        <v>258</v>
      </c>
    </row>
    <row r="2362" spans="1:12" x14ac:dyDescent="0.25">
      <c r="A2362" t="s">
        <v>5039</v>
      </c>
      <c r="B2362" t="s">
        <v>161</v>
      </c>
      <c r="C2362" t="str">
        <f>_xlfn.XLOOKUP(Table7[[#This Row],[app_id]],Table5[app_id],Table5[app_name],"",0)</f>
        <v>FoodPlus</v>
      </c>
      <c r="D2362" t="s">
        <v>2292</v>
      </c>
      <c r="E2362" s="1">
        <v>46050</v>
      </c>
      <c r="F2362">
        <v>5</v>
      </c>
      <c r="G2362" t="s">
        <v>2679</v>
      </c>
      <c r="H2362" t="s">
        <v>2564</v>
      </c>
      <c r="I2362" t="s">
        <v>2555</v>
      </c>
      <c r="J2362" t="s">
        <v>2596</v>
      </c>
      <c r="K2362">
        <v>26</v>
      </c>
      <c r="L2362" s="13" t="s">
        <v>257</v>
      </c>
    </row>
    <row r="2363" spans="1:12" x14ac:dyDescent="0.25">
      <c r="A2363" t="s">
        <v>5040</v>
      </c>
      <c r="B2363" t="s">
        <v>164</v>
      </c>
      <c r="C2363" t="str">
        <f>_xlfn.XLOOKUP(Table7[[#This Row],[app_id]],Table5[app_id],Table5[app_name],"",0)</f>
        <v>BiteGo</v>
      </c>
      <c r="D2363" t="s">
        <v>2399</v>
      </c>
      <c r="E2363" s="1">
        <v>45560</v>
      </c>
      <c r="F2363">
        <v>3</v>
      </c>
      <c r="G2363" t="s">
        <v>2666</v>
      </c>
      <c r="H2363" t="s">
        <v>2554</v>
      </c>
      <c r="I2363" t="s">
        <v>2578</v>
      </c>
      <c r="J2363" t="s">
        <v>2596</v>
      </c>
      <c r="K2363">
        <v>29</v>
      </c>
      <c r="L2363" s="13" t="s">
        <v>257</v>
      </c>
    </row>
    <row r="2364" spans="1:12" x14ac:dyDescent="0.25">
      <c r="A2364" t="s">
        <v>5041</v>
      </c>
      <c r="B2364" t="s">
        <v>166</v>
      </c>
      <c r="C2364" t="str">
        <f>_xlfn.XLOOKUP(Table7[[#This Row],[app_id]],Table5[app_id],Table5[app_name],"",0)</f>
        <v>OrderCloud</v>
      </c>
      <c r="D2364" t="s">
        <v>692</v>
      </c>
      <c r="E2364" s="1">
        <v>45439</v>
      </c>
      <c r="F2364">
        <v>2</v>
      </c>
      <c r="G2364" t="s">
        <v>3131</v>
      </c>
      <c r="H2364" t="s">
        <v>2587</v>
      </c>
      <c r="I2364" t="s">
        <v>2588</v>
      </c>
      <c r="J2364" t="s">
        <v>2581</v>
      </c>
      <c r="K2364">
        <v>82</v>
      </c>
      <c r="L2364" s="13" t="s">
        <v>258</v>
      </c>
    </row>
    <row r="2365" spans="1:12" x14ac:dyDescent="0.25">
      <c r="A2365" t="s">
        <v>5042</v>
      </c>
      <c r="B2365" t="s">
        <v>168</v>
      </c>
      <c r="C2365" t="str">
        <f>_xlfn.XLOOKUP(Table7[[#This Row],[app_id]],Table5[app_id],Table5[app_name],"",0)</f>
        <v>DinePlus</v>
      </c>
      <c r="D2365" t="s">
        <v>1068</v>
      </c>
      <c r="E2365" s="1">
        <v>45823</v>
      </c>
      <c r="F2365">
        <v>3</v>
      </c>
      <c r="G2365" t="s">
        <v>2670</v>
      </c>
      <c r="H2365" t="s">
        <v>2554</v>
      </c>
      <c r="I2365" t="s">
        <v>2555</v>
      </c>
      <c r="J2365" t="s">
        <v>2596</v>
      </c>
      <c r="K2365">
        <v>27</v>
      </c>
      <c r="L2365" s="13" t="s">
        <v>257</v>
      </c>
    </row>
    <row r="2366" spans="1:12" x14ac:dyDescent="0.25">
      <c r="A2366" t="s">
        <v>5043</v>
      </c>
      <c r="B2366" t="s">
        <v>170</v>
      </c>
      <c r="C2366" t="str">
        <f>_xlfn.XLOOKUP(Table7[[#This Row],[app_id]],Table5[app_id],Table5[app_name],"",0)</f>
        <v>SnackX</v>
      </c>
      <c r="D2366" t="s">
        <v>1455</v>
      </c>
      <c r="E2366" s="1">
        <v>45333</v>
      </c>
      <c r="F2366">
        <v>4</v>
      </c>
      <c r="G2366" t="s">
        <v>2679</v>
      </c>
      <c r="H2366" t="s">
        <v>2564</v>
      </c>
      <c r="I2366" t="s">
        <v>2565</v>
      </c>
      <c r="J2366" t="s">
        <v>2581</v>
      </c>
      <c r="K2366">
        <v>25</v>
      </c>
      <c r="L2366" s="13" t="s">
        <v>257</v>
      </c>
    </row>
    <row r="2367" spans="1:12" x14ac:dyDescent="0.25">
      <c r="A2367" t="s">
        <v>5044</v>
      </c>
      <c r="B2367" t="s">
        <v>172</v>
      </c>
      <c r="C2367" t="str">
        <f>_xlfn.XLOOKUP(Table7[[#This Row],[app_id]],Table5[app_id],Table5[app_name],"",0)</f>
        <v>FoodOne</v>
      </c>
      <c r="D2367" t="s">
        <v>634</v>
      </c>
      <c r="E2367" s="1">
        <v>45313</v>
      </c>
      <c r="F2367">
        <v>5</v>
      </c>
      <c r="G2367" t="s">
        <v>2679</v>
      </c>
      <c r="H2367" t="s">
        <v>2564</v>
      </c>
      <c r="I2367" t="s">
        <v>2575</v>
      </c>
      <c r="J2367" t="s">
        <v>2569</v>
      </c>
      <c r="K2367">
        <v>39</v>
      </c>
      <c r="L2367" s="13" t="s">
        <v>257</v>
      </c>
    </row>
    <row r="2368" spans="1:12" x14ac:dyDescent="0.25">
      <c r="A2368" t="s">
        <v>5045</v>
      </c>
      <c r="B2368" t="s">
        <v>174</v>
      </c>
      <c r="C2368" t="str">
        <f>_xlfn.XLOOKUP(Table7[[#This Row],[app_id]],Table5[app_id],Table5[app_name],"",0)</f>
        <v>MealMate</v>
      </c>
      <c r="D2368" t="s">
        <v>1704</v>
      </c>
      <c r="E2368" s="1">
        <v>46048</v>
      </c>
      <c r="F2368">
        <v>5</v>
      </c>
      <c r="G2368" t="s">
        <v>2806</v>
      </c>
      <c r="H2368" t="s">
        <v>2564</v>
      </c>
      <c r="I2368" t="s">
        <v>2565</v>
      </c>
      <c r="J2368" t="s">
        <v>2559</v>
      </c>
      <c r="K2368">
        <v>38</v>
      </c>
      <c r="L2368" s="13" t="s">
        <v>258</v>
      </c>
    </row>
    <row r="2369" spans="1:12" x14ac:dyDescent="0.25">
      <c r="A2369" t="s">
        <v>5046</v>
      </c>
      <c r="B2369" t="s">
        <v>176</v>
      </c>
      <c r="C2369" t="str">
        <f>_xlfn.XLOOKUP(Table7[[#This Row],[app_id]],Table5[app_id],Table5[app_name],"",0)</f>
        <v>SnackHub</v>
      </c>
      <c r="D2369" t="s">
        <v>2162</v>
      </c>
      <c r="E2369" s="1">
        <v>46010</v>
      </c>
      <c r="F2369">
        <v>2</v>
      </c>
      <c r="G2369" t="s">
        <v>3543</v>
      </c>
      <c r="H2369" t="s">
        <v>2587</v>
      </c>
      <c r="I2369" t="s">
        <v>2578</v>
      </c>
      <c r="J2369" t="s">
        <v>2581</v>
      </c>
      <c r="K2369">
        <v>55</v>
      </c>
      <c r="L2369" s="13" t="s">
        <v>257</v>
      </c>
    </row>
    <row r="2370" spans="1:12" x14ac:dyDescent="0.25">
      <c r="A2370" t="s">
        <v>5047</v>
      </c>
      <c r="B2370" t="s">
        <v>178</v>
      </c>
      <c r="C2370" t="str">
        <f>_xlfn.XLOOKUP(Table7[[#This Row],[app_id]],Table5[app_id],Table5[app_name],"",0)</f>
        <v>BiteCloud</v>
      </c>
      <c r="D2370" t="s">
        <v>604</v>
      </c>
      <c r="E2370" s="1">
        <v>45825</v>
      </c>
      <c r="F2370">
        <v>5</v>
      </c>
      <c r="G2370" t="s">
        <v>2676</v>
      </c>
      <c r="H2370" t="s">
        <v>2564</v>
      </c>
      <c r="I2370" t="s">
        <v>2555</v>
      </c>
      <c r="J2370" t="s">
        <v>2566</v>
      </c>
      <c r="K2370">
        <v>14</v>
      </c>
      <c r="L2370" s="13" t="s">
        <v>257</v>
      </c>
    </row>
    <row r="2371" spans="1:12" x14ac:dyDescent="0.25">
      <c r="A2371" t="s">
        <v>5048</v>
      </c>
      <c r="B2371" t="s">
        <v>180</v>
      </c>
      <c r="C2371" t="str">
        <f>_xlfn.XLOOKUP(Table7[[#This Row],[app_id]],Table5[app_id],Table5[app_name],"",0)</f>
        <v>PlatePlus</v>
      </c>
      <c r="D2371" t="s">
        <v>2070</v>
      </c>
      <c r="E2371" s="1">
        <v>45932</v>
      </c>
      <c r="F2371">
        <v>4</v>
      </c>
      <c r="G2371" t="s">
        <v>2676</v>
      </c>
      <c r="H2371" t="s">
        <v>2564</v>
      </c>
      <c r="I2371" t="s">
        <v>2565</v>
      </c>
      <c r="J2371" t="s">
        <v>2556</v>
      </c>
      <c r="K2371">
        <v>31</v>
      </c>
      <c r="L2371" s="13" t="s">
        <v>257</v>
      </c>
    </row>
    <row r="2372" spans="1:12" x14ac:dyDescent="0.25">
      <c r="A2372" t="s">
        <v>5049</v>
      </c>
      <c r="B2372" t="s">
        <v>182</v>
      </c>
      <c r="C2372" t="str">
        <f>_xlfn.XLOOKUP(Table7[[#This Row],[app_id]],Table5[app_id],Table5[app_name],"",0)</f>
        <v>VoyageGo</v>
      </c>
      <c r="D2372" t="s">
        <v>1986</v>
      </c>
      <c r="E2372" s="1">
        <v>45554</v>
      </c>
      <c r="F2372">
        <v>3</v>
      </c>
      <c r="G2372" t="s">
        <v>2690</v>
      </c>
      <c r="H2372" t="s">
        <v>2554</v>
      </c>
      <c r="I2372" t="s">
        <v>2555</v>
      </c>
      <c r="J2372" t="s">
        <v>2559</v>
      </c>
      <c r="K2372">
        <v>31</v>
      </c>
      <c r="L2372" s="13" t="s">
        <v>257</v>
      </c>
    </row>
    <row r="2373" spans="1:12" x14ac:dyDescent="0.25">
      <c r="A2373" t="s">
        <v>5050</v>
      </c>
      <c r="B2373" t="s">
        <v>185</v>
      </c>
      <c r="C2373" t="str">
        <f>_xlfn.XLOOKUP(Table7[[#This Row],[app_id]],Table5[app_id],Table5[app_name],"",0)</f>
        <v>TripOne</v>
      </c>
      <c r="D2373" t="s">
        <v>757</v>
      </c>
      <c r="E2373" s="1">
        <v>45562</v>
      </c>
      <c r="F2373">
        <v>2</v>
      </c>
      <c r="G2373" t="s">
        <v>2693</v>
      </c>
      <c r="H2373" t="s">
        <v>2587</v>
      </c>
      <c r="I2373" t="s">
        <v>2558</v>
      </c>
      <c r="J2373" t="s">
        <v>2633</v>
      </c>
      <c r="K2373">
        <v>55</v>
      </c>
      <c r="L2373" s="13" t="s">
        <v>258</v>
      </c>
    </row>
    <row r="2374" spans="1:12" x14ac:dyDescent="0.25">
      <c r="A2374" t="s">
        <v>5051</v>
      </c>
      <c r="B2374" t="s">
        <v>187</v>
      </c>
      <c r="C2374" t="str">
        <f>_xlfn.XLOOKUP(Table7[[#This Row],[app_id]],Table5[app_id],Table5[app_name],"",0)</f>
        <v>FlyGo</v>
      </c>
      <c r="D2374" t="s">
        <v>970</v>
      </c>
      <c r="E2374" s="1">
        <v>45854</v>
      </c>
      <c r="F2374">
        <v>4</v>
      </c>
      <c r="G2374" t="s">
        <v>2929</v>
      </c>
      <c r="H2374" t="s">
        <v>2564</v>
      </c>
      <c r="I2374" t="s">
        <v>2558</v>
      </c>
      <c r="J2374" t="s">
        <v>2600</v>
      </c>
      <c r="K2374">
        <v>24</v>
      </c>
      <c r="L2374" s="13" t="s">
        <v>257</v>
      </c>
    </row>
    <row r="2375" spans="1:12" x14ac:dyDescent="0.25">
      <c r="A2375" t="s">
        <v>5052</v>
      </c>
      <c r="B2375" t="s">
        <v>189</v>
      </c>
      <c r="C2375" t="str">
        <f>_xlfn.XLOOKUP(Table7[[#This Row],[app_id]],Table5[app_id],Table5[app_name],"",0)</f>
        <v>MapX</v>
      </c>
      <c r="D2375" t="s">
        <v>1225</v>
      </c>
      <c r="E2375" s="1">
        <v>45775</v>
      </c>
      <c r="F2375">
        <v>3</v>
      </c>
      <c r="G2375" t="s">
        <v>2697</v>
      </c>
      <c r="H2375" t="s">
        <v>2554</v>
      </c>
      <c r="I2375" t="s">
        <v>2565</v>
      </c>
      <c r="J2375" t="s">
        <v>2600</v>
      </c>
      <c r="K2375">
        <v>47</v>
      </c>
      <c r="L2375" s="13" t="s">
        <v>257</v>
      </c>
    </row>
    <row r="2376" spans="1:12" x14ac:dyDescent="0.25">
      <c r="A2376" t="s">
        <v>5053</v>
      </c>
      <c r="B2376" t="s">
        <v>191</v>
      </c>
      <c r="C2376" t="str">
        <f>_xlfn.XLOOKUP(Table7[[#This Row],[app_id]],Table5[app_id],Table5[app_name],"",0)</f>
        <v>StayX</v>
      </c>
      <c r="D2376" t="s">
        <v>592</v>
      </c>
      <c r="E2376" s="1">
        <v>45851</v>
      </c>
      <c r="F2376">
        <v>4</v>
      </c>
      <c r="G2376" t="s">
        <v>2683</v>
      </c>
      <c r="H2376" t="s">
        <v>2564</v>
      </c>
      <c r="I2376" t="s">
        <v>2571</v>
      </c>
      <c r="J2376" t="s">
        <v>2556</v>
      </c>
      <c r="K2376">
        <v>6</v>
      </c>
      <c r="L2376" s="13" t="s">
        <v>257</v>
      </c>
    </row>
    <row r="2377" spans="1:12" x14ac:dyDescent="0.25">
      <c r="A2377" t="s">
        <v>5054</v>
      </c>
      <c r="B2377" t="s">
        <v>193</v>
      </c>
      <c r="C2377" t="str">
        <f>_xlfn.XLOOKUP(Table7[[#This Row],[app_id]],Table5[app_id],Table5[app_name],"",0)</f>
        <v>GoNow</v>
      </c>
      <c r="D2377" t="s">
        <v>1701</v>
      </c>
      <c r="E2377" s="1">
        <v>45766</v>
      </c>
      <c r="F2377">
        <v>4</v>
      </c>
      <c r="G2377" t="s">
        <v>2687</v>
      </c>
      <c r="H2377" t="s">
        <v>2564</v>
      </c>
      <c r="I2377" t="s">
        <v>2575</v>
      </c>
      <c r="J2377" t="s">
        <v>2559</v>
      </c>
      <c r="K2377">
        <v>39</v>
      </c>
      <c r="L2377" s="13" t="s">
        <v>257</v>
      </c>
    </row>
    <row r="2378" spans="1:12" x14ac:dyDescent="0.25">
      <c r="A2378" t="s">
        <v>5055</v>
      </c>
      <c r="B2378" t="s">
        <v>195</v>
      </c>
      <c r="C2378" t="str">
        <f>_xlfn.XLOOKUP(Table7[[#This Row],[app_id]],Table5[app_id],Table5[app_name],"",0)</f>
        <v>RouteGo</v>
      </c>
      <c r="D2378" t="s">
        <v>2434</v>
      </c>
      <c r="E2378" s="1">
        <v>45355</v>
      </c>
      <c r="F2378">
        <v>4</v>
      </c>
      <c r="G2378" t="s">
        <v>2929</v>
      </c>
      <c r="H2378" t="s">
        <v>2564</v>
      </c>
      <c r="I2378" t="s">
        <v>2575</v>
      </c>
      <c r="J2378" t="s">
        <v>2566</v>
      </c>
      <c r="K2378">
        <v>22</v>
      </c>
      <c r="L2378" s="13" t="s">
        <v>257</v>
      </c>
    </row>
    <row r="2379" spans="1:12" x14ac:dyDescent="0.25">
      <c r="A2379" t="s">
        <v>5056</v>
      </c>
      <c r="B2379" t="s">
        <v>197</v>
      </c>
      <c r="C2379" t="str">
        <f>_xlfn.XLOOKUP(Table7[[#This Row],[app_id]],Table5[app_id],Table5[app_name],"",0)</f>
        <v>TripGo</v>
      </c>
      <c r="D2379" t="s">
        <v>2270</v>
      </c>
      <c r="E2379" s="1">
        <v>46081</v>
      </c>
      <c r="F2379">
        <v>3</v>
      </c>
      <c r="G2379" t="s">
        <v>2697</v>
      </c>
      <c r="H2379" t="s">
        <v>2554</v>
      </c>
      <c r="I2379" t="s">
        <v>2584</v>
      </c>
      <c r="J2379" t="s">
        <v>2581</v>
      </c>
      <c r="K2379">
        <v>42</v>
      </c>
      <c r="L2379" s="13" t="s">
        <v>258</v>
      </c>
    </row>
    <row r="2380" spans="1:12" x14ac:dyDescent="0.25">
      <c r="A2380" t="s">
        <v>5057</v>
      </c>
      <c r="B2380" t="s">
        <v>199</v>
      </c>
      <c r="C2380" t="str">
        <f>_xlfn.XLOOKUP(Table7[[#This Row],[app_id]],Table5[app_id],Table5[app_name],"",0)</f>
        <v>Flyly</v>
      </c>
      <c r="D2380" t="s">
        <v>1237</v>
      </c>
      <c r="E2380" s="1">
        <v>45340</v>
      </c>
      <c r="F2380">
        <v>2</v>
      </c>
      <c r="G2380" t="s">
        <v>2823</v>
      </c>
      <c r="H2380" t="s">
        <v>2587</v>
      </c>
      <c r="I2380" t="s">
        <v>2578</v>
      </c>
      <c r="J2380" t="s">
        <v>2556</v>
      </c>
      <c r="K2380">
        <v>68</v>
      </c>
      <c r="L2380" s="13" t="s">
        <v>257</v>
      </c>
    </row>
    <row r="2381" spans="1:12" x14ac:dyDescent="0.25">
      <c r="A2381" t="s">
        <v>5058</v>
      </c>
      <c r="B2381" t="s">
        <v>201</v>
      </c>
      <c r="C2381" t="str">
        <f>_xlfn.XLOOKUP(Table7[[#This Row],[app_id]],Table5[app_id],Table5[app_name],"",0)</f>
        <v>TripPro</v>
      </c>
      <c r="D2381" t="s">
        <v>1494</v>
      </c>
      <c r="E2381" s="1">
        <v>45691</v>
      </c>
      <c r="F2381">
        <v>3</v>
      </c>
      <c r="G2381" t="s">
        <v>2697</v>
      </c>
      <c r="H2381" t="s">
        <v>2554</v>
      </c>
      <c r="I2381" t="s">
        <v>2558</v>
      </c>
      <c r="J2381" t="s">
        <v>2603</v>
      </c>
      <c r="K2381">
        <v>36</v>
      </c>
      <c r="L2381" s="13" t="s">
        <v>257</v>
      </c>
    </row>
    <row r="2382" spans="1:12" x14ac:dyDescent="0.25">
      <c r="A2382" t="s">
        <v>5059</v>
      </c>
      <c r="B2382" t="s">
        <v>203</v>
      </c>
      <c r="C2382" t="str">
        <f>_xlfn.XLOOKUP(Table7[[#This Row],[app_id]],Table5[app_id],Table5[app_name],"",0)</f>
        <v>Focusly</v>
      </c>
      <c r="D2382" t="s">
        <v>1537</v>
      </c>
      <c r="E2382" s="1">
        <v>45869</v>
      </c>
      <c r="F2382">
        <v>3</v>
      </c>
      <c r="G2382" t="s">
        <v>3254</v>
      </c>
      <c r="H2382" t="s">
        <v>2554</v>
      </c>
      <c r="I2382" t="s">
        <v>2575</v>
      </c>
      <c r="J2382" t="s">
        <v>2556</v>
      </c>
      <c r="K2382">
        <v>11</v>
      </c>
      <c r="L2382" s="13" t="s">
        <v>258</v>
      </c>
    </row>
    <row r="2383" spans="1:12" x14ac:dyDescent="0.25">
      <c r="A2383" t="s">
        <v>5060</v>
      </c>
      <c r="B2383" t="s">
        <v>206</v>
      </c>
      <c r="C2383" t="str">
        <f>_xlfn.XLOOKUP(Table7[[#This Row],[app_id]],Table5[app_id],Table5[app_name],"",0)</f>
        <v>DeskX</v>
      </c>
      <c r="D2383" t="s">
        <v>1036</v>
      </c>
      <c r="E2383" s="1">
        <v>45872</v>
      </c>
      <c r="F2383">
        <v>4</v>
      </c>
      <c r="G2383" t="s">
        <v>2708</v>
      </c>
      <c r="H2383" t="s">
        <v>2564</v>
      </c>
      <c r="I2383" t="s">
        <v>2575</v>
      </c>
      <c r="J2383" t="s">
        <v>2566</v>
      </c>
      <c r="K2383">
        <v>29</v>
      </c>
      <c r="L2383" s="13" t="s">
        <v>258</v>
      </c>
    </row>
    <row r="2384" spans="1:12" x14ac:dyDescent="0.25">
      <c r="A2384" t="s">
        <v>5061</v>
      </c>
      <c r="B2384" t="s">
        <v>208</v>
      </c>
      <c r="C2384" t="str">
        <f>_xlfn.XLOOKUP(Table7[[#This Row],[app_id]],Table5[app_id],Table5[app_name],"",0)</f>
        <v>DonePro</v>
      </c>
      <c r="D2384" t="s">
        <v>2286</v>
      </c>
      <c r="E2384" s="1">
        <v>45727</v>
      </c>
      <c r="F2384">
        <v>3</v>
      </c>
      <c r="G2384" t="s">
        <v>2710</v>
      </c>
      <c r="H2384" t="s">
        <v>2554</v>
      </c>
      <c r="I2384" t="s">
        <v>2588</v>
      </c>
      <c r="J2384" t="s">
        <v>2581</v>
      </c>
      <c r="K2384">
        <v>22</v>
      </c>
      <c r="L2384" s="13" t="s">
        <v>257</v>
      </c>
    </row>
    <row r="2385" spans="1:12" x14ac:dyDescent="0.25">
      <c r="A2385" t="s">
        <v>5062</v>
      </c>
      <c r="B2385" t="s">
        <v>210</v>
      </c>
      <c r="C2385" t="str">
        <f>_xlfn.XLOOKUP(Table7[[#This Row],[app_id]],Table5[app_id],Table5[app_name],"",0)</f>
        <v>NotePlus</v>
      </c>
      <c r="D2385" t="s">
        <v>2292</v>
      </c>
      <c r="E2385" s="1">
        <v>45585</v>
      </c>
      <c r="F2385">
        <v>4</v>
      </c>
      <c r="G2385" t="s">
        <v>2708</v>
      </c>
      <c r="H2385" t="s">
        <v>2564</v>
      </c>
      <c r="I2385" t="s">
        <v>2575</v>
      </c>
      <c r="J2385" t="s">
        <v>2561</v>
      </c>
      <c r="K2385">
        <v>48</v>
      </c>
      <c r="L2385" s="13" t="s">
        <v>257</v>
      </c>
    </row>
    <row r="2386" spans="1:12" x14ac:dyDescent="0.25">
      <c r="A2386" t="s">
        <v>5063</v>
      </c>
      <c r="B2386" t="s">
        <v>212</v>
      </c>
      <c r="C2386" t="str">
        <f>_xlfn.XLOOKUP(Table7[[#This Row],[app_id]],Table5[app_id],Table5[app_name],"",0)</f>
        <v>SyncPlus</v>
      </c>
      <c r="D2386" t="s">
        <v>1476</v>
      </c>
      <c r="E2386" s="1">
        <v>45444</v>
      </c>
      <c r="F2386">
        <v>2</v>
      </c>
      <c r="G2386" t="s">
        <v>3859</v>
      </c>
      <c r="H2386" t="s">
        <v>2587</v>
      </c>
      <c r="I2386" t="s">
        <v>2571</v>
      </c>
      <c r="J2386" t="s">
        <v>2559</v>
      </c>
      <c r="K2386">
        <v>56</v>
      </c>
      <c r="L2386" s="13" t="s">
        <v>258</v>
      </c>
    </row>
    <row r="2387" spans="1:12" x14ac:dyDescent="0.25">
      <c r="A2387" t="s">
        <v>5064</v>
      </c>
      <c r="B2387" t="s">
        <v>214</v>
      </c>
      <c r="C2387" t="str">
        <f>_xlfn.XLOOKUP(Table7[[#This Row],[app_id]],Table5[app_id],Table5[app_name],"",0)</f>
        <v>NoteOne</v>
      </c>
      <c r="D2387" t="s">
        <v>1009</v>
      </c>
      <c r="E2387" s="1">
        <v>45351</v>
      </c>
      <c r="F2387">
        <v>3</v>
      </c>
      <c r="G2387" t="s">
        <v>2710</v>
      </c>
      <c r="H2387" t="s">
        <v>2554</v>
      </c>
      <c r="I2387" t="s">
        <v>2588</v>
      </c>
      <c r="J2387" t="s">
        <v>2569</v>
      </c>
      <c r="K2387">
        <v>33</v>
      </c>
      <c r="L2387" s="13" t="s">
        <v>257</v>
      </c>
    </row>
    <row r="2388" spans="1:12" x14ac:dyDescent="0.25">
      <c r="A2388" t="s">
        <v>5065</v>
      </c>
      <c r="B2388" t="s">
        <v>216</v>
      </c>
      <c r="C2388" t="str">
        <f>_xlfn.XLOOKUP(Table7[[#This Row],[app_id]],Table5[app_id],Table5[app_name],"",0)</f>
        <v>NoteMate</v>
      </c>
      <c r="D2388" t="s">
        <v>766</v>
      </c>
      <c r="E2388" s="1">
        <v>46078</v>
      </c>
      <c r="F2388">
        <v>4</v>
      </c>
      <c r="G2388" t="s">
        <v>2703</v>
      </c>
      <c r="H2388" t="s">
        <v>2564</v>
      </c>
      <c r="I2388" t="s">
        <v>2575</v>
      </c>
      <c r="J2388" t="s">
        <v>2600</v>
      </c>
      <c r="K2388">
        <v>14</v>
      </c>
      <c r="L2388" s="13" t="s">
        <v>257</v>
      </c>
    </row>
    <row r="2389" spans="1:12" x14ac:dyDescent="0.25">
      <c r="A2389" t="s">
        <v>5066</v>
      </c>
      <c r="B2389" t="s">
        <v>218</v>
      </c>
      <c r="C2389" t="str">
        <f>_xlfn.XLOOKUP(Table7[[#This Row],[app_id]],Table5[app_id],Table5[app_name],"",0)</f>
        <v>PlanPlus</v>
      </c>
      <c r="D2389" t="s">
        <v>1911</v>
      </c>
      <c r="E2389" s="1">
        <v>46031</v>
      </c>
      <c r="F2389">
        <v>3</v>
      </c>
      <c r="G2389" t="s">
        <v>3254</v>
      </c>
      <c r="H2389" t="s">
        <v>2554</v>
      </c>
      <c r="I2389" t="s">
        <v>2584</v>
      </c>
      <c r="J2389" t="s">
        <v>2569</v>
      </c>
      <c r="K2389">
        <v>19</v>
      </c>
      <c r="L2389" s="13" t="s">
        <v>257</v>
      </c>
    </row>
    <row r="2390" spans="1:12" x14ac:dyDescent="0.25">
      <c r="A2390" t="s">
        <v>5067</v>
      </c>
      <c r="B2390" t="s">
        <v>220</v>
      </c>
      <c r="C2390" t="str">
        <f>_xlfn.XLOOKUP(Table7[[#This Row],[app_id]],Table5[app_id],Table5[app_name],"",0)</f>
        <v>PlanMate</v>
      </c>
      <c r="D2390" t="s">
        <v>2104</v>
      </c>
      <c r="E2390" s="1">
        <v>45437</v>
      </c>
      <c r="F2390">
        <v>2</v>
      </c>
      <c r="G2390" t="s">
        <v>3859</v>
      </c>
      <c r="H2390" t="s">
        <v>2587</v>
      </c>
      <c r="I2390" t="s">
        <v>2584</v>
      </c>
      <c r="J2390" t="s">
        <v>2569</v>
      </c>
      <c r="K2390">
        <v>83</v>
      </c>
      <c r="L2390" s="13" t="s">
        <v>258</v>
      </c>
    </row>
    <row r="2391" spans="1:12" x14ac:dyDescent="0.25">
      <c r="A2391" t="s">
        <v>5068</v>
      </c>
      <c r="B2391" t="s">
        <v>222</v>
      </c>
      <c r="C2391" t="str">
        <f>_xlfn.XLOOKUP(Table7[[#This Row],[app_id]],Table5[app_id],Table5[app_name],"",0)</f>
        <v>SyncPlus</v>
      </c>
      <c r="D2391" t="s">
        <v>1329</v>
      </c>
      <c r="E2391" s="1">
        <v>45904</v>
      </c>
      <c r="F2391">
        <v>5</v>
      </c>
      <c r="G2391" t="s">
        <v>2703</v>
      </c>
      <c r="H2391" t="s">
        <v>2564</v>
      </c>
      <c r="I2391" t="s">
        <v>2558</v>
      </c>
      <c r="J2391" t="s">
        <v>2561</v>
      </c>
      <c r="K2391">
        <v>36</v>
      </c>
      <c r="L2391" s="13" t="s">
        <v>257</v>
      </c>
    </row>
    <row r="2392" spans="1:12" x14ac:dyDescent="0.25">
      <c r="A2392" t="s">
        <v>5069</v>
      </c>
      <c r="B2392" t="s">
        <v>223</v>
      </c>
      <c r="C2392" t="str">
        <f>_xlfn.XLOOKUP(Table7[[#This Row],[app_id]],Table5[app_id],Table5[app_name],"",0)</f>
        <v>ClinicPro</v>
      </c>
      <c r="D2392" t="s">
        <v>2357</v>
      </c>
      <c r="E2392" s="1">
        <v>45364</v>
      </c>
      <c r="F2392">
        <v>3</v>
      </c>
      <c r="G2392" t="s">
        <v>2726</v>
      </c>
      <c r="H2392" t="s">
        <v>2554</v>
      </c>
      <c r="I2392" t="s">
        <v>2555</v>
      </c>
      <c r="J2392" t="s">
        <v>2581</v>
      </c>
      <c r="K2392">
        <v>34</v>
      </c>
      <c r="L2392" s="13" t="s">
        <v>257</v>
      </c>
    </row>
    <row r="2393" spans="1:12" x14ac:dyDescent="0.25">
      <c r="A2393" t="s">
        <v>5070</v>
      </c>
      <c r="B2393" t="s">
        <v>226</v>
      </c>
      <c r="C2393" t="str">
        <f>_xlfn.XLOOKUP(Table7[[#This Row],[app_id]],Table5[app_id],Table5[app_name],"",0)</f>
        <v>MindMate</v>
      </c>
      <c r="D2393" t="s">
        <v>1821</v>
      </c>
      <c r="E2393" s="1">
        <v>45394</v>
      </c>
      <c r="F2393">
        <v>4</v>
      </c>
      <c r="G2393" t="s">
        <v>2716</v>
      </c>
      <c r="H2393" t="s">
        <v>2564</v>
      </c>
      <c r="I2393" t="s">
        <v>2555</v>
      </c>
      <c r="J2393" t="s">
        <v>2581</v>
      </c>
      <c r="K2393">
        <v>47</v>
      </c>
      <c r="L2393" s="13" t="s">
        <v>257</v>
      </c>
    </row>
    <row r="2394" spans="1:12" x14ac:dyDescent="0.25">
      <c r="A2394" t="s">
        <v>5071</v>
      </c>
      <c r="B2394" t="s">
        <v>228</v>
      </c>
      <c r="C2394" t="str">
        <f>_xlfn.XLOOKUP(Table7[[#This Row],[app_id]],Table5[app_id],Table5[app_name],"",0)</f>
        <v>ClinicOne</v>
      </c>
      <c r="D2394" t="s">
        <v>1929</v>
      </c>
      <c r="E2394" s="1">
        <v>45410</v>
      </c>
      <c r="F2394">
        <v>5</v>
      </c>
      <c r="G2394" t="s">
        <v>2716</v>
      </c>
      <c r="H2394" t="s">
        <v>2564</v>
      </c>
      <c r="I2394" t="s">
        <v>2575</v>
      </c>
      <c r="J2394" t="s">
        <v>2633</v>
      </c>
      <c r="K2394">
        <v>15</v>
      </c>
      <c r="L2394" s="13" t="s">
        <v>257</v>
      </c>
    </row>
    <row r="2395" spans="1:12" x14ac:dyDescent="0.25">
      <c r="A2395" t="s">
        <v>5072</v>
      </c>
      <c r="B2395" t="s">
        <v>230</v>
      </c>
      <c r="C2395" t="str">
        <f>_xlfn.XLOOKUP(Table7[[#This Row],[app_id]],Table5[app_id],Table5[app_name],"",0)</f>
        <v>WellMate</v>
      </c>
      <c r="D2395" t="s">
        <v>796</v>
      </c>
      <c r="E2395" s="1">
        <v>45848</v>
      </c>
      <c r="F2395">
        <v>3</v>
      </c>
      <c r="G2395" t="s">
        <v>2726</v>
      </c>
      <c r="H2395" t="s">
        <v>2554</v>
      </c>
      <c r="I2395" t="s">
        <v>2584</v>
      </c>
      <c r="J2395" t="s">
        <v>2603</v>
      </c>
      <c r="K2395">
        <v>35</v>
      </c>
      <c r="L2395" s="13" t="s">
        <v>258</v>
      </c>
    </row>
    <row r="2396" spans="1:12" x14ac:dyDescent="0.25">
      <c r="A2396" t="s">
        <v>5073</v>
      </c>
      <c r="B2396" t="s">
        <v>232</v>
      </c>
      <c r="C2396" t="str">
        <f>_xlfn.XLOOKUP(Table7[[#This Row],[app_id]],Table5[app_id],Table5[app_name],"",0)</f>
        <v>MediMate</v>
      </c>
      <c r="D2396" t="s">
        <v>1395</v>
      </c>
      <c r="E2396" s="1">
        <v>45864</v>
      </c>
      <c r="F2396">
        <v>3</v>
      </c>
      <c r="G2396" t="s">
        <v>2718</v>
      </c>
      <c r="H2396" t="s">
        <v>2554</v>
      </c>
      <c r="I2396" t="s">
        <v>2571</v>
      </c>
      <c r="J2396" t="s">
        <v>2603</v>
      </c>
      <c r="K2396">
        <v>47</v>
      </c>
      <c r="L2396" s="13" t="s">
        <v>257</v>
      </c>
    </row>
    <row r="2397" spans="1:12" x14ac:dyDescent="0.25">
      <c r="A2397" t="s">
        <v>5074</v>
      </c>
      <c r="B2397" t="s">
        <v>234</v>
      </c>
      <c r="C2397" t="str">
        <f>_xlfn.XLOOKUP(Table7[[#This Row],[app_id]],Table5[app_id],Table5[app_name],"",0)</f>
        <v>WellNow</v>
      </c>
      <c r="D2397" t="s">
        <v>1146</v>
      </c>
      <c r="E2397" s="1">
        <v>45768</v>
      </c>
      <c r="F2397">
        <v>5</v>
      </c>
      <c r="G2397" t="s">
        <v>2954</v>
      </c>
      <c r="H2397" t="s">
        <v>2564</v>
      </c>
      <c r="I2397" t="s">
        <v>2571</v>
      </c>
      <c r="J2397" t="s">
        <v>2603</v>
      </c>
      <c r="K2397">
        <v>46</v>
      </c>
      <c r="L2397" s="13" t="s">
        <v>258</v>
      </c>
    </row>
    <row r="2398" spans="1:12" x14ac:dyDescent="0.25">
      <c r="A2398" t="s">
        <v>5075</v>
      </c>
      <c r="B2398" t="s">
        <v>236</v>
      </c>
      <c r="C2398" t="str">
        <f>_xlfn.XLOOKUP(Table7[[#This Row],[app_id]],Table5[app_id],Table5[app_name],"",0)</f>
        <v>CareCloud</v>
      </c>
      <c r="D2398" t="s">
        <v>2118</v>
      </c>
      <c r="E2398" s="1">
        <v>45682</v>
      </c>
      <c r="F2398">
        <v>3</v>
      </c>
      <c r="G2398" t="s">
        <v>2846</v>
      </c>
      <c r="H2398" t="s">
        <v>2554</v>
      </c>
      <c r="I2398" t="s">
        <v>2555</v>
      </c>
      <c r="J2398" t="s">
        <v>2559</v>
      </c>
      <c r="K2398">
        <v>36</v>
      </c>
      <c r="L2398" s="13" t="s">
        <v>257</v>
      </c>
    </row>
    <row r="2399" spans="1:12" x14ac:dyDescent="0.25">
      <c r="A2399" t="s">
        <v>5076</v>
      </c>
      <c r="B2399" t="s">
        <v>238</v>
      </c>
      <c r="C2399" t="str">
        <f>_xlfn.XLOOKUP(Table7[[#This Row],[app_id]],Table5[app_id],Table5[app_name],"",0)</f>
        <v>MediNow</v>
      </c>
      <c r="D2399" t="s">
        <v>1863</v>
      </c>
      <c r="E2399" s="1">
        <v>45533</v>
      </c>
      <c r="F2399">
        <v>5</v>
      </c>
      <c r="G2399" t="s">
        <v>2728</v>
      </c>
      <c r="H2399" t="s">
        <v>2564</v>
      </c>
      <c r="I2399" t="s">
        <v>2555</v>
      </c>
      <c r="J2399" t="s">
        <v>2559</v>
      </c>
      <c r="K2399">
        <v>33</v>
      </c>
      <c r="L2399" s="13" t="s">
        <v>258</v>
      </c>
    </row>
    <row r="2400" spans="1:12" x14ac:dyDescent="0.25">
      <c r="A2400" t="s">
        <v>5077</v>
      </c>
      <c r="B2400" t="s">
        <v>240</v>
      </c>
      <c r="C2400" t="str">
        <f>_xlfn.XLOOKUP(Table7[[#This Row],[app_id]],Table5[app_id],Table5[app_name],"",0)</f>
        <v>MindPlus</v>
      </c>
      <c r="D2400" t="s">
        <v>876</v>
      </c>
      <c r="E2400" s="1">
        <v>45514</v>
      </c>
      <c r="F2400">
        <v>3</v>
      </c>
      <c r="G2400" t="s">
        <v>2846</v>
      </c>
      <c r="H2400" t="s">
        <v>2554</v>
      </c>
      <c r="I2400" t="s">
        <v>2558</v>
      </c>
      <c r="J2400" t="s">
        <v>2559</v>
      </c>
      <c r="K2400">
        <v>3</v>
      </c>
      <c r="L2400" s="13" t="s">
        <v>257</v>
      </c>
    </row>
    <row r="2401" spans="1:12" x14ac:dyDescent="0.25">
      <c r="A2401" t="s">
        <v>5078</v>
      </c>
      <c r="B2401" t="s">
        <v>242</v>
      </c>
      <c r="C2401" t="str">
        <f>_xlfn.XLOOKUP(Table7[[#This Row],[app_id]],Table5[app_id],Table5[app_name],"",0)</f>
        <v>MediCloud</v>
      </c>
      <c r="D2401" t="s">
        <v>670</v>
      </c>
      <c r="E2401" s="1">
        <v>45332</v>
      </c>
      <c r="F2401">
        <v>5</v>
      </c>
      <c r="G2401" t="s">
        <v>2954</v>
      </c>
      <c r="H2401" t="s">
        <v>2564</v>
      </c>
      <c r="I2401" t="s">
        <v>2565</v>
      </c>
      <c r="J2401" t="s">
        <v>2559</v>
      </c>
      <c r="K2401">
        <v>38</v>
      </c>
      <c r="L2401" s="13" t="s">
        <v>257</v>
      </c>
    </row>
    <row r="2402" spans="1:12" x14ac:dyDescent="0.25">
      <c r="A2402" t="s">
        <v>5079</v>
      </c>
      <c r="B2402" t="s">
        <v>12</v>
      </c>
      <c r="C2402" t="str">
        <f>_xlfn.XLOOKUP(Table7[[#This Row],[app_id]],Table5[app_id],Table5[app_name],"",0)</f>
        <v>InvestPro</v>
      </c>
      <c r="D2402" t="s">
        <v>2490</v>
      </c>
      <c r="E2402" s="1">
        <v>45631</v>
      </c>
      <c r="F2402">
        <v>3</v>
      </c>
      <c r="G2402" t="s">
        <v>2735</v>
      </c>
      <c r="H2402" t="s">
        <v>2554</v>
      </c>
      <c r="I2402" t="s">
        <v>2575</v>
      </c>
      <c r="J2402" t="s">
        <v>2556</v>
      </c>
      <c r="K2402">
        <v>35</v>
      </c>
      <c r="L2402" s="13" t="s">
        <v>257</v>
      </c>
    </row>
    <row r="2403" spans="1:12" x14ac:dyDescent="0.25">
      <c r="A2403" t="s">
        <v>5080</v>
      </c>
      <c r="B2403" t="s">
        <v>19</v>
      </c>
      <c r="C2403" t="str">
        <f>_xlfn.XLOOKUP(Table7[[#This Row],[app_id]],Table5[app_id],Table5[app_name],"",0)</f>
        <v>BankPro</v>
      </c>
      <c r="D2403" t="s">
        <v>642</v>
      </c>
      <c r="E2403" s="1">
        <v>45640</v>
      </c>
      <c r="F2403">
        <v>4</v>
      </c>
      <c r="G2403" t="s">
        <v>2580</v>
      </c>
      <c r="H2403" t="s">
        <v>2564</v>
      </c>
      <c r="I2403" t="s">
        <v>2575</v>
      </c>
      <c r="J2403" t="s">
        <v>2633</v>
      </c>
      <c r="K2403">
        <v>44</v>
      </c>
      <c r="L2403" s="13" t="s">
        <v>257</v>
      </c>
    </row>
    <row r="2404" spans="1:12" x14ac:dyDescent="0.25">
      <c r="A2404" t="s">
        <v>5081</v>
      </c>
      <c r="B2404" t="s">
        <v>24</v>
      </c>
      <c r="C2404" t="str">
        <f>_xlfn.XLOOKUP(Table7[[#This Row],[app_id]],Table5[app_id],Table5[app_name],"",0)</f>
        <v>BankX</v>
      </c>
      <c r="D2404" t="s">
        <v>2448</v>
      </c>
      <c r="E2404" s="1">
        <v>45556</v>
      </c>
      <c r="F2404">
        <v>5</v>
      </c>
      <c r="G2404" t="s">
        <v>2573</v>
      </c>
      <c r="H2404" t="s">
        <v>2564</v>
      </c>
      <c r="I2404" t="s">
        <v>2558</v>
      </c>
      <c r="J2404" t="s">
        <v>2556</v>
      </c>
      <c r="K2404">
        <v>29</v>
      </c>
      <c r="L2404" s="13" t="s">
        <v>258</v>
      </c>
    </row>
    <row r="2405" spans="1:12" x14ac:dyDescent="0.25">
      <c r="A2405" t="s">
        <v>5082</v>
      </c>
      <c r="B2405" t="s">
        <v>27</v>
      </c>
      <c r="C2405" t="str">
        <f>_xlfn.XLOOKUP(Table7[[#This Row],[app_id]],Table5[app_id],Table5[app_name],"",0)</f>
        <v>BankNow</v>
      </c>
      <c r="D2405" t="s">
        <v>832</v>
      </c>
      <c r="E2405" s="1">
        <v>45997</v>
      </c>
      <c r="F2405">
        <v>2</v>
      </c>
      <c r="G2405" t="s">
        <v>3486</v>
      </c>
      <c r="H2405" t="s">
        <v>2587</v>
      </c>
      <c r="I2405" t="s">
        <v>2558</v>
      </c>
      <c r="J2405" t="s">
        <v>2569</v>
      </c>
      <c r="K2405">
        <v>19</v>
      </c>
      <c r="L2405" s="13" t="s">
        <v>258</v>
      </c>
    </row>
    <row r="2406" spans="1:12" x14ac:dyDescent="0.25">
      <c r="A2406" t="s">
        <v>5083</v>
      </c>
      <c r="B2406" t="s">
        <v>31</v>
      </c>
      <c r="C2406" t="str">
        <f>_xlfn.XLOOKUP(Table7[[#This Row],[app_id]],Table5[app_id],Table5[app_name],"",0)</f>
        <v>CreditHub</v>
      </c>
      <c r="D2406" t="s">
        <v>1525</v>
      </c>
      <c r="E2406" s="1">
        <v>45390</v>
      </c>
      <c r="F2406">
        <v>3</v>
      </c>
      <c r="G2406" t="s">
        <v>2583</v>
      </c>
      <c r="H2406" t="s">
        <v>2554</v>
      </c>
      <c r="I2406" t="s">
        <v>2588</v>
      </c>
      <c r="J2406" t="s">
        <v>2600</v>
      </c>
      <c r="K2406">
        <v>25</v>
      </c>
      <c r="L2406" s="13" t="s">
        <v>257</v>
      </c>
    </row>
    <row r="2407" spans="1:12" x14ac:dyDescent="0.25">
      <c r="A2407" t="s">
        <v>5084</v>
      </c>
      <c r="B2407" t="s">
        <v>36</v>
      </c>
      <c r="C2407" t="str">
        <f>_xlfn.XLOOKUP(Table7[[#This Row],[app_id]],Table5[app_id],Table5[app_name],"",0)</f>
        <v>PayPlus</v>
      </c>
      <c r="D2407" t="s">
        <v>898</v>
      </c>
      <c r="E2407" s="1">
        <v>45484</v>
      </c>
      <c r="F2407">
        <v>5</v>
      </c>
      <c r="G2407" t="s">
        <v>2568</v>
      </c>
      <c r="H2407" t="s">
        <v>2564</v>
      </c>
      <c r="I2407" t="s">
        <v>2555</v>
      </c>
      <c r="J2407" t="s">
        <v>2596</v>
      </c>
      <c r="K2407">
        <v>44</v>
      </c>
      <c r="L2407" s="13" t="s">
        <v>257</v>
      </c>
    </row>
    <row r="2408" spans="1:12" x14ac:dyDescent="0.25">
      <c r="A2408" t="s">
        <v>5085</v>
      </c>
      <c r="B2408" t="s">
        <v>39</v>
      </c>
      <c r="C2408" t="str">
        <f>_xlfn.XLOOKUP(Table7[[#This Row],[app_id]],Table5[app_id],Table5[app_name],"",0)</f>
        <v>BankPlus</v>
      </c>
      <c r="D2408" t="s">
        <v>2417</v>
      </c>
      <c r="E2408" s="1">
        <v>45440</v>
      </c>
      <c r="F2408">
        <v>4</v>
      </c>
      <c r="G2408" t="s">
        <v>2580</v>
      </c>
      <c r="H2408" t="s">
        <v>2564</v>
      </c>
      <c r="I2408" t="s">
        <v>2555</v>
      </c>
      <c r="J2408" t="s">
        <v>2603</v>
      </c>
      <c r="K2408">
        <v>47</v>
      </c>
      <c r="L2408" s="13" t="s">
        <v>257</v>
      </c>
    </row>
    <row r="2409" spans="1:12" x14ac:dyDescent="0.25">
      <c r="A2409" t="s">
        <v>5086</v>
      </c>
      <c r="B2409" t="s">
        <v>42</v>
      </c>
      <c r="C2409" t="str">
        <f>_xlfn.XLOOKUP(Table7[[#This Row],[app_id]],Table5[app_id],Table5[app_name],"",0)</f>
        <v>CoinPlus</v>
      </c>
      <c r="D2409" t="s">
        <v>1726</v>
      </c>
      <c r="E2409" s="1">
        <v>45754</v>
      </c>
      <c r="F2409">
        <v>2</v>
      </c>
      <c r="G2409" t="s">
        <v>3486</v>
      </c>
      <c r="H2409" t="s">
        <v>2587</v>
      </c>
      <c r="I2409" t="s">
        <v>2571</v>
      </c>
      <c r="J2409" t="s">
        <v>2556</v>
      </c>
      <c r="K2409">
        <v>81</v>
      </c>
      <c r="L2409" s="13" t="s">
        <v>257</v>
      </c>
    </row>
    <row r="2410" spans="1:12" x14ac:dyDescent="0.25">
      <c r="A2410" t="s">
        <v>5087</v>
      </c>
      <c r="B2410" t="s">
        <v>47</v>
      </c>
      <c r="C2410" t="str">
        <f>_xlfn.XLOOKUP(Table7[[#This Row],[app_id]],Table5[app_id],Table5[app_name],"",0)</f>
        <v>CreditOne</v>
      </c>
      <c r="D2410" t="s">
        <v>2356</v>
      </c>
      <c r="E2410" s="1">
        <v>45850</v>
      </c>
      <c r="F2410">
        <v>5</v>
      </c>
      <c r="G2410" t="s">
        <v>2580</v>
      </c>
      <c r="H2410" t="s">
        <v>2564</v>
      </c>
      <c r="I2410" t="s">
        <v>2565</v>
      </c>
      <c r="J2410" t="s">
        <v>2569</v>
      </c>
      <c r="K2410">
        <v>3</v>
      </c>
      <c r="L2410" s="13" t="s">
        <v>257</v>
      </c>
    </row>
    <row r="2411" spans="1:12" x14ac:dyDescent="0.25">
      <c r="A2411" t="s">
        <v>5088</v>
      </c>
      <c r="B2411" t="s">
        <v>49</v>
      </c>
      <c r="C2411" t="str">
        <f>_xlfn.XLOOKUP(Table7[[#This Row],[app_id]],Table5[app_id],Table5[app_name],"",0)</f>
        <v>PayPro</v>
      </c>
      <c r="D2411" t="s">
        <v>2055</v>
      </c>
      <c r="E2411" s="1">
        <v>45559</v>
      </c>
      <c r="F2411">
        <v>5</v>
      </c>
      <c r="G2411" t="s">
        <v>2563</v>
      </c>
      <c r="H2411" t="s">
        <v>2564</v>
      </c>
      <c r="I2411" t="s">
        <v>2575</v>
      </c>
      <c r="J2411" t="s">
        <v>2561</v>
      </c>
      <c r="K2411">
        <v>19</v>
      </c>
      <c r="L2411" s="13" t="s">
        <v>257</v>
      </c>
    </row>
    <row r="2412" spans="1:12" x14ac:dyDescent="0.25">
      <c r="A2412" t="s">
        <v>5089</v>
      </c>
      <c r="B2412" t="s">
        <v>51</v>
      </c>
      <c r="C2412" t="str">
        <f>_xlfn.XLOOKUP(Table7[[#This Row],[app_id]],Table5[app_id],Table5[app_name],"",0)</f>
        <v>Creditly</v>
      </c>
      <c r="D2412" t="s">
        <v>1745</v>
      </c>
      <c r="E2412" s="1">
        <v>45373</v>
      </c>
      <c r="F2412">
        <v>5</v>
      </c>
      <c r="G2412" t="s">
        <v>2563</v>
      </c>
      <c r="H2412" t="s">
        <v>2564</v>
      </c>
      <c r="I2412" t="s">
        <v>2565</v>
      </c>
      <c r="J2412" t="s">
        <v>2566</v>
      </c>
      <c r="K2412">
        <v>11</v>
      </c>
      <c r="L2412" s="13" t="s">
        <v>257</v>
      </c>
    </row>
    <row r="2413" spans="1:12" x14ac:dyDescent="0.25">
      <c r="A2413" t="s">
        <v>5090</v>
      </c>
      <c r="B2413" t="s">
        <v>53</v>
      </c>
      <c r="C2413" t="str">
        <f>_xlfn.XLOOKUP(Table7[[#This Row],[app_id]],Table5[app_id],Table5[app_name],"",0)</f>
        <v>PayX</v>
      </c>
      <c r="D2413" t="s">
        <v>1104</v>
      </c>
      <c r="E2413" s="1">
        <v>45477</v>
      </c>
      <c r="F2413">
        <v>4</v>
      </c>
      <c r="G2413" t="s">
        <v>2580</v>
      </c>
      <c r="H2413" t="s">
        <v>2564</v>
      </c>
      <c r="I2413" t="s">
        <v>2565</v>
      </c>
      <c r="J2413" t="s">
        <v>2581</v>
      </c>
      <c r="K2413">
        <v>44</v>
      </c>
      <c r="L2413" s="13" t="s">
        <v>258</v>
      </c>
    </row>
    <row r="2414" spans="1:12" x14ac:dyDescent="0.25">
      <c r="A2414" t="s">
        <v>5091</v>
      </c>
      <c r="B2414" t="s">
        <v>56</v>
      </c>
      <c r="C2414" t="str">
        <f>_xlfn.XLOOKUP(Table7[[#This Row],[app_id]],Table5[app_id],Table5[app_name],"",0)</f>
        <v>DealGo</v>
      </c>
      <c r="D2414" t="s">
        <v>774</v>
      </c>
      <c r="E2414" s="1">
        <v>46108</v>
      </c>
      <c r="F2414">
        <v>4</v>
      </c>
      <c r="G2414" t="s">
        <v>2592</v>
      </c>
      <c r="H2414" t="s">
        <v>2564</v>
      </c>
      <c r="I2414" t="s">
        <v>2571</v>
      </c>
      <c r="J2414" t="s">
        <v>2581</v>
      </c>
      <c r="K2414">
        <v>2</v>
      </c>
      <c r="L2414" s="13" t="s">
        <v>258</v>
      </c>
    </row>
    <row r="2415" spans="1:12" x14ac:dyDescent="0.25">
      <c r="A2415" t="s">
        <v>5092</v>
      </c>
      <c r="B2415" t="s">
        <v>62</v>
      </c>
      <c r="C2415" t="str">
        <f>_xlfn.XLOOKUP(Table7[[#This Row],[app_id]],Table5[app_id],Table5[app_name],"",0)</f>
        <v>MallNow</v>
      </c>
      <c r="D2415" t="s">
        <v>1193</v>
      </c>
      <c r="E2415" s="1">
        <v>45843</v>
      </c>
      <c r="F2415">
        <v>4</v>
      </c>
      <c r="G2415" t="s">
        <v>2592</v>
      </c>
      <c r="H2415" t="s">
        <v>2564</v>
      </c>
      <c r="I2415" t="s">
        <v>2565</v>
      </c>
      <c r="J2415" t="s">
        <v>2566</v>
      </c>
      <c r="K2415">
        <v>12</v>
      </c>
      <c r="L2415" s="13" t="s">
        <v>257</v>
      </c>
    </row>
    <row r="2416" spans="1:12" x14ac:dyDescent="0.25">
      <c r="A2416" t="s">
        <v>5093</v>
      </c>
      <c r="B2416" t="s">
        <v>65</v>
      </c>
      <c r="C2416" t="str">
        <f>_xlfn.XLOOKUP(Table7[[#This Row],[app_id]],Table5[app_id],Table5[app_name],"",0)</f>
        <v>DealPro</v>
      </c>
      <c r="D2416" t="s">
        <v>2051</v>
      </c>
      <c r="E2416" s="1">
        <v>45469</v>
      </c>
      <c r="F2416">
        <v>4</v>
      </c>
      <c r="G2416" t="s">
        <v>2598</v>
      </c>
      <c r="H2416" t="s">
        <v>2564</v>
      </c>
      <c r="I2416" t="s">
        <v>2558</v>
      </c>
      <c r="J2416" t="s">
        <v>2596</v>
      </c>
      <c r="K2416">
        <v>5</v>
      </c>
      <c r="L2416" s="13" t="s">
        <v>257</v>
      </c>
    </row>
    <row r="2417" spans="1:12" x14ac:dyDescent="0.25">
      <c r="A2417" t="s">
        <v>5094</v>
      </c>
      <c r="B2417" t="s">
        <v>67</v>
      </c>
      <c r="C2417" t="str">
        <f>_xlfn.XLOOKUP(Table7[[#This Row],[app_id]],Table5[app_id],Table5[app_name],"",0)</f>
        <v>StyleNow</v>
      </c>
      <c r="D2417" t="s">
        <v>2373</v>
      </c>
      <c r="E2417" s="1">
        <v>45523</v>
      </c>
      <c r="F2417">
        <v>3</v>
      </c>
      <c r="G2417" t="s">
        <v>2748</v>
      </c>
      <c r="H2417" t="s">
        <v>2554</v>
      </c>
      <c r="I2417" t="s">
        <v>2565</v>
      </c>
      <c r="J2417" t="s">
        <v>2559</v>
      </c>
      <c r="K2417">
        <v>31</v>
      </c>
      <c r="L2417" s="13" t="s">
        <v>258</v>
      </c>
    </row>
    <row r="2418" spans="1:12" x14ac:dyDescent="0.25">
      <c r="A2418" t="s">
        <v>5095</v>
      </c>
      <c r="B2418" t="s">
        <v>70</v>
      </c>
      <c r="C2418" t="str">
        <f>_xlfn.XLOOKUP(Table7[[#This Row],[app_id]],Table5[app_id],Table5[app_name],"",0)</f>
        <v>DealCloud</v>
      </c>
      <c r="D2418" t="s">
        <v>1225</v>
      </c>
      <c r="E2418" s="1">
        <v>46020</v>
      </c>
      <c r="F2418">
        <v>3</v>
      </c>
      <c r="G2418" t="s">
        <v>2602</v>
      </c>
      <c r="H2418" t="s">
        <v>2554</v>
      </c>
      <c r="I2418" t="s">
        <v>2571</v>
      </c>
      <c r="J2418" t="s">
        <v>2581</v>
      </c>
      <c r="K2418">
        <v>39</v>
      </c>
      <c r="L2418" s="13" t="s">
        <v>258</v>
      </c>
    </row>
    <row r="2419" spans="1:12" x14ac:dyDescent="0.25">
      <c r="A2419" t="s">
        <v>5096</v>
      </c>
      <c r="B2419" t="s">
        <v>72</v>
      </c>
      <c r="C2419" t="str">
        <f>_xlfn.XLOOKUP(Table7[[#This Row],[app_id]],Table5[app_id],Table5[app_name],"",0)</f>
        <v>CartCloud</v>
      </c>
      <c r="D2419" t="s">
        <v>1047</v>
      </c>
      <c r="E2419" s="1">
        <v>45797</v>
      </c>
      <c r="F2419">
        <v>4</v>
      </c>
      <c r="G2419" t="s">
        <v>2867</v>
      </c>
      <c r="H2419" t="s">
        <v>2564</v>
      </c>
      <c r="I2419" t="s">
        <v>2565</v>
      </c>
      <c r="J2419" t="s">
        <v>2603</v>
      </c>
      <c r="K2419">
        <v>28</v>
      </c>
      <c r="L2419" s="13" t="s">
        <v>257</v>
      </c>
    </row>
    <row r="2420" spans="1:12" x14ac:dyDescent="0.25">
      <c r="A2420" t="s">
        <v>5097</v>
      </c>
      <c r="B2420" t="s">
        <v>74</v>
      </c>
      <c r="C2420" t="str">
        <f>_xlfn.XLOOKUP(Table7[[#This Row],[app_id]],Table5[app_id],Table5[app_name],"",0)</f>
        <v>CartMate</v>
      </c>
      <c r="D2420" t="s">
        <v>1609</v>
      </c>
      <c r="E2420" s="1">
        <v>45748</v>
      </c>
      <c r="F2420">
        <v>4</v>
      </c>
      <c r="G2420" t="s">
        <v>2598</v>
      </c>
      <c r="H2420" t="s">
        <v>2564</v>
      </c>
      <c r="I2420" t="s">
        <v>2565</v>
      </c>
      <c r="J2420" t="s">
        <v>2566</v>
      </c>
      <c r="K2420">
        <v>5</v>
      </c>
      <c r="L2420" s="13" t="s">
        <v>257</v>
      </c>
    </row>
    <row r="2421" spans="1:12" x14ac:dyDescent="0.25">
      <c r="A2421" t="s">
        <v>5098</v>
      </c>
      <c r="B2421" t="s">
        <v>76</v>
      </c>
      <c r="C2421" t="str">
        <f>_xlfn.XLOOKUP(Table7[[#This Row],[app_id]],Table5[app_id],Table5[app_name],"",0)</f>
        <v>BazaarOne</v>
      </c>
      <c r="D2421" t="s">
        <v>595</v>
      </c>
      <c r="E2421" s="1">
        <v>45731</v>
      </c>
      <c r="F2421">
        <v>2</v>
      </c>
      <c r="G2421" t="s">
        <v>3078</v>
      </c>
      <c r="H2421" t="s">
        <v>2587</v>
      </c>
      <c r="I2421" t="s">
        <v>2588</v>
      </c>
      <c r="J2421" t="s">
        <v>2561</v>
      </c>
      <c r="K2421">
        <v>51</v>
      </c>
      <c r="L2421" s="13" t="s">
        <v>258</v>
      </c>
    </row>
    <row r="2422" spans="1:12" x14ac:dyDescent="0.25">
      <c r="A2422" t="s">
        <v>5099</v>
      </c>
      <c r="B2422" t="s">
        <v>78</v>
      </c>
      <c r="C2422" t="str">
        <f>_xlfn.XLOOKUP(Table7[[#This Row],[app_id]],Table5[app_id],Table5[app_name],"",0)</f>
        <v>StyleOne</v>
      </c>
      <c r="D2422" t="s">
        <v>811</v>
      </c>
      <c r="E2422" s="1">
        <v>45347</v>
      </c>
      <c r="F2422">
        <v>3</v>
      </c>
      <c r="G2422" t="s">
        <v>2594</v>
      </c>
      <c r="H2422" t="s">
        <v>2554</v>
      </c>
      <c r="I2422" t="s">
        <v>2584</v>
      </c>
      <c r="J2422" t="s">
        <v>2600</v>
      </c>
      <c r="K2422">
        <v>21</v>
      </c>
      <c r="L2422" s="13" t="s">
        <v>257</v>
      </c>
    </row>
    <row r="2423" spans="1:12" x14ac:dyDescent="0.25">
      <c r="A2423" t="s">
        <v>5100</v>
      </c>
      <c r="B2423" t="s">
        <v>80</v>
      </c>
      <c r="C2423" t="str">
        <f>_xlfn.XLOOKUP(Table7[[#This Row],[app_id]],Table5[app_id],Table5[app_name],"",0)</f>
        <v>Cartly</v>
      </c>
      <c r="D2423" t="s">
        <v>2008</v>
      </c>
      <c r="E2423" s="1">
        <v>46061</v>
      </c>
      <c r="F2423">
        <v>5</v>
      </c>
      <c r="G2423" t="s">
        <v>2590</v>
      </c>
      <c r="H2423" t="s">
        <v>2564</v>
      </c>
      <c r="I2423" t="s">
        <v>2571</v>
      </c>
      <c r="J2423" t="s">
        <v>2581</v>
      </c>
      <c r="K2423">
        <v>33</v>
      </c>
      <c r="L2423" s="13" t="s">
        <v>257</v>
      </c>
    </row>
    <row r="2424" spans="1:12" x14ac:dyDescent="0.25">
      <c r="A2424" t="s">
        <v>5101</v>
      </c>
      <c r="B2424" t="s">
        <v>83</v>
      </c>
      <c r="C2424" t="str">
        <f>_xlfn.XLOOKUP(Table7[[#This Row],[app_id]],Table5[app_id],Table5[app_name],"",0)</f>
        <v>BazaarCloud</v>
      </c>
      <c r="D2424" t="s">
        <v>1351</v>
      </c>
      <c r="E2424" s="1">
        <v>46139</v>
      </c>
      <c r="F2424">
        <v>4</v>
      </c>
      <c r="G2424" t="s">
        <v>2867</v>
      </c>
      <c r="H2424" t="s">
        <v>2564</v>
      </c>
      <c r="I2424" t="s">
        <v>2575</v>
      </c>
      <c r="J2424" t="s">
        <v>2556</v>
      </c>
      <c r="K2424">
        <v>19</v>
      </c>
      <c r="L2424" s="13" t="s">
        <v>258</v>
      </c>
    </row>
    <row r="2425" spans="1:12" x14ac:dyDescent="0.25">
      <c r="A2425" t="s">
        <v>5102</v>
      </c>
      <c r="B2425" t="s">
        <v>85</v>
      </c>
      <c r="C2425" t="str">
        <f>_xlfn.XLOOKUP(Table7[[#This Row],[app_id]],Table5[app_id],Table5[app_name],"",0)</f>
        <v>CartPro</v>
      </c>
      <c r="D2425" t="s">
        <v>2495</v>
      </c>
      <c r="E2425" s="1">
        <v>45419</v>
      </c>
      <c r="F2425">
        <v>3</v>
      </c>
      <c r="G2425" t="s">
        <v>2609</v>
      </c>
      <c r="H2425" t="s">
        <v>2554</v>
      </c>
      <c r="I2425" t="s">
        <v>2578</v>
      </c>
      <c r="J2425" t="s">
        <v>2581</v>
      </c>
      <c r="K2425">
        <v>5</v>
      </c>
      <c r="L2425" s="13" t="s">
        <v>257</v>
      </c>
    </row>
    <row r="2426" spans="1:12" x14ac:dyDescent="0.25">
      <c r="A2426" t="s">
        <v>5103</v>
      </c>
      <c r="B2426" t="s">
        <v>87</v>
      </c>
      <c r="C2426" t="str">
        <f>_xlfn.XLOOKUP(Table7[[#This Row],[app_id]],Table5[app_id],Table5[app_name],"",0)</f>
        <v>RunPlus</v>
      </c>
      <c r="D2426" t="s">
        <v>1292</v>
      </c>
      <c r="E2426" s="1">
        <v>45458</v>
      </c>
      <c r="F2426">
        <v>3</v>
      </c>
      <c r="G2426" t="s">
        <v>2615</v>
      </c>
      <c r="H2426" t="s">
        <v>2554</v>
      </c>
      <c r="I2426" t="s">
        <v>2558</v>
      </c>
      <c r="J2426" t="s">
        <v>2559</v>
      </c>
      <c r="K2426">
        <v>34</v>
      </c>
      <c r="L2426" s="13" t="s">
        <v>257</v>
      </c>
    </row>
    <row r="2427" spans="1:12" x14ac:dyDescent="0.25">
      <c r="A2427" t="s">
        <v>5104</v>
      </c>
      <c r="B2427" t="s">
        <v>90</v>
      </c>
      <c r="C2427" t="str">
        <f>_xlfn.XLOOKUP(Table7[[#This Row],[app_id]],Table5[app_id],Table5[app_name],"",0)</f>
        <v>TrainCloud</v>
      </c>
      <c r="D2427" t="s">
        <v>2125</v>
      </c>
      <c r="E2427" s="1">
        <v>45910</v>
      </c>
      <c r="F2427">
        <v>4</v>
      </c>
      <c r="G2427" t="s">
        <v>2622</v>
      </c>
      <c r="H2427" t="s">
        <v>2564</v>
      </c>
      <c r="I2427" t="s">
        <v>2565</v>
      </c>
      <c r="J2427" t="s">
        <v>2633</v>
      </c>
      <c r="K2427">
        <v>5</v>
      </c>
      <c r="L2427" s="13" t="s">
        <v>257</v>
      </c>
    </row>
    <row r="2428" spans="1:12" x14ac:dyDescent="0.25">
      <c r="A2428" t="s">
        <v>5105</v>
      </c>
      <c r="B2428" t="s">
        <v>92</v>
      </c>
      <c r="C2428" t="str">
        <f>_xlfn.XLOOKUP(Table7[[#This Row],[app_id]],Table5[app_id],Table5[app_name],"",0)</f>
        <v>Trainly</v>
      </c>
      <c r="D2428" t="s">
        <v>863</v>
      </c>
      <c r="E2428" s="1">
        <v>45626</v>
      </c>
      <c r="F2428">
        <v>3</v>
      </c>
      <c r="G2428" t="s">
        <v>2770</v>
      </c>
      <c r="H2428" t="s">
        <v>2554</v>
      </c>
      <c r="I2428" t="s">
        <v>2558</v>
      </c>
      <c r="J2428" t="s">
        <v>2600</v>
      </c>
      <c r="K2428">
        <v>41</v>
      </c>
      <c r="L2428" s="13" t="s">
        <v>257</v>
      </c>
    </row>
    <row r="2429" spans="1:12" x14ac:dyDescent="0.25">
      <c r="A2429" t="s">
        <v>5106</v>
      </c>
      <c r="B2429" t="s">
        <v>94</v>
      </c>
      <c r="C2429" t="str">
        <f>_xlfn.XLOOKUP(Table7[[#This Row],[app_id]],Table5[app_id],Table5[app_name],"",0)</f>
        <v>LiftCloud</v>
      </c>
      <c r="D2429" t="s">
        <v>2445</v>
      </c>
      <c r="E2429" s="1">
        <v>45941</v>
      </c>
      <c r="F2429">
        <v>5</v>
      </c>
      <c r="G2429" t="s">
        <v>2613</v>
      </c>
      <c r="H2429" t="s">
        <v>2564</v>
      </c>
      <c r="I2429" t="s">
        <v>2565</v>
      </c>
      <c r="J2429" t="s">
        <v>2559</v>
      </c>
      <c r="K2429">
        <v>17</v>
      </c>
      <c r="L2429" s="13" t="s">
        <v>258</v>
      </c>
    </row>
    <row r="2430" spans="1:12" x14ac:dyDescent="0.25">
      <c r="A2430" t="s">
        <v>5107</v>
      </c>
      <c r="B2430" t="s">
        <v>96</v>
      </c>
      <c r="C2430" t="str">
        <f>_xlfn.XLOOKUP(Table7[[#This Row],[app_id]],Table5[app_id],Table5[app_name],"",0)</f>
        <v>MoveNow</v>
      </c>
      <c r="D2430" t="s">
        <v>1084</v>
      </c>
      <c r="E2430" s="1">
        <v>45930</v>
      </c>
      <c r="F2430">
        <v>4</v>
      </c>
      <c r="G2430" t="s">
        <v>2617</v>
      </c>
      <c r="H2430" t="s">
        <v>2564</v>
      </c>
      <c r="I2430" t="s">
        <v>2575</v>
      </c>
      <c r="J2430" t="s">
        <v>2556</v>
      </c>
      <c r="K2430">
        <v>4</v>
      </c>
      <c r="L2430" s="13" t="s">
        <v>257</v>
      </c>
    </row>
    <row r="2431" spans="1:12" x14ac:dyDescent="0.25">
      <c r="A2431" t="s">
        <v>5108</v>
      </c>
      <c r="B2431" t="s">
        <v>98</v>
      </c>
      <c r="C2431" t="str">
        <f>_xlfn.XLOOKUP(Table7[[#This Row],[app_id]],Table5[app_id],Table5[app_name],"",0)</f>
        <v>ActiveMate</v>
      </c>
      <c r="D2431" t="s">
        <v>1103</v>
      </c>
      <c r="E2431" s="1">
        <v>45800</v>
      </c>
      <c r="F2431">
        <v>3</v>
      </c>
      <c r="G2431" t="s">
        <v>2615</v>
      </c>
      <c r="H2431" t="s">
        <v>2554</v>
      </c>
      <c r="I2431" t="s">
        <v>2584</v>
      </c>
      <c r="J2431" t="s">
        <v>2600</v>
      </c>
      <c r="K2431">
        <v>26</v>
      </c>
      <c r="L2431" s="13" t="s">
        <v>257</v>
      </c>
    </row>
    <row r="2432" spans="1:12" x14ac:dyDescent="0.25">
      <c r="A2432" t="s">
        <v>5109</v>
      </c>
      <c r="B2432" t="s">
        <v>100</v>
      </c>
      <c r="C2432" t="str">
        <f>_xlfn.XLOOKUP(Table7[[#This Row],[app_id]],Table5[app_id],Table5[app_name],"",0)</f>
        <v>RunGo</v>
      </c>
      <c r="D2432" t="s">
        <v>2390</v>
      </c>
      <c r="E2432" s="1">
        <v>45652</v>
      </c>
      <c r="F2432">
        <v>4</v>
      </c>
      <c r="G2432" t="s">
        <v>2625</v>
      </c>
      <c r="H2432" t="s">
        <v>2564</v>
      </c>
      <c r="I2432" t="s">
        <v>2555</v>
      </c>
      <c r="J2432" t="s">
        <v>2556</v>
      </c>
      <c r="K2432">
        <v>2</v>
      </c>
      <c r="L2432" s="13" t="s">
        <v>257</v>
      </c>
    </row>
    <row r="2433" spans="1:12" x14ac:dyDescent="0.25">
      <c r="A2433" t="s">
        <v>5110</v>
      </c>
      <c r="B2433" t="s">
        <v>102</v>
      </c>
      <c r="C2433" t="str">
        <f>_xlfn.XLOOKUP(Table7[[#This Row],[app_id]],Table5[app_id],Table5[app_name],"",0)</f>
        <v>LiftPro</v>
      </c>
      <c r="D2433" t="s">
        <v>2478</v>
      </c>
      <c r="E2433" s="1">
        <v>45581</v>
      </c>
      <c r="F2433">
        <v>5</v>
      </c>
      <c r="G2433" t="s">
        <v>2625</v>
      </c>
      <c r="H2433" t="s">
        <v>2564</v>
      </c>
      <c r="I2433" t="s">
        <v>2558</v>
      </c>
      <c r="J2433" t="s">
        <v>2603</v>
      </c>
      <c r="K2433">
        <v>14</v>
      </c>
      <c r="L2433" s="13" t="s">
        <v>257</v>
      </c>
    </row>
    <row r="2434" spans="1:12" x14ac:dyDescent="0.25">
      <c r="A2434" t="s">
        <v>5111</v>
      </c>
      <c r="B2434" t="s">
        <v>104</v>
      </c>
      <c r="C2434" t="str">
        <f>_xlfn.XLOOKUP(Table7[[#This Row],[app_id]],Table5[app_id],Table5[app_name],"",0)</f>
        <v>LiftPro</v>
      </c>
      <c r="D2434" t="s">
        <v>1257</v>
      </c>
      <c r="E2434" s="1">
        <v>45395</v>
      </c>
      <c r="F2434">
        <v>3</v>
      </c>
      <c r="G2434" t="s">
        <v>2615</v>
      </c>
      <c r="H2434" t="s">
        <v>2554</v>
      </c>
      <c r="I2434" t="s">
        <v>2571</v>
      </c>
      <c r="J2434" t="s">
        <v>2566</v>
      </c>
      <c r="K2434">
        <v>36</v>
      </c>
      <c r="L2434" s="13" t="s">
        <v>257</v>
      </c>
    </row>
    <row r="2435" spans="1:12" x14ac:dyDescent="0.25">
      <c r="A2435" t="s">
        <v>5112</v>
      </c>
      <c r="B2435" t="s">
        <v>105</v>
      </c>
      <c r="C2435" t="str">
        <f>_xlfn.XLOOKUP(Table7[[#This Row],[app_id]],Table5[app_id],Table5[app_name],"",0)</f>
        <v>Liftly</v>
      </c>
      <c r="D2435" t="s">
        <v>2302</v>
      </c>
      <c r="E2435" s="1">
        <v>45667</v>
      </c>
      <c r="F2435">
        <v>3</v>
      </c>
      <c r="G2435" t="s">
        <v>2611</v>
      </c>
      <c r="H2435" t="s">
        <v>2554</v>
      </c>
      <c r="I2435" t="s">
        <v>2584</v>
      </c>
      <c r="J2435" t="s">
        <v>2603</v>
      </c>
      <c r="K2435">
        <v>43</v>
      </c>
      <c r="L2435" s="13" t="s">
        <v>257</v>
      </c>
    </row>
    <row r="2436" spans="1:12" x14ac:dyDescent="0.25">
      <c r="A2436" t="s">
        <v>5113</v>
      </c>
      <c r="B2436" t="s">
        <v>107</v>
      </c>
      <c r="C2436" t="str">
        <f>_xlfn.XLOOKUP(Table7[[#This Row],[app_id]],Table5[app_id],Table5[app_name],"",0)</f>
        <v>YogaHub</v>
      </c>
      <c r="D2436" t="s">
        <v>829</v>
      </c>
      <c r="E2436" s="1">
        <v>45865</v>
      </c>
      <c r="F2436">
        <v>5</v>
      </c>
      <c r="G2436" t="s">
        <v>2613</v>
      </c>
      <c r="H2436" t="s">
        <v>2564</v>
      </c>
      <c r="I2436" t="s">
        <v>2575</v>
      </c>
      <c r="J2436" t="s">
        <v>2603</v>
      </c>
      <c r="K2436">
        <v>12</v>
      </c>
      <c r="L2436" s="13" t="s">
        <v>257</v>
      </c>
    </row>
    <row r="2437" spans="1:12" x14ac:dyDescent="0.25">
      <c r="A2437" t="s">
        <v>5114</v>
      </c>
      <c r="B2437" t="s">
        <v>109</v>
      </c>
      <c r="C2437" t="str">
        <f>_xlfn.XLOOKUP(Table7[[#This Row],[app_id]],Table5[app_id],Table5[app_name],"",0)</f>
        <v>MoveGo</v>
      </c>
      <c r="D2437" t="s">
        <v>2284</v>
      </c>
      <c r="E2437" s="1">
        <v>45505</v>
      </c>
      <c r="F2437">
        <v>4</v>
      </c>
      <c r="G2437" t="s">
        <v>2613</v>
      </c>
      <c r="H2437" t="s">
        <v>2564</v>
      </c>
      <c r="I2437" t="s">
        <v>2575</v>
      </c>
      <c r="J2437" t="s">
        <v>2561</v>
      </c>
      <c r="K2437">
        <v>9</v>
      </c>
      <c r="L2437" s="13" t="s">
        <v>257</v>
      </c>
    </row>
    <row r="2438" spans="1:12" x14ac:dyDescent="0.25">
      <c r="A2438" t="s">
        <v>5115</v>
      </c>
      <c r="B2438" t="s">
        <v>111</v>
      </c>
      <c r="C2438" t="str">
        <f>_xlfn.XLOOKUP(Table7[[#This Row],[app_id]],Table5[app_id],Table5[app_name],"",0)</f>
        <v>BrightNow</v>
      </c>
      <c r="D2438" t="s">
        <v>1540</v>
      </c>
      <c r="E2438" s="1">
        <v>45793</v>
      </c>
      <c r="F2438">
        <v>4</v>
      </c>
      <c r="G2438" t="s">
        <v>2780</v>
      </c>
      <c r="H2438" t="s">
        <v>2564</v>
      </c>
      <c r="I2438" t="s">
        <v>2575</v>
      </c>
      <c r="J2438" t="s">
        <v>2596</v>
      </c>
      <c r="K2438">
        <v>28</v>
      </c>
      <c r="L2438" s="13" t="s">
        <v>257</v>
      </c>
    </row>
    <row r="2439" spans="1:12" x14ac:dyDescent="0.25">
      <c r="A2439" t="s">
        <v>5116</v>
      </c>
      <c r="B2439" t="s">
        <v>114</v>
      </c>
      <c r="C2439" t="str">
        <f>_xlfn.XLOOKUP(Table7[[#This Row],[app_id]],Table5[app_id],Table5[app_name],"",0)</f>
        <v>StudyCloud</v>
      </c>
      <c r="D2439" t="s">
        <v>738</v>
      </c>
      <c r="E2439" s="1">
        <v>45783</v>
      </c>
      <c r="F2439">
        <v>3</v>
      </c>
      <c r="G2439" t="s">
        <v>2646</v>
      </c>
      <c r="H2439" t="s">
        <v>2554</v>
      </c>
      <c r="I2439" t="s">
        <v>2571</v>
      </c>
      <c r="J2439" t="s">
        <v>2561</v>
      </c>
      <c r="K2439">
        <v>15</v>
      </c>
      <c r="L2439" s="13" t="s">
        <v>257</v>
      </c>
    </row>
    <row r="2440" spans="1:12" x14ac:dyDescent="0.25">
      <c r="A2440" t="s">
        <v>5117</v>
      </c>
      <c r="B2440" t="s">
        <v>116</v>
      </c>
      <c r="C2440" t="str">
        <f>_xlfn.XLOOKUP(Table7[[#This Row],[app_id]],Table5[app_id],Table5[app_name],"",0)</f>
        <v>SkillNow</v>
      </c>
      <c r="D2440" t="s">
        <v>1739</v>
      </c>
      <c r="E2440" s="1">
        <v>45821</v>
      </c>
      <c r="F2440">
        <v>3</v>
      </c>
      <c r="G2440" t="s">
        <v>2773</v>
      </c>
      <c r="H2440" t="s">
        <v>2554</v>
      </c>
      <c r="I2440" t="s">
        <v>2565</v>
      </c>
      <c r="J2440" t="s">
        <v>2600</v>
      </c>
      <c r="K2440">
        <v>23</v>
      </c>
      <c r="L2440" s="13" t="s">
        <v>257</v>
      </c>
    </row>
    <row r="2441" spans="1:12" x14ac:dyDescent="0.25">
      <c r="A2441" t="s">
        <v>5118</v>
      </c>
      <c r="B2441" t="s">
        <v>118</v>
      </c>
      <c r="C2441" t="str">
        <f>_xlfn.XLOOKUP(Table7[[#This Row],[app_id]],Table5[app_id],Table5[app_name],"",0)</f>
        <v>LearnMate</v>
      </c>
      <c r="D2441" t="s">
        <v>1206</v>
      </c>
      <c r="E2441" s="1">
        <v>45512</v>
      </c>
      <c r="F2441">
        <v>2</v>
      </c>
      <c r="G2441" t="s">
        <v>3107</v>
      </c>
      <c r="H2441" t="s">
        <v>2587</v>
      </c>
      <c r="I2441" t="s">
        <v>2588</v>
      </c>
      <c r="J2441" t="s">
        <v>2569</v>
      </c>
      <c r="K2441">
        <v>54</v>
      </c>
      <c r="L2441" s="13" t="s">
        <v>258</v>
      </c>
    </row>
    <row r="2442" spans="1:12" x14ac:dyDescent="0.25">
      <c r="A2442" t="s">
        <v>5119</v>
      </c>
      <c r="B2442" t="s">
        <v>120</v>
      </c>
      <c r="C2442" t="str">
        <f>_xlfn.XLOOKUP(Table7[[#This Row],[app_id]],Table5[app_id],Table5[app_name],"",0)</f>
        <v>QuestNow</v>
      </c>
      <c r="D2442" t="s">
        <v>2316</v>
      </c>
      <c r="E2442" s="1">
        <v>45572</v>
      </c>
      <c r="F2442">
        <v>4</v>
      </c>
      <c r="G2442" t="s">
        <v>2638</v>
      </c>
      <c r="H2442" t="s">
        <v>2564</v>
      </c>
      <c r="I2442" t="s">
        <v>2565</v>
      </c>
      <c r="J2442" t="s">
        <v>2561</v>
      </c>
      <c r="K2442">
        <v>9</v>
      </c>
      <c r="L2442" s="13" t="s">
        <v>257</v>
      </c>
    </row>
    <row r="2443" spans="1:12" x14ac:dyDescent="0.25">
      <c r="A2443" t="s">
        <v>5120</v>
      </c>
      <c r="B2443" t="s">
        <v>122</v>
      </c>
      <c r="C2443" t="str">
        <f>_xlfn.XLOOKUP(Table7[[#This Row],[app_id]],Table5[app_id],Table5[app_name],"",0)</f>
        <v>SkillHub</v>
      </c>
      <c r="D2443" t="s">
        <v>1085</v>
      </c>
      <c r="E2443" s="1">
        <v>45899</v>
      </c>
      <c r="F2443">
        <v>3</v>
      </c>
      <c r="G2443" t="s">
        <v>2778</v>
      </c>
      <c r="H2443" t="s">
        <v>2554</v>
      </c>
      <c r="I2443" t="s">
        <v>2571</v>
      </c>
      <c r="J2443" t="s">
        <v>2559</v>
      </c>
      <c r="K2443">
        <v>5</v>
      </c>
      <c r="L2443" s="13" t="s">
        <v>257</v>
      </c>
    </row>
    <row r="2444" spans="1:12" x14ac:dyDescent="0.25">
      <c r="A2444" t="s">
        <v>5121</v>
      </c>
      <c r="B2444" t="s">
        <v>124</v>
      </c>
      <c r="C2444" t="str">
        <f>_xlfn.XLOOKUP(Table7[[#This Row],[app_id]],Table5[app_id],Table5[app_name],"",0)</f>
        <v>TutorCloud</v>
      </c>
      <c r="D2444" t="s">
        <v>1329</v>
      </c>
      <c r="E2444" s="1">
        <v>45833</v>
      </c>
      <c r="F2444">
        <v>3</v>
      </c>
      <c r="G2444" t="s">
        <v>2778</v>
      </c>
      <c r="H2444" t="s">
        <v>2554</v>
      </c>
      <c r="I2444" t="s">
        <v>2565</v>
      </c>
      <c r="J2444" t="s">
        <v>2561</v>
      </c>
      <c r="K2444">
        <v>18</v>
      </c>
      <c r="L2444" s="13" t="s">
        <v>257</v>
      </c>
    </row>
    <row r="2445" spans="1:12" x14ac:dyDescent="0.25">
      <c r="A2445" t="s">
        <v>5122</v>
      </c>
      <c r="B2445" t="s">
        <v>126</v>
      </c>
      <c r="C2445" t="str">
        <f>_xlfn.XLOOKUP(Table7[[#This Row],[app_id]],Table5[app_id],Table5[app_name],"",0)</f>
        <v>SkillOne</v>
      </c>
      <c r="D2445" t="s">
        <v>2248</v>
      </c>
      <c r="E2445" s="1">
        <v>45732</v>
      </c>
      <c r="F2445">
        <v>3</v>
      </c>
      <c r="G2445" t="s">
        <v>2889</v>
      </c>
      <c r="H2445" t="s">
        <v>2554</v>
      </c>
      <c r="I2445" t="s">
        <v>2555</v>
      </c>
      <c r="J2445" t="s">
        <v>2569</v>
      </c>
      <c r="K2445">
        <v>48</v>
      </c>
      <c r="L2445" s="13" t="s">
        <v>257</v>
      </c>
    </row>
    <row r="2446" spans="1:12" x14ac:dyDescent="0.25">
      <c r="A2446" t="s">
        <v>5123</v>
      </c>
      <c r="B2446" t="s">
        <v>128</v>
      </c>
      <c r="C2446" t="str">
        <f>_xlfn.XLOOKUP(Table7[[#This Row],[app_id]],Table5[app_id],Table5[app_name],"",0)</f>
        <v>LearnOne</v>
      </c>
      <c r="D2446" t="s">
        <v>625</v>
      </c>
      <c r="E2446" s="1">
        <v>45634</v>
      </c>
      <c r="F2446">
        <v>3</v>
      </c>
      <c r="G2446" t="s">
        <v>2773</v>
      </c>
      <c r="H2446" t="s">
        <v>2554</v>
      </c>
      <c r="I2446" t="s">
        <v>2558</v>
      </c>
      <c r="J2446" t="s">
        <v>2581</v>
      </c>
      <c r="K2446">
        <v>40</v>
      </c>
      <c r="L2446" s="13" t="s">
        <v>257</v>
      </c>
    </row>
    <row r="2447" spans="1:12" x14ac:dyDescent="0.25">
      <c r="A2447" t="s">
        <v>5124</v>
      </c>
      <c r="B2447" t="s">
        <v>130</v>
      </c>
      <c r="C2447" t="str">
        <f>_xlfn.XLOOKUP(Table7[[#This Row],[app_id]],Table5[app_id],Table5[app_name],"",0)</f>
        <v>LearnPlus</v>
      </c>
      <c r="D2447" t="s">
        <v>1672</v>
      </c>
      <c r="E2447" s="1">
        <v>46100</v>
      </c>
      <c r="F2447">
        <v>4</v>
      </c>
      <c r="G2447" t="s">
        <v>2635</v>
      </c>
      <c r="H2447" t="s">
        <v>2564</v>
      </c>
      <c r="I2447" t="s">
        <v>2565</v>
      </c>
      <c r="J2447" t="s">
        <v>2603</v>
      </c>
      <c r="K2447">
        <v>38</v>
      </c>
      <c r="L2447" s="13" t="s">
        <v>257</v>
      </c>
    </row>
    <row r="2448" spans="1:12" x14ac:dyDescent="0.25">
      <c r="A2448" t="s">
        <v>5125</v>
      </c>
      <c r="B2448" t="s">
        <v>132</v>
      </c>
      <c r="C2448" t="str">
        <f>_xlfn.XLOOKUP(Table7[[#This Row],[app_id]],Table5[app_id],Table5[app_name],"",0)</f>
        <v>StudyPlus</v>
      </c>
      <c r="D2448" t="s">
        <v>2470</v>
      </c>
      <c r="E2448" s="1">
        <v>46122</v>
      </c>
      <c r="F2448">
        <v>3</v>
      </c>
      <c r="G2448" t="s">
        <v>2778</v>
      </c>
      <c r="H2448" t="s">
        <v>2554</v>
      </c>
      <c r="I2448" t="s">
        <v>2575</v>
      </c>
      <c r="J2448" t="s">
        <v>2559</v>
      </c>
      <c r="K2448">
        <v>18</v>
      </c>
      <c r="L2448" s="13" t="s">
        <v>257</v>
      </c>
    </row>
    <row r="2449" spans="1:12" x14ac:dyDescent="0.25">
      <c r="A2449" t="s">
        <v>5126</v>
      </c>
      <c r="B2449" t="s">
        <v>134</v>
      </c>
      <c r="C2449" t="str">
        <f>_xlfn.XLOOKUP(Table7[[#This Row],[app_id]],Table5[app_id],Table5[app_name],"",0)</f>
        <v>StudyX</v>
      </c>
      <c r="D2449" t="s">
        <v>2065</v>
      </c>
      <c r="E2449" s="1">
        <v>45777</v>
      </c>
      <c r="F2449">
        <v>4</v>
      </c>
      <c r="G2449" t="s">
        <v>2638</v>
      </c>
      <c r="H2449" t="s">
        <v>2564</v>
      </c>
      <c r="I2449" t="s">
        <v>2565</v>
      </c>
      <c r="J2449" t="s">
        <v>2603</v>
      </c>
      <c r="K2449">
        <v>21</v>
      </c>
      <c r="L2449" s="13" t="s">
        <v>257</v>
      </c>
    </row>
    <row r="2450" spans="1:12" x14ac:dyDescent="0.25">
      <c r="A2450" t="s">
        <v>5127</v>
      </c>
      <c r="B2450" t="s">
        <v>136</v>
      </c>
      <c r="C2450" t="str">
        <f>_xlfn.XLOOKUP(Table7[[#This Row],[app_id]],Table5[app_id],Table5[app_name],"",0)</f>
        <v>PlayPlus</v>
      </c>
      <c r="D2450" t="s">
        <v>2167</v>
      </c>
      <c r="E2450" s="1">
        <v>45942</v>
      </c>
      <c r="F2450">
        <v>4</v>
      </c>
      <c r="G2450" t="s">
        <v>2905</v>
      </c>
      <c r="H2450" t="s">
        <v>2564</v>
      </c>
      <c r="I2450" t="s">
        <v>2575</v>
      </c>
      <c r="J2450" t="s">
        <v>2569</v>
      </c>
      <c r="K2450">
        <v>26</v>
      </c>
      <c r="L2450" s="13" t="s">
        <v>257</v>
      </c>
    </row>
    <row r="2451" spans="1:12" x14ac:dyDescent="0.25">
      <c r="A2451" t="s">
        <v>5128</v>
      </c>
      <c r="B2451" t="s">
        <v>139</v>
      </c>
      <c r="C2451" t="str">
        <f>_xlfn.XLOOKUP(Table7[[#This Row],[app_id]],Table5[app_id],Table5[app_name],"",0)</f>
        <v>ShowMate</v>
      </c>
      <c r="D2451" t="s">
        <v>2485</v>
      </c>
      <c r="E2451" s="1">
        <v>45950</v>
      </c>
      <c r="F2451">
        <v>2</v>
      </c>
      <c r="G2451" t="s">
        <v>3726</v>
      </c>
      <c r="H2451" t="s">
        <v>2587</v>
      </c>
      <c r="I2451" t="s">
        <v>2584</v>
      </c>
      <c r="J2451" t="s">
        <v>2581</v>
      </c>
      <c r="K2451">
        <v>16</v>
      </c>
      <c r="L2451" s="13" t="s">
        <v>258</v>
      </c>
    </row>
    <row r="2452" spans="1:12" x14ac:dyDescent="0.25">
      <c r="A2452" t="s">
        <v>5129</v>
      </c>
      <c r="B2452" t="s">
        <v>141</v>
      </c>
      <c r="C2452" t="str">
        <f>_xlfn.XLOOKUP(Table7[[#This Row],[app_id]],Table5[app_id],Table5[app_name],"",0)</f>
        <v>VibeX</v>
      </c>
      <c r="D2452" t="s">
        <v>686</v>
      </c>
      <c r="E2452" s="1">
        <v>45965</v>
      </c>
      <c r="F2452">
        <v>3</v>
      </c>
      <c r="G2452" t="s">
        <v>2793</v>
      </c>
      <c r="H2452" t="s">
        <v>2554</v>
      </c>
      <c r="I2452" t="s">
        <v>2588</v>
      </c>
      <c r="J2452" t="s">
        <v>2566</v>
      </c>
      <c r="K2452">
        <v>25</v>
      </c>
      <c r="L2452" s="13" t="s">
        <v>257</v>
      </c>
    </row>
    <row r="2453" spans="1:12" x14ac:dyDescent="0.25">
      <c r="A2453" t="s">
        <v>5130</v>
      </c>
      <c r="B2453" t="s">
        <v>143</v>
      </c>
      <c r="C2453" t="str">
        <f>_xlfn.XLOOKUP(Table7[[#This Row],[app_id]],Table5[app_id],Table5[app_name],"",0)</f>
        <v>BuzzNow</v>
      </c>
      <c r="D2453" t="s">
        <v>972</v>
      </c>
      <c r="E2453" s="1">
        <v>45592</v>
      </c>
      <c r="F2453">
        <v>4</v>
      </c>
      <c r="G2453" t="s">
        <v>2905</v>
      </c>
      <c r="H2453" t="s">
        <v>2564</v>
      </c>
      <c r="I2453" t="s">
        <v>2575</v>
      </c>
      <c r="J2453" t="s">
        <v>2556</v>
      </c>
      <c r="K2453">
        <v>46</v>
      </c>
      <c r="L2453" s="13" t="s">
        <v>257</v>
      </c>
    </row>
    <row r="2454" spans="1:12" x14ac:dyDescent="0.25">
      <c r="A2454" t="s">
        <v>5131</v>
      </c>
      <c r="B2454" t="s">
        <v>145</v>
      </c>
      <c r="C2454" t="str">
        <f>_xlfn.XLOOKUP(Table7[[#This Row],[app_id]],Table5[app_id],Table5[app_name],"",0)</f>
        <v>StreamPlus</v>
      </c>
      <c r="D2454" t="s">
        <v>1290</v>
      </c>
      <c r="E2454" s="1">
        <v>45514</v>
      </c>
      <c r="F2454">
        <v>4</v>
      </c>
      <c r="G2454" t="s">
        <v>2652</v>
      </c>
      <c r="H2454" t="s">
        <v>2564</v>
      </c>
      <c r="I2454" t="s">
        <v>2565</v>
      </c>
      <c r="J2454" t="s">
        <v>2596</v>
      </c>
      <c r="K2454">
        <v>46</v>
      </c>
      <c r="L2454" s="13" t="s">
        <v>257</v>
      </c>
    </row>
    <row r="2455" spans="1:12" x14ac:dyDescent="0.25">
      <c r="A2455" t="s">
        <v>5132</v>
      </c>
      <c r="B2455" t="s">
        <v>147</v>
      </c>
      <c r="C2455" t="str">
        <f>_xlfn.XLOOKUP(Table7[[#This Row],[app_id]],Table5[app_id],Table5[app_name],"",0)</f>
        <v>Showly</v>
      </c>
      <c r="D2455" t="s">
        <v>1166</v>
      </c>
      <c r="E2455" s="1">
        <v>45348</v>
      </c>
      <c r="F2455">
        <v>3</v>
      </c>
      <c r="G2455" t="s">
        <v>2793</v>
      </c>
      <c r="H2455" t="s">
        <v>2554</v>
      </c>
      <c r="I2455" t="s">
        <v>2558</v>
      </c>
      <c r="J2455" t="s">
        <v>2556</v>
      </c>
      <c r="K2455">
        <v>47</v>
      </c>
      <c r="L2455" s="13" t="s">
        <v>258</v>
      </c>
    </row>
    <row r="2456" spans="1:12" x14ac:dyDescent="0.25">
      <c r="A2456" t="s">
        <v>5133</v>
      </c>
      <c r="B2456" t="s">
        <v>149</v>
      </c>
      <c r="C2456" t="str">
        <f>_xlfn.XLOOKUP(Table7[[#This Row],[app_id]],Table5[app_id],Table5[app_name],"",0)</f>
        <v>BuzzOne</v>
      </c>
      <c r="D2456" t="s">
        <v>2157</v>
      </c>
      <c r="E2456" s="1">
        <v>45395</v>
      </c>
      <c r="F2456">
        <v>5</v>
      </c>
      <c r="G2456" t="s">
        <v>2789</v>
      </c>
      <c r="H2456" t="s">
        <v>2564</v>
      </c>
      <c r="I2456" t="s">
        <v>2575</v>
      </c>
      <c r="J2456" t="s">
        <v>2556</v>
      </c>
      <c r="K2456">
        <v>32</v>
      </c>
      <c r="L2456" s="13" t="s">
        <v>257</v>
      </c>
    </row>
    <row r="2457" spans="1:12" x14ac:dyDescent="0.25">
      <c r="A2457" t="s">
        <v>5134</v>
      </c>
      <c r="B2457" t="s">
        <v>151</v>
      </c>
      <c r="C2457" t="str">
        <f>_xlfn.XLOOKUP(Table7[[#This Row],[app_id]],Table5[app_id],Table5[app_name],"",0)</f>
        <v>PlayHub</v>
      </c>
      <c r="D2457" t="s">
        <v>938</v>
      </c>
      <c r="E2457" s="1">
        <v>45454</v>
      </c>
      <c r="F2457">
        <v>3</v>
      </c>
      <c r="G2457" t="s">
        <v>2663</v>
      </c>
      <c r="H2457" t="s">
        <v>2554</v>
      </c>
      <c r="I2457" t="s">
        <v>2571</v>
      </c>
      <c r="J2457" t="s">
        <v>2596</v>
      </c>
      <c r="K2457">
        <v>40</v>
      </c>
      <c r="L2457" s="13" t="s">
        <v>257</v>
      </c>
    </row>
    <row r="2458" spans="1:12" x14ac:dyDescent="0.25">
      <c r="A2458" t="s">
        <v>5135</v>
      </c>
      <c r="B2458" t="s">
        <v>153</v>
      </c>
      <c r="C2458" t="str">
        <f>_xlfn.XLOOKUP(Table7[[#This Row],[app_id]],Table5[app_id],Table5[app_name],"",0)</f>
        <v>CinemaGo</v>
      </c>
      <c r="D2458" t="s">
        <v>1006</v>
      </c>
      <c r="E2458" s="1">
        <v>45824</v>
      </c>
      <c r="F2458">
        <v>5</v>
      </c>
      <c r="G2458" t="s">
        <v>2789</v>
      </c>
      <c r="H2458" t="s">
        <v>2564</v>
      </c>
      <c r="I2458" t="s">
        <v>2565</v>
      </c>
      <c r="J2458" t="s">
        <v>2566</v>
      </c>
      <c r="K2458">
        <v>25</v>
      </c>
      <c r="L2458" s="13" t="s">
        <v>257</v>
      </c>
    </row>
    <row r="2459" spans="1:12" x14ac:dyDescent="0.25">
      <c r="A2459" t="s">
        <v>5136</v>
      </c>
      <c r="B2459" t="s">
        <v>155</v>
      </c>
      <c r="C2459" t="str">
        <f>_xlfn.XLOOKUP(Table7[[#This Row],[app_id]],Table5[app_id],Table5[app_name],"",0)</f>
        <v>LaughX</v>
      </c>
      <c r="D2459" t="s">
        <v>1012</v>
      </c>
      <c r="E2459" s="1">
        <v>45374</v>
      </c>
      <c r="F2459">
        <v>4</v>
      </c>
      <c r="G2459" t="s">
        <v>2652</v>
      </c>
      <c r="H2459" t="s">
        <v>2564</v>
      </c>
      <c r="I2459" t="s">
        <v>2565</v>
      </c>
      <c r="J2459" t="s">
        <v>2569</v>
      </c>
      <c r="K2459">
        <v>28</v>
      </c>
      <c r="L2459" s="13" t="s">
        <v>258</v>
      </c>
    </row>
    <row r="2460" spans="1:12" x14ac:dyDescent="0.25">
      <c r="A2460" t="s">
        <v>5137</v>
      </c>
      <c r="B2460" t="s">
        <v>157</v>
      </c>
      <c r="C2460" t="str">
        <f>_xlfn.XLOOKUP(Table7[[#This Row],[app_id]],Table5[app_id],Table5[app_name],"",0)</f>
        <v>CinemaHub</v>
      </c>
      <c r="D2460" t="s">
        <v>1721</v>
      </c>
      <c r="E2460" s="1">
        <v>46054</v>
      </c>
      <c r="F2460">
        <v>3</v>
      </c>
      <c r="G2460" t="s">
        <v>2655</v>
      </c>
      <c r="H2460" t="s">
        <v>2554</v>
      </c>
      <c r="I2460" t="s">
        <v>2584</v>
      </c>
      <c r="J2460" t="s">
        <v>2600</v>
      </c>
      <c r="K2460">
        <v>13</v>
      </c>
      <c r="L2460" s="13" t="s">
        <v>258</v>
      </c>
    </row>
    <row r="2461" spans="1:12" x14ac:dyDescent="0.25">
      <c r="A2461" t="s">
        <v>5138</v>
      </c>
      <c r="B2461" t="s">
        <v>159</v>
      </c>
      <c r="C2461" t="str">
        <f>_xlfn.XLOOKUP(Table7[[#This Row],[app_id]],Table5[app_id],Table5[app_name],"",0)</f>
        <v>ShowPro</v>
      </c>
      <c r="D2461" t="s">
        <v>1590</v>
      </c>
      <c r="E2461" s="1">
        <v>45971</v>
      </c>
      <c r="F2461">
        <v>4</v>
      </c>
      <c r="G2461" t="s">
        <v>2650</v>
      </c>
      <c r="H2461" t="s">
        <v>2564</v>
      </c>
      <c r="I2461" t="s">
        <v>2575</v>
      </c>
      <c r="J2461" t="s">
        <v>2633</v>
      </c>
      <c r="K2461">
        <v>27</v>
      </c>
      <c r="L2461" s="13" t="s">
        <v>257</v>
      </c>
    </row>
    <row r="2462" spans="1:12" x14ac:dyDescent="0.25">
      <c r="A2462" t="s">
        <v>5139</v>
      </c>
      <c r="B2462" t="s">
        <v>161</v>
      </c>
      <c r="C2462" t="str">
        <f>_xlfn.XLOOKUP(Table7[[#This Row],[app_id]],Table5[app_id],Table5[app_name],"",0)</f>
        <v>FoodPlus</v>
      </c>
      <c r="D2462" t="s">
        <v>979</v>
      </c>
      <c r="E2462" s="1">
        <v>45705</v>
      </c>
      <c r="F2462">
        <v>3</v>
      </c>
      <c r="G2462" t="s">
        <v>2672</v>
      </c>
      <c r="H2462" t="s">
        <v>2554</v>
      </c>
      <c r="I2462" t="s">
        <v>2558</v>
      </c>
      <c r="J2462" t="s">
        <v>2561</v>
      </c>
      <c r="K2462">
        <v>15</v>
      </c>
      <c r="L2462" s="13" t="s">
        <v>258</v>
      </c>
    </row>
    <row r="2463" spans="1:12" x14ac:dyDescent="0.25">
      <c r="A2463" t="s">
        <v>5140</v>
      </c>
      <c r="B2463" t="s">
        <v>164</v>
      </c>
      <c r="C2463" t="str">
        <f>_xlfn.XLOOKUP(Table7[[#This Row],[app_id]],Table5[app_id],Table5[app_name],"",0)</f>
        <v>BiteGo</v>
      </c>
      <c r="D2463" t="s">
        <v>978</v>
      </c>
      <c r="E2463" s="1">
        <v>45740</v>
      </c>
      <c r="F2463">
        <v>4</v>
      </c>
      <c r="G2463" t="s">
        <v>2674</v>
      </c>
      <c r="H2463" t="s">
        <v>2564</v>
      </c>
      <c r="I2463" t="s">
        <v>2565</v>
      </c>
      <c r="J2463" t="s">
        <v>2556</v>
      </c>
      <c r="K2463">
        <v>10</v>
      </c>
      <c r="L2463" s="13" t="s">
        <v>257</v>
      </c>
    </row>
    <row r="2464" spans="1:12" x14ac:dyDescent="0.25">
      <c r="A2464" t="s">
        <v>5141</v>
      </c>
      <c r="B2464" t="s">
        <v>166</v>
      </c>
      <c r="C2464" t="str">
        <f>_xlfn.XLOOKUP(Table7[[#This Row],[app_id]],Table5[app_id],Table5[app_name],"",0)</f>
        <v>OrderCloud</v>
      </c>
      <c r="D2464" t="s">
        <v>871</v>
      </c>
      <c r="E2464" s="1">
        <v>46090</v>
      </c>
      <c r="F2464">
        <v>3</v>
      </c>
      <c r="G2464" t="s">
        <v>2668</v>
      </c>
      <c r="H2464" t="s">
        <v>2554</v>
      </c>
      <c r="I2464" t="s">
        <v>2588</v>
      </c>
      <c r="J2464" t="s">
        <v>2633</v>
      </c>
      <c r="K2464">
        <v>26</v>
      </c>
      <c r="L2464" s="13" t="s">
        <v>257</v>
      </c>
    </row>
    <row r="2465" spans="1:12" x14ac:dyDescent="0.25">
      <c r="A2465" t="s">
        <v>5142</v>
      </c>
      <c r="B2465" t="s">
        <v>168</v>
      </c>
      <c r="C2465" t="str">
        <f>_xlfn.XLOOKUP(Table7[[#This Row],[app_id]],Table5[app_id],Table5[app_name],"",0)</f>
        <v>DinePlus</v>
      </c>
      <c r="D2465" t="s">
        <v>2211</v>
      </c>
      <c r="E2465" s="1">
        <v>45534</v>
      </c>
      <c r="F2465">
        <v>4</v>
      </c>
      <c r="G2465" t="s">
        <v>2676</v>
      </c>
      <c r="H2465" t="s">
        <v>2564</v>
      </c>
      <c r="I2465" t="s">
        <v>2555</v>
      </c>
      <c r="J2465" t="s">
        <v>2603</v>
      </c>
      <c r="K2465">
        <v>39</v>
      </c>
      <c r="L2465" s="13" t="s">
        <v>257</v>
      </c>
    </row>
    <row r="2466" spans="1:12" x14ac:dyDescent="0.25">
      <c r="A2466" t="s">
        <v>5143</v>
      </c>
      <c r="B2466" t="s">
        <v>170</v>
      </c>
      <c r="C2466" t="str">
        <f>_xlfn.XLOOKUP(Table7[[#This Row],[app_id]],Table5[app_id],Table5[app_name],"",0)</f>
        <v>SnackX</v>
      </c>
      <c r="D2466" t="s">
        <v>1531</v>
      </c>
      <c r="E2466" s="1">
        <v>45595</v>
      </c>
      <c r="F2466">
        <v>4</v>
      </c>
      <c r="G2466" t="s">
        <v>2674</v>
      </c>
      <c r="H2466" t="s">
        <v>2564</v>
      </c>
      <c r="I2466" t="s">
        <v>2565</v>
      </c>
      <c r="J2466" t="s">
        <v>2561</v>
      </c>
      <c r="K2466">
        <v>7</v>
      </c>
      <c r="L2466" s="13" t="s">
        <v>257</v>
      </c>
    </row>
    <row r="2467" spans="1:12" x14ac:dyDescent="0.25">
      <c r="A2467" t="s">
        <v>5144</v>
      </c>
      <c r="B2467" t="s">
        <v>172</v>
      </c>
      <c r="C2467" t="str">
        <f>_xlfn.XLOOKUP(Table7[[#This Row],[app_id]],Table5[app_id],Table5[app_name],"",0)</f>
        <v>FoodOne</v>
      </c>
      <c r="D2467" t="s">
        <v>1675</v>
      </c>
      <c r="E2467" s="1">
        <v>45641</v>
      </c>
      <c r="F2467">
        <v>3</v>
      </c>
      <c r="G2467" t="s">
        <v>2670</v>
      </c>
      <c r="H2467" t="s">
        <v>2554</v>
      </c>
      <c r="I2467" t="s">
        <v>2588</v>
      </c>
      <c r="J2467" t="s">
        <v>2556</v>
      </c>
      <c r="K2467">
        <v>20</v>
      </c>
      <c r="L2467" s="13" t="s">
        <v>257</v>
      </c>
    </row>
    <row r="2468" spans="1:12" x14ac:dyDescent="0.25">
      <c r="A2468" t="s">
        <v>5145</v>
      </c>
      <c r="B2468" t="s">
        <v>174</v>
      </c>
      <c r="C2468" t="str">
        <f>_xlfn.XLOOKUP(Table7[[#This Row],[app_id]],Table5[app_id],Table5[app_name],"",0)</f>
        <v>MealMate</v>
      </c>
      <c r="D2468" t="s">
        <v>1757</v>
      </c>
      <c r="E2468" s="1">
        <v>46108</v>
      </c>
      <c r="F2468">
        <v>4</v>
      </c>
      <c r="G2468" t="s">
        <v>2674</v>
      </c>
      <c r="H2468" t="s">
        <v>2564</v>
      </c>
      <c r="I2468" t="s">
        <v>2575</v>
      </c>
      <c r="J2468" t="s">
        <v>2569</v>
      </c>
      <c r="K2468">
        <v>19</v>
      </c>
      <c r="L2468" s="13" t="s">
        <v>257</v>
      </c>
    </row>
    <row r="2469" spans="1:12" x14ac:dyDescent="0.25">
      <c r="A2469" t="s">
        <v>5146</v>
      </c>
      <c r="B2469" t="s">
        <v>176</v>
      </c>
      <c r="C2469" t="str">
        <f>_xlfn.XLOOKUP(Table7[[#This Row],[app_id]],Table5[app_id],Table5[app_name],"",0)</f>
        <v>SnackHub</v>
      </c>
      <c r="D2469" t="s">
        <v>1738</v>
      </c>
      <c r="E2469" s="1">
        <v>45415</v>
      </c>
      <c r="F2469">
        <v>4</v>
      </c>
      <c r="G2469" t="s">
        <v>2679</v>
      </c>
      <c r="H2469" t="s">
        <v>2564</v>
      </c>
      <c r="I2469" t="s">
        <v>2575</v>
      </c>
      <c r="J2469" t="s">
        <v>2603</v>
      </c>
      <c r="K2469">
        <v>25</v>
      </c>
      <c r="L2469" s="13" t="s">
        <v>257</v>
      </c>
    </row>
    <row r="2470" spans="1:12" x14ac:dyDescent="0.25">
      <c r="A2470" t="s">
        <v>5147</v>
      </c>
      <c r="B2470" t="s">
        <v>178</v>
      </c>
      <c r="C2470" t="str">
        <f>_xlfn.XLOOKUP(Table7[[#This Row],[app_id]],Table5[app_id],Table5[app_name],"",0)</f>
        <v>BiteCloud</v>
      </c>
      <c r="D2470" t="s">
        <v>1639</v>
      </c>
      <c r="E2470" s="1">
        <v>45843</v>
      </c>
      <c r="F2470">
        <v>5</v>
      </c>
      <c r="G2470" t="s">
        <v>2806</v>
      </c>
      <c r="H2470" t="s">
        <v>2564</v>
      </c>
      <c r="I2470" t="s">
        <v>2575</v>
      </c>
      <c r="J2470" t="s">
        <v>2596</v>
      </c>
      <c r="K2470">
        <v>25</v>
      </c>
      <c r="L2470" s="13" t="s">
        <v>257</v>
      </c>
    </row>
    <row r="2471" spans="1:12" x14ac:dyDescent="0.25">
      <c r="A2471" t="s">
        <v>5148</v>
      </c>
      <c r="B2471" t="s">
        <v>180</v>
      </c>
      <c r="C2471" t="str">
        <f>_xlfn.XLOOKUP(Table7[[#This Row],[app_id]],Table5[app_id],Table5[app_name],"",0)</f>
        <v>PlatePlus</v>
      </c>
      <c r="D2471" t="s">
        <v>1370</v>
      </c>
      <c r="E2471" s="1">
        <v>45452</v>
      </c>
      <c r="F2471">
        <v>3</v>
      </c>
      <c r="G2471" t="s">
        <v>2670</v>
      </c>
      <c r="H2471" t="s">
        <v>2554</v>
      </c>
      <c r="I2471" t="s">
        <v>2575</v>
      </c>
      <c r="J2471" t="s">
        <v>2559</v>
      </c>
      <c r="K2471">
        <v>46</v>
      </c>
      <c r="L2471" s="13" t="s">
        <v>258</v>
      </c>
    </row>
    <row r="2472" spans="1:12" x14ac:dyDescent="0.25">
      <c r="A2472" t="s">
        <v>5149</v>
      </c>
      <c r="B2472" t="s">
        <v>182</v>
      </c>
      <c r="C2472" t="str">
        <f>_xlfn.XLOOKUP(Table7[[#This Row],[app_id]],Table5[app_id],Table5[app_name],"",0)</f>
        <v>VoyageGo</v>
      </c>
      <c r="D2472" t="s">
        <v>1184</v>
      </c>
      <c r="E2472" s="1">
        <v>45771</v>
      </c>
      <c r="F2472">
        <v>3</v>
      </c>
      <c r="G2472" t="s">
        <v>2697</v>
      </c>
      <c r="H2472" t="s">
        <v>2554</v>
      </c>
      <c r="I2472" t="s">
        <v>2558</v>
      </c>
      <c r="J2472" t="s">
        <v>2561</v>
      </c>
      <c r="K2472">
        <v>21</v>
      </c>
      <c r="L2472" s="13" t="s">
        <v>257</v>
      </c>
    </row>
    <row r="2473" spans="1:12" x14ac:dyDescent="0.25">
      <c r="A2473" t="s">
        <v>5150</v>
      </c>
      <c r="B2473" t="s">
        <v>185</v>
      </c>
      <c r="C2473" t="str">
        <f>_xlfn.XLOOKUP(Table7[[#This Row],[app_id]],Table5[app_id],Table5[app_name],"",0)</f>
        <v>TripOne</v>
      </c>
      <c r="D2473" t="s">
        <v>768</v>
      </c>
      <c r="E2473" s="1">
        <v>45519</v>
      </c>
      <c r="F2473">
        <v>3</v>
      </c>
      <c r="G2473" t="s">
        <v>2815</v>
      </c>
      <c r="H2473" t="s">
        <v>2554</v>
      </c>
      <c r="I2473" t="s">
        <v>2558</v>
      </c>
      <c r="J2473" t="s">
        <v>2633</v>
      </c>
      <c r="K2473">
        <v>35</v>
      </c>
      <c r="L2473" s="13" t="s">
        <v>257</v>
      </c>
    </row>
    <row r="2474" spans="1:12" x14ac:dyDescent="0.25">
      <c r="A2474" t="s">
        <v>5151</v>
      </c>
      <c r="B2474" t="s">
        <v>187</v>
      </c>
      <c r="C2474" t="str">
        <f>_xlfn.XLOOKUP(Table7[[#This Row],[app_id]],Table5[app_id],Table5[app_name],"",0)</f>
        <v>FlyGo</v>
      </c>
      <c r="D2474" t="s">
        <v>939</v>
      </c>
      <c r="E2474" s="1">
        <v>45849</v>
      </c>
      <c r="F2474">
        <v>4</v>
      </c>
      <c r="G2474" t="s">
        <v>2931</v>
      </c>
      <c r="H2474" t="s">
        <v>2564</v>
      </c>
      <c r="I2474" t="s">
        <v>2575</v>
      </c>
      <c r="J2474" t="s">
        <v>2600</v>
      </c>
      <c r="K2474">
        <v>31</v>
      </c>
      <c r="L2474" s="13" t="s">
        <v>257</v>
      </c>
    </row>
    <row r="2475" spans="1:12" x14ac:dyDescent="0.25">
      <c r="A2475" t="s">
        <v>5152</v>
      </c>
      <c r="B2475" t="s">
        <v>189</v>
      </c>
      <c r="C2475" t="str">
        <f>_xlfn.XLOOKUP(Table7[[#This Row],[app_id]],Table5[app_id],Table5[app_name],"",0)</f>
        <v>MapX</v>
      </c>
      <c r="D2475" t="s">
        <v>1985</v>
      </c>
      <c r="E2475" s="1">
        <v>45881</v>
      </c>
      <c r="F2475">
        <v>5</v>
      </c>
      <c r="G2475" t="s">
        <v>2931</v>
      </c>
      <c r="H2475" t="s">
        <v>2564</v>
      </c>
      <c r="I2475" t="s">
        <v>2558</v>
      </c>
      <c r="J2475" t="s">
        <v>2600</v>
      </c>
      <c r="K2475">
        <v>37</v>
      </c>
      <c r="L2475" s="13" t="s">
        <v>257</v>
      </c>
    </row>
    <row r="2476" spans="1:12" x14ac:dyDescent="0.25">
      <c r="A2476" t="s">
        <v>5153</v>
      </c>
      <c r="B2476" t="s">
        <v>191</v>
      </c>
      <c r="C2476" t="str">
        <f>_xlfn.XLOOKUP(Table7[[#This Row],[app_id]],Table5[app_id],Table5[app_name],"",0)</f>
        <v>StayX</v>
      </c>
      <c r="D2476" t="s">
        <v>615</v>
      </c>
      <c r="E2476" s="1">
        <v>45498</v>
      </c>
      <c r="F2476">
        <v>3</v>
      </c>
      <c r="G2476" t="s">
        <v>2695</v>
      </c>
      <c r="H2476" t="s">
        <v>2554</v>
      </c>
      <c r="I2476" t="s">
        <v>2584</v>
      </c>
      <c r="J2476" t="s">
        <v>2596</v>
      </c>
      <c r="K2476">
        <v>47</v>
      </c>
      <c r="L2476" s="13" t="s">
        <v>258</v>
      </c>
    </row>
    <row r="2477" spans="1:12" x14ac:dyDescent="0.25">
      <c r="A2477" t="s">
        <v>5154</v>
      </c>
      <c r="B2477" t="s">
        <v>193</v>
      </c>
      <c r="C2477" t="str">
        <f>_xlfn.XLOOKUP(Table7[[#This Row],[app_id]],Table5[app_id],Table5[app_name],"",0)</f>
        <v>GoNow</v>
      </c>
      <c r="D2477" t="s">
        <v>1550</v>
      </c>
      <c r="E2477" s="1">
        <v>46082</v>
      </c>
      <c r="F2477">
        <v>2</v>
      </c>
      <c r="G2477" t="s">
        <v>2823</v>
      </c>
      <c r="H2477" t="s">
        <v>2587</v>
      </c>
      <c r="I2477" t="s">
        <v>2584</v>
      </c>
      <c r="J2477" t="s">
        <v>2600</v>
      </c>
      <c r="K2477">
        <v>76</v>
      </c>
      <c r="L2477" s="13" t="s">
        <v>257</v>
      </c>
    </row>
    <row r="2478" spans="1:12" x14ac:dyDescent="0.25">
      <c r="A2478" t="s">
        <v>5155</v>
      </c>
      <c r="B2478" t="s">
        <v>195</v>
      </c>
      <c r="C2478" t="str">
        <f>_xlfn.XLOOKUP(Table7[[#This Row],[app_id]],Table5[app_id],Table5[app_name],"",0)</f>
        <v>RouteGo</v>
      </c>
      <c r="D2478" t="s">
        <v>1719</v>
      </c>
      <c r="E2478" s="1">
        <v>45776</v>
      </c>
      <c r="F2478">
        <v>2</v>
      </c>
      <c r="G2478" t="s">
        <v>2693</v>
      </c>
      <c r="H2478" t="s">
        <v>2587</v>
      </c>
      <c r="I2478" t="s">
        <v>2558</v>
      </c>
      <c r="J2478" t="s">
        <v>2633</v>
      </c>
      <c r="K2478">
        <v>47</v>
      </c>
      <c r="L2478" s="13" t="s">
        <v>258</v>
      </c>
    </row>
    <row r="2479" spans="1:12" x14ac:dyDescent="0.25">
      <c r="A2479" t="s">
        <v>5156</v>
      </c>
      <c r="B2479" t="s">
        <v>197</v>
      </c>
      <c r="C2479" t="str">
        <f>_xlfn.XLOOKUP(Table7[[#This Row],[app_id]],Table5[app_id],Table5[app_name],"",0)</f>
        <v>TripGo</v>
      </c>
      <c r="D2479" t="s">
        <v>1099</v>
      </c>
      <c r="E2479" s="1">
        <v>45419</v>
      </c>
      <c r="F2479">
        <v>4</v>
      </c>
      <c r="G2479" t="s">
        <v>2687</v>
      </c>
      <c r="H2479" t="s">
        <v>2564</v>
      </c>
      <c r="I2479" t="s">
        <v>2555</v>
      </c>
      <c r="J2479" t="s">
        <v>2581</v>
      </c>
      <c r="K2479">
        <v>1</v>
      </c>
      <c r="L2479" s="13" t="s">
        <v>257</v>
      </c>
    </row>
    <row r="2480" spans="1:12" x14ac:dyDescent="0.25">
      <c r="A2480" t="s">
        <v>5157</v>
      </c>
      <c r="B2480" t="s">
        <v>199</v>
      </c>
      <c r="C2480" t="str">
        <f>_xlfn.XLOOKUP(Table7[[#This Row],[app_id]],Table5[app_id],Table5[app_name],"",0)</f>
        <v>Flyly</v>
      </c>
      <c r="D2480" t="s">
        <v>2170</v>
      </c>
      <c r="E2480" s="1">
        <v>45614</v>
      </c>
      <c r="F2480">
        <v>3</v>
      </c>
      <c r="G2480" t="s">
        <v>2815</v>
      </c>
      <c r="H2480" t="s">
        <v>2554</v>
      </c>
      <c r="I2480" t="s">
        <v>2584</v>
      </c>
      <c r="J2480" t="s">
        <v>2596</v>
      </c>
      <c r="K2480">
        <v>2</v>
      </c>
      <c r="L2480" s="13" t="s">
        <v>257</v>
      </c>
    </row>
    <row r="2481" spans="1:12" x14ac:dyDescent="0.25">
      <c r="A2481" t="s">
        <v>5158</v>
      </c>
      <c r="B2481" t="s">
        <v>201</v>
      </c>
      <c r="C2481" t="str">
        <f>_xlfn.XLOOKUP(Table7[[#This Row],[app_id]],Table5[app_id],Table5[app_name],"",0)</f>
        <v>TripPro</v>
      </c>
      <c r="D2481" t="s">
        <v>1994</v>
      </c>
      <c r="E2481" s="1">
        <v>45974</v>
      </c>
      <c r="F2481">
        <v>3</v>
      </c>
      <c r="G2481" t="s">
        <v>2815</v>
      </c>
      <c r="H2481" t="s">
        <v>2554</v>
      </c>
      <c r="I2481" t="s">
        <v>2584</v>
      </c>
      <c r="J2481" t="s">
        <v>2566</v>
      </c>
      <c r="K2481">
        <v>8</v>
      </c>
      <c r="L2481" s="13" t="s">
        <v>257</v>
      </c>
    </row>
    <row r="2482" spans="1:12" x14ac:dyDescent="0.25">
      <c r="A2482" t="s">
        <v>5159</v>
      </c>
      <c r="B2482" t="s">
        <v>203</v>
      </c>
      <c r="C2482" t="str">
        <f>_xlfn.XLOOKUP(Table7[[#This Row],[app_id]],Table5[app_id],Table5[app_name],"",0)</f>
        <v>Focusly</v>
      </c>
      <c r="D2482" t="s">
        <v>928</v>
      </c>
      <c r="E2482" s="1">
        <v>45690</v>
      </c>
      <c r="F2482">
        <v>4</v>
      </c>
      <c r="G2482" t="s">
        <v>2836</v>
      </c>
      <c r="H2482" t="s">
        <v>2564</v>
      </c>
      <c r="I2482" t="s">
        <v>2575</v>
      </c>
      <c r="J2482" t="s">
        <v>2603</v>
      </c>
      <c r="K2482">
        <v>26</v>
      </c>
      <c r="L2482" s="13" t="s">
        <v>257</v>
      </c>
    </row>
    <row r="2483" spans="1:12" x14ac:dyDescent="0.25">
      <c r="A2483" t="s">
        <v>5160</v>
      </c>
      <c r="B2483" t="s">
        <v>206</v>
      </c>
      <c r="C2483" t="str">
        <f>_xlfn.XLOOKUP(Table7[[#This Row],[app_id]],Table5[app_id],Table5[app_name],"",0)</f>
        <v>DeskX</v>
      </c>
      <c r="D2483" t="s">
        <v>1950</v>
      </c>
      <c r="E2483" s="1">
        <v>45438</v>
      </c>
      <c r="F2483">
        <v>3</v>
      </c>
      <c r="G2483" t="s">
        <v>2706</v>
      </c>
      <c r="H2483" t="s">
        <v>2554</v>
      </c>
      <c r="I2483" t="s">
        <v>2571</v>
      </c>
      <c r="J2483" t="s">
        <v>2569</v>
      </c>
      <c r="K2483">
        <v>3</v>
      </c>
      <c r="L2483" s="13" t="s">
        <v>257</v>
      </c>
    </row>
    <row r="2484" spans="1:12" x14ac:dyDescent="0.25">
      <c r="A2484" t="s">
        <v>5161</v>
      </c>
      <c r="B2484" t="s">
        <v>208</v>
      </c>
      <c r="C2484" t="str">
        <f>_xlfn.XLOOKUP(Table7[[#This Row],[app_id]],Table5[app_id],Table5[app_name],"",0)</f>
        <v>DonePro</v>
      </c>
      <c r="D2484" t="s">
        <v>619</v>
      </c>
      <c r="E2484" s="1">
        <v>45505</v>
      </c>
      <c r="F2484">
        <v>4</v>
      </c>
      <c r="G2484" t="s">
        <v>2703</v>
      </c>
      <c r="H2484" t="s">
        <v>2564</v>
      </c>
      <c r="I2484" t="s">
        <v>2555</v>
      </c>
      <c r="J2484" t="s">
        <v>2603</v>
      </c>
      <c r="K2484">
        <v>16</v>
      </c>
      <c r="L2484" s="13" t="s">
        <v>257</v>
      </c>
    </row>
    <row r="2485" spans="1:12" x14ac:dyDescent="0.25">
      <c r="A2485" t="s">
        <v>5162</v>
      </c>
      <c r="B2485" t="s">
        <v>210</v>
      </c>
      <c r="C2485" t="str">
        <f>_xlfn.XLOOKUP(Table7[[#This Row],[app_id]],Table5[app_id],Table5[app_name],"",0)</f>
        <v>NotePlus</v>
      </c>
      <c r="D2485" t="s">
        <v>1662</v>
      </c>
      <c r="E2485" s="1">
        <v>46094</v>
      </c>
      <c r="F2485">
        <v>3</v>
      </c>
      <c r="G2485" t="s">
        <v>2706</v>
      </c>
      <c r="H2485" t="s">
        <v>2554</v>
      </c>
      <c r="I2485" t="s">
        <v>2578</v>
      </c>
      <c r="J2485" t="s">
        <v>2569</v>
      </c>
      <c r="K2485">
        <v>28</v>
      </c>
      <c r="L2485" s="13" t="s">
        <v>257</v>
      </c>
    </row>
    <row r="2486" spans="1:12" x14ac:dyDescent="0.25">
      <c r="A2486" t="s">
        <v>5163</v>
      </c>
      <c r="B2486" t="s">
        <v>212</v>
      </c>
      <c r="C2486" t="str">
        <f>_xlfn.XLOOKUP(Table7[[#This Row],[app_id]],Table5[app_id],Table5[app_name],"",0)</f>
        <v>SyncPlus</v>
      </c>
      <c r="D2486" t="s">
        <v>2166</v>
      </c>
      <c r="E2486" s="1">
        <v>45565</v>
      </c>
      <c r="F2486">
        <v>3</v>
      </c>
      <c r="G2486" t="s">
        <v>3254</v>
      </c>
      <c r="H2486" t="s">
        <v>2554</v>
      </c>
      <c r="I2486" t="s">
        <v>2588</v>
      </c>
      <c r="J2486" t="s">
        <v>2556</v>
      </c>
      <c r="K2486">
        <v>12</v>
      </c>
      <c r="L2486" s="13" t="s">
        <v>258</v>
      </c>
    </row>
    <row r="2487" spans="1:12" x14ac:dyDescent="0.25">
      <c r="A2487" t="s">
        <v>5164</v>
      </c>
      <c r="B2487" t="s">
        <v>214</v>
      </c>
      <c r="C2487" t="str">
        <f>_xlfn.XLOOKUP(Table7[[#This Row],[app_id]],Table5[app_id],Table5[app_name],"",0)</f>
        <v>NoteOne</v>
      </c>
      <c r="D2487" t="s">
        <v>1428</v>
      </c>
      <c r="E2487" s="1">
        <v>45942</v>
      </c>
      <c r="F2487">
        <v>5</v>
      </c>
      <c r="G2487" t="s">
        <v>2703</v>
      </c>
      <c r="H2487" t="s">
        <v>2564</v>
      </c>
      <c r="I2487" t="s">
        <v>2575</v>
      </c>
      <c r="J2487" t="s">
        <v>2561</v>
      </c>
      <c r="K2487">
        <v>21</v>
      </c>
      <c r="L2487" s="13" t="s">
        <v>258</v>
      </c>
    </row>
    <row r="2488" spans="1:12" x14ac:dyDescent="0.25">
      <c r="A2488" t="s">
        <v>5165</v>
      </c>
      <c r="B2488" t="s">
        <v>216</v>
      </c>
      <c r="C2488" t="str">
        <f>_xlfn.XLOOKUP(Table7[[#This Row],[app_id]],Table5[app_id],Table5[app_name],"",0)</f>
        <v>NoteMate</v>
      </c>
      <c r="D2488" t="s">
        <v>1399</v>
      </c>
      <c r="E2488" s="1">
        <v>45309</v>
      </c>
      <c r="F2488">
        <v>4</v>
      </c>
      <c r="G2488" t="s">
        <v>2703</v>
      </c>
      <c r="H2488" t="s">
        <v>2564</v>
      </c>
      <c r="I2488" t="s">
        <v>2555</v>
      </c>
      <c r="J2488" t="s">
        <v>2556</v>
      </c>
      <c r="K2488">
        <v>14</v>
      </c>
      <c r="L2488" s="13" t="s">
        <v>257</v>
      </c>
    </row>
    <row r="2489" spans="1:12" x14ac:dyDescent="0.25">
      <c r="A2489" t="s">
        <v>5166</v>
      </c>
      <c r="B2489" t="s">
        <v>218</v>
      </c>
      <c r="C2489" t="str">
        <f>_xlfn.XLOOKUP(Table7[[#This Row],[app_id]],Table5[app_id],Table5[app_name],"",0)</f>
        <v>PlanPlus</v>
      </c>
      <c r="D2489" t="s">
        <v>1774</v>
      </c>
      <c r="E2489" s="1">
        <v>45977</v>
      </c>
      <c r="F2489">
        <v>3</v>
      </c>
      <c r="G2489" t="s">
        <v>2710</v>
      </c>
      <c r="H2489" t="s">
        <v>2554</v>
      </c>
      <c r="I2489" t="s">
        <v>2571</v>
      </c>
      <c r="J2489" t="s">
        <v>2603</v>
      </c>
      <c r="K2489">
        <v>46</v>
      </c>
      <c r="L2489" s="13" t="s">
        <v>258</v>
      </c>
    </row>
    <row r="2490" spans="1:12" x14ac:dyDescent="0.25">
      <c r="A2490" t="s">
        <v>5167</v>
      </c>
      <c r="B2490" t="s">
        <v>220</v>
      </c>
      <c r="C2490" t="str">
        <f>_xlfn.XLOOKUP(Table7[[#This Row],[app_id]],Table5[app_id],Table5[app_name],"",0)</f>
        <v>PlanMate</v>
      </c>
      <c r="D2490" t="s">
        <v>1694</v>
      </c>
      <c r="E2490" s="1">
        <v>46134</v>
      </c>
      <c r="F2490">
        <v>2</v>
      </c>
      <c r="G2490" t="s">
        <v>3859</v>
      </c>
      <c r="H2490" t="s">
        <v>2587</v>
      </c>
      <c r="I2490" t="s">
        <v>2584</v>
      </c>
      <c r="J2490" t="s">
        <v>2556</v>
      </c>
      <c r="K2490">
        <v>57</v>
      </c>
      <c r="L2490" s="13" t="s">
        <v>258</v>
      </c>
    </row>
    <row r="2491" spans="1:12" x14ac:dyDescent="0.25">
      <c r="A2491" t="s">
        <v>5168</v>
      </c>
      <c r="B2491" t="s">
        <v>222</v>
      </c>
      <c r="C2491" t="str">
        <f>_xlfn.XLOOKUP(Table7[[#This Row],[app_id]],Table5[app_id],Table5[app_name],"",0)</f>
        <v>SyncPlus</v>
      </c>
      <c r="D2491" t="s">
        <v>2081</v>
      </c>
      <c r="E2491" s="1">
        <v>45568</v>
      </c>
      <c r="F2491">
        <v>4</v>
      </c>
      <c r="G2491" t="s">
        <v>2700</v>
      </c>
      <c r="H2491" t="s">
        <v>2564</v>
      </c>
      <c r="I2491" t="s">
        <v>2575</v>
      </c>
      <c r="J2491" t="s">
        <v>2566</v>
      </c>
      <c r="K2491">
        <v>45</v>
      </c>
      <c r="L2491" s="13" t="s">
        <v>257</v>
      </c>
    </row>
    <row r="2492" spans="1:12" x14ac:dyDescent="0.25">
      <c r="A2492" t="s">
        <v>5169</v>
      </c>
      <c r="B2492" t="s">
        <v>223</v>
      </c>
      <c r="C2492" t="str">
        <f>_xlfn.XLOOKUP(Table7[[#This Row],[app_id]],Table5[app_id],Table5[app_name],"",0)</f>
        <v>ClinicPro</v>
      </c>
      <c r="D2492" t="s">
        <v>592</v>
      </c>
      <c r="E2492" s="1">
        <v>45925</v>
      </c>
      <c r="F2492">
        <v>4</v>
      </c>
      <c r="G2492" t="s">
        <v>2722</v>
      </c>
      <c r="H2492" t="s">
        <v>2564</v>
      </c>
      <c r="I2492" t="s">
        <v>2575</v>
      </c>
      <c r="J2492" t="s">
        <v>2559</v>
      </c>
      <c r="K2492">
        <v>1</v>
      </c>
      <c r="L2492" s="13" t="s">
        <v>257</v>
      </c>
    </row>
    <row r="2493" spans="1:12" x14ac:dyDescent="0.25">
      <c r="A2493" t="s">
        <v>5170</v>
      </c>
      <c r="B2493" t="s">
        <v>226</v>
      </c>
      <c r="C2493" t="str">
        <f>_xlfn.XLOOKUP(Table7[[#This Row],[app_id]],Table5[app_id],Table5[app_name],"",0)</f>
        <v>MindMate</v>
      </c>
      <c r="D2493" t="s">
        <v>1207</v>
      </c>
      <c r="E2493" s="1">
        <v>45486</v>
      </c>
      <c r="F2493">
        <v>4</v>
      </c>
      <c r="G2493" t="s">
        <v>2722</v>
      </c>
      <c r="H2493" t="s">
        <v>2564</v>
      </c>
      <c r="I2493" t="s">
        <v>2558</v>
      </c>
      <c r="J2493" t="s">
        <v>2561</v>
      </c>
      <c r="K2493">
        <v>19</v>
      </c>
      <c r="L2493" s="13" t="s">
        <v>257</v>
      </c>
    </row>
    <row r="2494" spans="1:12" x14ac:dyDescent="0.25">
      <c r="A2494" t="s">
        <v>5171</v>
      </c>
      <c r="B2494" t="s">
        <v>228</v>
      </c>
      <c r="C2494" t="str">
        <f>_xlfn.XLOOKUP(Table7[[#This Row],[app_id]],Table5[app_id],Table5[app_name],"",0)</f>
        <v>ClinicOne</v>
      </c>
      <c r="D2494" t="s">
        <v>2427</v>
      </c>
      <c r="E2494" s="1">
        <v>45483</v>
      </c>
      <c r="F2494">
        <v>5</v>
      </c>
      <c r="G2494" t="s">
        <v>2954</v>
      </c>
      <c r="H2494" t="s">
        <v>2564</v>
      </c>
      <c r="I2494" t="s">
        <v>2565</v>
      </c>
      <c r="J2494" t="s">
        <v>2559</v>
      </c>
      <c r="K2494">
        <v>12</v>
      </c>
      <c r="L2494" s="13" t="s">
        <v>257</v>
      </c>
    </row>
    <row r="2495" spans="1:12" x14ac:dyDescent="0.25">
      <c r="A2495" t="s">
        <v>5172</v>
      </c>
      <c r="B2495" t="s">
        <v>230</v>
      </c>
      <c r="C2495" t="str">
        <f>_xlfn.XLOOKUP(Table7[[#This Row],[app_id]],Table5[app_id],Table5[app_name],"",0)</f>
        <v>WellMate</v>
      </c>
      <c r="D2495" t="s">
        <v>2114</v>
      </c>
      <c r="E2495" s="1">
        <v>45833</v>
      </c>
      <c r="F2495">
        <v>3</v>
      </c>
      <c r="G2495" t="s">
        <v>2726</v>
      </c>
      <c r="H2495" t="s">
        <v>2554</v>
      </c>
      <c r="I2495" t="s">
        <v>2575</v>
      </c>
      <c r="J2495" t="s">
        <v>2633</v>
      </c>
      <c r="K2495">
        <v>23</v>
      </c>
      <c r="L2495" s="13" t="s">
        <v>257</v>
      </c>
    </row>
    <row r="2496" spans="1:12" x14ac:dyDescent="0.25">
      <c r="A2496" t="s">
        <v>5173</v>
      </c>
      <c r="B2496" t="s">
        <v>232</v>
      </c>
      <c r="C2496" t="str">
        <f>_xlfn.XLOOKUP(Table7[[#This Row],[app_id]],Table5[app_id],Table5[app_name],"",0)</f>
        <v>MediMate</v>
      </c>
      <c r="D2496" t="s">
        <v>945</v>
      </c>
      <c r="E2496" s="1">
        <v>45606</v>
      </c>
      <c r="F2496">
        <v>3</v>
      </c>
      <c r="G2496" t="s">
        <v>2718</v>
      </c>
      <c r="H2496" t="s">
        <v>2554</v>
      </c>
      <c r="I2496" t="s">
        <v>2555</v>
      </c>
      <c r="J2496" t="s">
        <v>2569</v>
      </c>
      <c r="K2496">
        <v>17</v>
      </c>
      <c r="L2496" s="13" t="s">
        <v>258</v>
      </c>
    </row>
    <row r="2497" spans="1:12" x14ac:dyDescent="0.25">
      <c r="A2497" t="s">
        <v>5174</v>
      </c>
      <c r="B2497" t="s">
        <v>234</v>
      </c>
      <c r="C2497" t="str">
        <f>_xlfn.XLOOKUP(Table7[[#This Row],[app_id]],Table5[app_id],Table5[app_name],"",0)</f>
        <v>WellNow</v>
      </c>
      <c r="D2497" t="s">
        <v>2493</v>
      </c>
      <c r="E2497" s="1">
        <v>45669</v>
      </c>
      <c r="F2497">
        <v>4</v>
      </c>
      <c r="G2497" t="s">
        <v>2728</v>
      </c>
      <c r="H2497" t="s">
        <v>2564</v>
      </c>
      <c r="I2497" t="s">
        <v>2575</v>
      </c>
      <c r="J2497" t="s">
        <v>2596</v>
      </c>
      <c r="K2497">
        <v>10</v>
      </c>
      <c r="L2497" s="13" t="s">
        <v>257</v>
      </c>
    </row>
    <row r="2498" spans="1:12" x14ac:dyDescent="0.25">
      <c r="A2498" t="s">
        <v>5175</v>
      </c>
      <c r="B2498" t="s">
        <v>236</v>
      </c>
      <c r="C2498" t="str">
        <f>_xlfn.XLOOKUP(Table7[[#This Row],[app_id]],Table5[app_id],Table5[app_name],"",0)</f>
        <v>CareCloud</v>
      </c>
      <c r="D2498" t="s">
        <v>1936</v>
      </c>
      <c r="E2498" s="1">
        <v>45860</v>
      </c>
      <c r="F2498">
        <v>2</v>
      </c>
      <c r="G2498" t="s">
        <v>2844</v>
      </c>
      <c r="H2498" t="s">
        <v>2587</v>
      </c>
      <c r="I2498" t="s">
        <v>2584</v>
      </c>
      <c r="J2498" t="s">
        <v>2596</v>
      </c>
      <c r="K2498">
        <v>71</v>
      </c>
      <c r="L2498" s="13" t="s">
        <v>257</v>
      </c>
    </row>
    <row r="2499" spans="1:12" x14ac:dyDescent="0.25">
      <c r="A2499" t="s">
        <v>5176</v>
      </c>
      <c r="B2499" t="s">
        <v>238</v>
      </c>
      <c r="C2499" t="str">
        <f>_xlfn.XLOOKUP(Table7[[#This Row],[app_id]],Table5[app_id],Table5[app_name],"",0)</f>
        <v>MediNow</v>
      </c>
      <c r="D2499" t="s">
        <v>1387</v>
      </c>
      <c r="E2499" s="1">
        <v>46039</v>
      </c>
      <c r="F2499">
        <v>3</v>
      </c>
      <c r="G2499" t="s">
        <v>2846</v>
      </c>
      <c r="H2499" t="s">
        <v>2554</v>
      </c>
      <c r="I2499" t="s">
        <v>2584</v>
      </c>
      <c r="J2499" t="s">
        <v>2556</v>
      </c>
      <c r="K2499">
        <v>13</v>
      </c>
      <c r="L2499" s="13" t="s">
        <v>257</v>
      </c>
    </row>
    <row r="2500" spans="1:12" x14ac:dyDescent="0.25">
      <c r="A2500" t="s">
        <v>5177</v>
      </c>
      <c r="B2500" t="s">
        <v>240</v>
      </c>
      <c r="C2500" t="str">
        <f>_xlfn.XLOOKUP(Table7[[#This Row],[app_id]],Table5[app_id],Table5[app_name],"",0)</f>
        <v>MindPlus</v>
      </c>
      <c r="D2500" t="s">
        <v>1855</v>
      </c>
      <c r="E2500" s="1">
        <v>45915</v>
      </c>
      <c r="F2500">
        <v>4</v>
      </c>
      <c r="G2500" t="s">
        <v>2954</v>
      </c>
      <c r="H2500" t="s">
        <v>2564</v>
      </c>
      <c r="I2500" t="s">
        <v>2558</v>
      </c>
      <c r="J2500" t="s">
        <v>2603</v>
      </c>
      <c r="K2500">
        <v>40</v>
      </c>
      <c r="L2500" s="13" t="s">
        <v>257</v>
      </c>
    </row>
    <row r="2501" spans="1:12" x14ac:dyDescent="0.25">
      <c r="A2501" t="s">
        <v>5178</v>
      </c>
      <c r="B2501" t="s">
        <v>242</v>
      </c>
      <c r="C2501" t="str">
        <f>_xlfn.XLOOKUP(Table7[[#This Row],[app_id]],Table5[app_id],Table5[app_name],"",0)</f>
        <v>MediCloud</v>
      </c>
      <c r="D2501" t="s">
        <v>1820</v>
      </c>
      <c r="E2501" s="1">
        <v>45354</v>
      </c>
      <c r="F2501">
        <v>3</v>
      </c>
      <c r="G2501" t="s">
        <v>2718</v>
      </c>
      <c r="H2501" t="s">
        <v>2554</v>
      </c>
      <c r="I2501" t="s">
        <v>2565</v>
      </c>
      <c r="J2501" t="s">
        <v>2603</v>
      </c>
      <c r="K2501">
        <v>44</v>
      </c>
      <c r="L2501" s="13" t="s">
        <v>257</v>
      </c>
    </row>
  </sheetData>
  <mergeCells count="1">
    <mergeCell ref="P3:X1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Revenue Dashboard</vt:lpstr>
      <vt:lpstr>Pivot_Revenue</vt:lpstr>
      <vt:lpstr>Pivot_Users</vt:lpstr>
      <vt:lpstr>metadata</vt:lpstr>
      <vt:lpstr>Pivot_competitors</vt:lpstr>
      <vt:lpstr>competitior_analysis</vt:lpstr>
      <vt:lpstr>app_feature</vt:lpstr>
      <vt:lpstr>app_feature (2)</vt:lpstr>
      <vt:lpstr>app_master</vt:lpstr>
      <vt:lpstr>user_behaviour</vt:lpstr>
      <vt:lpstr>user_reviews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Anushka Jade</cp:lastModifiedBy>
  <dcterms:created xsi:type="dcterms:W3CDTF">2026-05-14T09:43:09Z</dcterms:created>
  <dcterms:modified xsi:type="dcterms:W3CDTF">2026-05-14T17:49:52Z</dcterms:modified>
</cp:coreProperties>
</file>